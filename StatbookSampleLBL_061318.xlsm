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LBL_Statbook\Samples\"/>
    </mc:Choice>
  </mc:AlternateContent>
  <xr:revisionPtr revIDLastSave="0" documentId="10_ncr:8100000_{3A391814-0D71-42B8-B6E9-5E2D4AAC5E81}" xr6:coauthVersionLast="34" xr6:coauthVersionMax="34" xr10:uidLastSave="{00000000-0000-0000-0000-000000000000}"/>
  <bookViews>
    <workbookView xWindow="0" yWindow="0" windowWidth="28800" windowHeight="12225" tabRatio="909" xr2:uid="{00000000-000D-0000-FFFF-FFFF00000000}"/>
  </bookViews>
  <sheets>
    <sheet name="Startup" sheetId="21" r:id="rId1"/>
    <sheet name="Individuals" sheetId="8" state="veryHidden" r:id="rId2"/>
    <sheet name="IndividualsPerGame" sheetId="18" state="veryHidden" r:id="rId3"/>
    <sheet name="Teams" sheetId="9" state="veryHidden" r:id="rId4"/>
    <sheet name="LeagueTotals" sheetId="11" state="veryHidden" r:id="rId5"/>
    <sheet name="TeamsNotUsed" sheetId="4" state="veryHidden" r:id="rId6"/>
    <sheet name="Individual" sheetId="7" state="veryHidden" r:id="rId7"/>
    <sheet name="SeasonBests" sheetId="10" state="veryHidden" r:id="rId8"/>
    <sheet name="Records" sheetId="12" state="veryHidden" r:id="rId9"/>
    <sheet name="SeasonStats" sheetId="13" state="veryHidden" r:id="rId10"/>
    <sheet name="SeasonRecords" sheetId="16" state="veryHidden" r:id="rId11"/>
    <sheet name="CareerRecords" sheetId="14" state="veryHidden" r:id="rId12"/>
    <sheet name="CareerPerGame" sheetId="23" state="veryHidden" r:id="rId13"/>
    <sheet name="PlayerCompare" sheetId="22" state="veryHidden" r:id="rId14"/>
    <sheet name="Matchups" sheetId="24" state="veryHidden" r:id="rId15"/>
    <sheet name="Rosters" sheetId="5" state="veryHidden" r:id="rId16"/>
    <sheet name="Lists" sheetId="1" state="veryHidden" r:id="rId17"/>
    <sheet name="SingleGame" sheetId="2" state="veryHidden" r:id="rId18"/>
    <sheet name="Database" sheetId="3" state="veryHidden" r:id="rId19"/>
    <sheet name="Admin" sheetId="20" state="veryHidden" r:id="rId20"/>
    <sheet name="RecordEngine" sheetId="15" state="veryHidden" r:id="rId21"/>
  </sheets>
  <externalReferences>
    <externalReference r:id="rId22"/>
  </externalReferences>
  <definedNames>
    <definedName name="_xlnm._FilterDatabase" localSheetId="12" hidden="1">CareerPerGame!$C$3:$Z$3</definedName>
    <definedName name="_xlnm._FilterDatabase" localSheetId="11" hidden="1">CareerRecords!$C$3:$Z$3</definedName>
    <definedName name="_xlnm._FilterDatabase" localSheetId="1" hidden="1">Individuals!$C$3:$Z$3</definedName>
    <definedName name="_xlnm._FilterDatabase" localSheetId="2" hidden="1">IndividualsPerGame!$C$3:$Z$3</definedName>
    <definedName name="_xlnm._FilterDatabase" localSheetId="4" hidden="1">LeagueTotals!$B$3:$U$3</definedName>
    <definedName name="_xlnm._FilterDatabase" localSheetId="13" hidden="1">PlayerCompare!$D$3:$AA$3</definedName>
    <definedName name="_xlnm._FilterDatabase" localSheetId="8" hidden="1">Records!$C$3:$Z$3</definedName>
    <definedName name="_xlnm._FilterDatabase" localSheetId="15" hidden="1">Rosters!$B$3:$Z$3</definedName>
    <definedName name="_xlnm._FilterDatabase" localSheetId="7" hidden="1">SeasonBests!$B$3:$H$3</definedName>
    <definedName name="_xlnm._FilterDatabase" localSheetId="9" hidden="1">SeasonStats!$C$3:$Z$3</definedName>
    <definedName name="_xlnm._FilterDatabase" localSheetId="0" hidden="1">Startup!$C$3:$Z$3</definedName>
    <definedName name="_xlnm._FilterDatabase" localSheetId="3" hidden="1">Teams!$C$3:$Z$3</definedName>
    <definedName name="AllTimePlayers">OFFSET(Rosters!$C$4:$C$41,,,COUNTA(Rosters!$C$4:$C$41))</definedName>
    <definedName name="AllTimeTeams">OFFSET(Lists!$L$5,,,COUNTA(Lists!$L$5:$L$80))</definedName>
    <definedName name="CurrentPlayers">OFFSET(Lists!$C$5,,,COUNTA(Lists!$C$5:$C$80))</definedName>
    <definedName name="CurrentTeams">OFFSET(Lists!$D$5,,,COUNTA(Lists!$D$5:$D$5:'Lists'!$D$80))</definedName>
    <definedName name="GameTypes">OFFSET(Lists!$H$5,,,COUNTA(Lists!$H$5:$H$80))</definedName>
    <definedName name="PlayersStartPoint">Individual!$D$8</definedName>
    <definedName name="_xlnm.Print_Area" localSheetId="14">Matchups!$A$1:$O$28,Matchups!$Q$30:$AK$75,Matchups!$Q$1:$AK$28</definedName>
    <definedName name="TimeSlots">OFFSET(Lists!$G$5,,,COUNTA(Lists!$G$5:$G$80))</definedName>
    <definedName name="UserName">Admin!$E$5:$E$48</definedName>
    <definedName name="UserTable">Admin!$E$5:$F$48</definedName>
    <definedName name="WeeksInSeason">OFFSET(Lists!$F$5,,,COUNTA(Lists!$F$5:$F$80))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8" i="9" l="1"/>
  <c r="S2" i="24" l="1"/>
  <c r="U2" i="24"/>
  <c r="V2" i="24"/>
  <c r="W2" i="24"/>
  <c r="X2" i="24"/>
  <c r="Y2" i="24"/>
  <c r="Z2" i="24"/>
  <c r="AA2" i="24"/>
  <c r="AB2" i="24"/>
  <c r="AC2" i="24"/>
  <c r="AD2" i="24"/>
  <c r="AF2" i="24"/>
  <c r="AG2" i="24"/>
  <c r="AI2" i="24"/>
  <c r="AJ2" i="24"/>
  <c r="AK2" i="24"/>
  <c r="AH2" i="24"/>
  <c r="AE2" i="24"/>
  <c r="R5" i="24"/>
  <c r="R6" i="24"/>
  <c r="R7" i="24"/>
  <c r="R8" i="24"/>
  <c r="R9" i="24"/>
  <c r="R10" i="24"/>
  <c r="S10" i="24" s="1"/>
  <c r="R11" i="24"/>
  <c r="S11" i="24" s="1"/>
  <c r="R12" i="24"/>
  <c r="S12" i="24" s="1"/>
  <c r="R13" i="24"/>
  <c r="S13" i="24" s="1"/>
  <c r="R14" i="24"/>
  <c r="S14" i="24" s="1"/>
  <c r="R15" i="24"/>
  <c r="S15" i="24" s="1"/>
  <c r="R16" i="24"/>
  <c r="S16" i="24" s="1"/>
  <c r="R4" i="24"/>
  <c r="Q1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32" i="24"/>
  <c r="Q32" i="24" s="1"/>
  <c r="Q13" i="24" l="1"/>
  <c r="Q15" i="24"/>
  <c r="Q11" i="24"/>
  <c r="Q14" i="24"/>
  <c r="Q10" i="24"/>
  <c r="Q4" i="24"/>
  <c r="Q5" i="24" s="1"/>
  <c r="Q6" i="24" s="1"/>
  <c r="Q33" i="24"/>
  <c r="Q34" i="24" s="1"/>
  <c r="H21" i="24"/>
  <c r="H18" i="24"/>
  <c r="H17" i="24"/>
  <c r="H20" i="24"/>
  <c r="H16" i="24"/>
  <c r="H15" i="24"/>
  <c r="H19" i="24"/>
  <c r="H14" i="24"/>
  <c r="H13" i="24"/>
  <c r="H12" i="24"/>
  <c r="H11" i="24"/>
  <c r="H10" i="24"/>
  <c r="H9" i="24"/>
  <c r="H8" i="24"/>
  <c r="H7" i="24"/>
  <c r="H6" i="24"/>
  <c r="H5" i="24"/>
  <c r="U7" i="11"/>
  <c r="R7" i="11"/>
  <c r="O7" i="11"/>
  <c r="F7" i="11"/>
  <c r="G7" i="11"/>
  <c r="H7" i="11"/>
  <c r="I7" i="11"/>
  <c r="J7" i="11"/>
  <c r="K7" i="11"/>
  <c r="L7" i="11"/>
  <c r="M7" i="11"/>
  <c r="N7" i="11"/>
  <c r="P7" i="11"/>
  <c r="Q7" i="11"/>
  <c r="S7" i="11"/>
  <c r="T7" i="11"/>
  <c r="E7" i="11"/>
  <c r="D7" i="11"/>
  <c r="Q35" i="24" l="1"/>
  <c r="Q7" i="24"/>
  <c r="F1" i="24"/>
  <c r="Q36" i="24" l="1"/>
  <c r="Q37" i="24" s="1"/>
  <c r="Q8" i="24"/>
  <c r="Q9" i="24" s="1"/>
  <c r="P2" i="20"/>
  <c r="Q38" i="24" l="1"/>
  <c r="Q39" i="24" s="1"/>
  <c r="Q40" i="24"/>
  <c r="Q41" i="24" s="1"/>
  <c r="Y4" i="20"/>
  <c r="X5" i="20"/>
  <c r="X6" i="20"/>
  <c r="AA4" i="20" s="1"/>
  <c r="X7" i="20"/>
  <c r="AB4" i="20" s="1"/>
  <c r="X8" i="20"/>
  <c r="AC4" i="20" s="1"/>
  <c r="X9" i="20"/>
  <c r="AD4" i="20" s="1"/>
  <c r="X10" i="20"/>
  <c r="AE4" i="20" s="1"/>
  <c r="X11" i="20"/>
  <c r="AF4" i="20" s="1"/>
  <c r="X12" i="20"/>
  <c r="AG4" i="20" s="1"/>
  <c r="X13" i="20"/>
  <c r="AH4" i="20" s="1"/>
  <c r="X14" i="20"/>
  <c r="AI4" i="20" s="1"/>
  <c r="X15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Q42" i="24" l="1"/>
  <c r="Q43" i="24" s="1"/>
  <c r="Q44" i="24" s="1"/>
  <c r="Q45" i="24" s="1"/>
  <c r="K1" i="24"/>
  <c r="Z4" i="20"/>
  <c r="E1" i="24"/>
  <c r="Q46" i="24" l="1"/>
  <c r="Q47" i="24" s="1"/>
  <c r="Q48" i="24" s="1"/>
  <c r="Q49" i="24" s="1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25" i="9"/>
  <c r="AL26" i="9"/>
  <c r="AL27" i="9"/>
  <c r="AL28" i="9"/>
  <c r="AL29" i="9"/>
  <c r="AL30" i="9"/>
  <c r="AL31" i="9"/>
  <c r="AL32" i="9"/>
  <c r="AL33" i="9"/>
  <c r="AL34" i="9"/>
  <c r="AL35" i="9"/>
  <c r="AL36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59" i="9"/>
  <c r="AL60" i="9"/>
  <c r="AL61" i="9"/>
  <c r="AL62" i="9"/>
  <c r="AL63" i="9"/>
  <c r="AL64" i="9"/>
  <c r="AL65" i="9"/>
  <c r="AL66" i="9"/>
  <c r="AL67" i="9"/>
  <c r="AL68" i="9"/>
  <c r="AL69" i="9"/>
  <c r="AL70" i="9"/>
  <c r="AL71" i="9"/>
  <c r="AL72" i="9"/>
  <c r="AL73" i="9"/>
  <c r="AL74" i="9"/>
  <c r="AL75" i="9"/>
  <c r="AL76" i="9"/>
  <c r="AL77" i="9"/>
  <c r="AL78" i="9"/>
  <c r="AL79" i="9"/>
  <c r="AL80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65" i="9"/>
  <c r="AK66" i="9"/>
  <c r="AK67" i="9"/>
  <c r="AK68" i="9"/>
  <c r="AK69" i="9"/>
  <c r="AK70" i="9"/>
  <c r="AK71" i="9"/>
  <c r="AK72" i="9"/>
  <c r="AK73" i="9"/>
  <c r="AK74" i="9"/>
  <c r="AK75" i="9"/>
  <c r="AK76" i="9"/>
  <c r="AK77" i="9"/>
  <c r="AK78" i="9"/>
  <c r="AK79" i="9"/>
  <c r="AK80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65" i="9"/>
  <c r="AJ66" i="9"/>
  <c r="AJ67" i="9"/>
  <c r="AJ68" i="9"/>
  <c r="AJ69" i="9"/>
  <c r="AJ70" i="9"/>
  <c r="AJ71" i="9"/>
  <c r="AJ72" i="9"/>
  <c r="AJ73" i="9"/>
  <c r="AJ74" i="9"/>
  <c r="AJ75" i="9"/>
  <c r="AJ76" i="9"/>
  <c r="AJ77" i="9"/>
  <c r="AJ78" i="9"/>
  <c r="AJ79" i="9"/>
  <c r="AJ80" i="9"/>
  <c r="AA10" i="9"/>
  <c r="AB10" i="9"/>
  <c r="AC10" i="9"/>
  <c r="AD10" i="9"/>
  <c r="AE10" i="9"/>
  <c r="AF10" i="9"/>
  <c r="AG10" i="9"/>
  <c r="AH10" i="9"/>
  <c r="AI10" i="9"/>
  <c r="AA11" i="9"/>
  <c r="AB11" i="9"/>
  <c r="AC11" i="9"/>
  <c r="AD11" i="9"/>
  <c r="AE11" i="9"/>
  <c r="AF11" i="9"/>
  <c r="AG11" i="9"/>
  <c r="AH11" i="9"/>
  <c r="AI11" i="9"/>
  <c r="AA12" i="9"/>
  <c r="AB12" i="9"/>
  <c r="AC12" i="9"/>
  <c r="AD12" i="9"/>
  <c r="AE12" i="9"/>
  <c r="AF12" i="9"/>
  <c r="AG12" i="9"/>
  <c r="AH12" i="9"/>
  <c r="AI12" i="9"/>
  <c r="AA13" i="9"/>
  <c r="AB13" i="9"/>
  <c r="AC13" i="9"/>
  <c r="AD13" i="9"/>
  <c r="AE13" i="9"/>
  <c r="AF13" i="9"/>
  <c r="AG13" i="9"/>
  <c r="AH13" i="9"/>
  <c r="AI13" i="9"/>
  <c r="AA14" i="9"/>
  <c r="AB14" i="9"/>
  <c r="AC14" i="9"/>
  <c r="AD14" i="9"/>
  <c r="AE14" i="9"/>
  <c r="AF14" i="9"/>
  <c r="AG14" i="9"/>
  <c r="AH14" i="9"/>
  <c r="AI14" i="9"/>
  <c r="AA15" i="9"/>
  <c r="AB15" i="9"/>
  <c r="AC15" i="9"/>
  <c r="AD15" i="9"/>
  <c r="AE15" i="9"/>
  <c r="AF15" i="9"/>
  <c r="AG15" i="9"/>
  <c r="AH15" i="9"/>
  <c r="AI15" i="9"/>
  <c r="AA16" i="9"/>
  <c r="AB16" i="9"/>
  <c r="AC16" i="9"/>
  <c r="AD16" i="9"/>
  <c r="AE16" i="9"/>
  <c r="AF16" i="9"/>
  <c r="AG16" i="9"/>
  <c r="AH16" i="9"/>
  <c r="AI16" i="9"/>
  <c r="AA17" i="9"/>
  <c r="AB17" i="9"/>
  <c r="AC17" i="9"/>
  <c r="AD17" i="9"/>
  <c r="AE17" i="9"/>
  <c r="AF17" i="9"/>
  <c r="AG17" i="9"/>
  <c r="AH17" i="9"/>
  <c r="AI17" i="9"/>
  <c r="AA18" i="9"/>
  <c r="AB18" i="9"/>
  <c r="AC18" i="9"/>
  <c r="AD18" i="9"/>
  <c r="AE18" i="9"/>
  <c r="AF18" i="9"/>
  <c r="AG18" i="9"/>
  <c r="AH18" i="9"/>
  <c r="AI18" i="9"/>
  <c r="AA19" i="9"/>
  <c r="AB19" i="9"/>
  <c r="AC19" i="9"/>
  <c r="AD19" i="9"/>
  <c r="AE19" i="9"/>
  <c r="AF19" i="9"/>
  <c r="AG19" i="9"/>
  <c r="AH19" i="9"/>
  <c r="AI19" i="9"/>
  <c r="AA20" i="9"/>
  <c r="AB20" i="9"/>
  <c r="AC20" i="9"/>
  <c r="AD20" i="9"/>
  <c r="AE20" i="9"/>
  <c r="AF20" i="9"/>
  <c r="AG20" i="9"/>
  <c r="AH20" i="9"/>
  <c r="AI20" i="9"/>
  <c r="AA21" i="9"/>
  <c r="AB21" i="9"/>
  <c r="AC21" i="9"/>
  <c r="AD21" i="9"/>
  <c r="AE21" i="9"/>
  <c r="AF21" i="9"/>
  <c r="AG21" i="9"/>
  <c r="AH21" i="9"/>
  <c r="AI21" i="9"/>
  <c r="AA22" i="9"/>
  <c r="AB22" i="9"/>
  <c r="AC22" i="9"/>
  <c r="AD22" i="9"/>
  <c r="AE22" i="9"/>
  <c r="AF22" i="9"/>
  <c r="AG22" i="9"/>
  <c r="AH22" i="9"/>
  <c r="AI22" i="9"/>
  <c r="AA23" i="9"/>
  <c r="AB23" i="9"/>
  <c r="AC23" i="9"/>
  <c r="AD23" i="9"/>
  <c r="AE23" i="9"/>
  <c r="AF23" i="9"/>
  <c r="AG23" i="9"/>
  <c r="AH23" i="9"/>
  <c r="AI23" i="9"/>
  <c r="AA24" i="9"/>
  <c r="AB24" i="9"/>
  <c r="AC24" i="9"/>
  <c r="AD24" i="9"/>
  <c r="AE24" i="9"/>
  <c r="AF24" i="9"/>
  <c r="AG24" i="9"/>
  <c r="AH24" i="9"/>
  <c r="AI24" i="9"/>
  <c r="AA25" i="9"/>
  <c r="AB25" i="9"/>
  <c r="AC25" i="9"/>
  <c r="AD25" i="9"/>
  <c r="AE25" i="9"/>
  <c r="AF25" i="9"/>
  <c r="AG25" i="9"/>
  <c r="AH25" i="9"/>
  <c r="AI25" i="9"/>
  <c r="AA26" i="9"/>
  <c r="AB26" i="9"/>
  <c r="AC26" i="9"/>
  <c r="AD26" i="9"/>
  <c r="AE26" i="9"/>
  <c r="AF26" i="9"/>
  <c r="AG26" i="9"/>
  <c r="AH26" i="9"/>
  <c r="AI26" i="9"/>
  <c r="AA27" i="9"/>
  <c r="AB27" i="9"/>
  <c r="AC27" i="9"/>
  <c r="AD27" i="9"/>
  <c r="AE27" i="9"/>
  <c r="AF27" i="9"/>
  <c r="AG27" i="9"/>
  <c r="AH27" i="9"/>
  <c r="AI27" i="9"/>
  <c r="AA28" i="9"/>
  <c r="AB28" i="9"/>
  <c r="AC28" i="9"/>
  <c r="AD28" i="9"/>
  <c r="AE28" i="9"/>
  <c r="AF28" i="9"/>
  <c r="AG28" i="9"/>
  <c r="AH28" i="9"/>
  <c r="AI28" i="9"/>
  <c r="AA29" i="9"/>
  <c r="AB29" i="9"/>
  <c r="AC29" i="9"/>
  <c r="AD29" i="9"/>
  <c r="AE29" i="9"/>
  <c r="AF29" i="9"/>
  <c r="AG29" i="9"/>
  <c r="AH29" i="9"/>
  <c r="AI29" i="9"/>
  <c r="AA30" i="9"/>
  <c r="AB30" i="9"/>
  <c r="AC30" i="9"/>
  <c r="AD30" i="9"/>
  <c r="AE30" i="9"/>
  <c r="AF30" i="9"/>
  <c r="AG30" i="9"/>
  <c r="AH30" i="9"/>
  <c r="AI30" i="9"/>
  <c r="AA31" i="9"/>
  <c r="AB31" i="9"/>
  <c r="AC31" i="9"/>
  <c r="AD31" i="9"/>
  <c r="AE31" i="9"/>
  <c r="AF31" i="9"/>
  <c r="AG31" i="9"/>
  <c r="AH31" i="9"/>
  <c r="AI31" i="9"/>
  <c r="AA32" i="9"/>
  <c r="AB32" i="9"/>
  <c r="AC32" i="9"/>
  <c r="AD32" i="9"/>
  <c r="AE32" i="9"/>
  <c r="AF32" i="9"/>
  <c r="AG32" i="9"/>
  <c r="AH32" i="9"/>
  <c r="AI32" i="9"/>
  <c r="AA33" i="9"/>
  <c r="AB33" i="9"/>
  <c r="AC33" i="9"/>
  <c r="AD33" i="9"/>
  <c r="AE33" i="9"/>
  <c r="AF33" i="9"/>
  <c r="AG33" i="9"/>
  <c r="AH33" i="9"/>
  <c r="AI33" i="9"/>
  <c r="AA34" i="9"/>
  <c r="AB34" i="9"/>
  <c r="AC34" i="9"/>
  <c r="AD34" i="9"/>
  <c r="AE34" i="9"/>
  <c r="AF34" i="9"/>
  <c r="AG34" i="9"/>
  <c r="AH34" i="9"/>
  <c r="AI34" i="9"/>
  <c r="AA35" i="9"/>
  <c r="AB35" i="9"/>
  <c r="AC35" i="9"/>
  <c r="AD35" i="9"/>
  <c r="AE35" i="9"/>
  <c r="AF35" i="9"/>
  <c r="AG35" i="9"/>
  <c r="AH35" i="9"/>
  <c r="AI35" i="9"/>
  <c r="AA36" i="9"/>
  <c r="AB36" i="9"/>
  <c r="AC36" i="9"/>
  <c r="AD36" i="9"/>
  <c r="AE36" i="9"/>
  <c r="AF36" i="9"/>
  <c r="AG36" i="9"/>
  <c r="AH36" i="9"/>
  <c r="AI36" i="9"/>
  <c r="AA37" i="9"/>
  <c r="AB37" i="9"/>
  <c r="AC37" i="9"/>
  <c r="AD37" i="9"/>
  <c r="AE37" i="9"/>
  <c r="AF37" i="9"/>
  <c r="AG37" i="9"/>
  <c r="AH37" i="9"/>
  <c r="AI37" i="9"/>
  <c r="AA38" i="9"/>
  <c r="AB38" i="9"/>
  <c r="AC38" i="9"/>
  <c r="AD38" i="9"/>
  <c r="AE38" i="9"/>
  <c r="AF38" i="9"/>
  <c r="AG38" i="9"/>
  <c r="AH38" i="9"/>
  <c r="AI38" i="9"/>
  <c r="AA39" i="9"/>
  <c r="AB39" i="9"/>
  <c r="AC39" i="9"/>
  <c r="AD39" i="9"/>
  <c r="AE39" i="9"/>
  <c r="AF39" i="9"/>
  <c r="AG39" i="9"/>
  <c r="AH39" i="9"/>
  <c r="AI39" i="9"/>
  <c r="AA40" i="9"/>
  <c r="AB40" i="9"/>
  <c r="AC40" i="9"/>
  <c r="AD40" i="9"/>
  <c r="AE40" i="9"/>
  <c r="AF40" i="9"/>
  <c r="AG40" i="9"/>
  <c r="AH40" i="9"/>
  <c r="AI40" i="9"/>
  <c r="AA41" i="9"/>
  <c r="AB41" i="9"/>
  <c r="AC41" i="9"/>
  <c r="AD41" i="9"/>
  <c r="AE41" i="9"/>
  <c r="AF41" i="9"/>
  <c r="AG41" i="9"/>
  <c r="AH41" i="9"/>
  <c r="AI41" i="9"/>
  <c r="AA42" i="9"/>
  <c r="AB42" i="9"/>
  <c r="AC42" i="9"/>
  <c r="AD42" i="9"/>
  <c r="AE42" i="9"/>
  <c r="AF42" i="9"/>
  <c r="AG42" i="9"/>
  <c r="AH42" i="9"/>
  <c r="AI42" i="9"/>
  <c r="AA43" i="9"/>
  <c r="AB43" i="9"/>
  <c r="AC43" i="9"/>
  <c r="AD43" i="9"/>
  <c r="AE43" i="9"/>
  <c r="AF43" i="9"/>
  <c r="AG43" i="9"/>
  <c r="AH43" i="9"/>
  <c r="AI43" i="9"/>
  <c r="AA44" i="9"/>
  <c r="AB44" i="9"/>
  <c r="AC44" i="9"/>
  <c r="AD44" i="9"/>
  <c r="AE44" i="9"/>
  <c r="AF44" i="9"/>
  <c r="AG44" i="9"/>
  <c r="AH44" i="9"/>
  <c r="AI44" i="9"/>
  <c r="AA45" i="9"/>
  <c r="AB45" i="9"/>
  <c r="AC45" i="9"/>
  <c r="AD45" i="9"/>
  <c r="AE45" i="9"/>
  <c r="AF45" i="9"/>
  <c r="AG45" i="9"/>
  <c r="AH45" i="9"/>
  <c r="AI45" i="9"/>
  <c r="AA46" i="9"/>
  <c r="AB46" i="9"/>
  <c r="AC46" i="9"/>
  <c r="AD46" i="9"/>
  <c r="AE46" i="9"/>
  <c r="AF46" i="9"/>
  <c r="AG46" i="9"/>
  <c r="AH46" i="9"/>
  <c r="AI46" i="9"/>
  <c r="AA47" i="9"/>
  <c r="AB47" i="9"/>
  <c r="AC47" i="9"/>
  <c r="AD47" i="9"/>
  <c r="AE47" i="9"/>
  <c r="AF47" i="9"/>
  <c r="AG47" i="9"/>
  <c r="AH47" i="9"/>
  <c r="AI47" i="9"/>
  <c r="AA48" i="9"/>
  <c r="AB48" i="9"/>
  <c r="AC48" i="9"/>
  <c r="AD48" i="9"/>
  <c r="AE48" i="9"/>
  <c r="AF48" i="9"/>
  <c r="AG48" i="9"/>
  <c r="AH48" i="9"/>
  <c r="AI48" i="9"/>
  <c r="AA49" i="9"/>
  <c r="AB49" i="9"/>
  <c r="AC49" i="9"/>
  <c r="AD49" i="9"/>
  <c r="AE49" i="9"/>
  <c r="AF49" i="9"/>
  <c r="AG49" i="9"/>
  <c r="AH49" i="9"/>
  <c r="AI49" i="9"/>
  <c r="AA50" i="9"/>
  <c r="AB50" i="9"/>
  <c r="AC50" i="9"/>
  <c r="AD50" i="9"/>
  <c r="AE50" i="9"/>
  <c r="AF50" i="9"/>
  <c r="AG50" i="9"/>
  <c r="AH50" i="9"/>
  <c r="AI50" i="9"/>
  <c r="AA51" i="9"/>
  <c r="AB51" i="9"/>
  <c r="AC51" i="9"/>
  <c r="AD51" i="9"/>
  <c r="AE51" i="9"/>
  <c r="AF51" i="9"/>
  <c r="AG51" i="9"/>
  <c r="AH51" i="9"/>
  <c r="AI51" i="9"/>
  <c r="AA52" i="9"/>
  <c r="AB52" i="9"/>
  <c r="AC52" i="9"/>
  <c r="AD52" i="9"/>
  <c r="AE52" i="9"/>
  <c r="AF52" i="9"/>
  <c r="AG52" i="9"/>
  <c r="AH52" i="9"/>
  <c r="AI52" i="9"/>
  <c r="AA53" i="9"/>
  <c r="AB53" i="9"/>
  <c r="AC53" i="9"/>
  <c r="AD53" i="9"/>
  <c r="AE53" i="9"/>
  <c r="AF53" i="9"/>
  <c r="AG53" i="9"/>
  <c r="AH53" i="9"/>
  <c r="AI53" i="9"/>
  <c r="AA54" i="9"/>
  <c r="AB54" i="9"/>
  <c r="AC54" i="9"/>
  <c r="AD54" i="9"/>
  <c r="AE54" i="9"/>
  <c r="AF54" i="9"/>
  <c r="AG54" i="9"/>
  <c r="AH54" i="9"/>
  <c r="AI54" i="9"/>
  <c r="AA55" i="9"/>
  <c r="AB55" i="9"/>
  <c r="AC55" i="9"/>
  <c r="AD55" i="9"/>
  <c r="AE55" i="9"/>
  <c r="AF55" i="9"/>
  <c r="AG55" i="9"/>
  <c r="AH55" i="9"/>
  <c r="AI55" i="9"/>
  <c r="AA56" i="9"/>
  <c r="AB56" i="9"/>
  <c r="AC56" i="9"/>
  <c r="AD56" i="9"/>
  <c r="AE56" i="9"/>
  <c r="AF56" i="9"/>
  <c r="AG56" i="9"/>
  <c r="AH56" i="9"/>
  <c r="AI56" i="9"/>
  <c r="AA57" i="9"/>
  <c r="AB57" i="9"/>
  <c r="AC57" i="9"/>
  <c r="AD57" i="9"/>
  <c r="AE57" i="9"/>
  <c r="AF57" i="9"/>
  <c r="AG57" i="9"/>
  <c r="AH57" i="9"/>
  <c r="AI57" i="9"/>
  <c r="AA58" i="9"/>
  <c r="AB58" i="9"/>
  <c r="AC58" i="9"/>
  <c r="AD58" i="9"/>
  <c r="AE58" i="9"/>
  <c r="AF58" i="9"/>
  <c r="AG58" i="9"/>
  <c r="AH58" i="9"/>
  <c r="AI58" i="9"/>
  <c r="AA59" i="9"/>
  <c r="AB59" i="9"/>
  <c r="AC59" i="9"/>
  <c r="AD59" i="9"/>
  <c r="AE59" i="9"/>
  <c r="AF59" i="9"/>
  <c r="AG59" i="9"/>
  <c r="AH59" i="9"/>
  <c r="AI59" i="9"/>
  <c r="AA60" i="9"/>
  <c r="AB60" i="9"/>
  <c r="AC60" i="9"/>
  <c r="AD60" i="9"/>
  <c r="AE60" i="9"/>
  <c r="AF60" i="9"/>
  <c r="AG60" i="9"/>
  <c r="AH60" i="9"/>
  <c r="AI60" i="9"/>
  <c r="AA61" i="9"/>
  <c r="AB61" i="9"/>
  <c r="AC61" i="9"/>
  <c r="AD61" i="9"/>
  <c r="AE61" i="9"/>
  <c r="AF61" i="9"/>
  <c r="AG61" i="9"/>
  <c r="AH61" i="9"/>
  <c r="AI61" i="9"/>
  <c r="AA62" i="9"/>
  <c r="AB62" i="9"/>
  <c r="AC62" i="9"/>
  <c r="AD62" i="9"/>
  <c r="AE62" i="9"/>
  <c r="AF62" i="9"/>
  <c r="AG62" i="9"/>
  <c r="AH62" i="9"/>
  <c r="AI62" i="9"/>
  <c r="AA63" i="9"/>
  <c r="AB63" i="9"/>
  <c r="AC63" i="9"/>
  <c r="AD63" i="9"/>
  <c r="AE63" i="9"/>
  <c r="AF63" i="9"/>
  <c r="AG63" i="9"/>
  <c r="AH63" i="9"/>
  <c r="AI63" i="9"/>
  <c r="AA64" i="9"/>
  <c r="AB64" i="9"/>
  <c r="AC64" i="9"/>
  <c r="AD64" i="9"/>
  <c r="AE64" i="9"/>
  <c r="AF64" i="9"/>
  <c r="AG64" i="9"/>
  <c r="AH64" i="9"/>
  <c r="AI64" i="9"/>
  <c r="AA65" i="9"/>
  <c r="AB65" i="9"/>
  <c r="AC65" i="9"/>
  <c r="AD65" i="9"/>
  <c r="AE65" i="9"/>
  <c r="AF65" i="9"/>
  <c r="AG65" i="9"/>
  <c r="AH65" i="9"/>
  <c r="AI65" i="9"/>
  <c r="AA66" i="9"/>
  <c r="AB66" i="9"/>
  <c r="AC66" i="9"/>
  <c r="AD66" i="9"/>
  <c r="AE66" i="9"/>
  <c r="AF66" i="9"/>
  <c r="AG66" i="9"/>
  <c r="AH66" i="9"/>
  <c r="AI66" i="9"/>
  <c r="AA67" i="9"/>
  <c r="AB67" i="9"/>
  <c r="AC67" i="9"/>
  <c r="AD67" i="9"/>
  <c r="AE67" i="9"/>
  <c r="AF67" i="9"/>
  <c r="AG67" i="9"/>
  <c r="AH67" i="9"/>
  <c r="AI67" i="9"/>
  <c r="AA68" i="9"/>
  <c r="AB68" i="9"/>
  <c r="AC68" i="9"/>
  <c r="AD68" i="9"/>
  <c r="AE68" i="9"/>
  <c r="AF68" i="9"/>
  <c r="AG68" i="9"/>
  <c r="AH68" i="9"/>
  <c r="AI68" i="9"/>
  <c r="AA69" i="9"/>
  <c r="AB69" i="9"/>
  <c r="AC69" i="9"/>
  <c r="AD69" i="9"/>
  <c r="AE69" i="9"/>
  <c r="AF69" i="9"/>
  <c r="AG69" i="9"/>
  <c r="AH69" i="9"/>
  <c r="AI69" i="9"/>
  <c r="AA70" i="9"/>
  <c r="AB70" i="9"/>
  <c r="AC70" i="9"/>
  <c r="AD70" i="9"/>
  <c r="AE70" i="9"/>
  <c r="AF70" i="9"/>
  <c r="AG70" i="9"/>
  <c r="AH70" i="9"/>
  <c r="AI70" i="9"/>
  <c r="AA71" i="9"/>
  <c r="AB71" i="9"/>
  <c r="AC71" i="9"/>
  <c r="AD71" i="9"/>
  <c r="AE71" i="9"/>
  <c r="AF71" i="9"/>
  <c r="AG71" i="9"/>
  <c r="AH71" i="9"/>
  <c r="AI71" i="9"/>
  <c r="AA72" i="9"/>
  <c r="AB72" i="9"/>
  <c r="AC72" i="9"/>
  <c r="AD72" i="9"/>
  <c r="AE72" i="9"/>
  <c r="AF72" i="9"/>
  <c r="AG72" i="9"/>
  <c r="AH72" i="9"/>
  <c r="AI72" i="9"/>
  <c r="AA73" i="9"/>
  <c r="AB73" i="9"/>
  <c r="AC73" i="9"/>
  <c r="AD73" i="9"/>
  <c r="AE73" i="9"/>
  <c r="AF73" i="9"/>
  <c r="AG73" i="9"/>
  <c r="AH73" i="9"/>
  <c r="AI73" i="9"/>
  <c r="AA74" i="9"/>
  <c r="AB74" i="9"/>
  <c r="AC74" i="9"/>
  <c r="AD74" i="9"/>
  <c r="AE74" i="9"/>
  <c r="AF74" i="9"/>
  <c r="AG74" i="9"/>
  <c r="AH74" i="9"/>
  <c r="AI74" i="9"/>
  <c r="AA75" i="9"/>
  <c r="AB75" i="9"/>
  <c r="AC75" i="9"/>
  <c r="AD75" i="9"/>
  <c r="AE75" i="9"/>
  <c r="AF75" i="9"/>
  <c r="AG75" i="9"/>
  <c r="AH75" i="9"/>
  <c r="AI75" i="9"/>
  <c r="AA76" i="9"/>
  <c r="AB76" i="9"/>
  <c r="AC76" i="9"/>
  <c r="AD76" i="9"/>
  <c r="AE76" i="9"/>
  <c r="AF76" i="9"/>
  <c r="AG76" i="9"/>
  <c r="AH76" i="9"/>
  <c r="AI76" i="9"/>
  <c r="AA77" i="9"/>
  <c r="AB77" i="9"/>
  <c r="AC77" i="9"/>
  <c r="AD77" i="9"/>
  <c r="AE77" i="9"/>
  <c r="AF77" i="9"/>
  <c r="AG77" i="9"/>
  <c r="AH77" i="9"/>
  <c r="AI77" i="9"/>
  <c r="AA78" i="9"/>
  <c r="AB78" i="9"/>
  <c r="AC78" i="9"/>
  <c r="AD78" i="9"/>
  <c r="AE78" i="9"/>
  <c r="AF78" i="9"/>
  <c r="AG78" i="9"/>
  <c r="AH78" i="9"/>
  <c r="AI78" i="9"/>
  <c r="AA79" i="9"/>
  <c r="AB79" i="9"/>
  <c r="AC79" i="9"/>
  <c r="AD79" i="9"/>
  <c r="AE79" i="9"/>
  <c r="AF79" i="9"/>
  <c r="AG79" i="9"/>
  <c r="AH79" i="9"/>
  <c r="AI79" i="9"/>
  <c r="AA80" i="9"/>
  <c r="AB80" i="9"/>
  <c r="AC80" i="9"/>
  <c r="AD80" i="9"/>
  <c r="AE80" i="9"/>
  <c r="AF80" i="9"/>
  <c r="AG80" i="9"/>
  <c r="AH80" i="9"/>
  <c r="AI80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X10" i="9"/>
  <c r="X11" i="9"/>
  <c r="X12" i="9"/>
  <c r="X13" i="9"/>
  <c r="S83" i="23"/>
  <c r="S84" i="23"/>
  <c r="S85" i="23"/>
  <c r="S86" i="23"/>
  <c r="S87" i="23"/>
  <c r="S88" i="23"/>
  <c r="S89" i="23"/>
  <c r="S90" i="23"/>
  <c r="S91" i="23"/>
  <c r="S92" i="23"/>
  <c r="S93" i="23"/>
  <c r="S94" i="23"/>
  <c r="S95" i="23"/>
  <c r="S96" i="23"/>
  <c r="S97" i="23"/>
  <c r="S98" i="23"/>
  <c r="S99" i="23"/>
  <c r="S100" i="23"/>
  <c r="S101" i="23"/>
  <c r="S102" i="23"/>
  <c r="S103" i="23"/>
  <c r="S104" i="23"/>
  <c r="S105" i="23"/>
  <c r="S106" i="23"/>
  <c r="S107" i="23"/>
  <c r="S108" i="23"/>
  <c r="S109" i="23"/>
  <c r="S110" i="23"/>
  <c r="S111" i="23"/>
  <c r="S112" i="23"/>
  <c r="S113" i="23"/>
  <c r="S114" i="23"/>
  <c r="S115" i="23"/>
  <c r="S116" i="23"/>
  <c r="S117" i="23"/>
  <c r="S118" i="23"/>
  <c r="S119" i="23"/>
  <c r="S120" i="23"/>
  <c r="S121" i="23"/>
  <c r="S122" i="23"/>
  <c r="S123" i="23"/>
  <c r="S124" i="23"/>
  <c r="S125" i="23"/>
  <c r="S126" i="23"/>
  <c r="S127" i="23"/>
  <c r="S128" i="23"/>
  <c r="S129" i="23"/>
  <c r="S130" i="23"/>
  <c r="S131" i="23"/>
  <c r="S132" i="23"/>
  <c r="S133" i="23"/>
  <c r="S134" i="23"/>
  <c r="S135" i="23"/>
  <c r="S136" i="23"/>
  <c r="S137" i="23"/>
  <c r="S138" i="23"/>
  <c r="S139" i="23"/>
  <c r="S140" i="23"/>
  <c r="S141" i="23"/>
  <c r="S142" i="23"/>
  <c r="S143" i="23"/>
  <c r="S144" i="23"/>
  <c r="S145" i="23"/>
  <c r="S146" i="23"/>
  <c r="S147" i="23"/>
  <c r="S148" i="23"/>
  <c r="S149" i="23"/>
  <c r="S150" i="23"/>
  <c r="S151" i="23"/>
  <c r="S152" i="23"/>
  <c r="S153" i="23"/>
  <c r="S154" i="23"/>
  <c r="S155" i="23"/>
  <c r="S156" i="23"/>
  <c r="S157" i="23"/>
  <c r="S158" i="23"/>
  <c r="S159" i="23"/>
  <c r="S160" i="23"/>
  <c r="S161" i="23"/>
  <c r="S162" i="23"/>
  <c r="S163" i="23"/>
  <c r="S164" i="23"/>
  <c r="S165" i="23"/>
  <c r="S166" i="23"/>
  <c r="S167" i="23"/>
  <c r="S168" i="23"/>
  <c r="S169" i="23"/>
  <c r="S170" i="23"/>
  <c r="S171" i="23"/>
  <c r="S172" i="23"/>
  <c r="S173" i="23"/>
  <c r="S174" i="23"/>
  <c r="S175" i="23"/>
  <c r="S176" i="23"/>
  <c r="S177" i="23"/>
  <c r="S178" i="23"/>
  <c r="S179" i="23"/>
  <c r="S180" i="23"/>
  <c r="S181" i="23"/>
  <c r="S182" i="23"/>
  <c r="S183" i="23"/>
  <c r="S184" i="23"/>
  <c r="S185" i="23"/>
  <c r="S186" i="23"/>
  <c r="S187" i="23"/>
  <c r="S188" i="23"/>
  <c r="S189" i="23"/>
  <c r="S190" i="23"/>
  <c r="S191" i="23"/>
  <c r="S192" i="23"/>
  <c r="S193" i="23"/>
  <c r="S194" i="23"/>
  <c r="S195" i="23"/>
  <c r="S196" i="23"/>
  <c r="S197" i="23"/>
  <c r="S198" i="23"/>
  <c r="S199" i="23"/>
  <c r="S200" i="23"/>
  <c r="S201" i="23"/>
  <c r="S202" i="23"/>
  <c r="S203" i="23"/>
  <c r="S204" i="23"/>
  <c r="S205" i="23"/>
  <c r="S206" i="23"/>
  <c r="S207" i="23"/>
  <c r="S208" i="23"/>
  <c r="S209" i="23"/>
  <c r="S210" i="23"/>
  <c r="S211" i="23"/>
  <c r="S212" i="23"/>
  <c r="S213" i="23"/>
  <c r="S214" i="23"/>
  <c r="S215" i="23"/>
  <c r="S216" i="23"/>
  <c r="S217" i="23"/>
  <c r="S218" i="23"/>
  <c r="S219" i="23"/>
  <c r="S220" i="23"/>
  <c r="S221" i="23"/>
  <c r="S222" i="23"/>
  <c r="S223" i="23"/>
  <c r="S224" i="23"/>
  <c r="S225" i="23"/>
  <c r="S226" i="23"/>
  <c r="S227" i="23"/>
  <c r="S228" i="23"/>
  <c r="S229" i="23"/>
  <c r="S230" i="23"/>
  <c r="S231" i="23"/>
  <c r="S232" i="23"/>
  <c r="S233" i="23"/>
  <c r="S234" i="23"/>
  <c r="S235" i="23"/>
  <c r="S236" i="23"/>
  <c r="S237" i="23"/>
  <c r="S238" i="23"/>
  <c r="S239" i="23"/>
  <c r="S240" i="23"/>
  <c r="S241" i="23"/>
  <c r="S242" i="23"/>
  <c r="S243" i="23"/>
  <c r="S244" i="23"/>
  <c r="S245" i="23"/>
  <c r="S246" i="23"/>
  <c r="S247" i="23"/>
  <c r="S248" i="23"/>
  <c r="S249" i="23"/>
  <c r="S250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152" i="23"/>
  <c r="P153" i="23"/>
  <c r="P154" i="23"/>
  <c r="P155" i="23"/>
  <c r="P156" i="23"/>
  <c r="P157" i="23"/>
  <c r="P158" i="23"/>
  <c r="P159" i="23"/>
  <c r="P160" i="23"/>
  <c r="P161" i="23"/>
  <c r="P162" i="23"/>
  <c r="P163" i="23"/>
  <c r="P164" i="23"/>
  <c r="P165" i="23"/>
  <c r="P166" i="23"/>
  <c r="P167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180" i="23"/>
  <c r="P181" i="23"/>
  <c r="P182" i="23"/>
  <c r="P183" i="23"/>
  <c r="P184" i="23"/>
  <c r="P185" i="23"/>
  <c r="P186" i="23"/>
  <c r="P187" i="23"/>
  <c r="P188" i="23"/>
  <c r="P189" i="23"/>
  <c r="P190" i="23"/>
  <c r="P191" i="23"/>
  <c r="P192" i="23"/>
  <c r="P193" i="23"/>
  <c r="P194" i="23"/>
  <c r="P195" i="23"/>
  <c r="P196" i="23"/>
  <c r="P197" i="23"/>
  <c r="P198" i="23"/>
  <c r="P199" i="23"/>
  <c r="P200" i="23"/>
  <c r="P201" i="23"/>
  <c r="P202" i="23"/>
  <c r="P203" i="23"/>
  <c r="P204" i="23"/>
  <c r="P205" i="23"/>
  <c r="P206" i="23"/>
  <c r="P207" i="23"/>
  <c r="P208" i="23"/>
  <c r="P209" i="23"/>
  <c r="P210" i="23"/>
  <c r="P211" i="23"/>
  <c r="P212" i="23"/>
  <c r="P213" i="23"/>
  <c r="P214" i="23"/>
  <c r="P215" i="23"/>
  <c r="P216" i="23"/>
  <c r="P217" i="23"/>
  <c r="P218" i="23"/>
  <c r="P219" i="23"/>
  <c r="P220" i="23"/>
  <c r="P221" i="23"/>
  <c r="P222" i="23"/>
  <c r="P223" i="23"/>
  <c r="P224" i="23"/>
  <c r="P225" i="23"/>
  <c r="P226" i="23"/>
  <c r="P227" i="23"/>
  <c r="P228" i="23"/>
  <c r="P229" i="23"/>
  <c r="P230" i="23"/>
  <c r="P231" i="23"/>
  <c r="P232" i="23"/>
  <c r="P233" i="23"/>
  <c r="P234" i="23"/>
  <c r="P235" i="23"/>
  <c r="P236" i="23"/>
  <c r="P237" i="23"/>
  <c r="P238" i="23"/>
  <c r="P239" i="23"/>
  <c r="P240" i="23"/>
  <c r="P241" i="23"/>
  <c r="P242" i="23"/>
  <c r="P243" i="23"/>
  <c r="P244" i="23"/>
  <c r="P245" i="23"/>
  <c r="P246" i="23"/>
  <c r="P247" i="23"/>
  <c r="P248" i="23"/>
  <c r="P249" i="23"/>
  <c r="P250" i="23"/>
  <c r="O83" i="23"/>
  <c r="Q83" i="23"/>
  <c r="R83" i="23"/>
  <c r="T83" i="23"/>
  <c r="U83" i="23"/>
  <c r="O84" i="23"/>
  <c r="Q84" i="23"/>
  <c r="R84" i="23"/>
  <c r="T84" i="23"/>
  <c r="U84" i="23"/>
  <c r="O85" i="23"/>
  <c r="Q85" i="23"/>
  <c r="R85" i="23"/>
  <c r="T85" i="23"/>
  <c r="U85" i="23"/>
  <c r="O86" i="23"/>
  <c r="Q86" i="23"/>
  <c r="R86" i="23"/>
  <c r="T86" i="23"/>
  <c r="U86" i="23"/>
  <c r="O87" i="23"/>
  <c r="Q87" i="23"/>
  <c r="R87" i="23"/>
  <c r="T87" i="23"/>
  <c r="U87" i="23"/>
  <c r="O88" i="23"/>
  <c r="Q88" i="23"/>
  <c r="R88" i="23"/>
  <c r="T88" i="23"/>
  <c r="U88" i="23"/>
  <c r="O89" i="23"/>
  <c r="Q89" i="23"/>
  <c r="R89" i="23"/>
  <c r="T89" i="23"/>
  <c r="U89" i="23"/>
  <c r="O90" i="23"/>
  <c r="Q90" i="23"/>
  <c r="R90" i="23"/>
  <c r="T90" i="23"/>
  <c r="U90" i="23"/>
  <c r="O91" i="23"/>
  <c r="Q91" i="23"/>
  <c r="R91" i="23"/>
  <c r="T91" i="23"/>
  <c r="U91" i="23"/>
  <c r="O92" i="23"/>
  <c r="Q92" i="23"/>
  <c r="R92" i="23"/>
  <c r="T92" i="23"/>
  <c r="U92" i="23"/>
  <c r="O93" i="23"/>
  <c r="Q93" i="23"/>
  <c r="R93" i="23"/>
  <c r="T93" i="23"/>
  <c r="U93" i="23"/>
  <c r="O94" i="23"/>
  <c r="Q94" i="23"/>
  <c r="R94" i="23"/>
  <c r="T94" i="23"/>
  <c r="U94" i="23"/>
  <c r="O95" i="23"/>
  <c r="Q95" i="23"/>
  <c r="R95" i="23"/>
  <c r="T95" i="23"/>
  <c r="U95" i="23"/>
  <c r="O96" i="23"/>
  <c r="Q96" i="23"/>
  <c r="R96" i="23"/>
  <c r="T96" i="23"/>
  <c r="U96" i="23"/>
  <c r="O97" i="23"/>
  <c r="Q97" i="23"/>
  <c r="R97" i="23"/>
  <c r="T97" i="23"/>
  <c r="U97" i="23"/>
  <c r="O98" i="23"/>
  <c r="Q98" i="23"/>
  <c r="R98" i="23"/>
  <c r="T98" i="23"/>
  <c r="U98" i="23"/>
  <c r="O99" i="23"/>
  <c r="Q99" i="23"/>
  <c r="R99" i="23"/>
  <c r="T99" i="23"/>
  <c r="U99" i="23"/>
  <c r="O100" i="23"/>
  <c r="Q100" i="23"/>
  <c r="R100" i="23"/>
  <c r="T100" i="23"/>
  <c r="U100" i="23"/>
  <c r="O101" i="23"/>
  <c r="Q101" i="23"/>
  <c r="R101" i="23"/>
  <c r="T101" i="23"/>
  <c r="U101" i="23"/>
  <c r="O102" i="23"/>
  <c r="Q102" i="23"/>
  <c r="R102" i="23"/>
  <c r="T102" i="23"/>
  <c r="U102" i="23"/>
  <c r="O103" i="23"/>
  <c r="Q103" i="23"/>
  <c r="R103" i="23"/>
  <c r="T103" i="23"/>
  <c r="U103" i="23"/>
  <c r="O104" i="23"/>
  <c r="Q104" i="23"/>
  <c r="R104" i="23"/>
  <c r="T104" i="23"/>
  <c r="U104" i="23"/>
  <c r="O105" i="23"/>
  <c r="Q105" i="23"/>
  <c r="R105" i="23"/>
  <c r="T105" i="23"/>
  <c r="U105" i="23"/>
  <c r="O106" i="23"/>
  <c r="Q106" i="23"/>
  <c r="R106" i="23"/>
  <c r="T106" i="23"/>
  <c r="U106" i="23"/>
  <c r="O107" i="23"/>
  <c r="Q107" i="23"/>
  <c r="R107" i="23"/>
  <c r="T107" i="23"/>
  <c r="U107" i="23"/>
  <c r="O108" i="23"/>
  <c r="Q108" i="23"/>
  <c r="R108" i="23"/>
  <c r="T108" i="23"/>
  <c r="U108" i="23"/>
  <c r="O109" i="23"/>
  <c r="Q109" i="23"/>
  <c r="R109" i="23"/>
  <c r="T109" i="23"/>
  <c r="U109" i="23"/>
  <c r="O110" i="23"/>
  <c r="Q110" i="23"/>
  <c r="R110" i="23"/>
  <c r="T110" i="23"/>
  <c r="U110" i="23"/>
  <c r="O111" i="23"/>
  <c r="Q111" i="23"/>
  <c r="R111" i="23"/>
  <c r="T111" i="23"/>
  <c r="U111" i="23"/>
  <c r="O112" i="23"/>
  <c r="Q112" i="23"/>
  <c r="R112" i="23"/>
  <c r="T112" i="23"/>
  <c r="U112" i="23"/>
  <c r="O113" i="23"/>
  <c r="Q113" i="23"/>
  <c r="R113" i="23"/>
  <c r="T113" i="23"/>
  <c r="U113" i="23"/>
  <c r="O114" i="23"/>
  <c r="Q114" i="23"/>
  <c r="R114" i="23"/>
  <c r="T114" i="23"/>
  <c r="U114" i="23"/>
  <c r="O115" i="23"/>
  <c r="Q115" i="23"/>
  <c r="R115" i="23"/>
  <c r="T115" i="23"/>
  <c r="U115" i="23"/>
  <c r="O116" i="23"/>
  <c r="Q116" i="23"/>
  <c r="R116" i="23"/>
  <c r="T116" i="23"/>
  <c r="U116" i="23"/>
  <c r="O117" i="23"/>
  <c r="Q117" i="23"/>
  <c r="R117" i="23"/>
  <c r="T117" i="23"/>
  <c r="U117" i="23"/>
  <c r="O118" i="23"/>
  <c r="Q118" i="23"/>
  <c r="R118" i="23"/>
  <c r="T118" i="23"/>
  <c r="U118" i="23"/>
  <c r="O119" i="23"/>
  <c r="Q119" i="23"/>
  <c r="R119" i="23"/>
  <c r="T119" i="23"/>
  <c r="U119" i="23"/>
  <c r="O120" i="23"/>
  <c r="Q120" i="23"/>
  <c r="R120" i="23"/>
  <c r="T120" i="23"/>
  <c r="U120" i="23"/>
  <c r="O121" i="23"/>
  <c r="Q121" i="23"/>
  <c r="R121" i="23"/>
  <c r="T121" i="23"/>
  <c r="U121" i="23"/>
  <c r="O122" i="23"/>
  <c r="Q122" i="23"/>
  <c r="R122" i="23"/>
  <c r="T122" i="23"/>
  <c r="U122" i="23"/>
  <c r="O123" i="23"/>
  <c r="Q123" i="23"/>
  <c r="R123" i="23"/>
  <c r="T123" i="23"/>
  <c r="U123" i="23"/>
  <c r="O124" i="23"/>
  <c r="Q124" i="23"/>
  <c r="R124" i="23"/>
  <c r="T124" i="23"/>
  <c r="U124" i="23"/>
  <c r="O125" i="23"/>
  <c r="Q125" i="23"/>
  <c r="R125" i="23"/>
  <c r="T125" i="23"/>
  <c r="U125" i="23"/>
  <c r="O126" i="23"/>
  <c r="Q126" i="23"/>
  <c r="R126" i="23"/>
  <c r="T126" i="23"/>
  <c r="U126" i="23"/>
  <c r="O127" i="23"/>
  <c r="Q127" i="23"/>
  <c r="R127" i="23"/>
  <c r="T127" i="23"/>
  <c r="U127" i="23"/>
  <c r="O128" i="23"/>
  <c r="Q128" i="23"/>
  <c r="R128" i="23"/>
  <c r="T128" i="23"/>
  <c r="U128" i="23"/>
  <c r="O129" i="23"/>
  <c r="Q129" i="23"/>
  <c r="R129" i="23"/>
  <c r="T129" i="23"/>
  <c r="U129" i="23"/>
  <c r="O130" i="23"/>
  <c r="Q130" i="23"/>
  <c r="R130" i="23"/>
  <c r="T130" i="23"/>
  <c r="U130" i="23"/>
  <c r="O131" i="23"/>
  <c r="Q131" i="23"/>
  <c r="R131" i="23"/>
  <c r="T131" i="23"/>
  <c r="U131" i="23"/>
  <c r="O132" i="23"/>
  <c r="Q132" i="23"/>
  <c r="R132" i="23"/>
  <c r="T132" i="23"/>
  <c r="U132" i="23"/>
  <c r="O133" i="23"/>
  <c r="Q133" i="23"/>
  <c r="R133" i="23"/>
  <c r="T133" i="23"/>
  <c r="U133" i="23"/>
  <c r="O134" i="23"/>
  <c r="Q134" i="23"/>
  <c r="R134" i="23"/>
  <c r="T134" i="23"/>
  <c r="U134" i="23"/>
  <c r="O135" i="23"/>
  <c r="Q135" i="23"/>
  <c r="R135" i="23"/>
  <c r="T135" i="23"/>
  <c r="U135" i="23"/>
  <c r="O136" i="23"/>
  <c r="Q136" i="23"/>
  <c r="R136" i="23"/>
  <c r="T136" i="23"/>
  <c r="U136" i="23"/>
  <c r="O137" i="23"/>
  <c r="Q137" i="23"/>
  <c r="R137" i="23"/>
  <c r="T137" i="23"/>
  <c r="U137" i="23"/>
  <c r="O138" i="23"/>
  <c r="Q138" i="23"/>
  <c r="R138" i="23"/>
  <c r="T138" i="23"/>
  <c r="U138" i="23"/>
  <c r="O139" i="23"/>
  <c r="Q139" i="23"/>
  <c r="R139" i="23"/>
  <c r="T139" i="23"/>
  <c r="U139" i="23"/>
  <c r="O140" i="23"/>
  <c r="Q140" i="23"/>
  <c r="R140" i="23"/>
  <c r="T140" i="23"/>
  <c r="U140" i="23"/>
  <c r="O141" i="23"/>
  <c r="Q141" i="23"/>
  <c r="R141" i="23"/>
  <c r="T141" i="23"/>
  <c r="U141" i="23"/>
  <c r="O142" i="23"/>
  <c r="Q142" i="23"/>
  <c r="R142" i="23"/>
  <c r="T142" i="23"/>
  <c r="U142" i="23"/>
  <c r="O143" i="23"/>
  <c r="Q143" i="23"/>
  <c r="R143" i="23"/>
  <c r="T143" i="23"/>
  <c r="U143" i="23"/>
  <c r="O144" i="23"/>
  <c r="Q144" i="23"/>
  <c r="R144" i="23"/>
  <c r="T144" i="23"/>
  <c r="U144" i="23"/>
  <c r="O145" i="23"/>
  <c r="Q145" i="23"/>
  <c r="R145" i="23"/>
  <c r="T145" i="23"/>
  <c r="U145" i="23"/>
  <c r="O146" i="23"/>
  <c r="Q146" i="23"/>
  <c r="R146" i="23"/>
  <c r="T146" i="23"/>
  <c r="U146" i="23"/>
  <c r="O147" i="23"/>
  <c r="Q147" i="23"/>
  <c r="R147" i="23"/>
  <c r="T147" i="23"/>
  <c r="U147" i="23"/>
  <c r="O148" i="23"/>
  <c r="Q148" i="23"/>
  <c r="R148" i="23"/>
  <c r="T148" i="23"/>
  <c r="U148" i="23"/>
  <c r="O149" i="23"/>
  <c r="Q149" i="23"/>
  <c r="R149" i="23"/>
  <c r="T149" i="23"/>
  <c r="U149" i="23"/>
  <c r="O150" i="23"/>
  <c r="Q150" i="23"/>
  <c r="R150" i="23"/>
  <c r="T150" i="23"/>
  <c r="U150" i="23"/>
  <c r="O151" i="23"/>
  <c r="Q151" i="23"/>
  <c r="R151" i="23"/>
  <c r="T151" i="23"/>
  <c r="U151" i="23"/>
  <c r="O152" i="23"/>
  <c r="Q152" i="23"/>
  <c r="R152" i="23"/>
  <c r="T152" i="23"/>
  <c r="U152" i="23"/>
  <c r="O153" i="23"/>
  <c r="Q153" i="23"/>
  <c r="R153" i="23"/>
  <c r="T153" i="23"/>
  <c r="U153" i="23"/>
  <c r="O154" i="23"/>
  <c r="Q154" i="23"/>
  <c r="R154" i="23"/>
  <c r="T154" i="23"/>
  <c r="U154" i="23"/>
  <c r="O155" i="23"/>
  <c r="Q155" i="23"/>
  <c r="R155" i="23"/>
  <c r="T155" i="23"/>
  <c r="U155" i="23"/>
  <c r="O156" i="23"/>
  <c r="Q156" i="23"/>
  <c r="R156" i="23"/>
  <c r="T156" i="23"/>
  <c r="U156" i="23"/>
  <c r="O157" i="23"/>
  <c r="Q157" i="23"/>
  <c r="R157" i="23"/>
  <c r="T157" i="23"/>
  <c r="U157" i="23"/>
  <c r="O158" i="23"/>
  <c r="Q158" i="23"/>
  <c r="R158" i="23"/>
  <c r="T158" i="23"/>
  <c r="U158" i="23"/>
  <c r="O159" i="23"/>
  <c r="Q159" i="23"/>
  <c r="R159" i="23"/>
  <c r="T159" i="23"/>
  <c r="U159" i="23"/>
  <c r="O160" i="23"/>
  <c r="Q160" i="23"/>
  <c r="R160" i="23"/>
  <c r="T160" i="23"/>
  <c r="U160" i="23"/>
  <c r="O161" i="23"/>
  <c r="Q161" i="23"/>
  <c r="R161" i="23"/>
  <c r="T161" i="23"/>
  <c r="U161" i="23"/>
  <c r="O162" i="23"/>
  <c r="Q162" i="23"/>
  <c r="R162" i="23"/>
  <c r="T162" i="23"/>
  <c r="U162" i="23"/>
  <c r="O163" i="23"/>
  <c r="Q163" i="23"/>
  <c r="R163" i="23"/>
  <c r="T163" i="23"/>
  <c r="U163" i="23"/>
  <c r="O164" i="23"/>
  <c r="Q164" i="23"/>
  <c r="R164" i="23"/>
  <c r="T164" i="23"/>
  <c r="U164" i="23"/>
  <c r="O165" i="23"/>
  <c r="Q165" i="23"/>
  <c r="R165" i="23"/>
  <c r="T165" i="23"/>
  <c r="U165" i="23"/>
  <c r="O166" i="23"/>
  <c r="Q166" i="23"/>
  <c r="R166" i="23"/>
  <c r="T166" i="23"/>
  <c r="U166" i="23"/>
  <c r="O167" i="23"/>
  <c r="Q167" i="23"/>
  <c r="R167" i="23"/>
  <c r="T167" i="23"/>
  <c r="U167" i="23"/>
  <c r="O168" i="23"/>
  <c r="Q168" i="23"/>
  <c r="R168" i="23"/>
  <c r="T168" i="23"/>
  <c r="U168" i="23"/>
  <c r="O169" i="23"/>
  <c r="Q169" i="23"/>
  <c r="R169" i="23"/>
  <c r="T169" i="23"/>
  <c r="U169" i="23"/>
  <c r="O170" i="23"/>
  <c r="Q170" i="23"/>
  <c r="R170" i="23"/>
  <c r="T170" i="23"/>
  <c r="U170" i="23"/>
  <c r="O171" i="23"/>
  <c r="Q171" i="23"/>
  <c r="R171" i="23"/>
  <c r="T171" i="23"/>
  <c r="U171" i="23"/>
  <c r="O172" i="23"/>
  <c r="Q172" i="23"/>
  <c r="R172" i="23"/>
  <c r="T172" i="23"/>
  <c r="U172" i="23"/>
  <c r="O173" i="23"/>
  <c r="Q173" i="23"/>
  <c r="R173" i="23"/>
  <c r="T173" i="23"/>
  <c r="U173" i="23"/>
  <c r="O174" i="23"/>
  <c r="Q174" i="23"/>
  <c r="R174" i="23"/>
  <c r="T174" i="23"/>
  <c r="U174" i="23"/>
  <c r="O175" i="23"/>
  <c r="Q175" i="23"/>
  <c r="R175" i="23"/>
  <c r="T175" i="23"/>
  <c r="U175" i="23"/>
  <c r="O176" i="23"/>
  <c r="Q176" i="23"/>
  <c r="R176" i="23"/>
  <c r="T176" i="23"/>
  <c r="U176" i="23"/>
  <c r="O177" i="23"/>
  <c r="Q177" i="23"/>
  <c r="R177" i="23"/>
  <c r="T177" i="23"/>
  <c r="U177" i="23"/>
  <c r="O178" i="23"/>
  <c r="Q178" i="23"/>
  <c r="R178" i="23"/>
  <c r="T178" i="23"/>
  <c r="U178" i="23"/>
  <c r="O179" i="23"/>
  <c r="Q179" i="23"/>
  <c r="R179" i="23"/>
  <c r="T179" i="23"/>
  <c r="U179" i="23"/>
  <c r="O180" i="23"/>
  <c r="Q180" i="23"/>
  <c r="R180" i="23"/>
  <c r="T180" i="23"/>
  <c r="U180" i="23"/>
  <c r="O181" i="23"/>
  <c r="Q181" i="23"/>
  <c r="R181" i="23"/>
  <c r="T181" i="23"/>
  <c r="U181" i="23"/>
  <c r="O182" i="23"/>
  <c r="Q182" i="23"/>
  <c r="R182" i="23"/>
  <c r="T182" i="23"/>
  <c r="U182" i="23"/>
  <c r="O183" i="23"/>
  <c r="Q183" i="23"/>
  <c r="R183" i="23"/>
  <c r="T183" i="23"/>
  <c r="U183" i="23"/>
  <c r="O184" i="23"/>
  <c r="Q184" i="23"/>
  <c r="R184" i="23"/>
  <c r="T184" i="23"/>
  <c r="U184" i="23"/>
  <c r="O185" i="23"/>
  <c r="Q185" i="23"/>
  <c r="R185" i="23"/>
  <c r="T185" i="23"/>
  <c r="U185" i="23"/>
  <c r="O186" i="23"/>
  <c r="Q186" i="23"/>
  <c r="R186" i="23"/>
  <c r="T186" i="23"/>
  <c r="U186" i="23"/>
  <c r="O187" i="23"/>
  <c r="Q187" i="23"/>
  <c r="R187" i="23"/>
  <c r="T187" i="23"/>
  <c r="U187" i="23"/>
  <c r="O188" i="23"/>
  <c r="Q188" i="23"/>
  <c r="R188" i="23"/>
  <c r="T188" i="23"/>
  <c r="U188" i="23"/>
  <c r="O189" i="23"/>
  <c r="Q189" i="23"/>
  <c r="R189" i="23"/>
  <c r="T189" i="23"/>
  <c r="U189" i="23"/>
  <c r="O190" i="23"/>
  <c r="Q190" i="23"/>
  <c r="R190" i="23"/>
  <c r="T190" i="23"/>
  <c r="U190" i="23"/>
  <c r="O191" i="23"/>
  <c r="Q191" i="23"/>
  <c r="R191" i="23"/>
  <c r="T191" i="23"/>
  <c r="U191" i="23"/>
  <c r="O192" i="23"/>
  <c r="Q192" i="23"/>
  <c r="R192" i="23"/>
  <c r="T192" i="23"/>
  <c r="U192" i="23"/>
  <c r="O193" i="23"/>
  <c r="Q193" i="23"/>
  <c r="R193" i="23"/>
  <c r="T193" i="23"/>
  <c r="U193" i="23"/>
  <c r="O194" i="23"/>
  <c r="Q194" i="23"/>
  <c r="R194" i="23"/>
  <c r="T194" i="23"/>
  <c r="U194" i="23"/>
  <c r="O195" i="23"/>
  <c r="Q195" i="23"/>
  <c r="R195" i="23"/>
  <c r="T195" i="23"/>
  <c r="U195" i="23"/>
  <c r="O196" i="23"/>
  <c r="Q196" i="23"/>
  <c r="R196" i="23"/>
  <c r="T196" i="23"/>
  <c r="U196" i="23"/>
  <c r="O197" i="23"/>
  <c r="Q197" i="23"/>
  <c r="R197" i="23"/>
  <c r="T197" i="23"/>
  <c r="U197" i="23"/>
  <c r="O198" i="23"/>
  <c r="Q198" i="23"/>
  <c r="R198" i="23"/>
  <c r="T198" i="23"/>
  <c r="U198" i="23"/>
  <c r="O199" i="23"/>
  <c r="Q199" i="23"/>
  <c r="R199" i="23"/>
  <c r="T199" i="23"/>
  <c r="U199" i="23"/>
  <c r="O200" i="23"/>
  <c r="Q200" i="23"/>
  <c r="R200" i="23"/>
  <c r="T200" i="23"/>
  <c r="U200" i="23"/>
  <c r="O201" i="23"/>
  <c r="Q201" i="23"/>
  <c r="R201" i="23"/>
  <c r="T201" i="23"/>
  <c r="U201" i="23"/>
  <c r="O202" i="23"/>
  <c r="Q202" i="23"/>
  <c r="R202" i="23"/>
  <c r="T202" i="23"/>
  <c r="U202" i="23"/>
  <c r="O203" i="23"/>
  <c r="Q203" i="23"/>
  <c r="R203" i="23"/>
  <c r="T203" i="23"/>
  <c r="U203" i="23"/>
  <c r="O204" i="23"/>
  <c r="Q204" i="23"/>
  <c r="R204" i="23"/>
  <c r="T204" i="23"/>
  <c r="U204" i="23"/>
  <c r="O205" i="23"/>
  <c r="Q205" i="23"/>
  <c r="R205" i="23"/>
  <c r="T205" i="23"/>
  <c r="U205" i="23"/>
  <c r="O206" i="23"/>
  <c r="Q206" i="23"/>
  <c r="R206" i="23"/>
  <c r="T206" i="23"/>
  <c r="U206" i="23"/>
  <c r="O207" i="23"/>
  <c r="Q207" i="23"/>
  <c r="R207" i="23"/>
  <c r="T207" i="23"/>
  <c r="U207" i="23"/>
  <c r="O208" i="23"/>
  <c r="Q208" i="23"/>
  <c r="R208" i="23"/>
  <c r="T208" i="23"/>
  <c r="U208" i="23"/>
  <c r="O209" i="23"/>
  <c r="Q209" i="23"/>
  <c r="R209" i="23"/>
  <c r="T209" i="23"/>
  <c r="U209" i="23"/>
  <c r="O210" i="23"/>
  <c r="Q210" i="23"/>
  <c r="R210" i="23"/>
  <c r="T210" i="23"/>
  <c r="U210" i="23"/>
  <c r="O211" i="23"/>
  <c r="Q211" i="23"/>
  <c r="R211" i="23"/>
  <c r="T211" i="23"/>
  <c r="U211" i="23"/>
  <c r="O212" i="23"/>
  <c r="Q212" i="23"/>
  <c r="R212" i="23"/>
  <c r="T212" i="23"/>
  <c r="U212" i="23"/>
  <c r="O213" i="23"/>
  <c r="Q213" i="23"/>
  <c r="R213" i="23"/>
  <c r="T213" i="23"/>
  <c r="U213" i="23"/>
  <c r="O214" i="23"/>
  <c r="Q214" i="23"/>
  <c r="R214" i="23"/>
  <c r="T214" i="23"/>
  <c r="U214" i="23"/>
  <c r="O215" i="23"/>
  <c r="Q215" i="23"/>
  <c r="R215" i="23"/>
  <c r="T215" i="23"/>
  <c r="U215" i="23"/>
  <c r="O216" i="23"/>
  <c r="Q216" i="23"/>
  <c r="R216" i="23"/>
  <c r="T216" i="23"/>
  <c r="U216" i="23"/>
  <c r="O217" i="23"/>
  <c r="Q217" i="23"/>
  <c r="R217" i="23"/>
  <c r="T217" i="23"/>
  <c r="U217" i="23"/>
  <c r="O218" i="23"/>
  <c r="Q218" i="23"/>
  <c r="R218" i="23"/>
  <c r="T218" i="23"/>
  <c r="U218" i="23"/>
  <c r="O219" i="23"/>
  <c r="Q219" i="23"/>
  <c r="R219" i="23"/>
  <c r="T219" i="23"/>
  <c r="U219" i="23"/>
  <c r="O220" i="23"/>
  <c r="Q220" i="23"/>
  <c r="R220" i="23"/>
  <c r="T220" i="23"/>
  <c r="U220" i="23"/>
  <c r="O221" i="23"/>
  <c r="Q221" i="23"/>
  <c r="R221" i="23"/>
  <c r="T221" i="23"/>
  <c r="U221" i="23"/>
  <c r="O222" i="23"/>
  <c r="Q222" i="23"/>
  <c r="R222" i="23"/>
  <c r="T222" i="23"/>
  <c r="U222" i="23"/>
  <c r="O223" i="23"/>
  <c r="Q223" i="23"/>
  <c r="R223" i="23"/>
  <c r="T223" i="23"/>
  <c r="U223" i="23"/>
  <c r="O224" i="23"/>
  <c r="Q224" i="23"/>
  <c r="R224" i="23"/>
  <c r="T224" i="23"/>
  <c r="U224" i="23"/>
  <c r="O225" i="23"/>
  <c r="Q225" i="23"/>
  <c r="R225" i="23"/>
  <c r="T225" i="23"/>
  <c r="U225" i="23"/>
  <c r="O226" i="23"/>
  <c r="Q226" i="23"/>
  <c r="R226" i="23"/>
  <c r="T226" i="23"/>
  <c r="U226" i="23"/>
  <c r="O227" i="23"/>
  <c r="Q227" i="23"/>
  <c r="R227" i="23"/>
  <c r="T227" i="23"/>
  <c r="U227" i="23"/>
  <c r="O228" i="23"/>
  <c r="Q228" i="23"/>
  <c r="R228" i="23"/>
  <c r="T228" i="23"/>
  <c r="U228" i="23"/>
  <c r="O229" i="23"/>
  <c r="Q229" i="23"/>
  <c r="R229" i="23"/>
  <c r="T229" i="23"/>
  <c r="U229" i="23"/>
  <c r="O230" i="23"/>
  <c r="Q230" i="23"/>
  <c r="R230" i="23"/>
  <c r="T230" i="23"/>
  <c r="U230" i="23"/>
  <c r="O231" i="23"/>
  <c r="Q231" i="23"/>
  <c r="R231" i="23"/>
  <c r="T231" i="23"/>
  <c r="U231" i="23"/>
  <c r="O232" i="23"/>
  <c r="Q232" i="23"/>
  <c r="R232" i="23"/>
  <c r="T232" i="23"/>
  <c r="U232" i="23"/>
  <c r="O233" i="23"/>
  <c r="Q233" i="23"/>
  <c r="R233" i="23"/>
  <c r="T233" i="23"/>
  <c r="U233" i="23"/>
  <c r="O234" i="23"/>
  <c r="Q234" i="23"/>
  <c r="R234" i="23"/>
  <c r="T234" i="23"/>
  <c r="U234" i="23"/>
  <c r="O235" i="23"/>
  <c r="Q235" i="23"/>
  <c r="R235" i="23"/>
  <c r="T235" i="23"/>
  <c r="U235" i="23"/>
  <c r="O236" i="23"/>
  <c r="Q236" i="23"/>
  <c r="R236" i="23"/>
  <c r="T236" i="23"/>
  <c r="U236" i="23"/>
  <c r="O237" i="23"/>
  <c r="Q237" i="23"/>
  <c r="R237" i="23"/>
  <c r="T237" i="23"/>
  <c r="U237" i="23"/>
  <c r="O238" i="23"/>
  <c r="Q238" i="23"/>
  <c r="R238" i="23"/>
  <c r="T238" i="23"/>
  <c r="U238" i="23"/>
  <c r="O239" i="23"/>
  <c r="Q239" i="23"/>
  <c r="R239" i="23"/>
  <c r="T239" i="23"/>
  <c r="U239" i="23"/>
  <c r="O240" i="23"/>
  <c r="Q240" i="23"/>
  <c r="R240" i="23"/>
  <c r="T240" i="23"/>
  <c r="U240" i="23"/>
  <c r="O241" i="23"/>
  <c r="Q241" i="23"/>
  <c r="R241" i="23"/>
  <c r="T241" i="23"/>
  <c r="U241" i="23"/>
  <c r="O242" i="23"/>
  <c r="Q242" i="23"/>
  <c r="R242" i="23"/>
  <c r="T242" i="23"/>
  <c r="U242" i="23"/>
  <c r="O243" i="23"/>
  <c r="Q243" i="23"/>
  <c r="R243" i="23"/>
  <c r="T243" i="23"/>
  <c r="U243" i="23"/>
  <c r="O244" i="23"/>
  <c r="Q244" i="23"/>
  <c r="R244" i="23"/>
  <c r="T244" i="23"/>
  <c r="U244" i="23"/>
  <c r="O245" i="23"/>
  <c r="Q245" i="23"/>
  <c r="R245" i="23"/>
  <c r="T245" i="23"/>
  <c r="U245" i="23"/>
  <c r="O246" i="23"/>
  <c r="Q246" i="23"/>
  <c r="R246" i="23"/>
  <c r="T246" i="23"/>
  <c r="U246" i="23"/>
  <c r="O247" i="23"/>
  <c r="Q247" i="23"/>
  <c r="R247" i="23"/>
  <c r="T247" i="23"/>
  <c r="U247" i="23"/>
  <c r="O248" i="23"/>
  <c r="Q248" i="23"/>
  <c r="R248" i="23"/>
  <c r="T248" i="23"/>
  <c r="U248" i="23"/>
  <c r="O249" i="23"/>
  <c r="Q249" i="23"/>
  <c r="R249" i="23"/>
  <c r="T249" i="23"/>
  <c r="U249" i="23"/>
  <c r="O250" i="23"/>
  <c r="Q250" i="23"/>
  <c r="R250" i="23"/>
  <c r="T250" i="23"/>
  <c r="U250" i="23"/>
  <c r="F83" i="23"/>
  <c r="G83" i="23"/>
  <c r="H83" i="23"/>
  <c r="I83" i="23"/>
  <c r="J83" i="23"/>
  <c r="K83" i="23"/>
  <c r="L83" i="23"/>
  <c r="M83" i="23"/>
  <c r="N83" i="23"/>
  <c r="F84" i="23"/>
  <c r="G84" i="23"/>
  <c r="H84" i="23"/>
  <c r="I84" i="23"/>
  <c r="J84" i="23"/>
  <c r="K84" i="23"/>
  <c r="L84" i="23"/>
  <c r="M84" i="23"/>
  <c r="N84" i="23"/>
  <c r="F85" i="23"/>
  <c r="G85" i="23"/>
  <c r="H85" i="23"/>
  <c r="I85" i="23"/>
  <c r="J85" i="23"/>
  <c r="K85" i="23"/>
  <c r="L85" i="23"/>
  <c r="M85" i="23"/>
  <c r="N85" i="23"/>
  <c r="F86" i="23"/>
  <c r="G86" i="23"/>
  <c r="H86" i="23"/>
  <c r="I86" i="23"/>
  <c r="J86" i="23"/>
  <c r="K86" i="23"/>
  <c r="L86" i="23"/>
  <c r="M86" i="23"/>
  <c r="N86" i="23"/>
  <c r="F87" i="23"/>
  <c r="G87" i="23"/>
  <c r="H87" i="23"/>
  <c r="I87" i="23"/>
  <c r="J87" i="23"/>
  <c r="K87" i="23"/>
  <c r="L87" i="23"/>
  <c r="M87" i="23"/>
  <c r="N87" i="23"/>
  <c r="F88" i="23"/>
  <c r="G88" i="23"/>
  <c r="H88" i="23"/>
  <c r="I88" i="23"/>
  <c r="J88" i="23"/>
  <c r="K88" i="23"/>
  <c r="L88" i="23"/>
  <c r="M88" i="23"/>
  <c r="N88" i="23"/>
  <c r="F89" i="23"/>
  <c r="G89" i="23"/>
  <c r="H89" i="23"/>
  <c r="I89" i="23"/>
  <c r="J89" i="23"/>
  <c r="K89" i="23"/>
  <c r="L89" i="23"/>
  <c r="M89" i="23"/>
  <c r="N89" i="23"/>
  <c r="F90" i="23"/>
  <c r="G90" i="23"/>
  <c r="H90" i="23"/>
  <c r="I90" i="23"/>
  <c r="J90" i="23"/>
  <c r="K90" i="23"/>
  <c r="L90" i="23"/>
  <c r="M90" i="23"/>
  <c r="N90" i="23"/>
  <c r="F91" i="23"/>
  <c r="G91" i="23"/>
  <c r="H91" i="23"/>
  <c r="I91" i="23"/>
  <c r="J91" i="23"/>
  <c r="K91" i="23"/>
  <c r="L91" i="23"/>
  <c r="M91" i="23"/>
  <c r="N91" i="23"/>
  <c r="F92" i="23"/>
  <c r="G92" i="23"/>
  <c r="H92" i="23"/>
  <c r="I92" i="23"/>
  <c r="J92" i="23"/>
  <c r="K92" i="23"/>
  <c r="L92" i="23"/>
  <c r="M92" i="23"/>
  <c r="N92" i="23"/>
  <c r="F93" i="23"/>
  <c r="G93" i="23"/>
  <c r="H93" i="23"/>
  <c r="I93" i="23"/>
  <c r="J93" i="23"/>
  <c r="K93" i="23"/>
  <c r="L93" i="23"/>
  <c r="M93" i="23"/>
  <c r="N93" i="23"/>
  <c r="F94" i="23"/>
  <c r="G94" i="23"/>
  <c r="H94" i="23"/>
  <c r="I94" i="23"/>
  <c r="J94" i="23"/>
  <c r="K94" i="23"/>
  <c r="L94" i="23"/>
  <c r="M94" i="23"/>
  <c r="N94" i="23"/>
  <c r="F95" i="23"/>
  <c r="G95" i="23"/>
  <c r="H95" i="23"/>
  <c r="I95" i="23"/>
  <c r="J95" i="23"/>
  <c r="K95" i="23"/>
  <c r="L95" i="23"/>
  <c r="M95" i="23"/>
  <c r="N95" i="23"/>
  <c r="F96" i="23"/>
  <c r="G96" i="23"/>
  <c r="H96" i="23"/>
  <c r="I96" i="23"/>
  <c r="J96" i="23"/>
  <c r="K96" i="23"/>
  <c r="L96" i="23"/>
  <c r="M96" i="23"/>
  <c r="N96" i="23"/>
  <c r="F97" i="23"/>
  <c r="G97" i="23"/>
  <c r="H97" i="23"/>
  <c r="I97" i="23"/>
  <c r="J97" i="23"/>
  <c r="K97" i="23"/>
  <c r="L97" i="23"/>
  <c r="M97" i="23"/>
  <c r="N97" i="23"/>
  <c r="F98" i="23"/>
  <c r="G98" i="23"/>
  <c r="H98" i="23"/>
  <c r="I98" i="23"/>
  <c r="J98" i="23"/>
  <c r="K98" i="23"/>
  <c r="L98" i="23"/>
  <c r="M98" i="23"/>
  <c r="N98" i="23"/>
  <c r="F99" i="23"/>
  <c r="G99" i="23"/>
  <c r="H99" i="23"/>
  <c r="I99" i="23"/>
  <c r="J99" i="23"/>
  <c r="K99" i="23"/>
  <c r="L99" i="23"/>
  <c r="M99" i="23"/>
  <c r="N99" i="23"/>
  <c r="F100" i="23"/>
  <c r="G100" i="23"/>
  <c r="H100" i="23"/>
  <c r="I100" i="23"/>
  <c r="J100" i="23"/>
  <c r="K100" i="23"/>
  <c r="L100" i="23"/>
  <c r="M100" i="23"/>
  <c r="N100" i="23"/>
  <c r="F101" i="23"/>
  <c r="G101" i="23"/>
  <c r="H101" i="23"/>
  <c r="I101" i="23"/>
  <c r="J101" i="23"/>
  <c r="K101" i="23"/>
  <c r="L101" i="23"/>
  <c r="M101" i="23"/>
  <c r="N101" i="23"/>
  <c r="F102" i="23"/>
  <c r="G102" i="23"/>
  <c r="H102" i="23"/>
  <c r="I102" i="23"/>
  <c r="J102" i="23"/>
  <c r="K102" i="23"/>
  <c r="L102" i="23"/>
  <c r="M102" i="23"/>
  <c r="N102" i="23"/>
  <c r="F103" i="23"/>
  <c r="G103" i="23"/>
  <c r="H103" i="23"/>
  <c r="I103" i="23"/>
  <c r="J103" i="23"/>
  <c r="K103" i="23"/>
  <c r="L103" i="23"/>
  <c r="M103" i="23"/>
  <c r="N103" i="23"/>
  <c r="F104" i="23"/>
  <c r="G104" i="23"/>
  <c r="H104" i="23"/>
  <c r="I104" i="23"/>
  <c r="J104" i="23"/>
  <c r="K104" i="23"/>
  <c r="L104" i="23"/>
  <c r="M104" i="23"/>
  <c r="N104" i="23"/>
  <c r="F105" i="23"/>
  <c r="G105" i="23"/>
  <c r="H105" i="23"/>
  <c r="I105" i="23"/>
  <c r="J105" i="23"/>
  <c r="K105" i="23"/>
  <c r="L105" i="23"/>
  <c r="M105" i="23"/>
  <c r="N105" i="23"/>
  <c r="F106" i="23"/>
  <c r="G106" i="23"/>
  <c r="H106" i="23"/>
  <c r="I106" i="23"/>
  <c r="J106" i="23"/>
  <c r="K106" i="23"/>
  <c r="L106" i="23"/>
  <c r="M106" i="23"/>
  <c r="N106" i="23"/>
  <c r="F107" i="23"/>
  <c r="G107" i="23"/>
  <c r="H107" i="23"/>
  <c r="I107" i="23"/>
  <c r="J107" i="23"/>
  <c r="K107" i="23"/>
  <c r="L107" i="23"/>
  <c r="M107" i="23"/>
  <c r="N107" i="23"/>
  <c r="F108" i="23"/>
  <c r="G108" i="23"/>
  <c r="H108" i="23"/>
  <c r="I108" i="23"/>
  <c r="J108" i="23"/>
  <c r="K108" i="23"/>
  <c r="L108" i="23"/>
  <c r="M108" i="23"/>
  <c r="N108" i="23"/>
  <c r="F109" i="23"/>
  <c r="G109" i="23"/>
  <c r="H109" i="23"/>
  <c r="I109" i="23"/>
  <c r="J109" i="23"/>
  <c r="K109" i="23"/>
  <c r="L109" i="23"/>
  <c r="M109" i="23"/>
  <c r="N109" i="23"/>
  <c r="F110" i="23"/>
  <c r="G110" i="23"/>
  <c r="H110" i="23"/>
  <c r="I110" i="23"/>
  <c r="J110" i="23"/>
  <c r="K110" i="23"/>
  <c r="L110" i="23"/>
  <c r="M110" i="23"/>
  <c r="N110" i="23"/>
  <c r="F111" i="23"/>
  <c r="G111" i="23"/>
  <c r="H111" i="23"/>
  <c r="I111" i="23"/>
  <c r="J111" i="23"/>
  <c r="K111" i="23"/>
  <c r="L111" i="23"/>
  <c r="M111" i="23"/>
  <c r="N111" i="23"/>
  <c r="F112" i="23"/>
  <c r="G112" i="23"/>
  <c r="H112" i="23"/>
  <c r="I112" i="23"/>
  <c r="J112" i="23"/>
  <c r="K112" i="23"/>
  <c r="L112" i="23"/>
  <c r="M112" i="23"/>
  <c r="N112" i="23"/>
  <c r="F113" i="23"/>
  <c r="G113" i="23"/>
  <c r="H113" i="23"/>
  <c r="I113" i="23"/>
  <c r="J113" i="23"/>
  <c r="K113" i="23"/>
  <c r="L113" i="23"/>
  <c r="M113" i="23"/>
  <c r="N113" i="23"/>
  <c r="F114" i="23"/>
  <c r="G114" i="23"/>
  <c r="H114" i="23"/>
  <c r="I114" i="23"/>
  <c r="J114" i="23"/>
  <c r="K114" i="23"/>
  <c r="L114" i="23"/>
  <c r="M114" i="23"/>
  <c r="N114" i="23"/>
  <c r="F115" i="23"/>
  <c r="G115" i="23"/>
  <c r="H115" i="23"/>
  <c r="I115" i="23"/>
  <c r="J115" i="23"/>
  <c r="K115" i="23"/>
  <c r="L115" i="23"/>
  <c r="M115" i="23"/>
  <c r="N115" i="23"/>
  <c r="F116" i="23"/>
  <c r="G116" i="23"/>
  <c r="H116" i="23"/>
  <c r="I116" i="23"/>
  <c r="J116" i="23"/>
  <c r="K116" i="23"/>
  <c r="L116" i="23"/>
  <c r="M116" i="23"/>
  <c r="N116" i="23"/>
  <c r="F117" i="23"/>
  <c r="G117" i="23"/>
  <c r="H117" i="23"/>
  <c r="I117" i="23"/>
  <c r="J117" i="23"/>
  <c r="K117" i="23"/>
  <c r="L117" i="23"/>
  <c r="M117" i="23"/>
  <c r="N117" i="23"/>
  <c r="F118" i="23"/>
  <c r="G118" i="23"/>
  <c r="H118" i="23"/>
  <c r="I118" i="23"/>
  <c r="J118" i="23"/>
  <c r="K118" i="23"/>
  <c r="L118" i="23"/>
  <c r="M118" i="23"/>
  <c r="N118" i="23"/>
  <c r="F119" i="23"/>
  <c r="G119" i="23"/>
  <c r="H119" i="23"/>
  <c r="I119" i="23"/>
  <c r="J119" i="23"/>
  <c r="K119" i="23"/>
  <c r="L119" i="23"/>
  <c r="M119" i="23"/>
  <c r="N119" i="23"/>
  <c r="F120" i="23"/>
  <c r="G120" i="23"/>
  <c r="H120" i="23"/>
  <c r="I120" i="23"/>
  <c r="J120" i="23"/>
  <c r="K120" i="23"/>
  <c r="L120" i="23"/>
  <c r="M120" i="23"/>
  <c r="N120" i="23"/>
  <c r="F121" i="23"/>
  <c r="G121" i="23"/>
  <c r="H121" i="23"/>
  <c r="I121" i="23"/>
  <c r="J121" i="23"/>
  <c r="K121" i="23"/>
  <c r="L121" i="23"/>
  <c r="M121" i="23"/>
  <c r="N121" i="23"/>
  <c r="F122" i="23"/>
  <c r="G122" i="23"/>
  <c r="H122" i="23"/>
  <c r="I122" i="23"/>
  <c r="J122" i="23"/>
  <c r="K122" i="23"/>
  <c r="L122" i="23"/>
  <c r="M122" i="23"/>
  <c r="N122" i="23"/>
  <c r="F123" i="23"/>
  <c r="G123" i="23"/>
  <c r="H123" i="23"/>
  <c r="I123" i="23"/>
  <c r="J123" i="23"/>
  <c r="K123" i="23"/>
  <c r="L123" i="23"/>
  <c r="M123" i="23"/>
  <c r="N123" i="23"/>
  <c r="F124" i="23"/>
  <c r="G124" i="23"/>
  <c r="H124" i="23"/>
  <c r="I124" i="23"/>
  <c r="J124" i="23"/>
  <c r="K124" i="23"/>
  <c r="L124" i="23"/>
  <c r="M124" i="23"/>
  <c r="N124" i="23"/>
  <c r="F125" i="23"/>
  <c r="G125" i="23"/>
  <c r="H125" i="23"/>
  <c r="I125" i="23"/>
  <c r="J125" i="23"/>
  <c r="K125" i="23"/>
  <c r="L125" i="23"/>
  <c r="M125" i="23"/>
  <c r="N125" i="23"/>
  <c r="F126" i="23"/>
  <c r="G126" i="23"/>
  <c r="H126" i="23"/>
  <c r="I126" i="23"/>
  <c r="J126" i="23"/>
  <c r="K126" i="23"/>
  <c r="L126" i="23"/>
  <c r="M126" i="23"/>
  <c r="N126" i="23"/>
  <c r="F127" i="23"/>
  <c r="G127" i="23"/>
  <c r="H127" i="23"/>
  <c r="I127" i="23"/>
  <c r="J127" i="23"/>
  <c r="K127" i="23"/>
  <c r="L127" i="23"/>
  <c r="M127" i="23"/>
  <c r="N127" i="23"/>
  <c r="F128" i="23"/>
  <c r="G128" i="23"/>
  <c r="H128" i="23"/>
  <c r="I128" i="23"/>
  <c r="J128" i="23"/>
  <c r="K128" i="23"/>
  <c r="L128" i="23"/>
  <c r="M128" i="23"/>
  <c r="N128" i="23"/>
  <c r="F129" i="23"/>
  <c r="G129" i="23"/>
  <c r="H129" i="23"/>
  <c r="I129" i="23"/>
  <c r="J129" i="23"/>
  <c r="K129" i="23"/>
  <c r="L129" i="23"/>
  <c r="M129" i="23"/>
  <c r="N129" i="23"/>
  <c r="F130" i="23"/>
  <c r="G130" i="23"/>
  <c r="H130" i="23"/>
  <c r="I130" i="23"/>
  <c r="J130" i="23"/>
  <c r="K130" i="23"/>
  <c r="L130" i="23"/>
  <c r="M130" i="23"/>
  <c r="N130" i="23"/>
  <c r="F131" i="23"/>
  <c r="G131" i="23"/>
  <c r="H131" i="23"/>
  <c r="I131" i="23"/>
  <c r="J131" i="23"/>
  <c r="K131" i="23"/>
  <c r="L131" i="23"/>
  <c r="M131" i="23"/>
  <c r="N131" i="23"/>
  <c r="F132" i="23"/>
  <c r="G132" i="23"/>
  <c r="H132" i="23"/>
  <c r="I132" i="23"/>
  <c r="J132" i="23"/>
  <c r="K132" i="23"/>
  <c r="L132" i="23"/>
  <c r="M132" i="23"/>
  <c r="N132" i="23"/>
  <c r="F133" i="23"/>
  <c r="G133" i="23"/>
  <c r="H133" i="23"/>
  <c r="I133" i="23"/>
  <c r="J133" i="23"/>
  <c r="K133" i="23"/>
  <c r="L133" i="23"/>
  <c r="M133" i="23"/>
  <c r="N133" i="23"/>
  <c r="F134" i="23"/>
  <c r="G134" i="23"/>
  <c r="H134" i="23"/>
  <c r="I134" i="23"/>
  <c r="J134" i="23"/>
  <c r="K134" i="23"/>
  <c r="L134" i="23"/>
  <c r="M134" i="23"/>
  <c r="N134" i="23"/>
  <c r="F135" i="23"/>
  <c r="G135" i="23"/>
  <c r="H135" i="23"/>
  <c r="I135" i="23"/>
  <c r="J135" i="23"/>
  <c r="K135" i="23"/>
  <c r="L135" i="23"/>
  <c r="M135" i="23"/>
  <c r="N135" i="23"/>
  <c r="F136" i="23"/>
  <c r="G136" i="23"/>
  <c r="H136" i="23"/>
  <c r="I136" i="23"/>
  <c r="J136" i="23"/>
  <c r="K136" i="23"/>
  <c r="L136" i="23"/>
  <c r="M136" i="23"/>
  <c r="N136" i="23"/>
  <c r="F137" i="23"/>
  <c r="G137" i="23"/>
  <c r="H137" i="23"/>
  <c r="I137" i="23"/>
  <c r="J137" i="23"/>
  <c r="K137" i="23"/>
  <c r="L137" i="23"/>
  <c r="M137" i="23"/>
  <c r="N137" i="23"/>
  <c r="F138" i="23"/>
  <c r="G138" i="23"/>
  <c r="H138" i="23"/>
  <c r="I138" i="23"/>
  <c r="J138" i="23"/>
  <c r="K138" i="23"/>
  <c r="L138" i="23"/>
  <c r="M138" i="23"/>
  <c r="N138" i="23"/>
  <c r="F139" i="23"/>
  <c r="G139" i="23"/>
  <c r="H139" i="23"/>
  <c r="I139" i="23"/>
  <c r="J139" i="23"/>
  <c r="K139" i="23"/>
  <c r="L139" i="23"/>
  <c r="M139" i="23"/>
  <c r="N139" i="23"/>
  <c r="F140" i="23"/>
  <c r="G140" i="23"/>
  <c r="H140" i="23"/>
  <c r="I140" i="23"/>
  <c r="J140" i="23"/>
  <c r="K140" i="23"/>
  <c r="L140" i="23"/>
  <c r="M140" i="23"/>
  <c r="N140" i="23"/>
  <c r="F141" i="23"/>
  <c r="G141" i="23"/>
  <c r="H141" i="23"/>
  <c r="I141" i="23"/>
  <c r="J141" i="23"/>
  <c r="K141" i="23"/>
  <c r="L141" i="23"/>
  <c r="M141" i="23"/>
  <c r="N141" i="23"/>
  <c r="F142" i="23"/>
  <c r="G142" i="23"/>
  <c r="H142" i="23"/>
  <c r="I142" i="23"/>
  <c r="J142" i="23"/>
  <c r="K142" i="23"/>
  <c r="L142" i="23"/>
  <c r="M142" i="23"/>
  <c r="N142" i="23"/>
  <c r="F143" i="23"/>
  <c r="G143" i="23"/>
  <c r="H143" i="23"/>
  <c r="I143" i="23"/>
  <c r="J143" i="23"/>
  <c r="K143" i="23"/>
  <c r="L143" i="23"/>
  <c r="M143" i="23"/>
  <c r="N143" i="23"/>
  <c r="F144" i="23"/>
  <c r="G144" i="23"/>
  <c r="H144" i="23"/>
  <c r="I144" i="23"/>
  <c r="J144" i="23"/>
  <c r="K144" i="23"/>
  <c r="L144" i="23"/>
  <c r="M144" i="23"/>
  <c r="N144" i="23"/>
  <c r="F145" i="23"/>
  <c r="G145" i="23"/>
  <c r="H145" i="23"/>
  <c r="I145" i="23"/>
  <c r="J145" i="23"/>
  <c r="K145" i="23"/>
  <c r="L145" i="23"/>
  <c r="M145" i="23"/>
  <c r="N145" i="23"/>
  <c r="F146" i="23"/>
  <c r="G146" i="23"/>
  <c r="H146" i="23"/>
  <c r="I146" i="23"/>
  <c r="J146" i="23"/>
  <c r="K146" i="23"/>
  <c r="L146" i="23"/>
  <c r="M146" i="23"/>
  <c r="N146" i="23"/>
  <c r="F147" i="23"/>
  <c r="G147" i="23"/>
  <c r="H147" i="23"/>
  <c r="I147" i="23"/>
  <c r="J147" i="23"/>
  <c r="K147" i="23"/>
  <c r="L147" i="23"/>
  <c r="M147" i="23"/>
  <c r="N147" i="23"/>
  <c r="F148" i="23"/>
  <c r="G148" i="23"/>
  <c r="H148" i="23"/>
  <c r="I148" i="23"/>
  <c r="J148" i="23"/>
  <c r="K148" i="23"/>
  <c r="L148" i="23"/>
  <c r="M148" i="23"/>
  <c r="N148" i="23"/>
  <c r="F149" i="23"/>
  <c r="G149" i="23"/>
  <c r="H149" i="23"/>
  <c r="I149" i="23"/>
  <c r="J149" i="23"/>
  <c r="K149" i="23"/>
  <c r="L149" i="23"/>
  <c r="M149" i="23"/>
  <c r="N149" i="23"/>
  <c r="F150" i="23"/>
  <c r="G150" i="23"/>
  <c r="H150" i="23"/>
  <c r="I150" i="23"/>
  <c r="J150" i="23"/>
  <c r="K150" i="23"/>
  <c r="L150" i="23"/>
  <c r="M150" i="23"/>
  <c r="N150" i="23"/>
  <c r="F151" i="23"/>
  <c r="G151" i="23"/>
  <c r="H151" i="23"/>
  <c r="I151" i="23"/>
  <c r="J151" i="23"/>
  <c r="K151" i="23"/>
  <c r="L151" i="23"/>
  <c r="M151" i="23"/>
  <c r="N151" i="23"/>
  <c r="F152" i="23"/>
  <c r="G152" i="23"/>
  <c r="H152" i="23"/>
  <c r="I152" i="23"/>
  <c r="J152" i="23"/>
  <c r="K152" i="23"/>
  <c r="L152" i="23"/>
  <c r="M152" i="23"/>
  <c r="N152" i="23"/>
  <c r="F153" i="23"/>
  <c r="G153" i="23"/>
  <c r="H153" i="23"/>
  <c r="I153" i="23"/>
  <c r="J153" i="23"/>
  <c r="K153" i="23"/>
  <c r="L153" i="23"/>
  <c r="M153" i="23"/>
  <c r="N153" i="23"/>
  <c r="F154" i="23"/>
  <c r="G154" i="23"/>
  <c r="H154" i="23"/>
  <c r="I154" i="23"/>
  <c r="J154" i="23"/>
  <c r="K154" i="23"/>
  <c r="L154" i="23"/>
  <c r="M154" i="23"/>
  <c r="N154" i="23"/>
  <c r="F155" i="23"/>
  <c r="G155" i="23"/>
  <c r="H155" i="23"/>
  <c r="I155" i="23"/>
  <c r="J155" i="23"/>
  <c r="K155" i="23"/>
  <c r="L155" i="23"/>
  <c r="M155" i="23"/>
  <c r="N155" i="23"/>
  <c r="F156" i="23"/>
  <c r="G156" i="23"/>
  <c r="H156" i="23"/>
  <c r="I156" i="23"/>
  <c r="J156" i="23"/>
  <c r="K156" i="23"/>
  <c r="L156" i="23"/>
  <c r="M156" i="23"/>
  <c r="N156" i="23"/>
  <c r="F157" i="23"/>
  <c r="G157" i="23"/>
  <c r="H157" i="23"/>
  <c r="I157" i="23"/>
  <c r="J157" i="23"/>
  <c r="K157" i="23"/>
  <c r="L157" i="23"/>
  <c r="M157" i="23"/>
  <c r="N157" i="23"/>
  <c r="F158" i="23"/>
  <c r="G158" i="23"/>
  <c r="H158" i="23"/>
  <c r="I158" i="23"/>
  <c r="J158" i="23"/>
  <c r="K158" i="23"/>
  <c r="L158" i="23"/>
  <c r="M158" i="23"/>
  <c r="N158" i="23"/>
  <c r="F159" i="23"/>
  <c r="G159" i="23"/>
  <c r="H159" i="23"/>
  <c r="I159" i="23"/>
  <c r="J159" i="23"/>
  <c r="K159" i="23"/>
  <c r="L159" i="23"/>
  <c r="M159" i="23"/>
  <c r="N159" i="23"/>
  <c r="F160" i="23"/>
  <c r="G160" i="23"/>
  <c r="H160" i="23"/>
  <c r="I160" i="23"/>
  <c r="J160" i="23"/>
  <c r="K160" i="23"/>
  <c r="L160" i="23"/>
  <c r="M160" i="23"/>
  <c r="N160" i="23"/>
  <c r="F161" i="23"/>
  <c r="G161" i="23"/>
  <c r="H161" i="23"/>
  <c r="I161" i="23"/>
  <c r="J161" i="23"/>
  <c r="K161" i="23"/>
  <c r="L161" i="23"/>
  <c r="M161" i="23"/>
  <c r="N161" i="23"/>
  <c r="F162" i="23"/>
  <c r="G162" i="23"/>
  <c r="H162" i="23"/>
  <c r="I162" i="23"/>
  <c r="J162" i="23"/>
  <c r="K162" i="23"/>
  <c r="L162" i="23"/>
  <c r="M162" i="23"/>
  <c r="N162" i="23"/>
  <c r="F163" i="23"/>
  <c r="G163" i="23"/>
  <c r="H163" i="23"/>
  <c r="I163" i="23"/>
  <c r="J163" i="23"/>
  <c r="K163" i="23"/>
  <c r="L163" i="23"/>
  <c r="M163" i="23"/>
  <c r="N163" i="23"/>
  <c r="F164" i="23"/>
  <c r="G164" i="23"/>
  <c r="H164" i="23"/>
  <c r="I164" i="23"/>
  <c r="J164" i="23"/>
  <c r="K164" i="23"/>
  <c r="L164" i="23"/>
  <c r="M164" i="23"/>
  <c r="N164" i="23"/>
  <c r="F165" i="23"/>
  <c r="G165" i="23"/>
  <c r="H165" i="23"/>
  <c r="I165" i="23"/>
  <c r="J165" i="23"/>
  <c r="K165" i="23"/>
  <c r="L165" i="23"/>
  <c r="M165" i="23"/>
  <c r="N165" i="23"/>
  <c r="F166" i="23"/>
  <c r="G166" i="23"/>
  <c r="H166" i="23"/>
  <c r="I166" i="23"/>
  <c r="J166" i="23"/>
  <c r="K166" i="23"/>
  <c r="L166" i="23"/>
  <c r="M166" i="23"/>
  <c r="N166" i="23"/>
  <c r="F167" i="23"/>
  <c r="G167" i="23"/>
  <c r="H167" i="23"/>
  <c r="I167" i="23"/>
  <c r="J167" i="23"/>
  <c r="K167" i="23"/>
  <c r="L167" i="23"/>
  <c r="M167" i="23"/>
  <c r="N167" i="23"/>
  <c r="F168" i="23"/>
  <c r="G168" i="23"/>
  <c r="H168" i="23"/>
  <c r="I168" i="23"/>
  <c r="J168" i="23"/>
  <c r="K168" i="23"/>
  <c r="L168" i="23"/>
  <c r="M168" i="23"/>
  <c r="N168" i="23"/>
  <c r="F169" i="23"/>
  <c r="G169" i="23"/>
  <c r="H169" i="23"/>
  <c r="I169" i="23"/>
  <c r="J169" i="23"/>
  <c r="K169" i="23"/>
  <c r="L169" i="23"/>
  <c r="M169" i="23"/>
  <c r="N169" i="23"/>
  <c r="F170" i="23"/>
  <c r="G170" i="23"/>
  <c r="H170" i="23"/>
  <c r="I170" i="23"/>
  <c r="J170" i="23"/>
  <c r="K170" i="23"/>
  <c r="L170" i="23"/>
  <c r="M170" i="23"/>
  <c r="N170" i="23"/>
  <c r="F171" i="23"/>
  <c r="G171" i="23"/>
  <c r="H171" i="23"/>
  <c r="I171" i="23"/>
  <c r="J171" i="23"/>
  <c r="K171" i="23"/>
  <c r="L171" i="23"/>
  <c r="M171" i="23"/>
  <c r="N171" i="23"/>
  <c r="F172" i="23"/>
  <c r="G172" i="23"/>
  <c r="H172" i="23"/>
  <c r="I172" i="23"/>
  <c r="J172" i="23"/>
  <c r="K172" i="23"/>
  <c r="L172" i="23"/>
  <c r="M172" i="23"/>
  <c r="N172" i="23"/>
  <c r="F173" i="23"/>
  <c r="G173" i="23"/>
  <c r="H173" i="23"/>
  <c r="I173" i="23"/>
  <c r="J173" i="23"/>
  <c r="K173" i="23"/>
  <c r="L173" i="23"/>
  <c r="M173" i="23"/>
  <c r="N173" i="23"/>
  <c r="F174" i="23"/>
  <c r="G174" i="23"/>
  <c r="H174" i="23"/>
  <c r="I174" i="23"/>
  <c r="J174" i="23"/>
  <c r="K174" i="23"/>
  <c r="L174" i="23"/>
  <c r="M174" i="23"/>
  <c r="N174" i="23"/>
  <c r="F175" i="23"/>
  <c r="G175" i="23"/>
  <c r="H175" i="23"/>
  <c r="I175" i="23"/>
  <c r="J175" i="23"/>
  <c r="K175" i="23"/>
  <c r="L175" i="23"/>
  <c r="M175" i="23"/>
  <c r="N175" i="23"/>
  <c r="F176" i="23"/>
  <c r="G176" i="23"/>
  <c r="H176" i="23"/>
  <c r="I176" i="23"/>
  <c r="J176" i="23"/>
  <c r="K176" i="23"/>
  <c r="L176" i="23"/>
  <c r="M176" i="23"/>
  <c r="N176" i="23"/>
  <c r="F177" i="23"/>
  <c r="G177" i="23"/>
  <c r="H177" i="23"/>
  <c r="I177" i="23"/>
  <c r="J177" i="23"/>
  <c r="K177" i="23"/>
  <c r="L177" i="23"/>
  <c r="M177" i="23"/>
  <c r="N177" i="23"/>
  <c r="F178" i="23"/>
  <c r="G178" i="23"/>
  <c r="H178" i="23"/>
  <c r="I178" i="23"/>
  <c r="J178" i="23"/>
  <c r="K178" i="23"/>
  <c r="L178" i="23"/>
  <c r="M178" i="23"/>
  <c r="N178" i="23"/>
  <c r="F179" i="23"/>
  <c r="G179" i="23"/>
  <c r="H179" i="23"/>
  <c r="I179" i="23"/>
  <c r="J179" i="23"/>
  <c r="K179" i="23"/>
  <c r="L179" i="23"/>
  <c r="M179" i="23"/>
  <c r="N179" i="23"/>
  <c r="F180" i="23"/>
  <c r="G180" i="23"/>
  <c r="H180" i="23"/>
  <c r="I180" i="23"/>
  <c r="J180" i="23"/>
  <c r="K180" i="23"/>
  <c r="L180" i="23"/>
  <c r="M180" i="23"/>
  <c r="N180" i="23"/>
  <c r="F181" i="23"/>
  <c r="G181" i="23"/>
  <c r="H181" i="23"/>
  <c r="I181" i="23"/>
  <c r="J181" i="23"/>
  <c r="K181" i="23"/>
  <c r="L181" i="23"/>
  <c r="M181" i="23"/>
  <c r="N181" i="23"/>
  <c r="F182" i="23"/>
  <c r="G182" i="23"/>
  <c r="H182" i="23"/>
  <c r="I182" i="23"/>
  <c r="J182" i="23"/>
  <c r="K182" i="23"/>
  <c r="L182" i="23"/>
  <c r="M182" i="23"/>
  <c r="N182" i="23"/>
  <c r="F183" i="23"/>
  <c r="G183" i="23"/>
  <c r="H183" i="23"/>
  <c r="I183" i="23"/>
  <c r="J183" i="23"/>
  <c r="K183" i="23"/>
  <c r="L183" i="23"/>
  <c r="M183" i="23"/>
  <c r="N183" i="23"/>
  <c r="F184" i="23"/>
  <c r="G184" i="23"/>
  <c r="H184" i="23"/>
  <c r="I184" i="23"/>
  <c r="J184" i="23"/>
  <c r="K184" i="23"/>
  <c r="L184" i="23"/>
  <c r="M184" i="23"/>
  <c r="N184" i="23"/>
  <c r="F185" i="23"/>
  <c r="G185" i="23"/>
  <c r="H185" i="23"/>
  <c r="I185" i="23"/>
  <c r="J185" i="23"/>
  <c r="K185" i="23"/>
  <c r="L185" i="23"/>
  <c r="M185" i="23"/>
  <c r="N185" i="23"/>
  <c r="F186" i="23"/>
  <c r="G186" i="23"/>
  <c r="H186" i="23"/>
  <c r="I186" i="23"/>
  <c r="J186" i="23"/>
  <c r="K186" i="23"/>
  <c r="L186" i="23"/>
  <c r="M186" i="23"/>
  <c r="N186" i="23"/>
  <c r="F187" i="23"/>
  <c r="G187" i="23"/>
  <c r="H187" i="23"/>
  <c r="I187" i="23"/>
  <c r="J187" i="23"/>
  <c r="K187" i="23"/>
  <c r="L187" i="23"/>
  <c r="M187" i="23"/>
  <c r="N187" i="23"/>
  <c r="F188" i="23"/>
  <c r="G188" i="23"/>
  <c r="H188" i="23"/>
  <c r="I188" i="23"/>
  <c r="J188" i="23"/>
  <c r="K188" i="23"/>
  <c r="L188" i="23"/>
  <c r="M188" i="23"/>
  <c r="N188" i="23"/>
  <c r="F189" i="23"/>
  <c r="G189" i="23"/>
  <c r="H189" i="23"/>
  <c r="I189" i="23"/>
  <c r="J189" i="23"/>
  <c r="K189" i="23"/>
  <c r="L189" i="23"/>
  <c r="M189" i="23"/>
  <c r="N189" i="23"/>
  <c r="F190" i="23"/>
  <c r="G190" i="23"/>
  <c r="H190" i="23"/>
  <c r="I190" i="23"/>
  <c r="J190" i="23"/>
  <c r="K190" i="23"/>
  <c r="L190" i="23"/>
  <c r="M190" i="23"/>
  <c r="N190" i="23"/>
  <c r="F191" i="23"/>
  <c r="G191" i="23"/>
  <c r="H191" i="23"/>
  <c r="I191" i="23"/>
  <c r="J191" i="23"/>
  <c r="K191" i="23"/>
  <c r="L191" i="23"/>
  <c r="M191" i="23"/>
  <c r="N191" i="23"/>
  <c r="F192" i="23"/>
  <c r="G192" i="23"/>
  <c r="H192" i="23"/>
  <c r="I192" i="23"/>
  <c r="J192" i="23"/>
  <c r="K192" i="23"/>
  <c r="L192" i="23"/>
  <c r="M192" i="23"/>
  <c r="N192" i="23"/>
  <c r="F193" i="23"/>
  <c r="G193" i="23"/>
  <c r="H193" i="23"/>
  <c r="I193" i="23"/>
  <c r="J193" i="23"/>
  <c r="K193" i="23"/>
  <c r="L193" i="23"/>
  <c r="M193" i="23"/>
  <c r="N193" i="23"/>
  <c r="F194" i="23"/>
  <c r="G194" i="23"/>
  <c r="H194" i="23"/>
  <c r="I194" i="23"/>
  <c r="J194" i="23"/>
  <c r="K194" i="23"/>
  <c r="L194" i="23"/>
  <c r="M194" i="23"/>
  <c r="N194" i="23"/>
  <c r="F195" i="23"/>
  <c r="G195" i="23"/>
  <c r="H195" i="23"/>
  <c r="I195" i="23"/>
  <c r="J195" i="23"/>
  <c r="K195" i="23"/>
  <c r="L195" i="23"/>
  <c r="M195" i="23"/>
  <c r="N195" i="23"/>
  <c r="F196" i="23"/>
  <c r="G196" i="23"/>
  <c r="H196" i="23"/>
  <c r="I196" i="23"/>
  <c r="J196" i="23"/>
  <c r="K196" i="23"/>
  <c r="L196" i="23"/>
  <c r="M196" i="23"/>
  <c r="N196" i="23"/>
  <c r="F197" i="23"/>
  <c r="G197" i="23"/>
  <c r="H197" i="23"/>
  <c r="I197" i="23"/>
  <c r="J197" i="23"/>
  <c r="K197" i="23"/>
  <c r="L197" i="23"/>
  <c r="M197" i="23"/>
  <c r="N197" i="23"/>
  <c r="F198" i="23"/>
  <c r="G198" i="23"/>
  <c r="H198" i="23"/>
  <c r="I198" i="23"/>
  <c r="J198" i="23"/>
  <c r="K198" i="23"/>
  <c r="L198" i="23"/>
  <c r="M198" i="23"/>
  <c r="N198" i="23"/>
  <c r="F199" i="23"/>
  <c r="G199" i="23"/>
  <c r="H199" i="23"/>
  <c r="I199" i="23"/>
  <c r="J199" i="23"/>
  <c r="K199" i="23"/>
  <c r="L199" i="23"/>
  <c r="M199" i="23"/>
  <c r="N199" i="23"/>
  <c r="F200" i="23"/>
  <c r="G200" i="23"/>
  <c r="H200" i="23"/>
  <c r="I200" i="23"/>
  <c r="J200" i="23"/>
  <c r="K200" i="23"/>
  <c r="L200" i="23"/>
  <c r="M200" i="23"/>
  <c r="N200" i="23"/>
  <c r="F201" i="23"/>
  <c r="G201" i="23"/>
  <c r="H201" i="23"/>
  <c r="I201" i="23"/>
  <c r="J201" i="23"/>
  <c r="K201" i="23"/>
  <c r="L201" i="23"/>
  <c r="M201" i="23"/>
  <c r="N201" i="23"/>
  <c r="F202" i="23"/>
  <c r="G202" i="23"/>
  <c r="H202" i="23"/>
  <c r="I202" i="23"/>
  <c r="J202" i="23"/>
  <c r="K202" i="23"/>
  <c r="L202" i="23"/>
  <c r="M202" i="23"/>
  <c r="N202" i="23"/>
  <c r="F203" i="23"/>
  <c r="G203" i="23"/>
  <c r="H203" i="23"/>
  <c r="I203" i="23"/>
  <c r="J203" i="23"/>
  <c r="K203" i="23"/>
  <c r="L203" i="23"/>
  <c r="M203" i="23"/>
  <c r="N203" i="23"/>
  <c r="F204" i="23"/>
  <c r="G204" i="23"/>
  <c r="H204" i="23"/>
  <c r="I204" i="23"/>
  <c r="J204" i="23"/>
  <c r="K204" i="23"/>
  <c r="L204" i="23"/>
  <c r="M204" i="23"/>
  <c r="N204" i="23"/>
  <c r="F205" i="23"/>
  <c r="G205" i="23"/>
  <c r="H205" i="23"/>
  <c r="I205" i="23"/>
  <c r="J205" i="23"/>
  <c r="K205" i="23"/>
  <c r="L205" i="23"/>
  <c r="M205" i="23"/>
  <c r="N205" i="23"/>
  <c r="F206" i="23"/>
  <c r="G206" i="23"/>
  <c r="H206" i="23"/>
  <c r="I206" i="23"/>
  <c r="J206" i="23"/>
  <c r="K206" i="23"/>
  <c r="L206" i="23"/>
  <c r="M206" i="23"/>
  <c r="N206" i="23"/>
  <c r="F207" i="23"/>
  <c r="G207" i="23"/>
  <c r="H207" i="23"/>
  <c r="I207" i="23"/>
  <c r="J207" i="23"/>
  <c r="K207" i="23"/>
  <c r="L207" i="23"/>
  <c r="M207" i="23"/>
  <c r="N207" i="23"/>
  <c r="F208" i="23"/>
  <c r="G208" i="23"/>
  <c r="H208" i="23"/>
  <c r="I208" i="23"/>
  <c r="J208" i="23"/>
  <c r="K208" i="23"/>
  <c r="L208" i="23"/>
  <c r="M208" i="23"/>
  <c r="N208" i="23"/>
  <c r="F209" i="23"/>
  <c r="G209" i="23"/>
  <c r="H209" i="23"/>
  <c r="I209" i="23"/>
  <c r="J209" i="23"/>
  <c r="K209" i="23"/>
  <c r="L209" i="23"/>
  <c r="M209" i="23"/>
  <c r="N209" i="23"/>
  <c r="F210" i="23"/>
  <c r="G210" i="23"/>
  <c r="H210" i="23"/>
  <c r="I210" i="23"/>
  <c r="J210" i="23"/>
  <c r="K210" i="23"/>
  <c r="L210" i="23"/>
  <c r="M210" i="23"/>
  <c r="N210" i="23"/>
  <c r="F211" i="23"/>
  <c r="G211" i="23"/>
  <c r="H211" i="23"/>
  <c r="I211" i="23"/>
  <c r="J211" i="23"/>
  <c r="K211" i="23"/>
  <c r="L211" i="23"/>
  <c r="M211" i="23"/>
  <c r="N211" i="23"/>
  <c r="F212" i="23"/>
  <c r="G212" i="23"/>
  <c r="H212" i="23"/>
  <c r="I212" i="23"/>
  <c r="J212" i="23"/>
  <c r="K212" i="23"/>
  <c r="L212" i="23"/>
  <c r="M212" i="23"/>
  <c r="N212" i="23"/>
  <c r="F213" i="23"/>
  <c r="G213" i="23"/>
  <c r="H213" i="23"/>
  <c r="I213" i="23"/>
  <c r="J213" i="23"/>
  <c r="K213" i="23"/>
  <c r="L213" i="23"/>
  <c r="M213" i="23"/>
  <c r="N213" i="23"/>
  <c r="F214" i="23"/>
  <c r="G214" i="23"/>
  <c r="H214" i="23"/>
  <c r="I214" i="23"/>
  <c r="J214" i="23"/>
  <c r="K214" i="23"/>
  <c r="L214" i="23"/>
  <c r="M214" i="23"/>
  <c r="N214" i="23"/>
  <c r="F215" i="23"/>
  <c r="G215" i="23"/>
  <c r="H215" i="23"/>
  <c r="I215" i="23"/>
  <c r="J215" i="23"/>
  <c r="K215" i="23"/>
  <c r="L215" i="23"/>
  <c r="M215" i="23"/>
  <c r="N215" i="23"/>
  <c r="F216" i="23"/>
  <c r="G216" i="23"/>
  <c r="H216" i="23"/>
  <c r="I216" i="23"/>
  <c r="J216" i="23"/>
  <c r="K216" i="23"/>
  <c r="L216" i="23"/>
  <c r="M216" i="23"/>
  <c r="N216" i="23"/>
  <c r="F217" i="23"/>
  <c r="G217" i="23"/>
  <c r="H217" i="23"/>
  <c r="I217" i="23"/>
  <c r="J217" i="23"/>
  <c r="K217" i="23"/>
  <c r="L217" i="23"/>
  <c r="M217" i="23"/>
  <c r="N217" i="23"/>
  <c r="F218" i="23"/>
  <c r="G218" i="23"/>
  <c r="H218" i="23"/>
  <c r="I218" i="23"/>
  <c r="J218" i="23"/>
  <c r="K218" i="23"/>
  <c r="L218" i="23"/>
  <c r="M218" i="23"/>
  <c r="N218" i="23"/>
  <c r="F219" i="23"/>
  <c r="G219" i="23"/>
  <c r="H219" i="23"/>
  <c r="I219" i="23"/>
  <c r="J219" i="23"/>
  <c r="K219" i="23"/>
  <c r="L219" i="23"/>
  <c r="M219" i="23"/>
  <c r="N219" i="23"/>
  <c r="F220" i="23"/>
  <c r="G220" i="23"/>
  <c r="H220" i="23"/>
  <c r="I220" i="23"/>
  <c r="J220" i="23"/>
  <c r="K220" i="23"/>
  <c r="L220" i="23"/>
  <c r="M220" i="23"/>
  <c r="N220" i="23"/>
  <c r="F221" i="23"/>
  <c r="G221" i="23"/>
  <c r="H221" i="23"/>
  <c r="I221" i="23"/>
  <c r="J221" i="23"/>
  <c r="K221" i="23"/>
  <c r="L221" i="23"/>
  <c r="M221" i="23"/>
  <c r="N221" i="23"/>
  <c r="F222" i="23"/>
  <c r="G222" i="23"/>
  <c r="H222" i="23"/>
  <c r="I222" i="23"/>
  <c r="J222" i="23"/>
  <c r="K222" i="23"/>
  <c r="L222" i="23"/>
  <c r="M222" i="23"/>
  <c r="N222" i="23"/>
  <c r="F223" i="23"/>
  <c r="G223" i="23"/>
  <c r="H223" i="23"/>
  <c r="I223" i="23"/>
  <c r="J223" i="23"/>
  <c r="K223" i="23"/>
  <c r="L223" i="23"/>
  <c r="M223" i="23"/>
  <c r="N223" i="23"/>
  <c r="F224" i="23"/>
  <c r="G224" i="23"/>
  <c r="H224" i="23"/>
  <c r="I224" i="23"/>
  <c r="J224" i="23"/>
  <c r="K224" i="23"/>
  <c r="L224" i="23"/>
  <c r="M224" i="23"/>
  <c r="N224" i="23"/>
  <c r="F225" i="23"/>
  <c r="G225" i="23"/>
  <c r="H225" i="23"/>
  <c r="I225" i="23"/>
  <c r="J225" i="23"/>
  <c r="K225" i="23"/>
  <c r="L225" i="23"/>
  <c r="M225" i="23"/>
  <c r="N225" i="23"/>
  <c r="F226" i="23"/>
  <c r="G226" i="23"/>
  <c r="H226" i="23"/>
  <c r="I226" i="23"/>
  <c r="J226" i="23"/>
  <c r="K226" i="23"/>
  <c r="L226" i="23"/>
  <c r="M226" i="23"/>
  <c r="N226" i="23"/>
  <c r="F227" i="23"/>
  <c r="G227" i="23"/>
  <c r="H227" i="23"/>
  <c r="I227" i="23"/>
  <c r="J227" i="23"/>
  <c r="K227" i="23"/>
  <c r="L227" i="23"/>
  <c r="M227" i="23"/>
  <c r="N227" i="23"/>
  <c r="F228" i="23"/>
  <c r="G228" i="23"/>
  <c r="H228" i="23"/>
  <c r="I228" i="23"/>
  <c r="J228" i="23"/>
  <c r="K228" i="23"/>
  <c r="L228" i="23"/>
  <c r="M228" i="23"/>
  <c r="N228" i="23"/>
  <c r="F229" i="23"/>
  <c r="G229" i="23"/>
  <c r="H229" i="23"/>
  <c r="I229" i="23"/>
  <c r="J229" i="23"/>
  <c r="K229" i="23"/>
  <c r="L229" i="23"/>
  <c r="M229" i="23"/>
  <c r="N229" i="23"/>
  <c r="F230" i="23"/>
  <c r="G230" i="23"/>
  <c r="H230" i="23"/>
  <c r="I230" i="23"/>
  <c r="J230" i="23"/>
  <c r="K230" i="23"/>
  <c r="L230" i="23"/>
  <c r="M230" i="23"/>
  <c r="N230" i="23"/>
  <c r="F231" i="23"/>
  <c r="G231" i="23"/>
  <c r="H231" i="23"/>
  <c r="I231" i="23"/>
  <c r="J231" i="23"/>
  <c r="K231" i="23"/>
  <c r="L231" i="23"/>
  <c r="M231" i="23"/>
  <c r="N231" i="23"/>
  <c r="F232" i="23"/>
  <c r="G232" i="23"/>
  <c r="H232" i="23"/>
  <c r="I232" i="23"/>
  <c r="J232" i="23"/>
  <c r="K232" i="23"/>
  <c r="L232" i="23"/>
  <c r="M232" i="23"/>
  <c r="N232" i="23"/>
  <c r="F233" i="23"/>
  <c r="G233" i="23"/>
  <c r="H233" i="23"/>
  <c r="I233" i="23"/>
  <c r="J233" i="23"/>
  <c r="K233" i="23"/>
  <c r="L233" i="23"/>
  <c r="M233" i="23"/>
  <c r="N233" i="23"/>
  <c r="F234" i="23"/>
  <c r="G234" i="23"/>
  <c r="H234" i="23"/>
  <c r="I234" i="23"/>
  <c r="J234" i="23"/>
  <c r="K234" i="23"/>
  <c r="L234" i="23"/>
  <c r="M234" i="23"/>
  <c r="N234" i="23"/>
  <c r="F235" i="23"/>
  <c r="G235" i="23"/>
  <c r="H235" i="23"/>
  <c r="I235" i="23"/>
  <c r="J235" i="23"/>
  <c r="K235" i="23"/>
  <c r="L235" i="23"/>
  <c r="M235" i="23"/>
  <c r="N235" i="23"/>
  <c r="F236" i="23"/>
  <c r="G236" i="23"/>
  <c r="H236" i="23"/>
  <c r="I236" i="23"/>
  <c r="J236" i="23"/>
  <c r="K236" i="23"/>
  <c r="L236" i="23"/>
  <c r="M236" i="23"/>
  <c r="N236" i="23"/>
  <c r="F237" i="23"/>
  <c r="G237" i="23"/>
  <c r="H237" i="23"/>
  <c r="I237" i="23"/>
  <c r="J237" i="23"/>
  <c r="K237" i="23"/>
  <c r="L237" i="23"/>
  <c r="M237" i="23"/>
  <c r="N237" i="23"/>
  <c r="F238" i="23"/>
  <c r="G238" i="23"/>
  <c r="H238" i="23"/>
  <c r="I238" i="23"/>
  <c r="J238" i="23"/>
  <c r="K238" i="23"/>
  <c r="L238" i="23"/>
  <c r="M238" i="23"/>
  <c r="N238" i="23"/>
  <c r="F239" i="23"/>
  <c r="G239" i="23"/>
  <c r="H239" i="23"/>
  <c r="I239" i="23"/>
  <c r="J239" i="23"/>
  <c r="K239" i="23"/>
  <c r="L239" i="23"/>
  <c r="M239" i="23"/>
  <c r="N239" i="23"/>
  <c r="F240" i="23"/>
  <c r="G240" i="23"/>
  <c r="H240" i="23"/>
  <c r="I240" i="23"/>
  <c r="J240" i="23"/>
  <c r="K240" i="23"/>
  <c r="L240" i="23"/>
  <c r="M240" i="23"/>
  <c r="N240" i="23"/>
  <c r="F241" i="23"/>
  <c r="G241" i="23"/>
  <c r="H241" i="23"/>
  <c r="I241" i="23"/>
  <c r="J241" i="23"/>
  <c r="K241" i="23"/>
  <c r="L241" i="23"/>
  <c r="M241" i="23"/>
  <c r="N241" i="23"/>
  <c r="F242" i="23"/>
  <c r="G242" i="23"/>
  <c r="H242" i="23"/>
  <c r="I242" i="23"/>
  <c r="J242" i="23"/>
  <c r="K242" i="23"/>
  <c r="L242" i="23"/>
  <c r="M242" i="23"/>
  <c r="N242" i="23"/>
  <c r="F243" i="23"/>
  <c r="G243" i="23"/>
  <c r="H243" i="23"/>
  <c r="I243" i="23"/>
  <c r="J243" i="23"/>
  <c r="K243" i="23"/>
  <c r="L243" i="23"/>
  <c r="M243" i="23"/>
  <c r="N243" i="23"/>
  <c r="F244" i="23"/>
  <c r="G244" i="23"/>
  <c r="H244" i="23"/>
  <c r="I244" i="23"/>
  <c r="J244" i="23"/>
  <c r="K244" i="23"/>
  <c r="L244" i="23"/>
  <c r="M244" i="23"/>
  <c r="N244" i="23"/>
  <c r="F245" i="23"/>
  <c r="G245" i="23"/>
  <c r="H245" i="23"/>
  <c r="I245" i="23"/>
  <c r="J245" i="23"/>
  <c r="K245" i="23"/>
  <c r="L245" i="23"/>
  <c r="M245" i="23"/>
  <c r="N245" i="23"/>
  <c r="F246" i="23"/>
  <c r="G246" i="23"/>
  <c r="H246" i="23"/>
  <c r="I246" i="23"/>
  <c r="J246" i="23"/>
  <c r="K246" i="23"/>
  <c r="L246" i="23"/>
  <c r="M246" i="23"/>
  <c r="N246" i="23"/>
  <c r="F247" i="23"/>
  <c r="G247" i="23"/>
  <c r="H247" i="23"/>
  <c r="I247" i="23"/>
  <c r="J247" i="23"/>
  <c r="K247" i="23"/>
  <c r="L247" i="23"/>
  <c r="M247" i="23"/>
  <c r="N247" i="23"/>
  <c r="F248" i="23"/>
  <c r="G248" i="23"/>
  <c r="H248" i="23"/>
  <c r="I248" i="23"/>
  <c r="J248" i="23"/>
  <c r="K248" i="23"/>
  <c r="L248" i="23"/>
  <c r="M248" i="23"/>
  <c r="N248" i="23"/>
  <c r="F249" i="23"/>
  <c r="G249" i="23"/>
  <c r="H249" i="23"/>
  <c r="I249" i="23"/>
  <c r="J249" i="23"/>
  <c r="K249" i="23"/>
  <c r="L249" i="23"/>
  <c r="M249" i="23"/>
  <c r="N249" i="23"/>
  <c r="F250" i="23"/>
  <c r="G250" i="23"/>
  <c r="H250" i="23"/>
  <c r="I250" i="23"/>
  <c r="J250" i="23"/>
  <c r="K250" i="23"/>
  <c r="L250" i="23"/>
  <c r="M250" i="23"/>
  <c r="N250" i="23"/>
  <c r="Q50" i="24" l="1"/>
  <c r="N2" i="20"/>
  <c r="V250" i="23"/>
  <c r="E250" i="23"/>
  <c r="D250" i="23"/>
  <c r="B250" i="23"/>
  <c r="V249" i="23"/>
  <c r="E249" i="23"/>
  <c r="D249" i="23"/>
  <c r="B249" i="23"/>
  <c r="V248" i="23"/>
  <c r="E248" i="23"/>
  <c r="D248" i="23"/>
  <c r="B248" i="23"/>
  <c r="V247" i="23"/>
  <c r="E247" i="23"/>
  <c r="D247" i="23"/>
  <c r="B247" i="23"/>
  <c r="V246" i="23"/>
  <c r="E246" i="23"/>
  <c r="D246" i="23"/>
  <c r="B246" i="23"/>
  <c r="V245" i="23"/>
  <c r="E245" i="23"/>
  <c r="D245" i="23"/>
  <c r="B245" i="23"/>
  <c r="V244" i="23"/>
  <c r="E244" i="23"/>
  <c r="D244" i="23"/>
  <c r="B244" i="23"/>
  <c r="V243" i="23"/>
  <c r="E243" i="23"/>
  <c r="D243" i="23"/>
  <c r="B243" i="23"/>
  <c r="V242" i="23"/>
  <c r="E242" i="23"/>
  <c r="D242" i="23"/>
  <c r="B242" i="23"/>
  <c r="V241" i="23"/>
  <c r="E241" i="23"/>
  <c r="D241" i="23"/>
  <c r="B241" i="23"/>
  <c r="V240" i="23"/>
  <c r="E240" i="23"/>
  <c r="D240" i="23"/>
  <c r="B240" i="23"/>
  <c r="V239" i="23"/>
  <c r="E239" i="23"/>
  <c r="D239" i="23"/>
  <c r="B239" i="23"/>
  <c r="V238" i="23"/>
  <c r="E238" i="23"/>
  <c r="D238" i="23"/>
  <c r="B238" i="23"/>
  <c r="V237" i="23"/>
  <c r="E237" i="23"/>
  <c r="D237" i="23"/>
  <c r="B237" i="23"/>
  <c r="V236" i="23"/>
  <c r="E236" i="23"/>
  <c r="D236" i="23"/>
  <c r="B236" i="23"/>
  <c r="V235" i="23"/>
  <c r="E235" i="23"/>
  <c r="D235" i="23"/>
  <c r="B235" i="23"/>
  <c r="V234" i="23"/>
  <c r="E234" i="23"/>
  <c r="D234" i="23"/>
  <c r="B234" i="23"/>
  <c r="V233" i="23"/>
  <c r="E233" i="23"/>
  <c r="D233" i="23"/>
  <c r="B233" i="23"/>
  <c r="V232" i="23"/>
  <c r="E232" i="23"/>
  <c r="D232" i="23"/>
  <c r="B232" i="23"/>
  <c r="V231" i="23"/>
  <c r="E231" i="23"/>
  <c r="D231" i="23"/>
  <c r="B231" i="23"/>
  <c r="V230" i="23"/>
  <c r="E230" i="23"/>
  <c r="D230" i="23"/>
  <c r="B230" i="23"/>
  <c r="V229" i="23"/>
  <c r="E229" i="23"/>
  <c r="D229" i="23"/>
  <c r="B229" i="23"/>
  <c r="V228" i="23"/>
  <c r="E228" i="23"/>
  <c r="D228" i="23"/>
  <c r="B228" i="23"/>
  <c r="V227" i="23"/>
  <c r="E227" i="23"/>
  <c r="D227" i="23"/>
  <c r="B227" i="23"/>
  <c r="V226" i="23"/>
  <c r="E226" i="23"/>
  <c r="D226" i="23"/>
  <c r="B226" i="23"/>
  <c r="V225" i="23"/>
  <c r="E225" i="23"/>
  <c r="D225" i="23"/>
  <c r="B225" i="23"/>
  <c r="V224" i="23"/>
  <c r="E224" i="23"/>
  <c r="D224" i="23"/>
  <c r="B224" i="23"/>
  <c r="V223" i="23"/>
  <c r="E223" i="23"/>
  <c r="D223" i="23"/>
  <c r="B223" i="23"/>
  <c r="V222" i="23"/>
  <c r="E222" i="23"/>
  <c r="D222" i="23"/>
  <c r="B222" i="23"/>
  <c r="V221" i="23"/>
  <c r="E221" i="23"/>
  <c r="D221" i="23"/>
  <c r="B221" i="23"/>
  <c r="V220" i="23"/>
  <c r="E220" i="23"/>
  <c r="D220" i="23"/>
  <c r="B220" i="23"/>
  <c r="V219" i="23"/>
  <c r="E219" i="23"/>
  <c r="D219" i="23"/>
  <c r="B219" i="23"/>
  <c r="V218" i="23"/>
  <c r="E218" i="23"/>
  <c r="D218" i="23"/>
  <c r="B218" i="23"/>
  <c r="V217" i="23"/>
  <c r="E217" i="23"/>
  <c r="D217" i="23"/>
  <c r="B217" i="23"/>
  <c r="V216" i="23"/>
  <c r="E216" i="23"/>
  <c r="D216" i="23"/>
  <c r="B216" i="23"/>
  <c r="V215" i="23"/>
  <c r="E215" i="23"/>
  <c r="D215" i="23"/>
  <c r="B215" i="23"/>
  <c r="V214" i="23"/>
  <c r="E214" i="23"/>
  <c r="D214" i="23"/>
  <c r="B214" i="23"/>
  <c r="V213" i="23"/>
  <c r="E213" i="23"/>
  <c r="D213" i="23"/>
  <c r="B213" i="23"/>
  <c r="V212" i="23"/>
  <c r="E212" i="23"/>
  <c r="D212" i="23"/>
  <c r="B212" i="23"/>
  <c r="V211" i="23"/>
  <c r="E211" i="23"/>
  <c r="D211" i="23"/>
  <c r="B211" i="23"/>
  <c r="V210" i="23"/>
  <c r="E210" i="23"/>
  <c r="D210" i="23"/>
  <c r="B210" i="23"/>
  <c r="V209" i="23"/>
  <c r="E209" i="23"/>
  <c r="D209" i="23"/>
  <c r="B209" i="23"/>
  <c r="V208" i="23"/>
  <c r="E208" i="23"/>
  <c r="D208" i="23"/>
  <c r="B208" i="23"/>
  <c r="V207" i="23"/>
  <c r="E207" i="23"/>
  <c r="D207" i="23"/>
  <c r="B207" i="23"/>
  <c r="V206" i="23"/>
  <c r="E206" i="23"/>
  <c r="D206" i="23"/>
  <c r="B206" i="23"/>
  <c r="V205" i="23"/>
  <c r="E205" i="23"/>
  <c r="D205" i="23"/>
  <c r="B205" i="23"/>
  <c r="V204" i="23"/>
  <c r="E204" i="23"/>
  <c r="D204" i="23"/>
  <c r="B204" i="23"/>
  <c r="V203" i="23"/>
  <c r="E203" i="23"/>
  <c r="D203" i="23"/>
  <c r="B203" i="23"/>
  <c r="V202" i="23"/>
  <c r="E202" i="23"/>
  <c r="D202" i="23"/>
  <c r="B202" i="23"/>
  <c r="V201" i="23"/>
  <c r="E201" i="23"/>
  <c r="D201" i="23"/>
  <c r="B201" i="23"/>
  <c r="V200" i="23"/>
  <c r="E200" i="23"/>
  <c r="D200" i="23"/>
  <c r="B200" i="23"/>
  <c r="V199" i="23"/>
  <c r="E199" i="23"/>
  <c r="D199" i="23"/>
  <c r="B199" i="23"/>
  <c r="V198" i="23"/>
  <c r="E198" i="23"/>
  <c r="D198" i="23"/>
  <c r="B198" i="23"/>
  <c r="V197" i="23"/>
  <c r="E197" i="23"/>
  <c r="D197" i="23"/>
  <c r="B197" i="23"/>
  <c r="V196" i="23"/>
  <c r="E196" i="23"/>
  <c r="D196" i="23"/>
  <c r="B196" i="23"/>
  <c r="V195" i="23"/>
  <c r="E195" i="23"/>
  <c r="D195" i="23"/>
  <c r="B195" i="23"/>
  <c r="V194" i="23"/>
  <c r="E194" i="23"/>
  <c r="D194" i="23"/>
  <c r="B194" i="23"/>
  <c r="V193" i="23"/>
  <c r="E193" i="23"/>
  <c r="D193" i="23"/>
  <c r="B193" i="23"/>
  <c r="V192" i="23"/>
  <c r="E192" i="23"/>
  <c r="D192" i="23"/>
  <c r="B192" i="23"/>
  <c r="V191" i="23"/>
  <c r="E191" i="23"/>
  <c r="D191" i="23"/>
  <c r="B191" i="23"/>
  <c r="V190" i="23"/>
  <c r="E190" i="23"/>
  <c r="D190" i="23"/>
  <c r="B190" i="23"/>
  <c r="V189" i="23"/>
  <c r="E189" i="23"/>
  <c r="D189" i="23"/>
  <c r="B189" i="23"/>
  <c r="V188" i="23"/>
  <c r="E188" i="23"/>
  <c r="D188" i="23"/>
  <c r="B188" i="23"/>
  <c r="V187" i="23"/>
  <c r="E187" i="23"/>
  <c r="D187" i="23"/>
  <c r="B187" i="23"/>
  <c r="V186" i="23"/>
  <c r="E186" i="23"/>
  <c r="D186" i="23"/>
  <c r="B186" i="23"/>
  <c r="V185" i="23"/>
  <c r="E185" i="23"/>
  <c r="D185" i="23"/>
  <c r="B185" i="23"/>
  <c r="V184" i="23"/>
  <c r="E184" i="23"/>
  <c r="D184" i="23"/>
  <c r="B184" i="23"/>
  <c r="V183" i="23"/>
  <c r="E183" i="23"/>
  <c r="D183" i="23"/>
  <c r="B183" i="23"/>
  <c r="V182" i="23"/>
  <c r="E182" i="23"/>
  <c r="D182" i="23"/>
  <c r="B182" i="23"/>
  <c r="V181" i="23"/>
  <c r="E181" i="23"/>
  <c r="D181" i="23"/>
  <c r="B181" i="23"/>
  <c r="V180" i="23"/>
  <c r="E180" i="23"/>
  <c r="D180" i="23"/>
  <c r="B180" i="23"/>
  <c r="V179" i="23"/>
  <c r="E179" i="23"/>
  <c r="D179" i="23"/>
  <c r="B179" i="23"/>
  <c r="V178" i="23"/>
  <c r="E178" i="23"/>
  <c r="D178" i="23"/>
  <c r="B178" i="23"/>
  <c r="V177" i="23"/>
  <c r="E177" i="23"/>
  <c r="D177" i="23"/>
  <c r="B177" i="23"/>
  <c r="V176" i="23"/>
  <c r="E176" i="23"/>
  <c r="D176" i="23"/>
  <c r="B176" i="23"/>
  <c r="V175" i="23"/>
  <c r="E175" i="23"/>
  <c r="D175" i="23"/>
  <c r="B175" i="23"/>
  <c r="V174" i="23"/>
  <c r="E174" i="23"/>
  <c r="D174" i="23"/>
  <c r="B174" i="23"/>
  <c r="V173" i="23"/>
  <c r="E173" i="23"/>
  <c r="D173" i="23"/>
  <c r="B173" i="23"/>
  <c r="V172" i="23"/>
  <c r="E172" i="23"/>
  <c r="D172" i="23"/>
  <c r="B172" i="23"/>
  <c r="V171" i="23"/>
  <c r="E171" i="23"/>
  <c r="D171" i="23"/>
  <c r="B171" i="23"/>
  <c r="V170" i="23"/>
  <c r="E170" i="23"/>
  <c r="D170" i="23"/>
  <c r="B170" i="23"/>
  <c r="V169" i="23"/>
  <c r="E169" i="23"/>
  <c r="D169" i="23"/>
  <c r="B169" i="23"/>
  <c r="V168" i="23"/>
  <c r="E168" i="23"/>
  <c r="D168" i="23"/>
  <c r="B168" i="23"/>
  <c r="V167" i="23"/>
  <c r="E167" i="23"/>
  <c r="D167" i="23"/>
  <c r="B167" i="23"/>
  <c r="V166" i="23"/>
  <c r="E166" i="23"/>
  <c r="D166" i="23"/>
  <c r="B166" i="23"/>
  <c r="V165" i="23"/>
  <c r="E165" i="23"/>
  <c r="D165" i="23"/>
  <c r="B165" i="23"/>
  <c r="V164" i="23"/>
  <c r="E164" i="23"/>
  <c r="D164" i="23"/>
  <c r="B164" i="23"/>
  <c r="V163" i="23"/>
  <c r="E163" i="23"/>
  <c r="D163" i="23"/>
  <c r="B163" i="23"/>
  <c r="V162" i="23"/>
  <c r="E162" i="23"/>
  <c r="D162" i="23"/>
  <c r="B162" i="23"/>
  <c r="V161" i="23"/>
  <c r="E161" i="23"/>
  <c r="D161" i="23"/>
  <c r="B161" i="23"/>
  <c r="V160" i="23"/>
  <c r="E160" i="23"/>
  <c r="D160" i="23"/>
  <c r="B160" i="23"/>
  <c r="V159" i="23"/>
  <c r="E159" i="23"/>
  <c r="D159" i="23"/>
  <c r="B159" i="23"/>
  <c r="V158" i="23"/>
  <c r="E158" i="23"/>
  <c r="D158" i="23"/>
  <c r="B158" i="23"/>
  <c r="V157" i="23"/>
  <c r="E157" i="23"/>
  <c r="D157" i="23"/>
  <c r="B157" i="23"/>
  <c r="V156" i="23"/>
  <c r="E156" i="23"/>
  <c r="D156" i="23"/>
  <c r="B156" i="23"/>
  <c r="V155" i="23"/>
  <c r="E155" i="23"/>
  <c r="D155" i="23"/>
  <c r="B155" i="23"/>
  <c r="V154" i="23"/>
  <c r="E154" i="23"/>
  <c r="D154" i="23"/>
  <c r="B154" i="23"/>
  <c r="V153" i="23"/>
  <c r="E153" i="23"/>
  <c r="D153" i="23"/>
  <c r="B153" i="23"/>
  <c r="V152" i="23"/>
  <c r="E152" i="23"/>
  <c r="D152" i="23"/>
  <c r="B152" i="23"/>
  <c r="V151" i="23"/>
  <c r="E151" i="23"/>
  <c r="D151" i="23"/>
  <c r="B151" i="23"/>
  <c r="V150" i="23"/>
  <c r="E150" i="23"/>
  <c r="D150" i="23"/>
  <c r="B150" i="23"/>
  <c r="V149" i="23"/>
  <c r="E149" i="23"/>
  <c r="D149" i="23"/>
  <c r="B149" i="23"/>
  <c r="V148" i="23"/>
  <c r="E148" i="23"/>
  <c r="D148" i="23"/>
  <c r="B148" i="23"/>
  <c r="V147" i="23"/>
  <c r="E147" i="23"/>
  <c r="D147" i="23"/>
  <c r="B147" i="23"/>
  <c r="V146" i="23"/>
  <c r="E146" i="23"/>
  <c r="D146" i="23"/>
  <c r="B146" i="23"/>
  <c r="V145" i="23"/>
  <c r="E145" i="23"/>
  <c r="D145" i="23"/>
  <c r="B145" i="23"/>
  <c r="V144" i="23"/>
  <c r="E144" i="23"/>
  <c r="D144" i="23"/>
  <c r="B144" i="23"/>
  <c r="V143" i="23"/>
  <c r="E143" i="23"/>
  <c r="D143" i="23"/>
  <c r="B143" i="23"/>
  <c r="V142" i="23"/>
  <c r="E142" i="23"/>
  <c r="D142" i="23"/>
  <c r="B142" i="23"/>
  <c r="V141" i="23"/>
  <c r="E141" i="23"/>
  <c r="D141" i="23"/>
  <c r="B141" i="23"/>
  <c r="V140" i="23"/>
  <c r="E140" i="23"/>
  <c r="D140" i="23"/>
  <c r="B140" i="23"/>
  <c r="V139" i="23"/>
  <c r="E139" i="23"/>
  <c r="D139" i="23"/>
  <c r="B139" i="23"/>
  <c r="V138" i="23"/>
  <c r="E138" i="23"/>
  <c r="D138" i="23"/>
  <c r="B138" i="23"/>
  <c r="V137" i="23"/>
  <c r="E137" i="23"/>
  <c r="D137" i="23"/>
  <c r="B137" i="23"/>
  <c r="V136" i="23"/>
  <c r="E136" i="23"/>
  <c r="D136" i="23"/>
  <c r="B136" i="23"/>
  <c r="V135" i="23"/>
  <c r="E135" i="23"/>
  <c r="D135" i="23"/>
  <c r="B135" i="23"/>
  <c r="V134" i="23"/>
  <c r="E134" i="23"/>
  <c r="D134" i="23"/>
  <c r="B134" i="23"/>
  <c r="V133" i="23"/>
  <c r="E133" i="23"/>
  <c r="D133" i="23"/>
  <c r="B133" i="23"/>
  <c r="V132" i="23"/>
  <c r="E132" i="23"/>
  <c r="D132" i="23"/>
  <c r="B132" i="23"/>
  <c r="V131" i="23"/>
  <c r="E131" i="23"/>
  <c r="D131" i="23"/>
  <c r="B131" i="23"/>
  <c r="V130" i="23"/>
  <c r="E130" i="23"/>
  <c r="D130" i="23"/>
  <c r="B130" i="23"/>
  <c r="V129" i="23"/>
  <c r="E129" i="23"/>
  <c r="D129" i="23"/>
  <c r="B129" i="23"/>
  <c r="V128" i="23"/>
  <c r="E128" i="23"/>
  <c r="D128" i="23"/>
  <c r="B128" i="23"/>
  <c r="V127" i="23"/>
  <c r="E127" i="23"/>
  <c r="D127" i="23"/>
  <c r="B127" i="23"/>
  <c r="V126" i="23"/>
  <c r="E126" i="23"/>
  <c r="D126" i="23"/>
  <c r="B126" i="23"/>
  <c r="V125" i="23"/>
  <c r="E125" i="23"/>
  <c r="D125" i="23"/>
  <c r="B125" i="23"/>
  <c r="V124" i="23"/>
  <c r="E124" i="23"/>
  <c r="D124" i="23"/>
  <c r="B124" i="23"/>
  <c r="V123" i="23"/>
  <c r="E123" i="23"/>
  <c r="D123" i="23"/>
  <c r="B123" i="23"/>
  <c r="V122" i="23"/>
  <c r="E122" i="23"/>
  <c r="D122" i="23"/>
  <c r="B122" i="23"/>
  <c r="V121" i="23"/>
  <c r="E121" i="23"/>
  <c r="D121" i="23"/>
  <c r="B121" i="23"/>
  <c r="V120" i="23"/>
  <c r="E120" i="23"/>
  <c r="D120" i="23"/>
  <c r="B120" i="23"/>
  <c r="V119" i="23"/>
  <c r="E119" i="23"/>
  <c r="D119" i="23"/>
  <c r="B119" i="23"/>
  <c r="V118" i="23"/>
  <c r="E118" i="23"/>
  <c r="D118" i="23"/>
  <c r="B118" i="23"/>
  <c r="V117" i="23"/>
  <c r="E117" i="23"/>
  <c r="D117" i="23"/>
  <c r="B117" i="23"/>
  <c r="V116" i="23"/>
  <c r="E116" i="23"/>
  <c r="D116" i="23"/>
  <c r="B116" i="23"/>
  <c r="V115" i="23"/>
  <c r="E115" i="23"/>
  <c r="D115" i="23"/>
  <c r="B115" i="23"/>
  <c r="V114" i="23"/>
  <c r="E114" i="23"/>
  <c r="D114" i="23"/>
  <c r="B114" i="23"/>
  <c r="V113" i="23"/>
  <c r="E113" i="23"/>
  <c r="D113" i="23"/>
  <c r="B113" i="23"/>
  <c r="V112" i="23"/>
  <c r="E112" i="23"/>
  <c r="D112" i="23"/>
  <c r="B112" i="23"/>
  <c r="V111" i="23"/>
  <c r="E111" i="23"/>
  <c r="D111" i="23"/>
  <c r="B111" i="23"/>
  <c r="V110" i="23"/>
  <c r="E110" i="23"/>
  <c r="D110" i="23"/>
  <c r="B110" i="23"/>
  <c r="V109" i="23"/>
  <c r="E109" i="23"/>
  <c r="D109" i="23"/>
  <c r="B109" i="23"/>
  <c r="V108" i="23"/>
  <c r="E108" i="23"/>
  <c r="D108" i="23"/>
  <c r="B108" i="23"/>
  <c r="V107" i="23"/>
  <c r="E107" i="23"/>
  <c r="D107" i="23"/>
  <c r="B107" i="23"/>
  <c r="V106" i="23"/>
  <c r="E106" i="23"/>
  <c r="D106" i="23"/>
  <c r="B106" i="23"/>
  <c r="V105" i="23"/>
  <c r="E105" i="23"/>
  <c r="D105" i="23"/>
  <c r="B105" i="23"/>
  <c r="V104" i="23"/>
  <c r="E104" i="23"/>
  <c r="D104" i="23"/>
  <c r="B104" i="23"/>
  <c r="V103" i="23"/>
  <c r="E103" i="23"/>
  <c r="D103" i="23"/>
  <c r="B103" i="23"/>
  <c r="V102" i="23"/>
  <c r="E102" i="23"/>
  <c r="D102" i="23"/>
  <c r="B102" i="23"/>
  <c r="V101" i="23"/>
  <c r="E101" i="23"/>
  <c r="D101" i="23"/>
  <c r="B101" i="23"/>
  <c r="V100" i="23"/>
  <c r="E100" i="23"/>
  <c r="D100" i="23"/>
  <c r="B100" i="23"/>
  <c r="V99" i="23"/>
  <c r="E99" i="23"/>
  <c r="D99" i="23"/>
  <c r="B99" i="23"/>
  <c r="V98" i="23"/>
  <c r="E98" i="23"/>
  <c r="D98" i="23"/>
  <c r="B98" i="23"/>
  <c r="V97" i="23"/>
  <c r="E97" i="23"/>
  <c r="D97" i="23"/>
  <c r="B97" i="23"/>
  <c r="V96" i="23"/>
  <c r="E96" i="23"/>
  <c r="D96" i="23"/>
  <c r="B96" i="23"/>
  <c r="V95" i="23"/>
  <c r="E95" i="23"/>
  <c r="D95" i="23"/>
  <c r="B95" i="23"/>
  <c r="V94" i="23"/>
  <c r="E94" i="23"/>
  <c r="D94" i="23"/>
  <c r="B94" i="23"/>
  <c r="V93" i="23"/>
  <c r="E93" i="23"/>
  <c r="D93" i="23"/>
  <c r="B93" i="23"/>
  <c r="V92" i="23"/>
  <c r="E92" i="23"/>
  <c r="D92" i="23"/>
  <c r="B92" i="23"/>
  <c r="V91" i="23"/>
  <c r="E91" i="23"/>
  <c r="D91" i="23"/>
  <c r="B91" i="23"/>
  <c r="V90" i="23"/>
  <c r="E90" i="23"/>
  <c r="D90" i="23"/>
  <c r="B90" i="23"/>
  <c r="V89" i="23"/>
  <c r="E89" i="23"/>
  <c r="D89" i="23"/>
  <c r="B89" i="23"/>
  <c r="V88" i="23"/>
  <c r="E88" i="23"/>
  <c r="D88" i="23"/>
  <c r="B88" i="23"/>
  <c r="V87" i="23"/>
  <c r="E87" i="23"/>
  <c r="D87" i="23"/>
  <c r="B87" i="23"/>
  <c r="V86" i="23"/>
  <c r="E86" i="23"/>
  <c r="D86" i="23"/>
  <c r="B86" i="23"/>
  <c r="V85" i="23"/>
  <c r="E85" i="23"/>
  <c r="D85" i="23"/>
  <c r="B85" i="23"/>
  <c r="V84" i="23"/>
  <c r="E84" i="23"/>
  <c r="D84" i="23"/>
  <c r="B84" i="23"/>
  <c r="V83" i="23"/>
  <c r="E83" i="23"/>
  <c r="D83" i="23"/>
  <c r="B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E70" i="23"/>
  <c r="D70" i="23"/>
  <c r="E69" i="23"/>
  <c r="D69" i="23"/>
  <c r="E68" i="23"/>
  <c r="D68" i="23"/>
  <c r="E67" i="23"/>
  <c r="D67" i="23"/>
  <c r="E66" i="23"/>
  <c r="D66" i="23"/>
  <c r="E65" i="23"/>
  <c r="D65" i="23"/>
  <c r="E64" i="23"/>
  <c r="D64" i="23"/>
  <c r="E63" i="23"/>
  <c r="D63" i="23"/>
  <c r="E62" i="23"/>
  <c r="D62" i="23"/>
  <c r="E61" i="23"/>
  <c r="D61" i="23"/>
  <c r="E60" i="23"/>
  <c r="D60" i="23"/>
  <c r="E59" i="23"/>
  <c r="D59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E50" i="23"/>
  <c r="D50" i="23"/>
  <c r="E49" i="23"/>
  <c r="D49" i="23"/>
  <c r="E48" i="23"/>
  <c r="D48" i="23"/>
  <c r="E47" i="23"/>
  <c r="D47" i="23"/>
  <c r="E46" i="23"/>
  <c r="D46" i="23"/>
  <c r="E45" i="23"/>
  <c r="E44" i="23"/>
  <c r="D44" i="23"/>
  <c r="E15" i="23"/>
  <c r="E26" i="23"/>
  <c r="E28" i="23"/>
  <c r="E31" i="23"/>
  <c r="E40" i="23"/>
  <c r="E22" i="23"/>
  <c r="E41" i="23"/>
  <c r="E23" i="23"/>
  <c r="E29" i="23"/>
  <c r="E36" i="23"/>
  <c r="E9" i="23"/>
  <c r="E35" i="23"/>
  <c r="E43" i="23"/>
  <c r="E17" i="23"/>
  <c r="E34" i="23"/>
  <c r="E6" i="23"/>
  <c r="E18" i="23"/>
  <c r="E42" i="23"/>
  <c r="E27" i="23"/>
  <c r="E30" i="23"/>
  <c r="E16" i="23"/>
  <c r="E39" i="23"/>
  <c r="E25" i="23"/>
  <c r="E21" i="23"/>
  <c r="E8" i="23"/>
  <c r="E19" i="23"/>
  <c r="E32" i="23"/>
  <c r="E33" i="23"/>
  <c r="E5" i="23"/>
  <c r="E37" i="23"/>
  <c r="E10" i="23"/>
  <c r="E4" i="23"/>
  <c r="E38" i="23"/>
  <c r="E20" i="23"/>
  <c r="E13" i="23"/>
  <c r="E12" i="23"/>
  <c r="E24" i="23"/>
  <c r="E7" i="23"/>
  <c r="E14" i="23"/>
  <c r="B5" i="23"/>
  <c r="E11" i="23"/>
  <c r="Q51" i="24" l="1"/>
  <c r="O47" i="23"/>
  <c r="U47" i="23"/>
  <c r="H47" i="23"/>
  <c r="L47" i="23"/>
  <c r="Q47" i="23"/>
  <c r="I47" i="23"/>
  <c r="M47" i="23"/>
  <c r="R47" i="23"/>
  <c r="F47" i="23"/>
  <c r="J47" i="23"/>
  <c r="N47" i="23"/>
  <c r="P47" i="23" s="1"/>
  <c r="T47" i="23"/>
  <c r="V47" i="23" s="1"/>
  <c r="K47" i="23"/>
  <c r="G47" i="23"/>
  <c r="Q50" i="23"/>
  <c r="I50" i="23"/>
  <c r="M50" i="23"/>
  <c r="R50" i="23"/>
  <c r="F50" i="23"/>
  <c r="J50" i="23"/>
  <c r="N50" i="23"/>
  <c r="T50" i="23"/>
  <c r="G50" i="23"/>
  <c r="K50" i="23"/>
  <c r="O50" i="23"/>
  <c r="U50" i="23"/>
  <c r="H50" i="23"/>
  <c r="L50" i="23"/>
  <c r="T52" i="23"/>
  <c r="G52" i="23"/>
  <c r="K52" i="23"/>
  <c r="O52" i="23"/>
  <c r="U52" i="23"/>
  <c r="H52" i="23"/>
  <c r="L52" i="23"/>
  <c r="Q52" i="23"/>
  <c r="I52" i="23"/>
  <c r="R52" i="23"/>
  <c r="M52" i="23"/>
  <c r="N52" i="23"/>
  <c r="P52" i="23" s="1"/>
  <c r="F52" i="23"/>
  <c r="J52" i="23"/>
  <c r="O55" i="23"/>
  <c r="U55" i="23"/>
  <c r="Q55" i="23"/>
  <c r="R55" i="23"/>
  <c r="T55" i="23"/>
  <c r="G55" i="23"/>
  <c r="K55" i="23"/>
  <c r="H55" i="23"/>
  <c r="L55" i="23"/>
  <c r="I55" i="23"/>
  <c r="M55" i="23"/>
  <c r="F55" i="23"/>
  <c r="J55" i="23"/>
  <c r="N55" i="23"/>
  <c r="P55" i="23" s="1"/>
  <c r="O59" i="23"/>
  <c r="U59" i="23"/>
  <c r="Q59" i="23"/>
  <c r="R59" i="23"/>
  <c r="G59" i="23"/>
  <c r="K59" i="23"/>
  <c r="T59" i="23"/>
  <c r="V59" i="23" s="1"/>
  <c r="H59" i="23"/>
  <c r="L59" i="23"/>
  <c r="I59" i="23"/>
  <c r="M59" i="23"/>
  <c r="F59" i="23"/>
  <c r="J59" i="23"/>
  <c r="N59" i="23"/>
  <c r="P59" i="23" s="1"/>
  <c r="Q62" i="23"/>
  <c r="R62" i="23"/>
  <c r="T62" i="23"/>
  <c r="O62" i="23"/>
  <c r="H62" i="23"/>
  <c r="L62" i="23"/>
  <c r="U62" i="23"/>
  <c r="I62" i="23"/>
  <c r="M62" i="23"/>
  <c r="F62" i="23"/>
  <c r="J62" i="23"/>
  <c r="N62" i="23"/>
  <c r="P62" i="23" s="1"/>
  <c r="G62" i="23"/>
  <c r="K62" i="23"/>
  <c r="R65" i="23"/>
  <c r="T65" i="23"/>
  <c r="O65" i="23"/>
  <c r="U65" i="23"/>
  <c r="Q65" i="23"/>
  <c r="S65" i="23" s="1"/>
  <c r="I65" i="23"/>
  <c r="M65" i="23"/>
  <c r="F65" i="23"/>
  <c r="J65" i="23"/>
  <c r="N65" i="23"/>
  <c r="P65" i="23" s="1"/>
  <c r="G65" i="23"/>
  <c r="K65" i="23"/>
  <c r="L65" i="23"/>
  <c r="H65" i="23"/>
  <c r="Q66" i="23"/>
  <c r="R66" i="23"/>
  <c r="T66" i="23"/>
  <c r="H66" i="23"/>
  <c r="L66" i="23"/>
  <c r="O66" i="23"/>
  <c r="I66" i="23"/>
  <c r="M66" i="23"/>
  <c r="U66" i="23"/>
  <c r="F66" i="23"/>
  <c r="J66" i="23"/>
  <c r="N66" i="23"/>
  <c r="G66" i="23"/>
  <c r="K66" i="23"/>
  <c r="R69" i="23"/>
  <c r="T69" i="23"/>
  <c r="O69" i="23"/>
  <c r="U69" i="23"/>
  <c r="I69" i="23"/>
  <c r="M69" i="23"/>
  <c r="Q69" i="23"/>
  <c r="S69" i="23" s="1"/>
  <c r="F69" i="23"/>
  <c r="J69" i="23"/>
  <c r="N69" i="23"/>
  <c r="P69" i="23" s="1"/>
  <c r="G69" i="23"/>
  <c r="K69" i="23"/>
  <c r="H69" i="23"/>
  <c r="L69" i="23"/>
  <c r="O71" i="23"/>
  <c r="U71" i="23"/>
  <c r="Q71" i="23"/>
  <c r="R71" i="23"/>
  <c r="T71" i="23"/>
  <c r="G71" i="23"/>
  <c r="K71" i="23"/>
  <c r="H71" i="23"/>
  <c r="L71" i="23"/>
  <c r="I71" i="23"/>
  <c r="M71" i="23"/>
  <c r="F71" i="23"/>
  <c r="J71" i="23"/>
  <c r="N71" i="23"/>
  <c r="P71" i="23" s="1"/>
  <c r="Q74" i="23"/>
  <c r="R74" i="23"/>
  <c r="T74" i="23"/>
  <c r="U74" i="23"/>
  <c r="H74" i="23"/>
  <c r="L74" i="23"/>
  <c r="J74" i="23"/>
  <c r="I74" i="23"/>
  <c r="M74" i="23"/>
  <c r="N74" i="23"/>
  <c r="F74" i="23"/>
  <c r="O74" i="23"/>
  <c r="K74" i="23"/>
  <c r="G74" i="23"/>
  <c r="T76" i="23"/>
  <c r="O76" i="23"/>
  <c r="U76" i="23"/>
  <c r="Q76" i="23"/>
  <c r="F76" i="23"/>
  <c r="J76" i="23"/>
  <c r="N76" i="23"/>
  <c r="G76" i="23"/>
  <c r="K76" i="23"/>
  <c r="H76" i="23"/>
  <c r="R76" i="23"/>
  <c r="L76" i="23"/>
  <c r="I76" i="23"/>
  <c r="M76" i="23"/>
  <c r="Q78" i="23"/>
  <c r="R78" i="23"/>
  <c r="T78" i="23"/>
  <c r="O78" i="23"/>
  <c r="H78" i="23"/>
  <c r="L78" i="23"/>
  <c r="J78" i="23"/>
  <c r="U78" i="23"/>
  <c r="I78" i="23"/>
  <c r="M78" i="23"/>
  <c r="N78" i="23"/>
  <c r="F78" i="23"/>
  <c r="G78" i="23"/>
  <c r="K78" i="23"/>
  <c r="T80" i="23"/>
  <c r="O80" i="23"/>
  <c r="U80" i="23"/>
  <c r="Q80" i="23"/>
  <c r="F80" i="23"/>
  <c r="J80" i="23"/>
  <c r="N80" i="23"/>
  <c r="G80" i="23"/>
  <c r="K80" i="23"/>
  <c r="H80" i="23"/>
  <c r="L80" i="23"/>
  <c r="I80" i="23"/>
  <c r="R80" i="23"/>
  <c r="M80" i="23"/>
  <c r="Q82" i="23"/>
  <c r="R82" i="23"/>
  <c r="T82" i="23"/>
  <c r="H82" i="23"/>
  <c r="L82" i="23"/>
  <c r="O82" i="23"/>
  <c r="I82" i="23"/>
  <c r="M82" i="23"/>
  <c r="U82" i="23"/>
  <c r="G82" i="23"/>
  <c r="K82" i="23"/>
  <c r="J82" i="23"/>
  <c r="F82" i="23"/>
  <c r="N82" i="23"/>
  <c r="P82" i="23" s="1"/>
  <c r="Q46" i="23"/>
  <c r="I46" i="23"/>
  <c r="M46" i="23"/>
  <c r="R46" i="23"/>
  <c r="F46" i="23"/>
  <c r="J46" i="23"/>
  <c r="N46" i="23"/>
  <c r="T46" i="23"/>
  <c r="G46" i="23"/>
  <c r="K46" i="23"/>
  <c r="O46" i="23"/>
  <c r="U46" i="23"/>
  <c r="H46" i="23"/>
  <c r="L46" i="23"/>
  <c r="R49" i="23"/>
  <c r="F49" i="23"/>
  <c r="J49" i="23"/>
  <c r="N49" i="23"/>
  <c r="T49" i="23"/>
  <c r="G49" i="23"/>
  <c r="K49" i="23"/>
  <c r="O49" i="23"/>
  <c r="U49" i="23"/>
  <c r="H49" i="23"/>
  <c r="L49" i="23"/>
  <c r="Q49" i="23"/>
  <c r="S49" i="23" s="1"/>
  <c r="I49" i="23"/>
  <c r="M49" i="23"/>
  <c r="R53" i="23"/>
  <c r="T53" i="23"/>
  <c r="V53" i="23" s="1"/>
  <c r="G53" i="23"/>
  <c r="O53" i="23"/>
  <c r="U53" i="23"/>
  <c r="Q53" i="23"/>
  <c r="S53" i="23" s="1"/>
  <c r="I53" i="23"/>
  <c r="M53" i="23"/>
  <c r="J53" i="23"/>
  <c r="N53" i="23"/>
  <c r="P53" i="23" s="1"/>
  <c r="F53" i="23"/>
  <c r="K53" i="23"/>
  <c r="H53" i="23"/>
  <c r="L53" i="23"/>
  <c r="T56" i="23"/>
  <c r="O56" i="23"/>
  <c r="U56" i="23"/>
  <c r="Q56" i="23"/>
  <c r="S56" i="23" s="1"/>
  <c r="R56" i="23"/>
  <c r="F56" i="23"/>
  <c r="J56" i="23"/>
  <c r="N56" i="23"/>
  <c r="P56" i="23" s="1"/>
  <c r="G56" i="23"/>
  <c r="K56" i="23"/>
  <c r="H56" i="23"/>
  <c r="L56" i="23"/>
  <c r="M56" i="23"/>
  <c r="I56" i="23"/>
  <c r="Q58" i="23"/>
  <c r="R58" i="23"/>
  <c r="T58" i="23"/>
  <c r="U58" i="23"/>
  <c r="H58" i="23"/>
  <c r="L58" i="23"/>
  <c r="I58" i="23"/>
  <c r="M58" i="23"/>
  <c r="F58" i="23"/>
  <c r="J58" i="23"/>
  <c r="N58" i="23"/>
  <c r="O58" i="23"/>
  <c r="K58" i="23"/>
  <c r="G58" i="23"/>
  <c r="R61" i="23"/>
  <c r="T61" i="23"/>
  <c r="O61" i="23"/>
  <c r="U61" i="23"/>
  <c r="I61" i="23"/>
  <c r="M61" i="23"/>
  <c r="F61" i="23"/>
  <c r="J61" i="23"/>
  <c r="N61" i="23"/>
  <c r="P61" i="23" s="1"/>
  <c r="G61" i="23"/>
  <c r="K61" i="23"/>
  <c r="Q61" i="23"/>
  <c r="S61" i="23" s="1"/>
  <c r="H61" i="23"/>
  <c r="L61" i="23"/>
  <c r="T64" i="23"/>
  <c r="O64" i="23"/>
  <c r="U64" i="23"/>
  <c r="Q64" i="23"/>
  <c r="F64" i="23"/>
  <c r="J64" i="23"/>
  <c r="N64" i="23"/>
  <c r="G64" i="23"/>
  <c r="K64" i="23"/>
  <c r="H64" i="23"/>
  <c r="L64" i="23"/>
  <c r="R64" i="23"/>
  <c r="I64" i="23"/>
  <c r="M64" i="23"/>
  <c r="O67" i="23"/>
  <c r="U67" i="23"/>
  <c r="Q67" i="23"/>
  <c r="R67" i="23"/>
  <c r="G67" i="23"/>
  <c r="K67" i="23"/>
  <c r="H67" i="23"/>
  <c r="L67" i="23"/>
  <c r="I67" i="23"/>
  <c r="M67" i="23"/>
  <c r="J67" i="23"/>
  <c r="N67" i="23"/>
  <c r="P67" i="23" s="1"/>
  <c r="T67" i="23"/>
  <c r="V67" i="23" s="1"/>
  <c r="F67" i="23"/>
  <c r="Q70" i="23"/>
  <c r="R70" i="23"/>
  <c r="T70" i="23"/>
  <c r="H70" i="23"/>
  <c r="L70" i="23"/>
  <c r="I70" i="23"/>
  <c r="M70" i="23"/>
  <c r="O70" i="23"/>
  <c r="F70" i="23"/>
  <c r="J70" i="23"/>
  <c r="N70" i="23"/>
  <c r="G70" i="23"/>
  <c r="U70" i="23"/>
  <c r="K70" i="23"/>
  <c r="T72" i="23"/>
  <c r="O72" i="23"/>
  <c r="U72" i="23"/>
  <c r="Q72" i="23"/>
  <c r="F72" i="23"/>
  <c r="J72" i="23"/>
  <c r="N72" i="23"/>
  <c r="R72" i="23"/>
  <c r="G72" i="23"/>
  <c r="K72" i="23"/>
  <c r="H72" i="23"/>
  <c r="L72" i="23"/>
  <c r="M72" i="23"/>
  <c r="I72" i="23"/>
  <c r="R73" i="23"/>
  <c r="T73" i="23"/>
  <c r="V73" i="23" s="1"/>
  <c r="O73" i="23"/>
  <c r="U73" i="23"/>
  <c r="I73" i="23"/>
  <c r="M73" i="23"/>
  <c r="F73" i="23"/>
  <c r="J73" i="23"/>
  <c r="N73" i="23"/>
  <c r="Q73" i="23"/>
  <c r="S73" i="23" s="1"/>
  <c r="G73" i="23"/>
  <c r="K73" i="23"/>
  <c r="H73" i="23"/>
  <c r="L73" i="23"/>
  <c r="O75" i="23"/>
  <c r="U75" i="23"/>
  <c r="Q75" i="23"/>
  <c r="R75" i="23"/>
  <c r="G75" i="23"/>
  <c r="K75" i="23"/>
  <c r="M75" i="23"/>
  <c r="T75" i="23"/>
  <c r="V75" i="23" s="1"/>
  <c r="H75" i="23"/>
  <c r="L75" i="23"/>
  <c r="I75" i="23"/>
  <c r="F75" i="23"/>
  <c r="J75" i="23"/>
  <c r="N75" i="23"/>
  <c r="P75" i="23" s="1"/>
  <c r="R77" i="23"/>
  <c r="T77" i="23"/>
  <c r="V77" i="23" s="1"/>
  <c r="O77" i="23"/>
  <c r="U77" i="23"/>
  <c r="I77" i="23"/>
  <c r="M77" i="23"/>
  <c r="G77" i="23"/>
  <c r="F77" i="23"/>
  <c r="J77" i="23"/>
  <c r="N77" i="23"/>
  <c r="P77" i="23" s="1"/>
  <c r="K77" i="23"/>
  <c r="Q77" i="23"/>
  <c r="S77" i="23" s="1"/>
  <c r="H77" i="23"/>
  <c r="L77" i="23"/>
  <c r="O79" i="23"/>
  <c r="U79" i="23"/>
  <c r="Q79" i="23"/>
  <c r="R79" i="23"/>
  <c r="G79" i="23"/>
  <c r="K79" i="23"/>
  <c r="M79" i="23"/>
  <c r="H79" i="23"/>
  <c r="L79" i="23"/>
  <c r="T79" i="23"/>
  <c r="V79" i="23" s="1"/>
  <c r="I79" i="23"/>
  <c r="N79" i="23"/>
  <c r="P79" i="23" s="1"/>
  <c r="F79" i="23"/>
  <c r="J79" i="23"/>
  <c r="R81" i="23"/>
  <c r="T81" i="23"/>
  <c r="V81" i="23" s="1"/>
  <c r="O81" i="23"/>
  <c r="U81" i="23"/>
  <c r="Q81" i="23"/>
  <c r="S81" i="23" s="1"/>
  <c r="I81" i="23"/>
  <c r="M81" i="23"/>
  <c r="F81" i="23"/>
  <c r="J81" i="23"/>
  <c r="N81" i="23"/>
  <c r="P81" i="23" s="1"/>
  <c r="H81" i="23"/>
  <c r="K81" i="23"/>
  <c r="L81" i="23"/>
  <c r="G81" i="23"/>
  <c r="R45" i="23"/>
  <c r="F45" i="23"/>
  <c r="J45" i="23"/>
  <c r="N45" i="23"/>
  <c r="T45" i="23"/>
  <c r="G45" i="23"/>
  <c r="K45" i="23"/>
  <c r="O45" i="23"/>
  <c r="U45" i="23"/>
  <c r="H45" i="23"/>
  <c r="L45" i="23"/>
  <c r="Q45" i="23"/>
  <c r="S45" i="23" s="1"/>
  <c r="M45" i="23"/>
  <c r="I45" i="23"/>
  <c r="T48" i="23"/>
  <c r="G48" i="23"/>
  <c r="K48" i="23"/>
  <c r="O48" i="23"/>
  <c r="U48" i="23"/>
  <c r="H48" i="23"/>
  <c r="L48" i="23"/>
  <c r="Q48" i="23"/>
  <c r="I48" i="23"/>
  <c r="M48" i="23"/>
  <c r="R48" i="23"/>
  <c r="F48" i="23"/>
  <c r="J48" i="23"/>
  <c r="N48" i="23"/>
  <c r="P48" i="23" s="1"/>
  <c r="O51" i="23"/>
  <c r="U51" i="23"/>
  <c r="H51" i="23"/>
  <c r="L51" i="23"/>
  <c r="Q51" i="23"/>
  <c r="I51" i="23"/>
  <c r="M51" i="23"/>
  <c r="R51" i="23"/>
  <c r="F51" i="23"/>
  <c r="J51" i="23"/>
  <c r="N51" i="23"/>
  <c r="T51" i="23"/>
  <c r="V51" i="23" s="1"/>
  <c r="G51" i="23"/>
  <c r="K51" i="23"/>
  <c r="Q54" i="23"/>
  <c r="R54" i="23"/>
  <c r="T54" i="23"/>
  <c r="O54" i="23"/>
  <c r="U54" i="23"/>
  <c r="H54" i="23"/>
  <c r="L54" i="23"/>
  <c r="I54" i="23"/>
  <c r="M54" i="23"/>
  <c r="F54" i="23"/>
  <c r="J54" i="23"/>
  <c r="N54" i="23"/>
  <c r="P54" i="23" s="1"/>
  <c r="G54" i="23"/>
  <c r="K54" i="23"/>
  <c r="R57" i="23"/>
  <c r="T57" i="23"/>
  <c r="O57" i="23"/>
  <c r="U57" i="23"/>
  <c r="I57" i="23"/>
  <c r="M57" i="23"/>
  <c r="F57" i="23"/>
  <c r="J57" i="23"/>
  <c r="N57" i="23"/>
  <c r="P57" i="23" s="1"/>
  <c r="Q57" i="23"/>
  <c r="S57" i="23" s="1"/>
  <c r="G57" i="23"/>
  <c r="K57" i="23"/>
  <c r="H57" i="23"/>
  <c r="L57" i="23"/>
  <c r="T60" i="23"/>
  <c r="O60" i="23"/>
  <c r="U60" i="23"/>
  <c r="Q60" i="23"/>
  <c r="F60" i="23"/>
  <c r="J60" i="23"/>
  <c r="N60" i="23"/>
  <c r="G60" i="23"/>
  <c r="K60" i="23"/>
  <c r="R60" i="23"/>
  <c r="H60" i="23"/>
  <c r="L60" i="23"/>
  <c r="I60" i="23"/>
  <c r="M60" i="23"/>
  <c r="O63" i="23"/>
  <c r="U63" i="23"/>
  <c r="Q63" i="23"/>
  <c r="R63" i="23"/>
  <c r="G63" i="23"/>
  <c r="K63" i="23"/>
  <c r="H63" i="23"/>
  <c r="L63" i="23"/>
  <c r="T63" i="23"/>
  <c r="I63" i="23"/>
  <c r="M63" i="23"/>
  <c r="N63" i="23"/>
  <c r="P63" i="23" s="1"/>
  <c r="F63" i="23"/>
  <c r="J63" i="23"/>
  <c r="T68" i="23"/>
  <c r="O68" i="23"/>
  <c r="U68" i="23"/>
  <c r="Q68" i="23"/>
  <c r="S68" i="23" s="1"/>
  <c r="R68" i="23"/>
  <c r="F68" i="23"/>
  <c r="J68" i="23"/>
  <c r="N68" i="23"/>
  <c r="G68" i="23"/>
  <c r="K68" i="23"/>
  <c r="H68" i="23"/>
  <c r="L68" i="23"/>
  <c r="I68" i="23"/>
  <c r="M68" i="23"/>
  <c r="R11" i="23"/>
  <c r="T11" i="23"/>
  <c r="U11" i="23"/>
  <c r="Q11" i="23"/>
  <c r="I11" i="23"/>
  <c r="M11" i="23"/>
  <c r="J11" i="23"/>
  <c r="N11" i="23"/>
  <c r="G11" i="23"/>
  <c r="K11" i="23"/>
  <c r="O11" i="23"/>
  <c r="H11" i="23"/>
  <c r="L11" i="23"/>
  <c r="F11" i="23"/>
  <c r="R32" i="23"/>
  <c r="T32" i="23"/>
  <c r="O32" i="23"/>
  <c r="U32" i="23"/>
  <c r="Q32" i="23"/>
  <c r="S32" i="23" s="1"/>
  <c r="F32" i="23"/>
  <c r="J32" i="23"/>
  <c r="N32" i="23"/>
  <c r="G32" i="23"/>
  <c r="K32" i="23"/>
  <c r="H32" i="23"/>
  <c r="L32" i="23"/>
  <c r="I32" i="23"/>
  <c r="M32" i="23"/>
  <c r="T28" i="23"/>
  <c r="O28" i="23"/>
  <c r="U28" i="23"/>
  <c r="Q28" i="23"/>
  <c r="F28" i="23"/>
  <c r="J28" i="23"/>
  <c r="N28" i="23"/>
  <c r="G28" i="23"/>
  <c r="K28" i="23"/>
  <c r="R28" i="23"/>
  <c r="H28" i="23"/>
  <c r="L28" i="23"/>
  <c r="I28" i="23"/>
  <c r="M28" i="23"/>
  <c r="R10" i="23"/>
  <c r="T10" i="23"/>
  <c r="O10" i="23"/>
  <c r="U10" i="23"/>
  <c r="Q10" i="23"/>
  <c r="S10" i="23" s="1"/>
  <c r="F10" i="23"/>
  <c r="J10" i="23"/>
  <c r="N10" i="23"/>
  <c r="G10" i="23"/>
  <c r="K10" i="23"/>
  <c r="H10" i="23"/>
  <c r="L10" i="23"/>
  <c r="I10" i="23"/>
  <c r="M10" i="23"/>
  <c r="R27" i="23"/>
  <c r="T27" i="23"/>
  <c r="O27" i="23"/>
  <c r="U27" i="23"/>
  <c r="Q27" i="23"/>
  <c r="S27" i="23" s="1"/>
  <c r="F27" i="23"/>
  <c r="J27" i="23"/>
  <c r="N27" i="23"/>
  <c r="G27" i="23"/>
  <c r="K27" i="23"/>
  <c r="H27" i="23"/>
  <c r="L27" i="23"/>
  <c r="I27" i="23"/>
  <c r="M27" i="23"/>
  <c r="T9" i="23"/>
  <c r="O9" i="23"/>
  <c r="U9" i="23"/>
  <c r="Q9" i="23"/>
  <c r="R9" i="23"/>
  <c r="F9" i="23"/>
  <c r="J9" i="23"/>
  <c r="N9" i="23"/>
  <c r="G9" i="23"/>
  <c r="K9" i="23"/>
  <c r="H9" i="23"/>
  <c r="L9" i="23"/>
  <c r="I9" i="23"/>
  <c r="M9" i="23"/>
  <c r="T12" i="23"/>
  <c r="O12" i="23"/>
  <c r="U12" i="23"/>
  <c r="H12" i="23"/>
  <c r="L12" i="23"/>
  <c r="Q12" i="23"/>
  <c r="I12" i="23"/>
  <c r="M12" i="23"/>
  <c r="R12" i="23"/>
  <c r="F12" i="23"/>
  <c r="J12" i="23"/>
  <c r="N12" i="23"/>
  <c r="G12" i="23"/>
  <c r="K12" i="23"/>
  <c r="T4" i="23"/>
  <c r="O4" i="23"/>
  <c r="U4" i="23"/>
  <c r="Q4" i="23"/>
  <c r="R4" i="23"/>
  <c r="G4" i="23"/>
  <c r="K4" i="23"/>
  <c r="H4" i="23"/>
  <c r="L4" i="23"/>
  <c r="I4" i="23"/>
  <c r="M4" i="23"/>
  <c r="F4" i="23"/>
  <c r="J4" i="23"/>
  <c r="N4" i="23"/>
  <c r="P4" i="23" s="1"/>
  <c r="T33" i="23"/>
  <c r="O33" i="23"/>
  <c r="U33" i="23"/>
  <c r="Q33" i="23"/>
  <c r="R33" i="23"/>
  <c r="G33" i="23"/>
  <c r="K33" i="23"/>
  <c r="H33" i="23"/>
  <c r="L33" i="23"/>
  <c r="I33" i="23"/>
  <c r="M33" i="23"/>
  <c r="F33" i="23"/>
  <c r="J33" i="23"/>
  <c r="N33" i="23"/>
  <c r="P33" i="23" s="1"/>
  <c r="T21" i="23"/>
  <c r="O21" i="23"/>
  <c r="U21" i="23"/>
  <c r="Q21" i="23"/>
  <c r="R21" i="23"/>
  <c r="G21" i="23"/>
  <c r="K21" i="23"/>
  <c r="H21" i="23"/>
  <c r="L21" i="23"/>
  <c r="I21" i="23"/>
  <c r="M21" i="23"/>
  <c r="F21" i="23"/>
  <c r="J21" i="23"/>
  <c r="N21" i="23"/>
  <c r="P21" i="23" s="1"/>
  <c r="T30" i="23"/>
  <c r="O30" i="23"/>
  <c r="U30" i="23"/>
  <c r="Q30" i="23"/>
  <c r="R30" i="23"/>
  <c r="G30" i="23"/>
  <c r="K30" i="23"/>
  <c r="H30" i="23"/>
  <c r="L30" i="23"/>
  <c r="I30" i="23"/>
  <c r="M30" i="23"/>
  <c r="F30" i="23"/>
  <c r="J30" i="23"/>
  <c r="N30" i="23"/>
  <c r="P30" i="23" s="1"/>
  <c r="T6" i="23"/>
  <c r="O6" i="23"/>
  <c r="U6" i="23"/>
  <c r="Q6" i="23"/>
  <c r="R6" i="23"/>
  <c r="G6" i="23"/>
  <c r="K6" i="23"/>
  <c r="H6" i="23"/>
  <c r="L6" i="23"/>
  <c r="I6" i="23"/>
  <c r="M6" i="23"/>
  <c r="F6" i="23"/>
  <c r="J6" i="23"/>
  <c r="N6" i="23"/>
  <c r="P6" i="23" s="1"/>
  <c r="O35" i="23"/>
  <c r="U35" i="23"/>
  <c r="Q35" i="23"/>
  <c r="R35" i="23"/>
  <c r="G35" i="23"/>
  <c r="K35" i="23"/>
  <c r="H35" i="23"/>
  <c r="L35" i="23"/>
  <c r="I35" i="23"/>
  <c r="M35" i="23"/>
  <c r="T35" i="23"/>
  <c r="F35" i="23"/>
  <c r="J35" i="23"/>
  <c r="N35" i="23"/>
  <c r="O23" i="23"/>
  <c r="U23" i="23"/>
  <c r="Q23" i="23"/>
  <c r="R23" i="23"/>
  <c r="T23" i="23"/>
  <c r="G23" i="23"/>
  <c r="K23" i="23"/>
  <c r="H23" i="23"/>
  <c r="L23" i="23"/>
  <c r="I23" i="23"/>
  <c r="M23" i="23"/>
  <c r="F23" i="23"/>
  <c r="J23" i="23"/>
  <c r="N23" i="23"/>
  <c r="O31" i="23"/>
  <c r="U31" i="23"/>
  <c r="Q31" i="23"/>
  <c r="R31" i="23"/>
  <c r="G31" i="23"/>
  <c r="K31" i="23"/>
  <c r="T31" i="23"/>
  <c r="H31" i="23"/>
  <c r="L31" i="23"/>
  <c r="I31" i="23"/>
  <c r="M31" i="23"/>
  <c r="F31" i="23"/>
  <c r="J31" i="23"/>
  <c r="N31" i="23"/>
  <c r="O44" i="23"/>
  <c r="U44" i="23"/>
  <c r="Q44" i="23"/>
  <c r="R44" i="23"/>
  <c r="T44" i="23"/>
  <c r="I44" i="23"/>
  <c r="F44" i="23"/>
  <c r="K44" i="23"/>
  <c r="G44" i="23"/>
  <c r="L44" i="23"/>
  <c r="H44" i="23"/>
  <c r="M44" i="23"/>
  <c r="J44" i="23"/>
  <c r="N44" i="23"/>
  <c r="R13" i="23"/>
  <c r="T13" i="23"/>
  <c r="G13" i="23"/>
  <c r="K13" i="23"/>
  <c r="O13" i="23"/>
  <c r="U13" i="23"/>
  <c r="H13" i="23"/>
  <c r="L13" i="23"/>
  <c r="Q13" i="23"/>
  <c r="S13" i="23" s="1"/>
  <c r="I13" i="23"/>
  <c r="M13" i="23"/>
  <c r="J13" i="23"/>
  <c r="N13" i="23"/>
  <c r="P13" i="23" s="1"/>
  <c r="F13" i="23"/>
  <c r="R25" i="23"/>
  <c r="T25" i="23"/>
  <c r="O25" i="23"/>
  <c r="U25" i="23"/>
  <c r="Q25" i="23"/>
  <c r="S25" i="23" s="1"/>
  <c r="F25" i="23"/>
  <c r="J25" i="23"/>
  <c r="N25" i="23"/>
  <c r="G25" i="23"/>
  <c r="K25" i="23"/>
  <c r="H25" i="23"/>
  <c r="L25" i="23"/>
  <c r="I25" i="23"/>
  <c r="M25" i="23"/>
  <c r="T41" i="23"/>
  <c r="O41" i="23"/>
  <c r="U41" i="23"/>
  <c r="Q41" i="23"/>
  <c r="F41" i="23"/>
  <c r="J41" i="23"/>
  <c r="N41" i="23"/>
  <c r="R41" i="23"/>
  <c r="G41" i="23"/>
  <c r="K41" i="23"/>
  <c r="H41" i="23"/>
  <c r="L41" i="23"/>
  <c r="I41" i="23"/>
  <c r="M41" i="23"/>
  <c r="O24" i="23"/>
  <c r="U24" i="23"/>
  <c r="Q24" i="23"/>
  <c r="I24" i="23"/>
  <c r="M24" i="23"/>
  <c r="R24" i="23"/>
  <c r="F24" i="23"/>
  <c r="J24" i="23"/>
  <c r="N24" i="23"/>
  <c r="P24" i="23" s="1"/>
  <c r="T24" i="23"/>
  <c r="V24" i="23" s="1"/>
  <c r="G24" i="23"/>
  <c r="K24" i="23"/>
  <c r="L24" i="23"/>
  <c r="H24" i="23"/>
  <c r="O38" i="23"/>
  <c r="U38" i="23"/>
  <c r="Q38" i="23"/>
  <c r="R38" i="23"/>
  <c r="T38" i="23"/>
  <c r="H38" i="23"/>
  <c r="L38" i="23"/>
  <c r="I38" i="23"/>
  <c r="M38" i="23"/>
  <c r="F38" i="23"/>
  <c r="J38" i="23"/>
  <c r="N38" i="23"/>
  <c r="G38" i="23"/>
  <c r="K38" i="23"/>
  <c r="O5" i="23"/>
  <c r="U5" i="23"/>
  <c r="Q5" i="23"/>
  <c r="R5" i="23"/>
  <c r="T5" i="23"/>
  <c r="H5" i="23"/>
  <c r="L5" i="23"/>
  <c r="I5" i="23"/>
  <c r="M5" i="23"/>
  <c r="F5" i="23"/>
  <c r="J5" i="23"/>
  <c r="N5" i="23"/>
  <c r="G5" i="23"/>
  <c r="K5" i="23"/>
  <c r="O8" i="23"/>
  <c r="U8" i="23"/>
  <c r="Q8" i="23"/>
  <c r="R8" i="23"/>
  <c r="T8" i="23"/>
  <c r="H8" i="23"/>
  <c r="L8" i="23"/>
  <c r="I8" i="23"/>
  <c r="M8" i="23"/>
  <c r="F8" i="23"/>
  <c r="J8" i="23"/>
  <c r="N8" i="23"/>
  <c r="G8" i="23"/>
  <c r="K8" i="23"/>
  <c r="O16" i="23"/>
  <c r="U16" i="23"/>
  <c r="Q16" i="23"/>
  <c r="R16" i="23"/>
  <c r="T16" i="23"/>
  <c r="H16" i="23"/>
  <c r="L16" i="23"/>
  <c r="I16" i="23"/>
  <c r="M16" i="23"/>
  <c r="F16" i="23"/>
  <c r="J16" i="23"/>
  <c r="N16" i="23"/>
  <c r="G16" i="23"/>
  <c r="K16" i="23"/>
  <c r="O18" i="23"/>
  <c r="U18" i="23"/>
  <c r="Q18" i="23"/>
  <c r="R18" i="23"/>
  <c r="T18" i="23"/>
  <c r="H18" i="23"/>
  <c r="L18" i="23"/>
  <c r="I18" i="23"/>
  <c r="M18" i="23"/>
  <c r="F18" i="23"/>
  <c r="J18" i="23"/>
  <c r="N18" i="23"/>
  <c r="G18" i="23"/>
  <c r="K18" i="23"/>
  <c r="Q43" i="23"/>
  <c r="R43" i="23"/>
  <c r="T43" i="23"/>
  <c r="H43" i="23"/>
  <c r="L43" i="23"/>
  <c r="O43" i="23"/>
  <c r="I43" i="23"/>
  <c r="M43" i="23"/>
  <c r="U43" i="23"/>
  <c r="F43" i="23"/>
  <c r="J43" i="23"/>
  <c r="N43" i="23"/>
  <c r="G43" i="23"/>
  <c r="K43" i="23"/>
  <c r="Q29" i="23"/>
  <c r="R29" i="23"/>
  <c r="T29" i="23"/>
  <c r="H29" i="23"/>
  <c r="L29" i="23"/>
  <c r="I29" i="23"/>
  <c r="M29" i="23"/>
  <c r="O29" i="23"/>
  <c r="F29" i="23"/>
  <c r="J29" i="23"/>
  <c r="N29" i="23"/>
  <c r="U29" i="23"/>
  <c r="G29" i="23"/>
  <c r="K29" i="23"/>
  <c r="Q40" i="23"/>
  <c r="R40" i="23"/>
  <c r="T40" i="23"/>
  <c r="U40" i="23"/>
  <c r="H40" i="23"/>
  <c r="L40" i="23"/>
  <c r="I40" i="23"/>
  <c r="M40" i="23"/>
  <c r="F40" i="23"/>
  <c r="J40" i="23"/>
  <c r="N40" i="23"/>
  <c r="O40" i="23"/>
  <c r="G40" i="23"/>
  <c r="K40" i="23"/>
  <c r="Q15" i="23"/>
  <c r="R15" i="23"/>
  <c r="T15" i="23"/>
  <c r="O15" i="23"/>
  <c r="H15" i="23"/>
  <c r="U15" i="23"/>
  <c r="F15" i="23"/>
  <c r="J15" i="23"/>
  <c r="N15" i="23"/>
  <c r="G15" i="23"/>
  <c r="I15" i="23"/>
  <c r="K15" i="23"/>
  <c r="L15" i="23"/>
  <c r="M15" i="23"/>
  <c r="R14" i="23"/>
  <c r="T14" i="23"/>
  <c r="G14" i="23"/>
  <c r="K14" i="23"/>
  <c r="O14" i="23"/>
  <c r="U14" i="23"/>
  <c r="H14" i="23"/>
  <c r="L14" i="23"/>
  <c r="Q14" i="23"/>
  <c r="S14" i="23" s="1"/>
  <c r="I14" i="23"/>
  <c r="M14" i="23"/>
  <c r="N14" i="23"/>
  <c r="F14" i="23"/>
  <c r="J14" i="23"/>
  <c r="R34" i="23"/>
  <c r="T34" i="23"/>
  <c r="O34" i="23"/>
  <c r="U34" i="23"/>
  <c r="Q34" i="23"/>
  <c r="S34" i="23" s="1"/>
  <c r="F34" i="23"/>
  <c r="J34" i="23"/>
  <c r="N34" i="23"/>
  <c r="G34" i="23"/>
  <c r="K34" i="23"/>
  <c r="H34" i="23"/>
  <c r="L34" i="23"/>
  <c r="I34" i="23"/>
  <c r="M34" i="23"/>
  <c r="Q7" i="23"/>
  <c r="R7" i="23"/>
  <c r="F7" i="23"/>
  <c r="J7" i="23"/>
  <c r="N7" i="23"/>
  <c r="T7" i="23"/>
  <c r="G7" i="23"/>
  <c r="K7" i="23"/>
  <c r="O7" i="23"/>
  <c r="U7" i="23"/>
  <c r="H7" i="23"/>
  <c r="L7" i="23"/>
  <c r="I7" i="23"/>
  <c r="M7" i="23"/>
  <c r="Q20" i="23"/>
  <c r="R20" i="23"/>
  <c r="F20" i="23"/>
  <c r="T20" i="23"/>
  <c r="G20" i="23"/>
  <c r="K20" i="23"/>
  <c r="O20" i="23"/>
  <c r="U20" i="23"/>
  <c r="H20" i="23"/>
  <c r="L20" i="23"/>
  <c r="M20" i="23"/>
  <c r="N20" i="23"/>
  <c r="I20" i="23"/>
  <c r="J20" i="23"/>
  <c r="Q37" i="23"/>
  <c r="R37" i="23"/>
  <c r="T37" i="23"/>
  <c r="O37" i="23"/>
  <c r="U37" i="23"/>
  <c r="I37" i="23"/>
  <c r="M37" i="23"/>
  <c r="F37" i="23"/>
  <c r="J37" i="23"/>
  <c r="N37" i="23"/>
  <c r="G37" i="23"/>
  <c r="K37" i="23"/>
  <c r="H37" i="23"/>
  <c r="L37" i="23"/>
  <c r="Q19" i="23"/>
  <c r="R19" i="23"/>
  <c r="T19" i="23"/>
  <c r="O19" i="23"/>
  <c r="U19" i="23"/>
  <c r="I19" i="23"/>
  <c r="M19" i="23"/>
  <c r="F19" i="23"/>
  <c r="J19" i="23"/>
  <c r="N19" i="23"/>
  <c r="G19" i="23"/>
  <c r="K19" i="23"/>
  <c r="H19" i="23"/>
  <c r="L19" i="23"/>
  <c r="Q39" i="23"/>
  <c r="R39" i="23"/>
  <c r="T39" i="23"/>
  <c r="O39" i="23"/>
  <c r="U39" i="23"/>
  <c r="I39" i="23"/>
  <c r="M39" i="23"/>
  <c r="F39" i="23"/>
  <c r="J39" i="23"/>
  <c r="N39" i="23"/>
  <c r="G39" i="23"/>
  <c r="K39" i="23"/>
  <c r="H39" i="23"/>
  <c r="L39" i="23"/>
  <c r="Q42" i="23"/>
  <c r="R42" i="23"/>
  <c r="T42" i="23"/>
  <c r="O42" i="23"/>
  <c r="U42" i="23"/>
  <c r="I42" i="23"/>
  <c r="M42" i="23"/>
  <c r="F42" i="23"/>
  <c r="J42" i="23"/>
  <c r="N42" i="23"/>
  <c r="G42" i="23"/>
  <c r="K42" i="23"/>
  <c r="H42" i="23"/>
  <c r="L42" i="23"/>
  <c r="R17" i="23"/>
  <c r="T17" i="23"/>
  <c r="O17" i="23"/>
  <c r="U17" i="23"/>
  <c r="Q17" i="23"/>
  <c r="S17" i="23" s="1"/>
  <c r="I17" i="23"/>
  <c r="M17" i="23"/>
  <c r="F17" i="23"/>
  <c r="J17" i="23"/>
  <c r="N17" i="23"/>
  <c r="G17" i="23"/>
  <c r="K17" i="23"/>
  <c r="H17" i="23"/>
  <c r="L17" i="23"/>
  <c r="R36" i="23"/>
  <c r="T36" i="23"/>
  <c r="O36" i="23"/>
  <c r="U36" i="23"/>
  <c r="I36" i="23"/>
  <c r="M36" i="23"/>
  <c r="Q36" i="23"/>
  <c r="F36" i="23"/>
  <c r="J36" i="23"/>
  <c r="N36" i="23"/>
  <c r="G36" i="23"/>
  <c r="K36" i="23"/>
  <c r="H36" i="23"/>
  <c r="L36" i="23"/>
  <c r="R22" i="23"/>
  <c r="T22" i="23"/>
  <c r="O22" i="23"/>
  <c r="U22" i="23"/>
  <c r="I22" i="23"/>
  <c r="M22" i="23"/>
  <c r="F22" i="23"/>
  <c r="J22" i="23"/>
  <c r="N22" i="23"/>
  <c r="Q22" i="23"/>
  <c r="G22" i="23"/>
  <c r="K22" i="23"/>
  <c r="H22" i="23"/>
  <c r="L22" i="23"/>
  <c r="R26" i="23"/>
  <c r="T26" i="23"/>
  <c r="O26" i="23"/>
  <c r="U26" i="23"/>
  <c r="I26" i="23"/>
  <c r="M26" i="23"/>
  <c r="F26" i="23"/>
  <c r="G26" i="23"/>
  <c r="K26" i="23"/>
  <c r="Q26" i="23"/>
  <c r="H26" i="23"/>
  <c r="L26" i="23"/>
  <c r="J26" i="23"/>
  <c r="N26" i="23"/>
  <c r="B6" i="23"/>
  <c r="C12" i="22"/>
  <c r="D12" i="22"/>
  <c r="C13" i="22"/>
  <c r="D13" i="22"/>
  <c r="C14" i="22"/>
  <c r="D14" i="22"/>
  <c r="C15" i="22"/>
  <c r="D15" i="22"/>
  <c r="C16" i="22"/>
  <c r="D16" i="22"/>
  <c r="D11" i="22"/>
  <c r="C11" i="22"/>
  <c r="B14" i="22"/>
  <c r="B15" i="22"/>
  <c r="B16" i="22"/>
  <c r="B11" i="22"/>
  <c r="E5" i="22"/>
  <c r="E12" i="22" s="1"/>
  <c r="E6" i="22"/>
  <c r="E13" i="22" s="1"/>
  <c r="E7" i="22"/>
  <c r="E14" i="22" s="1"/>
  <c r="E8" i="22"/>
  <c r="E15" i="22" s="1"/>
  <c r="E9" i="22"/>
  <c r="E16" i="22" s="1"/>
  <c r="E4" i="22"/>
  <c r="E11" i="22" s="1"/>
  <c r="W8" i="22"/>
  <c r="W15" i="22" s="1"/>
  <c r="W9" i="22"/>
  <c r="W16" i="22" s="1"/>
  <c r="T8" i="22"/>
  <c r="T15" i="22" s="1"/>
  <c r="T9" i="22"/>
  <c r="T16" i="22" s="1"/>
  <c r="Q8" i="22"/>
  <c r="Q15" i="22" s="1"/>
  <c r="Q9" i="22"/>
  <c r="Q16" i="22" s="1"/>
  <c r="Q52" i="24" l="1"/>
  <c r="Q53" i="24" s="1"/>
  <c r="Q54" i="24" s="1"/>
  <c r="Q55" i="24" s="1"/>
  <c r="Q56" i="24" s="1"/>
  <c r="Q57" i="24" s="1"/>
  <c r="Q58" i="24" s="1"/>
  <c r="Q59" i="24" s="1"/>
  <c r="Q60" i="24" s="1"/>
  <c r="Q61" i="24" s="1"/>
  <c r="Q62" i="24" s="1"/>
  <c r="Q63" i="24" s="1"/>
  <c r="Q64" i="24" s="1"/>
  <c r="Q65" i="24" s="1"/>
  <c r="Q66" i="24" s="1"/>
  <c r="Q67" i="24" s="1"/>
  <c r="Q68" i="24" s="1"/>
  <c r="Q69" i="24" s="1"/>
  <c r="Q70" i="24" s="1"/>
  <c r="Q71" i="24" s="1"/>
  <c r="Q72" i="24" s="1"/>
  <c r="Q73" i="24" s="1"/>
  <c r="Q74" i="24" s="1"/>
  <c r="Q75" i="24" s="1"/>
  <c r="P51" i="23"/>
  <c r="P73" i="23"/>
  <c r="P72" i="23"/>
  <c r="V74" i="23"/>
  <c r="V71" i="23"/>
  <c r="S62" i="23"/>
  <c r="S59" i="23"/>
  <c r="V55" i="23"/>
  <c r="P74" i="23"/>
  <c r="V69" i="23"/>
  <c r="P66" i="23"/>
  <c r="V65" i="23"/>
  <c r="V63" i="23"/>
  <c r="P70" i="23"/>
  <c r="P76" i="23"/>
  <c r="S47" i="23"/>
  <c r="V68" i="23"/>
  <c r="S63" i="23"/>
  <c r="V60" i="23"/>
  <c r="S54" i="23"/>
  <c r="V48" i="23"/>
  <c r="S79" i="23"/>
  <c r="S75" i="23"/>
  <c r="S70" i="23"/>
  <c r="S67" i="23"/>
  <c r="V64" i="23"/>
  <c r="S58" i="23"/>
  <c r="S46" i="23"/>
  <c r="V82" i="23"/>
  <c r="V80" i="23"/>
  <c r="P78" i="23"/>
  <c r="V78" i="23"/>
  <c r="V76" i="23"/>
  <c r="S66" i="23"/>
  <c r="S50" i="23"/>
  <c r="P68" i="23"/>
  <c r="S60" i="23"/>
  <c r="V57" i="23"/>
  <c r="S48" i="23"/>
  <c r="S64" i="23"/>
  <c r="V61" i="23"/>
  <c r="V46" i="23"/>
  <c r="S80" i="23"/>
  <c r="S76" i="23"/>
  <c r="V50" i="23"/>
  <c r="P60" i="23"/>
  <c r="V54" i="23"/>
  <c r="S51" i="23"/>
  <c r="V45" i="23"/>
  <c r="V72" i="23"/>
  <c r="V70" i="23"/>
  <c r="P64" i="23"/>
  <c r="P58" i="23"/>
  <c r="V58" i="23"/>
  <c r="V56" i="23"/>
  <c r="V49" i="23"/>
  <c r="P46" i="23"/>
  <c r="S82" i="23"/>
  <c r="P80" i="23"/>
  <c r="S78" i="23"/>
  <c r="S74" i="23"/>
  <c r="S71" i="23"/>
  <c r="V66" i="23"/>
  <c r="V62" i="23"/>
  <c r="S55" i="23"/>
  <c r="V52" i="23"/>
  <c r="P50" i="23"/>
  <c r="P45" i="23"/>
  <c r="S72" i="23"/>
  <c r="P49" i="23"/>
  <c r="S52" i="23"/>
  <c r="P22" i="23"/>
  <c r="S36" i="23"/>
  <c r="S26" i="23"/>
  <c r="V42" i="23"/>
  <c r="V19" i="23"/>
  <c r="V15" i="23"/>
  <c r="P41" i="23"/>
  <c r="V31" i="23"/>
  <c r="V35" i="23"/>
  <c r="P28" i="23"/>
  <c r="V18" i="23"/>
  <c r="S39" i="23"/>
  <c r="S37" i="23"/>
  <c r="S7" i="23"/>
  <c r="S40" i="23"/>
  <c r="P29" i="23"/>
  <c r="V29" i="23"/>
  <c r="S43" i="23"/>
  <c r="S18" i="23"/>
  <c r="V16" i="23"/>
  <c r="S8" i="23"/>
  <c r="V5" i="23"/>
  <c r="S38" i="23"/>
  <c r="V44" i="23"/>
  <c r="S31" i="23"/>
  <c r="V23" i="23"/>
  <c r="S35" i="23"/>
  <c r="V6" i="23"/>
  <c r="V21" i="23"/>
  <c r="V4" i="23"/>
  <c r="V9" i="23"/>
  <c r="V26" i="23"/>
  <c r="V36" i="23"/>
  <c r="P42" i="23"/>
  <c r="P19" i="23"/>
  <c r="V34" i="23"/>
  <c r="P43" i="23"/>
  <c r="P9" i="23"/>
  <c r="V27" i="23"/>
  <c r="S42" i="23"/>
  <c r="S19" i="23"/>
  <c r="S20" i="23"/>
  <c r="P15" i="23"/>
  <c r="S15" i="23"/>
  <c r="P40" i="23"/>
  <c r="V40" i="23"/>
  <c r="S29" i="23"/>
  <c r="S16" i="23"/>
  <c r="V8" i="23"/>
  <c r="S5" i="23"/>
  <c r="V38" i="23"/>
  <c r="S24" i="23"/>
  <c r="S44" i="23"/>
  <c r="S23" i="23"/>
  <c r="B7" i="23"/>
  <c r="B8" i="23" s="1"/>
  <c r="B9" i="23" s="1"/>
  <c r="S22" i="23"/>
  <c r="V22" i="23"/>
  <c r="P17" i="23"/>
  <c r="V17" i="23"/>
  <c r="P39" i="23"/>
  <c r="P37" i="23"/>
  <c r="P20" i="23"/>
  <c r="V20" i="23"/>
  <c r="V7" i="23"/>
  <c r="P34" i="23"/>
  <c r="V14" i="23"/>
  <c r="P18" i="23"/>
  <c r="P8" i="23"/>
  <c r="P38" i="23"/>
  <c r="S41" i="23"/>
  <c r="V25" i="23"/>
  <c r="P44" i="23"/>
  <c r="P23" i="23"/>
  <c r="S30" i="23"/>
  <c r="S33" i="23"/>
  <c r="P12" i="23"/>
  <c r="P27" i="23"/>
  <c r="V10" i="23"/>
  <c r="S28" i="23"/>
  <c r="V32" i="23"/>
  <c r="P11" i="23"/>
  <c r="S11" i="23"/>
  <c r="P7" i="23"/>
  <c r="P26" i="23"/>
  <c r="P36" i="23"/>
  <c r="P14" i="23"/>
  <c r="P16" i="23"/>
  <c r="P5" i="23"/>
  <c r="P25" i="23"/>
  <c r="V13" i="23"/>
  <c r="P31" i="23"/>
  <c r="P35" i="23"/>
  <c r="S6" i="23"/>
  <c r="S21" i="23"/>
  <c r="S4" i="23"/>
  <c r="S12" i="23"/>
  <c r="S9" i="23"/>
  <c r="P10" i="23"/>
  <c r="P32" i="23"/>
  <c r="V11" i="23"/>
  <c r="V39" i="23"/>
  <c r="V37" i="23"/>
  <c r="V43" i="23"/>
  <c r="V41" i="23"/>
  <c r="V30" i="23"/>
  <c r="V33" i="23"/>
  <c r="V12" i="23"/>
  <c r="V28" i="23"/>
  <c r="O2" i="20"/>
  <c r="B10" i="23" l="1"/>
  <c r="B11" i="23" s="1"/>
  <c r="B12" i="23" s="1"/>
  <c r="H4" i="22"/>
  <c r="I4" i="22"/>
  <c r="J4" i="22"/>
  <c r="K4" i="22"/>
  <c r="L4" i="22"/>
  <c r="M4" i="22"/>
  <c r="N4" i="22"/>
  <c r="O4" i="22"/>
  <c r="P4" i="22"/>
  <c r="R4" i="22"/>
  <c r="S4" i="22"/>
  <c r="U4" i="22"/>
  <c r="V4" i="22"/>
  <c r="H5" i="22"/>
  <c r="I5" i="22"/>
  <c r="J5" i="22"/>
  <c r="K5" i="22"/>
  <c r="L5" i="22"/>
  <c r="M5" i="22"/>
  <c r="N5" i="22"/>
  <c r="O5" i="22"/>
  <c r="P5" i="22"/>
  <c r="R5" i="22"/>
  <c r="S5" i="22"/>
  <c r="U5" i="22"/>
  <c r="V5" i="22"/>
  <c r="H6" i="22"/>
  <c r="I6" i="22"/>
  <c r="J6" i="22"/>
  <c r="K6" i="22"/>
  <c r="L6" i="22"/>
  <c r="M6" i="22"/>
  <c r="N6" i="22"/>
  <c r="O6" i="22"/>
  <c r="P6" i="22"/>
  <c r="R6" i="22"/>
  <c r="S6" i="22"/>
  <c r="U6" i="22"/>
  <c r="V6" i="22"/>
  <c r="H7" i="22"/>
  <c r="I7" i="22"/>
  <c r="J7" i="22"/>
  <c r="K7" i="22"/>
  <c r="L7" i="22"/>
  <c r="M7" i="22"/>
  <c r="N7" i="22"/>
  <c r="O7" i="22"/>
  <c r="P7" i="22"/>
  <c r="R7" i="22"/>
  <c r="S7" i="22"/>
  <c r="U7" i="22"/>
  <c r="V7" i="22"/>
  <c r="H8" i="22"/>
  <c r="H15" i="22" s="1"/>
  <c r="I8" i="22"/>
  <c r="I15" i="22" s="1"/>
  <c r="J8" i="22"/>
  <c r="J15" i="22" s="1"/>
  <c r="K8" i="22"/>
  <c r="K15" i="22" s="1"/>
  <c r="L8" i="22"/>
  <c r="L15" i="22" s="1"/>
  <c r="M8" i="22"/>
  <c r="M15" i="22" s="1"/>
  <c r="N8" i="22"/>
  <c r="N15" i="22" s="1"/>
  <c r="O8" i="22"/>
  <c r="O15" i="22" s="1"/>
  <c r="P8" i="22"/>
  <c r="P15" i="22" s="1"/>
  <c r="R8" i="22"/>
  <c r="R15" i="22" s="1"/>
  <c r="S8" i="22"/>
  <c r="S15" i="22" s="1"/>
  <c r="U8" i="22"/>
  <c r="U15" i="22" s="1"/>
  <c r="V8" i="22"/>
  <c r="V15" i="22" s="1"/>
  <c r="H9" i="22"/>
  <c r="H16" i="22" s="1"/>
  <c r="I9" i="22"/>
  <c r="I16" i="22" s="1"/>
  <c r="J9" i="22"/>
  <c r="J16" i="22" s="1"/>
  <c r="K9" i="22"/>
  <c r="K16" i="22" s="1"/>
  <c r="L9" i="22"/>
  <c r="L16" i="22" s="1"/>
  <c r="M9" i="22"/>
  <c r="M16" i="22" s="1"/>
  <c r="N9" i="22"/>
  <c r="N16" i="22" s="1"/>
  <c r="O9" i="22"/>
  <c r="O16" i="22" s="1"/>
  <c r="P9" i="22"/>
  <c r="P16" i="22" s="1"/>
  <c r="R9" i="22"/>
  <c r="R16" i="22" s="1"/>
  <c r="S9" i="22"/>
  <c r="S16" i="22" s="1"/>
  <c r="U9" i="22"/>
  <c r="U16" i="22" s="1"/>
  <c r="V9" i="22"/>
  <c r="V16" i="22" s="1"/>
  <c r="G5" i="22"/>
  <c r="G6" i="22"/>
  <c r="G7" i="22"/>
  <c r="G8" i="22"/>
  <c r="G15" i="22" s="1"/>
  <c r="G9" i="22"/>
  <c r="G16" i="22" s="1"/>
  <c r="F5" i="22"/>
  <c r="F12" i="22" s="1"/>
  <c r="F6" i="22"/>
  <c r="F13" i="22" s="1"/>
  <c r="F7" i="22"/>
  <c r="F14" i="22" s="1"/>
  <c r="F8" i="22"/>
  <c r="F15" i="22" s="1"/>
  <c r="F9" i="22"/>
  <c r="F16" i="22" s="1"/>
  <c r="G4" i="22"/>
  <c r="F4" i="22"/>
  <c r="F11" i="22" s="1"/>
  <c r="B4" i="22"/>
  <c r="B13" i="23" l="1"/>
  <c r="V14" i="22"/>
  <c r="L14" i="22"/>
  <c r="U14" i="22"/>
  <c r="W7" i="22"/>
  <c r="W14" i="22" s="1"/>
  <c r="O14" i="22"/>
  <c r="Q7" i="22"/>
  <c r="Q14" i="22" s="1"/>
  <c r="K14" i="22"/>
  <c r="S14" i="22"/>
  <c r="N14" i="22"/>
  <c r="J14" i="22"/>
  <c r="P14" i="22"/>
  <c r="H14" i="22"/>
  <c r="G14" i="22"/>
  <c r="R14" i="22"/>
  <c r="T7" i="22"/>
  <c r="M14" i="22"/>
  <c r="I14" i="22"/>
  <c r="G13" i="22"/>
  <c r="M13" i="22"/>
  <c r="V13" i="22"/>
  <c r="P13" i="22"/>
  <c r="L13" i="22"/>
  <c r="H13" i="22"/>
  <c r="R13" i="22"/>
  <c r="I13" i="22"/>
  <c r="U13" i="22"/>
  <c r="O13" i="22"/>
  <c r="K13" i="22"/>
  <c r="S13" i="22"/>
  <c r="N13" i="22"/>
  <c r="J13" i="22"/>
  <c r="N12" i="22"/>
  <c r="S12" i="22"/>
  <c r="G12" i="22"/>
  <c r="M12" i="22"/>
  <c r="V12" i="22"/>
  <c r="P12" i="22"/>
  <c r="L12" i="22"/>
  <c r="H12" i="22"/>
  <c r="J12" i="22"/>
  <c r="R12" i="22"/>
  <c r="I12" i="22"/>
  <c r="U12" i="22"/>
  <c r="O12" i="22"/>
  <c r="K12" i="22"/>
  <c r="O11" i="22"/>
  <c r="K11" i="22"/>
  <c r="S11" i="22"/>
  <c r="N11" i="22"/>
  <c r="J11" i="22"/>
  <c r="R11" i="22"/>
  <c r="M11" i="22"/>
  <c r="I11" i="22"/>
  <c r="U11" i="22"/>
  <c r="V11" i="22"/>
  <c r="P11" i="22"/>
  <c r="L11" i="22"/>
  <c r="H11" i="22"/>
  <c r="G11" i="22"/>
  <c r="W4" i="22"/>
  <c r="W11" i="22" s="1"/>
  <c r="Q4" i="22"/>
  <c r="Q11" i="22" s="1"/>
  <c r="B5" i="22"/>
  <c r="B6" i="22" s="1"/>
  <c r="B13" i="22"/>
  <c r="B12" i="22"/>
  <c r="T5" i="22"/>
  <c r="T12" i="22" s="1"/>
  <c r="W5" i="22"/>
  <c r="W12" i="22" s="1"/>
  <c r="Q5" i="22"/>
  <c r="T4" i="22"/>
  <c r="T11" i="22" s="1"/>
  <c r="T6" i="22"/>
  <c r="T13" i="22" s="1"/>
  <c r="W6" i="22"/>
  <c r="Q6" i="22"/>
  <c r="Q12" i="22" l="1"/>
  <c r="B14" i="23"/>
  <c r="B15" i="23" s="1"/>
  <c r="T14" i="22"/>
  <c r="Q13" i="22"/>
  <c r="W13" i="22"/>
  <c r="B7" i="22"/>
  <c r="E37" i="13"/>
  <c r="E40" i="13"/>
  <c r="E24" i="13"/>
  <c r="E19" i="13"/>
  <c r="E5" i="13"/>
  <c r="E14" i="13"/>
  <c r="E15" i="13"/>
  <c r="E16" i="13"/>
  <c r="E21" i="13"/>
  <c r="E29" i="13"/>
  <c r="E27" i="13"/>
  <c r="E17" i="13"/>
  <c r="E28" i="13"/>
  <c r="E9" i="13"/>
  <c r="E13" i="13"/>
  <c r="E32" i="13"/>
  <c r="E25" i="13"/>
  <c r="E6" i="13"/>
  <c r="E4" i="13"/>
  <c r="E33" i="13"/>
  <c r="E41" i="13"/>
  <c r="E22" i="13"/>
  <c r="E12" i="13"/>
  <c r="E18" i="13"/>
  <c r="E7" i="13"/>
  <c r="E23" i="13"/>
  <c r="E35" i="13"/>
  <c r="E11" i="13"/>
  <c r="E30" i="13"/>
  <c r="E31" i="13"/>
  <c r="E38" i="13"/>
  <c r="E39" i="13"/>
  <c r="E26" i="13"/>
  <c r="E8" i="13"/>
  <c r="E36" i="13"/>
  <c r="E34" i="13"/>
  <c r="E10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W10" i="9"/>
  <c r="AK10" i="24" s="1"/>
  <c r="W11" i="9"/>
  <c r="AK11" i="24" s="1"/>
  <c r="W12" i="9"/>
  <c r="AK12" i="24" s="1"/>
  <c r="W13" i="9"/>
  <c r="AK13" i="24" s="1"/>
  <c r="W14" i="9"/>
  <c r="AK14" i="24" s="1"/>
  <c r="W15" i="9"/>
  <c r="AK15" i="24" s="1"/>
  <c r="W16" i="9"/>
  <c r="AK16" i="24" s="1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V10" i="9"/>
  <c r="AJ10" i="24" s="1"/>
  <c r="V11" i="9"/>
  <c r="AJ11" i="24" s="1"/>
  <c r="V12" i="9"/>
  <c r="AJ12" i="24" s="1"/>
  <c r="V13" i="9"/>
  <c r="AJ13" i="24" s="1"/>
  <c r="V14" i="9"/>
  <c r="AJ14" i="24" s="1"/>
  <c r="V15" i="9"/>
  <c r="AJ15" i="24" s="1"/>
  <c r="V16" i="9"/>
  <c r="AJ16" i="24" s="1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T10" i="9"/>
  <c r="AH10" i="24" s="1"/>
  <c r="T11" i="9"/>
  <c r="AH11" i="24" s="1"/>
  <c r="T12" i="9"/>
  <c r="AH12" i="24" s="1"/>
  <c r="T13" i="9"/>
  <c r="AH13" i="24" s="1"/>
  <c r="T14" i="9"/>
  <c r="AH14" i="24" s="1"/>
  <c r="T15" i="9"/>
  <c r="AH15" i="24" s="1"/>
  <c r="T16" i="9"/>
  <c r="AH16" i="24" s="1"/>
  <c r="T17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H10" i="9"/>
  <c r="V10" i="24" s="1"/>
  <c r="I10" i="9"/>
  <c r="W10" i="24" s="1"/>
  <c r="J10" i="9"/>
  <c r="X10" i="24" s="1"/>
  <c r="K10" i="9"/>
  <c r="Y10" i="24" s="1"/>
  <c r="L10" i="9"/>
  <c r="Z10" i="24" s="1"/>
  <c r="M10" i="9"/>
  <c r="AA10" i="24" s="1"/>
  <c r="N10" i="9"/>
  <c r="AB10" i="24" s="1"/>
  <c r="O10" i="9"/>
  <c r="AC10" i="24" s="1"/>
  <c r="P10" i="9"/>
  <c r="AD10" i="24" s="1"/>
  <c r="Q10" i="9"/>
  <c r="AE10" i="24" s="1"/>
  <c r="H11" i="9"/>
  <c r="V11" i="24" s="1"/>
  <c r="I11" i="9"/>
  <c r="W11" i="24" s="1"/>
  <c r="J11" i="9"/>
  <c r="X11" i="24" s="1"/>
  <c r="K11" i="9"/>
  <c r="Y11" i="24" s="1"/>
  <c r="L11" i="9"/>
  <c r="Z11" i="24" s="1"/>
  <c r="M11" i="9"/>
  <c r="AA11" i="24" s="1"/>
  <c r="N11" i="9"/>
  <c r="AB11" i="24" s="1"/>
  <c r="O11" i="9"/>
  <c r="AC11" i="24" s="1"/>
  <c r="P11" i="9"/>
  <c r="AD11" i="24" s="1"/>
  <c r="Q11" i="9"/>
  <c r="AE11" i="24" s="1"/>
  <c r="H12" i="9"/>
  <c r="V12" i="24" s="1"/>
  <c r="I12" i="9"/>
  <c r="W12" i="24" s="1"/>
  <c r="J12" i="9"/>
  <c r="X12" i="24" s="1"/>
  <c r="K12" i="9"/>
  <c r="Y12" i="24" s="1"/>
  <c r="L12" i="9"/>
  <c r="Z12" i="24" s="1"/>
  <c r="M12" i="9"/>
  <c r="AA12" i="24" s="1"/>
  <c r="N12" i="9"/>
  <c r="AB12" i="24" s="1"/>
  <c r="O12" i="9"/>
  <c r="AC12" i="24" s="1"/>
  <c r="P12" i="9"/>
  <c r="AD12" i="24" s="1"/>
  <c r="Q12" i="9"/>
  <c r="AE12" i="24" s="1"/>
  <c r="H13" i="9"/>
  <c r="V13" i="24" s="1"/>
  <c r="I13" i="9"/>
  <c r="W13" i="24" s="1"/>
  <c r="J13" i="9"/>
  <c r="X13" i="24" s="1"/>
  <c r="K13" i="9"/>
  <c r="Y13" i="24" s="1"/>
  <c r="L13" i="9"/>
  <c r="Z13" i="24" s="1"/>
  <c r="M13" i="9"/>
  <c r="AA13" i="24" s="1"/>
  <c r="N13" i="9"/>
  <c r="AB13" i="24" s="1"/>
  <c r="O13" i="9"/>
  <c r="AC13" i="24" s="1"/>
  <c r="P13" i="9"/>
  <c r="AD13" i="24" s="1"/>
  <c r="Q13" i="9"/>
  <c r="AE13" i="24" s="1"/>
  <c r="H14" i="9"/>
  <c r="V14" i="24" s="1"/>
  <c r="I14" i="9"/>
  <c r="W14" i="24" s="1"/>
  <c r="J14" i="9"/>
  <c r="X14" i="24" s="1"/>
  <c r="K14" i="9"/>
  <c r="Y14" i="24" s="1"/>
  <c r="L14" i="9"/>
  <c r="Z14" i="24" s="1"/>
  <c r="M14" i="9"/>
  <c r="AA14" i="24" s="1"/>
  <c r="N14" i="9"/>
  <c r="AB14" i="24" s="1"/>
  <c r="O14" i="9"/>
  <c r="AC14" i="24" s="1"/>
  <c r="P14" i="9"/>
  <c r="AD14" i="24" s="1"/>
  <c r="Q14" i="9"/>
  <c r="AE14" i="24" s="1"/>
  <c r="H15" i="9"/>
  <c r="V15" i="24" s="1"/>
  <c r="I15" i="9"/>
  <c r="W15" i="24" s="1"/>
  <c r="J15" i="9"/>
  <c r="X15" i="24" s="1"/>
  <c r="K15" i="9"/>
  <c r="Y15" i="24" s="1"/>
  <c r="L15" i="9"/>
  <c r="Z15" i="24" s="1"/>
  <c r="M15" i="9"/>
  <c r="AA15" i="24" s="1"/>
  <c r="N15" i="9"/>
  <c r="AB15" i="24" s="1"/>
  <c r="O15" i="9"/>
  <c r="AC15" i="24" s="1"/>
  <c r="P15" i="9"/>
  <c r="AD15" i="24" s="1"/>
  <c r="Q15" i="9"/>
  <c r="AE15" i="24" s="1"/>
  <c r="H16" i="9"/>
  <c r="V16" i="24" s="1"/>
  <c r="I16" i="9"/>
  <c r="W16" i="24" s="1"/>
  <c r="J16" i="9"/>
  <c r="X16" i="24" s="1"/>
  <c r="K16" i="9"/>
  <c r="Y16" i="24" s="1"/>
  <c r="L16" i="9"/>
  <c r="Z16" i="24" s="1"/>
  <c r="M16" i="9"/>
  <c r="AA16" i="24" s="1"/>
  <c r="N16" i="9"/>
  <c r="AB16" i="24" s="1"/>
  <c r="O16" i="9"/>
  <c r="AC16" i="24" s="1"/>
  <c r="P16" i="9"/>
  <c r="AD16" i="24" s="1"/>
  <c r="Q16" i="9"/>
  <c r="AE16" i="24" s="1"/>
  <c r="H17" i="9"/>
  <c r="I17" i="9"/>
  <c r="J17" i="9"/>
  <c r="K17" i="9"/>
  <c r="L17" i="9"/>
  <c r="M17" i="9"/>
  <c r="N17" i="9"/>
  <c r="O17" i="9"/>
  <c r="P17" i="9"/>
  <c r="Q17" i="9"/>
  <c r="H18" i="9"/>
  <c r="I18" i="9"/>
  <c r="J18" i="9"/>
  <c r="K18" i="9"/>
  <c r="L18" i="9"/>
  <c r="M18" i="9"/>
  <c r="N18" i="9"/>
  <c r="O18" i="9"/>
  <c r="P18" i="9"/>
  <c r="Q18" i="9"/>
  <c r="H19" i="9"/>
  <c r="I19" i="9"/>
  <c r="J19" i="9"/>
  <c r="K19" i="9"/>
  <c r="L19" i="9"/>
  <c r="M19" i="9"/>
  <c r="N19" i="9"/>
  <c r="O19" i="9"/>
  <c r="P19" i="9"/>
  <c r="Q19" i="9"/>
  <c r="H20" i="9"/>
  <c r="I20" i="9"/>
  <c r="J20" i="9"/>
  <c r="K20" i="9"/>
  <c r="L20" i="9"/>
  <c r="M20" i="9"/>
  <c r="N20" i="9"/>
  <c r="O20" i="9"/>
  <c r="P20" i="9"/>
  <c r="Q20" i="9"/>
  <c r="H21" i="9"/>
  <c r="I21" i="9"/>
  <c r="J21" i="9"/>
  <c r="K21" i="9"/>
  <c r="L21" i="9"/>
  <c r="M21" i="9"/>
  <c r="N21" i="9"/>
  <c r="O21" i="9"/>
  <c r="P21" i="9"/>
  <c r="Q21" i="9"/>
  <c r="H22" i="9"/>
  <c r="I22" i="9"/>
  <c r="J22" i="9"/>
  <c r="K22" i="9"/>
  <c r="L22" i="9"/>
  <c r="M22" i="9"/>
  <c r="N22" i="9"/>
  <c r="O22" i="9"/>
  <c r="P22" i="9"/>
  <c r="Q22" i="9"/>
  <c r="H23" i="9"/>
  <c r="I23" i="9"/>
  <c r="J23" i="9"/>
  <c r="K23" i="9"/>
  <c r="L23" i="9"/>
  <c r="M23" i="9"/>
  <c r="N23" i="9"/>
  <c r="O23" i="9"/>
  <c r="P23" i="9"/>
  <c r="Q23" i="9"/>
  <c r="H24" i="9"/>
  <c r="I24" i="9"/>
  <c r="J24" i="9"/>
  <c r="K24" i="9"/>
  <c r="L24" i="9"/>
  <c r="M24" i="9"/>
  <c r="N24" i="9"/>
  <c r="O24" i="9"/>
  <c r="P24" i="9"/>
  <c r="Q24" i="9"/>
  <c r="H25" i="9"/>
  <c r="I25" i="9"/>
  <c r="J25" i="9"/>
  <c r="K25" i="9"/>
  <c r="L25" i="9"/>
  <c r="M25" i="9"/>
  <c r="N25" i="9"/>
  <c r="O25" i="9"/>
  <c r="P25" i="9"/>
  <c r="Q25" i="9"/>
  <c r="H26" i="9"/>
  <c r="I26" i="9"/>
  <c r="J26" i="9"/>
  <c r="K26" i="9"/>
  <c r="L26" i="9"/>
  <c r="M26" i="9"/>
  <c r="N26" i="9"/>
  <c r="O26" i="9"/>
  <c r="P26" i="9"/>
  <c r="Q26" i="9"/>
  <c r="H27" i="9"/>
  <c r="I27" i="9"/>
  <c r="J27" i="9"/>
  <c r="K27" i="9"/>
  <c r="L27" i="9"/>
  <c r="M27" i="9"/>
  <c r="N27" i="9"/>
  <c r="O27" i="9"/>
  <c r="P27" i="9"/>
  <c r="Q27" i="9"/>
  <c r="H28" i="9"/>
  <c r="I28" i="9"/>
  <c r="J28" i="9"/>
  <c r="K28" i="9"/>
  <c r="L28" i="9"/>
  <c r="M28" i="9"/>
  <c r="N28" i="9"/>
  <c r="O28" i="9"/>
  <c r="P28" i="9"/>
  <c r="Q28" i="9"/>
  <c r="H29" i="9"/>
  <c r="I29" i="9"/>
  <c r="J29" i="9"/>
  <c r="K29" i="9"/>
  <c r="L29" i="9"/>
  <c r="M29" i="9"/>
  <c r="N29" i="9"/>
  <c r="O29" i="9"/>
  <c r="P29" i="9"/>
  <c r="Q29" i="9"/>
  <c r="H30" i="9"/>
  <c r="I30" i="9"/>
  <c r="J30" i="9"/>
  <c r="K30" i="9"/>
  <c r="L30" i="9"/>
  <c r="M30" i="9"/>
  <c r="N30" i="9"/>
  <c r="O30" i="9"/>
  <c r="P30" i="9"/>
  <c r="Q30" i="9"/>
  <c r="H31" i="9"/>
  <c r="I31" i="9"/>
  <c r="J31" i="9"/>
  <c r="K31" i="9"/>
  <c r="L31" i="9"/>
  <c r="M31" i="9"/>
  <c r="N31" i="9"/>
  <c r="O31" i="9"/>
  <c r="P31" i="9"/>
  <c r="Q31" i="9"/>
  <c r="H32" i="9"/>
  <c r="I32" i="9"/>
  <c r="J32" i="9"/>
  <c r="K32" i="9"/>
  <c r="L32" i="9"/>
  <c r="M32" i="9"/>
  <c r="N32" i="9"/>
  <c r="O32" i="9"/>
  <c r="P32" i="9"/>
  <c r="Q32" i="9"/>
  <c r="H33" i="9"/>
  <c r="I33" i="9"/>
  <c r="J33" i="9"/>
  <c r="K33" i="9"/>
  <c r="L33" i="9"/>
  <c r="M33" i="9"/>
  <c r="N33" i="9"/>
  <c r="O33" i="9"/>
  <c r="P33" i="9"/>
  <c r="Q33" i="9"/>
  <c r="H34" i="9"/>
  <c r="I34" i="9"/>
  <c r="J34" i="9"/>
  <c r="K34" i="9"/>
  <c r="L34" i="9"/>
  <c r="M34" i="9"/>
  <c r="N34" i="9"/>
  <c r="O34" i="9"/>
  <c r="P34" i="9"/>
  <c r="Q34" i="9"/>
  <c r="H35" i="9"/>
  <c r="I35" i="9"/>
  <c r="J35" i="9"/>
  <c r="K35" i="9"/>
  <c r="L35" i="9"/>
  <c r="M35" i="9"/>
  <c r="N35" i="9"/>
  <c r="O35" i="9"/>
  <c r="P35" i="9"/>
  <c r="Q35" i="9"/>
  <c r="H36" i="9"/>
  <c r="I36" i="9"/>
  <c r="J36" i="9"/>
  <c r="K36" i="9"/>
  <c r="L36" i="9"/>
  <c r="M36" i="9"/>
  <c r="N36" i="9"/>
  <c r="O36" i="9"/>
  <c r="P36" i="9"/>
  <c r="Q36" i="9"/>
  <c r="H37" i="9"/>
  <c r="I37" i="9"/>
  <c r="J37" i="9"/>
  <c r="K37" i="9"/>
  <c r="L37" i="9"/>
  <c r="M37" i="9"/>
  <c r="N37" i="9"/>
  <c r="O37" i="9"/>
  <c r="P37" i="9"/>
  <c r="Q37" i="9"/>
  <c r="H38" i="9"/>
  <c r="I38" i="9"/>
  <c r="J38" i="9"/>
  <c r="K38" i="9"/>
  <c r="L38" i="9"/>
  <c r="M38" i="9"/>
  <c r="N38" i="9"/>
  <c r="O38" i="9"/>
  <c r="P38" i="9"/>
  <c r="Q38" i="9"/>
  <c r="H39" i="9"/>
  <c r="I39" i="9"/>
  <c r="J39" i="9"/>
  <c r="K39" i="9"/>
  <c r="L39" i="9"/>
  <c r="M39" i="9"/>
  <c r="N39" i="9"/>
  <c r="O39" i="9"/>
  <c r="P39" i="9"/>
  <c r="Q39" i="9"/>
  <c r="H40" i="9"/>
  <c r="I40" i="9"/>
  <c r="J40" i="9"/>
  <c r="K40" i="9"/>
  <c r="L40" i="9"/>
  <c r="M40" i="9"/>
  <c r="N40" i="9"/>
  <c r="O40" i="9"/>
  <c r="P40" i="9"/>
  <c r="Q40" i="9"/>
  <c r="H41" i="9"/>
  <c r="I41" i="9"/>
  <c r="J41" i="9"/>
  <c r="K41" i="9"/>
  <c r="L41" i="9"/>
  <c r="M41" i="9"/>
  <c r="N41" i="9"/>
  <c r="O41" i="9"/>
  <c r="P41" i="9"/>
  <c r="Q41" i="9"/>
  <c r="H42" i="9"/>
  <c r="I42" i="9"/>
  <c r="J42" i="9"/>
  <c r="K42" i="9"/>
  <c r="L42" i="9"/>
  <c r="M42" i="9"/>
  <c r="N42" i="9"/>
  <c r="O42" i="9"/>
  <c r="P42" i="9"/>
  <c r="Q42" i="9"/>
  <c r="H43" i="9"/>
  <c r="I43" i="9"/>
  <c r="J43" i="9"/>
  <c r="K43" i="9"/>
  <c r="L43" i="9"/>
  <c r="M43" i="9"/>
  <c r="N43" i="9"/>
  <c r="O43" i="9"/>
  <c r="P43" i="9"/>
  <c r="Q43" i="9"/>
  <c r="H44" i="9"/>
  <c r="I44" i="9"/>
  <c r="J44" i="9"/>
  <c r="K44" i="9"/>
  <c r="L44" i="9"/>
  <c r="M44" i="9"/>
  <c r="N44" i="9"/>
  <c r="O44" i="9"/>
  <c r="P44" i="9"/>
  <c r="Q44" i="9"/>
  <c r="H45" i="9"/>
  <c r="I45" i="9"/>
  <c r="J45" i="9"/>
  <c r="K45" i="9"/>
  <c r="L45" i="9"/>
  <c r="M45" i="9"/>
  <c r="N45" i="9"/>
  <c r="O45" i="9"/>
  <c r="P45" i="9"/>
  <c r="Q45" i="9"/>
  <c r="H46" i="9"/>
  <c r="I46" i="9"/>
  <c r="J46" i="9"/>
  <c r="K46" i="9"/>
  <c r="L46" i="9"/>
  <c r="M46" i="9"/>
  <c r="N46" i="9"/>
  <c r="O46" i="9"/>
  <c r="P46" i="9"/>
  <c r="Q46" i="9"/>
  <c r="H47" i="9"/>
  <c r="I47" i="9"/>
  <c r="J47" i="9"/>
  <c r="K47" i="9"/>
  <c r="L47" i="9"/>
  <c r="M47" i="9"/>
  <c r="N47" i="9"/>
  <c r="O47" i="9"/>
  <c r="P47" i="9"/>
  <c r="Q47" i="9"/>
  <c r="H48" i="9"/>
  <c r="I48" i="9"/>
  <c r="J48" i="9"/>
  <c r="K48" i="9"/>
  <c r="L48" i="9"/>
  <c r="M48" i="9"/>
  <c r="N48" i="9"/>
  <c r="O48" i="9"/>
  <c r="P48" i="9"/>
  <c r="Q48" i="9"/>
  <c r="H49" i="9"/>
  <c r="I49" i="9"/>
  <c r="J49" i="9"/>
  <c r="K49" i="9"/>
  <c r="L49" i="9"/>
  <c r="M49" i="9"/>
  <c r="N49" i="9"/>
  <c r="O49" i="9"/>
  <c r="P49" i="9"/>
  <c r="Q49" i="9"/>
  <c r="H50" i="9"/>
  <c r="I50" i="9"/>
  <c r="J50" i="9"/>
  <c r="K50" i="9"/>
  <c r="L50" i="9"/>
  <c r="M50" i="9"/>
  <c r="N50" i="9"/>
  <c r="O50" i="9"/>
  <c r="P50" i="9"/>
  <c r="Q50" i="9"/>
  <c r="H51" i="9"/>
  <c r="I51" i="9"/>
  <c r="J51" i="9"/>
  <c r="K51" i="9"/>
  <c r="L51" i="9"/>
  <c r="M51" i="9"/>
  <c r="N51" i="9"/>
  <c r="O51" i="9"/>
  <c r="P51" i="9"/>
  <c r="Q51" i="9"/>
  <c r="H52" i="9"/>
  <c r="I52" i="9"/>
  <c r="J52" i="9"/>
  <c r="K52" i="9"/>
  <c r="L52" i="9"/>
  <c r="M52" i="9"/>
  <c r="N52" i="9"/>
  <c r="O52" i="9"/>
  <c r="P52" i="9"/>
  <c r="Q52" i="9"/>
  <c r="H53" i="9"/>
  <c r="I53" i="9"/>
  <c r="J53" i="9"/>
  <c r="K53" i="9"/>
  <c r="L53" i="9"/>
  <c r="M53" i="9"/>
  <c r="N53" i="9"/>
  <c r="O53" i="9"/>
  <c r="P53" i="9"/>
  <c r="Q53" i="9"/>
  <c r="H54" i="9"/>
  <c r="I54" i="9"/>
  <c r="J54" i="9"/>
  <c r="K54" i="9"/>
  <c r="L54" i="9"/>
  <c r="M54" i="9"/>
  <c r="N54" i="9"/>
  <c r="O54" i="9"/>
  <c r="P54" i="9"/>
  <c r="Q54" i="9"/>
  <c r="H55" i="9"/>
  <c r="I55" i="9"/>
  <c r="J55" i="9"/>
  <c r="K55" i="9"/>
  <c r="L55" i="9"/>
  <c r="M55" i="9"/>
  <c r="N55" i="9"/>
  <c r="O55" i="9"/>
  <c r="P55" i="9"/>
  <c r="Q55" i="9"/>
  <c r="H56" i="9"/>
  <c r="I56" i="9"/>
  <c r="J56" i="9"/>
  <c r="K56" i="9"/>
  <c r="L56" i="9"/>
  <c r="M56" i="9"/>
  <c r="N56" i="9"/>
  <c r="O56" i="9"/>
  <c r="P56" i="9"/>
  <c r="Q56" i="9"/>
  <c r="H57" i="9"/>
  <c r="I57" i="9"/>
  <c r="J57" i="9"/>
  <c r="K57" i="9"/>
  <c r="L57" i="9"/>
  <c r="M57" i="9"/>
  <c r="N57" i="9"/>
  <c r="O57" i="9"/>
  <c r="P57" i="9"/>
  <c r="Q57" i="9"/>
  <c r="H58" i="9"/>
  <c r="I58" i="9"/>
  <c r="J58" i="9"/>
  <c r="K58" i="9"/>
  <c r="L58" i="9"/>
  <c r="M58" i="9"/>
  <c r="N58" i="9"/>
  <c r="O58" i="9"/>
  <c r="P58" i="9"/>
  <c r="Q58" i="9"/>
  <c r="H59" i="9"/>
  <c r="I59" i="9"/>
  <c r="J59" i="9"/>
  <c r="K59" i="9"/>
  <c r="L59" i="9"/>
  <c r="M59" i="9"/>
  <c r="N59" i="9"/>
  <c r="O59" i="9"/>
  <c r="P59" i="9"/>
  <c r="Q59" i="9"/>
  <c r="H60" i="9"/>
  <c r="I60" i="9"/>
  <c r="J60" i="9"/>
  <c r="K60" i="9"/>
  <c r="L60" i="9"/>
  <c r="M60" i="9"/>
  <c r="N60" i="9"/>
  <c r="O60" i="9"/>
  <c r="P60" i="9"/>
  <c r="Q60" i="9"/>
  <c r="H61" i="9"/>
  <c r="I61" i="9"/>
  <c r="J61" i="9"/>
  <c r="K61" i="9"/>
  <c r="L61" i="9"/>
  <c r="M61" i="9"/>
  <c r="N61" i="9"/>
  <c r="O61" i="9"/>
  <c r="P61" i="9"/>
  <c r="Q61" i="9"/>
  <c r="H62" i="9"/>
  <c r="I62" i="9"/>
  <c r="J62" i="9"/>
  <c r="K62" i="9"/>
  <c r="L62" i="9"/>
  <c r="M62" i="9"/>
  <c r="N62" i="9"/>
  <c r="O62" i="9"/>
  <c r="P62" i="9"/>
  <c r="Q62" i="9"/>
  <c r="H63" i="9"/>
  <c r="I63" i="9"/>
  <c r="J63" i="9"/>
  <c r="K63" i="9"/>
  <c r="L63" i="9"/>
  <c r="M63" i="9"/>
  <c r="N63" i="9"/>
  <c r="O63" i="9"/>
  <c r="P63" i="9"/>
  <c r="Q63" i="9"/>
  <c r="H64" i="9"/>
  <c r="I64" i="9"/>
  <c r="J64" i="9"/>
  <c r="K64" i="9"/>
  <c r="L64" i="9"/>
  <c r="M64" i="9"/>
  <c r="N64" i="9"/>
  <c r="O64" i="9"/>
  <c r="P64" i="9"/>
  <c r="Q64" i="9"/>
  <c r="H65" i="9"/>
  <c r="I65" i="9"/>
  <c r="J65" i="9"/>
  <c r="K65" i="9"/>
  <c r="L65" i="9"/>
  <c r="M65" i="9"/>
  <c r="N65" i="9"/>
  <c r="O65" i="9"/>
  <c r="P65" i="9"/>
  <c r="Q65" i="9"/>
  <c r="H66" i="9"/>
  <c r="I66" i="9"/>
  <c r="J66" i="9"/>
  <c r="K66" i="9"/>
  <c r="L66" i="9"/>
  <c r="M66" i="9"/>
  <c r="N66" i="9"/>
  <c r="O66" i="9"/>
  <c r="P66" i="9"/>
  <c r="Q66" i="9"/>
  <c r="H67" i="9"/>
  <c r="I67" i="9"/>
  <c r="J67" i="9"/>
  <c r="K67" i="9"/>
  <c r="L67" i="9"/>
  <c r="M67" i="9"/>
  <c r="N67" i="9"/>
  <c r="O67" i="9"/>
  <c r="P67" i="9"/>
  <c r="Q67" i="9"/>
  <c r="H68" i="9"/>
  <c r="I68" i="9"/>
  <c r="J68" i="9"/>
  <c r="K68" i="9"/>
  <c r="L68" i="9"/>
  <c r="M68" i="9"/>
  <c r="N68" i="9"/>
  <c r="O68" i="9"/>
  <c r="P68" i="9"/>
  <c r="Q68" i="9"/>
  <c r="H69" i="9"/>
  <c r="I69" i="9"/>
  <c r="J69" i="9"/>
  <c r="K69" i="9"/>
  <c r="L69" i="9"/>
  <c r="M69" i="9"/>
  <c r="N69" i="9"/>
  <c r="O69" i="9"/>
  <c r="P69" i="9"/>
  <c r="Q69" i="9"/>
  <c r="H70" i="9"/>
  <c r="I70" i="9"/>
  <c r="J70" i="9"/>
  <c r="K70" i="9"/>
  <c r="L70" i="9"/>
  <c r="M70" i="9"/>
  <c r="N70" i="9"/>
  <c r="O70" i="9"/>
  <c r="P70" i="9"/>
  <c r="Q70" i="9"/>
  <c r="H71" i="9"/>
  <c r="I71" i="9"/>
  <c r="J71" i="9"/>
  <c r="K71" i="9"/>
  <c r="L71" i="9"/>
  <c r="M71" i="9"/>
  <c r="N71" i="9"/>
  <c r="O71" i="9"/>
  <c r="P71" i="9"/>
  <c r="Q71" i="9"/>
  <c r="H72" i="9"/>
  <c r="I72" i="9"/>
  <c r="J72" i="9"/>
  <c r="K72" i="9"/>
  <c r="L72" i="9"/>
  <c r="M72" i="9"/>
  <c r="N72" i="9"/>
  <c r="O72" i="9"/>
  <c r="P72" i="9"/>
  <c r="Q72" i="9"/>
  <c r="H73" i="9"/>
  <c r="I73" i="9"/>
  <c r="J73" i="9"/>
  <c r="K73" i="9"/>
  <c r="L73" i="9"/>
  <c r="M73" i="9"/>
  <c r="N73" i="9"/>
  <c r="O73" i="9"/>
  <c r="P73" i="9"/>
  <c r="Q73" i="9"/>
  <c r="H74" i="9"/>
  <c r="I74" i="9"/>
  <c r="J74" i="9"/>
  <c r="K74" i="9"/>
  <c r="L74" i="9"/>
  <c r="M74" i="9"/>
  <c r="N74" i="9"/>
  <c r="O74" i="9"/>
  <c r="P74" i="9"/>
  <c r="Q74" i="9"/>
  <c r="H75" i="9"/>
  <c r="I75" i="9"/>
  <c r="J75" i="9"/>
  <c r="K75" i="9"/>
  <c r="L75" i="9"/>
  <c r="M75" i="9"/>
  <c r="N75" i="9"/>
  <c r="O75" i="9"/>
  <c r="P75" i="9"/>
  <c r="Q75" i="9"/>
  <c r="H76" i="9"/>
  <c r="I76" i="9"/>
  <c r="J76" i="9"/>
  <c r="K76" i="9"/>
  <c r="L76" i="9"/>
  <c r="M76" i="9"/>
  <c r="N76" i="9"/>
  <c r="O76" i="9"/>
  <c r="P76" i="9"/>
  <c r="Q76" i="9"/>
  <c r="H77" i="9"/>
  <c r="I77" i="9"/>
  <c r="J77" i="9"/>
  <c r="K77" i="9"/>
  <c r="L77" i="9"/>
  <c r="M77" i="9"/>
  <c r="N77" i="9"/>
  <c r="O77" i="9"/>
  <c r="P77" i="9"/>
  <c r="Q77" i="9"/>
  <c r="H78" i="9"/>
  <c r="I78" i="9"/>
  <c r="J78" i="9"/>
  <c r="K78" i="9"/>
  <c r="L78" i="9"/>
  <c r="M78" i="9"/>
  <c r="N78" i="9"/>
  <c r="O78" i="9"/>
  <c r="P78" i="9"/>
  <c r="Q78" i="9"/>
  <c r="H79" i="9"/>
  <c r="I79" i="9"/>
  <c r="J79" i="9"/>
  <c r="K79" i="9"/>
  <c r="L79" i="9"/>
  <c r="M79" i="9"/>
  <c r="N79" i="9"/>
  <c r="O79" i="9"/>
  <c r="P79" i="9"/>
  <c r="Q79" i="9"/>
  <c r="H80" i="9"/>
  <c r="I80" i="9"/>
  <c r="J80" i="9"/>
  <c r="K80" i="9"/>
  <c r="L80" i="9"/>
  <c r="M80" i="9"/>
  <c r="N80" i="9"/>
  <c r="O80" i="9"/>
  <c r="P80" i="9"/>
  <c r="Q80" i="9"/>
  <c r="G10" i="9"/>
  <c r="U10" i="24" s="1"/>
  <c r="G11" i="9"/>
  <c r="U11" i="24" s="1"/>
  <c r="G12" i="9"/>
  <c r="U12" i="24" s="1"/>
  <c r="G13" i="9"/>
  <c r="U13" i="24" s="1"/>
  <c r="G14" i="9"/>
  <c r="U14" i="24" s="1"/>
  <c r="G15" i="9"/>
  <c r="U15" i="24" s="1"/>
  <c r="G16" i="9"/>
  <c r="U16" i="24" s="1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S10" i="9"/>
  <c r="AG10" i="24" s="1"/>
  <c r="S11" i="9"/>
  <c r="AG11" i="24" s="1"/>
  <c r="S12" i="9"/>
  <c r="AG12" i="24" s="1"/>
  <c r="S13" i="9"/>
  <c r="AG13" i="24" s="1"/>
  <c r="S14" i="9"/>
  <c r="AG14" i="24" s="1"/>
  <c r="S15" i="9"/>
  <c r="AG15" i="24" s="1"/>
  <c r="S16" i="9"/>
  <c r="AG16" i="24" s="1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E42" i="18"/>
  <c r="T70" i="24" s="1"/>
  <c r="E43" i="18"/>
  <c r="T71" i="24" s="1"/>
  <c r="E44" i="18"/>
  <c r="T72" i="24" s="1"/>
  <c r="E45" i="18"/>
  <c r="T73" i="24" s="1"/>
  <c r="E46" i="18"/>
  <c r="T74" i="24" s="1"/>
  <c r="E47" i="18"/>
  <c r="T75" i="24" s="1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B16" i="23" l="1"/>
  <c r="B17" i="23" s="1"/>
  <c r="B18" i="23" s="1"/>
  <c r="B19" i="23" s="1"/>
  <c r="B20" i="23" s="1"/>
  <c r="B21" i="23" s="1"/>
  <c r="B22" i="23" s="1"/>
  <c r="B23" i="23" s="1"/>
  <c r="B24" i="23" s="1"/>
  <c r="B25" i="23" s="1"/>
  <c r="B8" i="22"/>
  <c r="B8" i="20"/>
  <c r="B7" i="20"/>
  <c r="H2" i="20"/>
  <c r="I2" i="20"/>
  <c r="J2" i="20"/>
  <c r="K2" i="20"/>
  <c r="L2" i="20"/>
  <c r="M2" i="20"/>
  <c r="Q2" i="20"/>
  <c r="R2" i="20"/>
  <c r="S2" i="20"/>
  <c r="T2" i="20"/>
  <c r="U2" i="20"/>
  <c r="G2" i="20"/>
  <c r="B26" i="23" l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9" i="22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43" i="23" l="1"/>
  <c r="B44" i="23" s="1"/>
  <c r="B45" i="23" s="1"/>
  <c r="B10" i="9"/>
  <c r="B46" i="23" l="1"/>
  <c r="G42" i="18"/>
  <c r="V70" i="24" s="1"/>
  <c r="H42" i="18"/>
  <c r="W70" i="24" s="1"/>
  <c r="I42" i="18"/>
  <c r="X70" i="24" s="1"/>
  <c r="J42" i="18"/>
  <c r="Y70" i="24" s="1"/>
  <c r="K42" i="18"/>
  <c r="Z70" i="24" s="1"/>
  <c r="L42" i="18"/>
  <c r="AA70" i="24" s="1"/>
  <c r="M42" i="18"/>
  <c r="AB70" i="24" s="1"/>
  <c r="N42" i="18"/>
  <c r="AC70" i="24" s="1"/>
  <c r="O42" i="18"/>
  <c r="AD70" i="24" s="1"/>
  <c r="P42" i="18"/>
  <c r="AE70" i="24" s="1"/>
  <c r="Q42" i="18"/>
  <c r="AF70" i="24" s="1"/>
  <c r="R42" i="18"/>
  <c r="AG70" i="24" s="1"/>
  <c r="S42" i="18"/>
  <c r="AH70" i="24" s="1"/>
  <c r="T42" i="18"/>
  <c r="AI70" i="24" s="1"/>
  <c r="U42" i="18"/>
  <c r="AJ70" i="24" s="1"/>
  <c r="V42" i="18"/>
  <c r="AK70" i="24" s="1"/>
  <c r="G43" i="18"/>
  <c r="V71" i="24" s="1"/>
  <c r="H43" i="18"/>
  <c r="W71" i="24" s="1"/>
  <c r="I43" i="18"/>
  <c r="X71" i="24" s="1"/>
  <c r="J43" i="18"/>
  <c r="Y71" i="24" s="1"/>
  <c r="K43" i="18"/>
  <c r="Z71" i="24" s="1"/>
  <c r="L43" i="18"/>
  <c r="AA71" i="24" s="1"/>
  <c r="M43" i="18"/>
  <c r="AB71" i="24" s="1"/>
  <c r="N43" i="18"/>
  <c r="AC71" i="24" s="1"/>
  <c r="O43" i="18"/>
  <c r="AD71" i="24" s="1"/>
  <c r="P43" i="18"/>
  <c r="AE71" i="24" s="1"/>
  <c r="Q43" i="18"/>
  <c r="AF71" i="24" s="1"/>
  <c r="R43" i="18"/>
  <c r="AG71" i="24" s="1"/>
  <c r="S43" i="18"/>
  <c r="AH71" i="24" s="1"/>
  <c r="T43" i="18"/>
  <c r="AI71" i="24" s="1"/>
  <c r="U43" i="18"/>
  <c r="AJ71" i="24" s="1"/>
  <c r="V43" i="18"/>
  <c r="AK71" i="24" s="1"/>
  <c r="G44" i="18"/>
  <c r="V72" i="24" s="1"/>
  <c r="H44" i="18"/>
  <c r="W72" i="24" s="1"/>
  <c r="I44" i="18"/>
  <c r="X72" i="24" s="1"/>
  <c r="J44" i="18"/>
  <c r="Y72" i="24" s="1"/>
  <c r="K44" i="18"/>
  <c r="Z72" i="24" s="1"/>
  <c r="L44" i="18"/>
  <c r="AA72" i="24" s="1"/>
  <c r="M44" i="18"/>
  <c r="AB72" i="24" s="1"/>
  <c r="N44" i="18"/>
  <c r="AC72" i="24" s="1"/>
  <c r="O44" i="18"/>
  <c r="AD72" i="24" s="1"/>
  <c r="P44" i="18"/>
  <c r="AE72" i="24" s="1"/>
  <c r="Q44" i="18"/>
  <c r="AF72" i="24" s="1"/>
  <c r="R44" i="18"/>
  <c r="AG72" i="24" s="1"/>
  <c r="S44" i="18"/>
  <c r="AH72" i="24" s="1"/>
  <c r="T44" i="18"/>
  <c r="AI72" i="24" s="1"/>
  <c r="U44" i="18"/>
  <c r="AJ72" i="24" s="1"/>
  <c r="V44" i="18"/>
  <c r="AK72" i="24" s="1"/>
  <c r="G45" i="18"/>
  <c r="V73" i="24" s="1"/>
  <c r="H45" i="18"/>
  <c r="W73" i="24" s="1"/>
  <c r="I45" i="18"/>
  <c r="X73" i="24" s="1"/>
  <c r="J45" i="18"/>
  <c r="Y73" i="24" s="1"/>
  <c r="K45" i="18"/>
  <c r="Z73" i="24" s="1"/>
  <c r="L45" i="18"/>
  <c r="AA73" i="24" s="1"/>
  <c r="M45" i="18"/>
  <c r="AB73" i="24" s="1"/>
  <c r="N45" i="18"/>
  <c r="AC73" i="24" s="1"/>
  <c r="O45" i="18"/>
  <c r="AD73" i="24" s="1"/>
  <c r="P45" i="18"/>
  <c r="AE73" i="24" s="1"/>
  <c r="Q45" i="18"/>
  <c r="AF73" i="24" s="1"/>
  <c r="R45" i="18"/>
  <c r="AG73" i="24" s="1"/>
  <c r="S45" i="18"/>
  <c r="AH73" i="24" s="1"/>
  <c r="T45" i="18"/>
  <c r="AI73" i="24" s="1"/>
  <c r="U45" i="18"/>
  <c r="AJ73" i="24" s="1"/>
  <c r="V45" i="18"/>
  <c r="AK73" i="24" s="1"/>
  <c r="G46" i="18"/>
  <c r="V74" i="24" s="1"/>
  <c r="H46" i="18"/>
  <c r="W74" i="24" s="1"/>
  <c r="I46" i="18"/>
  <c r="X74" i="24" s="1"/>
  <c r="J46" i="18"/>
  <c r="Y74" i="24" s="1"/>
  <c r="K46" i="18"/>
  <c r="Z74" i="24" s="1"/>
  <c r="L46" i="18"/>
  <c r="AA74" i="24" s="1"/>
  <c r="M46" i="18"/>
  <c r="AB74" i="24" s="1"/>
  <c r="N46" i="18"/>
  <c r="AC74" i="24" s="1"/>
  <c r="O46" i="18"/>
  <c r="AD74" i="24" s="1"/>
  <c r="P46" i="18"/>
  <c r="AE74" i="24" s="1"/>
  <c r="Q46" i="18"/>
  <c r="AF74" i="24" s="1"/>
  <c r="R46" i="18"/>
  <c r="AG74" i="24" s="1"/>
  <c r="S46" i="18"/>
  <c r="AH74" i="24" s="1"/>
  <c r="T46" i="18"/>
  <c r="AI74" i="24" s="1"/>
  <c r="U46" i="18"/>
  <c r="AJ74" i="24" s="1"/>
  <c r="V46" i="18"/>
  <c r="AK74" i="24" s="1"/>
  <c r="G47" i="18"/>
  <c r="V75" i="24" s="1"/>
  <c r="H47" i="18"/>
  <c r="W75" i="24" s="1"/>
  <c r="I47" i="18"/>
  <c r="X75" i="24" s="1"/>
  <c r="J47" i="18"/>
  <c r="Y75" i="24" s="1"/>
  <c r="K47" i="18"/>
  <c r="Z75" i="24" s="1"/>
  <c r="L47" i="18"/>
  <c r="AA75" i="24" s="1"/>
  <c r="M47" i="18"/>
  <c r="AB75" i="24" s="1"/>
  <c r="N47" i="18"/>
  <c r="AC75" i="24" s="1"/>
  <c r="O47" i="18"/>
  <c r="AD75" i="24" s="1"/>
  <c r="P47" i="18"/>
  <c r="AE75" i="24" s="1"/>
  <c r="Q47" i="18"/>
  <c r="AF75" i="24" s="1"/>
  <c r="R47" i="18"/>
  <c r="AG75" i="24" s="1"/>
  <c r="S47" i="18"/>
  <c r="AH75" i="24" s="1"/>
  <c r="T47" i="18"/>
  <c r="AI75" i="24" s="1"/>
  <c r="U47" i="18"/>
  <c r="AJ75" i="24" s="1"/>
  <c r="V47" i="18"/>
  <c r="AK75" i="24" s="1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F42" i="18"/>
  <c r="U70" i="24" s="1"/>
  <c r="F43" i="18"/>
  <c r="U71" i="24" s="1"/>
  <c r="F44" i="18"/>
  <c r="U72" i="24" s="1"/>
  <c r="F45" i="18"/>
  <c r="U73" i="24" s="1"/>
  <c r="F46" i="18"/>
  <c r="U74" i="24" s="1"/>
  <c r="F47" i="18"/>
  <c r="U75" i="24" s="1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D80" i="18"/>
  <c r="B80" i="18"/>
  <c r="D79" i="18"/>
  <c r="B79" i="18"/>
  <c r="D78" i="18"/>
  <c r="B78" i="18"/>
  <c r="D77" i="18"/>
  <c r="B77" i="18"/>
  <c r="D76" i="18"/>
  <c r="B76" i="18"/>
  <c r="D75" i="18"/>
  <c r="B75" i="18"/>
  <c r="D74" i="18"/>
  <c r="B74" i="18"/>
  <c r="D73" i="18"/>
  <c r="B73" i="18"/>
  <c r="D72" i="18"/>
  <c r="B72" i="18"/>
  <c r="D71" i="18"/>
  <c r="B71" i="18"/>
  <c r="D70" i="18"/>
  <c r="B70" i="18"/>
  <c r="D69" i="18"/>
  <c r="B69" i="18"/>
  <c r="D68" i="18"/>
  <c r="B68" i="18"/>
  <c r="D67" i="18"/>
  <c r="B67" i="18"/>
  <c r="D66" i="18"/>
  <c r="B66" i="18"/>
  <c r="D65" i="18"/>
  <c r="B65" i="18"/>
  <c r="D64" i="18"/>
  <c r="B64" i="18"/>
  <c r="D63" i="18"/>
  <c r="B63" i="18"/>
  <c r="D62" i="18"/>
  <c r="B62" i="18"/>
  <c r="D61" i="18"/>
  <c r="B61" i="18"/>
  <c r="D60" i="18"/>
  <c r="B60" i="18"/>
  <c r="D59" i="18"/>
  <c r="B59" i="18"/>
  <c r="D58" i="18"/>
  <c r="B58" i="18"/>
  <c r="D57" i="18"/>
  <c r="B57" i="18"/>
  <c r="D56" i="18"/>
  <c r="B56" i="18"/>
  <c r="D55" i="18"/>
  <c r="B55" i="18"/>
  <c r="D54" i="18"/>
  <c r="B54" i="18"/>
  <c r="D53" i="18"/>
  <c r="B53" i="18"/>
  <c r="D52" i="18"/>
  <c r="B52" i="18"/>
  <c r="D51" i="18"/>
  <c r="B51" i="18"/>
  <c r="D50" i="18"/>
  <c r="B50" i="18"/>
  <c r="D49" i="18"/>
  <c r="B49" i="18"/>
  <c r="D48" i="18"/>
  <c r="B48" i="18"/>
  <c r="D47" i="18"/>
  <c r="S75" i="24" s="1"/>
  <c r="B47" i="18"/>
  <c r="D46" i="18"/>
  <c r="S74" i="24" s="1"/>
  <c r="B46" i="18"/>
  <c r="D45" i="18"/>
  <c r="S73" i="24" s="1"/>
  <c r="B45" i="18"/>
  <c r="D44" i="18"/>
  <c r="S72" i="24" s="1"/>
  <c r="B44" i="18"/>
  <c r="D43" i="18"/>
  <c r="S71" i="24" s="1"/>
  <c r="B43" i="18"/>
  <c r="D42" i="18"/>
  <c r="S70" i="24" s="1"/>
  <c r="B42" i="18"/>
  <c r="B5" i="18"/>
  <c r="F15" i="9"/>
  <c r="T15" i="24" s="1"/>
  <c r="F16" i="9"/>
  <c r="T16" i="24" s="1"/>
  <c r="F17" i="9"/>
  <c r="F18" i="9"/>
  <c r="F19" i="9"/>
  <c r="F20" i="9"/>
  <c r="F21" i="9"/>
  <c r="F22" i="9"/>
  <c r="F23" i="9"/>
  <c r="F28" i="9"/>
  <c r="F10" i="9"/>
  <c r="T10" i="24" s="1"/>
  <c r="F11" i="9"/>
  <c r="T11" i="24" s="1"/>
  <c r="F12" i="9"/>
  <c r="T12" i="24" s="1"/>
  <c r="F13" i="9"/>
  <c r="T13" i="24" s="1"/>
  <c r="F14" i="9"/>
  <c r="T14" i="24" s="1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10" i="9"/>
  <c r="E11" i="9"/>
  <c r="E12" i="9"/>
  <c r="E13" i="9"/>
  <c r="E14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D15" i="9"/>
  <c r="D16" i="9"/>
  <c r="D17" i="9"/>
  <c r="D18" i="9"/>
  <c r="D19" i="9"/>
  <c r="D20" i="9"/>
  <c r="D21" i="9"/>
  <c r="D22" i="9"/>
  <c r="D23" i="9"/>
  <c r="D24" i="9"/>
  <c r="D25" i="9"/>
  <c r="F25" i="9" s="1"/>
  <c r="D26" i="9"/>
  <c r="F26" i="9" s="1"/>
  <c r="D27" i="9"/>
  <c r="F27" i="9" s="1"/>
  <c r="D28" i="9"/>
  <c r="D10" i="9"/>
  <c r="D11" i="9"/>
  <c r="D12" i="9"/>
  <c r="D13" i="9"/>
  <c r="D14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B47" i="23" l="1"/>
  <c r="F24" i="9"/>
  <c r="B6" i="18"/>
  <c r="B48" i="23" l="1"/>
  <c r="B17" i="22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7" i="18"/>
  <c r="B8" i="18" s="1"/>
  <c r="B49" i="23" l="1"/>
  <c r="B9" i="18"/>
  <c r="B50" i="23" l="1"/>
  <c r="B51" i="23"/>
  <c r="B52" i="23" s="1"/>
  <c r="B53" i="23" s="1"/>
  <c r="B10" i="18"/>
  <c r="B54" i="23" l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11" i="18"/>
  <c r="B12" i="18" l="1"/>
  <c r="B13" i="18" l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l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E3" i="15" l="1"/>
  <c r="E30" i="2"/>
  <c r="D30" i="2"/>
  <c r="E29" i="2"/>
  <c r="D29" i="2"/>
  <c r="E28" i="2"/>
  <c r="D28" i="2"/>
  <c r="E27" i="2"/>
  <c r="D27" i="2"/>
  <c r="E26" i="2"/>
  <c r="D26" i="2"/>
  <c r="D25" i="2"/>
  <c r="AD23" i="2"/>
  <c r="AC23" i="2"/>
  <c r="AB23" i="2"/>
  <c r="AA23" i="2"/>
  <c r="V23" i="2"/>
  <c r="AV23" i="2" s="1"/>
  <c r="U23" i="2"/>
  <c r="S23" i="2"/>
  <c r="AS23" i="2" s="1"/>
  <c r="R23" i="2"/>
  <c r="P23" i="2"/>
  <c r="AP23" i="2" s="1"/>
  <c r="O23" i="2"/>
  <c r="AO23" i="2" s="1"/>
  <c r="N23" i="2"/>
  <c r="AN23" i="2" s="1"/>
  <c r="M23" i="2"/>
  <c r="AM23" i="2" s="1"/>
  <c r="L23" i="2"/>
  <c r="AL23" i="2" s="1"/>
  <c r="K23" i="2"/>
  <c r="AK23" i="2" s="1"/>
  <c r="J23" i="2"/>
  <c r="AJ23" i="2" s="1"/>
  <c r="I23" i="2"/>
  <c r="AI23" i="2" s="1"/>
  <c r="H23" i="2"/>
  <c r="AH23" i="2" s="1"/>
  <c r="G23" i="2"/>
  <c r="AG23" i="2" s="1"/>
  <c r="D22" i="2"/>
  <c r="AC22" i="2" s="1"/>
  <c r="D21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W20" i="2"/>
  <c r="T20" i="2"/>
  <c r="Q20" i="2"/>
  <c r="F20" i="2"/>
  <c r="C20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W19" i="2"/>
  <c r="T19" i="2"/>
  <c r="Q19" i="2"/>
  <c r="F19" i="2"/>
  <c r="C19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W18" i="2"/>
  <c r="T18" i="2"/>
  <c r="Q18" i="2"/>
  <c r="F18" i="2"/>
  <c r="C18" i="2"/>
  <c r="AV17" i="2"/>
  <c r="AU17" i="2"/>
  <c r="AS17" i="2"/>
  <c r="AR17" i="2"/>
  <c r="AP17" i="2"/>
  <c r="AO17" i="2"/>
  <c r="AN17" i="2"/>
  <c r="AM17" i="2"/>
  <c r="AL17" i="2"/>
  <c r="AK17" i="2"/>
  <c r="AJ17" i="2"/>
  <c r="AI17" i="2"/>
  <c r="AH17" i="2"/>
  <c r="AG17" i="2"/>
  <c r="AD17" i="2"/>
  <c r="AC17" i="2"/>
  <c r="AB17" i="2"/>
  <c r="AA17" i="2"/>
  <c r="Z17" i="2"/>
  <c r="W17" i="2"/>
  <c r="AW17" i="2" s="1"/>
  <c r="T17" i="2"/>
  <c r="AT17" i="2" s="1"/>
  <c r="Q17" i="2"/>
  <c r="AQ17" i="2" s="1"/>
  <c r="F17" i="2"/>
  <c r="AF17" i="2" s="1"/>
  <c r="AV16" i="2"/>
  <c r="AU16" i="2"/>
  <c r="AS16" i="2"/>
  <c r="AR16" i="2"/>
  <c r="AP16" i="2"/>
  <c r="AO16" i="2"/>
  <c r="AN16" i="2"/>
  <c r="AM16" i="2"/>
  <c r="AL16" i="2"/>
  <c r="AK16" i="2"/>
  <c r="AJ16" i="2"/>
  <c r="AI16" i="2"/>
  <c r="AH16" i="2"/>
  <c r="AG16" i="2"/>
  <c r="AD16" i="2"/>
  <c r="AC16" i="2"/>
  <c r="AB16" i="2"/>
  <c r="AA16" i="2"/>
  <c r="Z16" i="2"/>
  <c r="W16" i="2"/>
  <c r="AW16" i="2" s="1"/>
  <c r="T16" i="2"/>
  <c r="AT16" i="2" s="1"/>
  <c r="Q16" i="2"/>
  <c r="AQ16" i="2" s="1"/>
  <c r="F16" i="2"/>
  <c r="AF16" i="2" s="1"/>
  <c r="AV15" i="2"/>
  <c r="AU15" i="2"/>
  <c r="AS15" i="2"/>
  <c r="AR15" i="2"/>
  <c r="AP15" i="2"/>
  <c r="AO15" i="2"/>
  <c r="AN15" i="2"/>
  <c r="AM15" i="2"/>
  <c r="AL15" i="2"/>
  <c r="AK15" i="2"/>
  <c r="AJ15" i="2"/>
  <c r="AI15" i="2"/>
  <c r="AH15" i="2"/>
  <c r="AG15" i="2"/>
  <c r="AD15" i="2"/>
  <c r="AC15" i="2"/>
  <c r="AB15" i="2"/>
  <c r="AA15" i="2"/>
  <c r="Z15" i="2"/>
  <c r="W15" i="2"/>
  <c r="AW15" i="2" s="1"/>
  <c r="T15" i="2"/>
  <c r="AT15" i="2" s="1"/>
  <c r="Q15" i="2"/>
  <c r="AQ15" i="2" s="1"/>
  <c r="F15" i="2"/>
  <c r="AF15" i="2" s="1"/>
  <c r="AV14" i="2"/>
  <c r="AU14" i="2"/>
  <c r="AS14" i="2"/>
  <c r="AR14" i="2"/>
  <c r="AP14" i="2"/>
  <c r="AO14" i="2"/>
  <c r="AN14" i="2"/>
  <c r="AM14" i="2"/>
  <c r="AL14" i="2"/>
  <c r="AK14" i="2"/>
  <c r="AJ14" i="2"/>
  <c r="AI14" i="2"/>
  <c r="AH14" i="2"/>
  <c r="AG14" i="2"/>
  <c r="AD14" i="2"/>
  <c r="AC14" i="2"/>
  <c r="AB14" i="2"/>
  <c r="AA14" i="2"/>
  <c r="Z14" i="2"/>
  <c r="W14" i="2"/>
  <c r="AW14" i="2" s="1"/>
  <c r="T14" i="2"/>
  <c r="AT14" i="2" s="1"/>
  <c r="Q14" i="2"/>
  <c r="AQ14" i="2" s="1"/>
  <c r="F14" i="2"/>
  <c r="AF14" i="2" s="1"/>
  <c r="AV13" i="2"/>
  <c r="AU13" i="2"/>
  <c r="AS13" i="2"/>
  <c r="AR13" i="2"/>
  <c r="AP13" i="2"/>
  <c r="AO13" i="2"/>
  <c r="AN13" i="2"/>
  <c r="AM13" i="2"/>
  <c r="AL13" i="2"/>
  <c r="AK13" i="2"/>
  <c r="AJ13" i="2"/>
  <c r="AI13" i="2"/>
  <c r="AH13" i="2"/>
  <c r="AG13" i="2"/>
  <c r="AD13" i="2"/>
  <c r="AC13" i="2"/>
  <c r="AB13" i="2"/>
  <c r="AA13" i="2"/>
  <c r="Z13" i="2"/>
  <c r="W13" i="2"/>
  <c r="AW13" i="2" s="1"/>
  <c r="T13" i="2"/>
  <c r="AT13" i="2" s="1"/>
  <c r="Q13" i="2"/>
  <c r="AQ13" i="2" s="1"/>
  <c r="F13" i="2"/>
  <c r="AF13" i="2" s="1"/>
  <c r="AV12" i="2"/>
  <c r="AU12" i="2"/>
  <c r="AS12" i="2"/>
  <c r="AR12" i="2"/>
  <c r="AP12" i="2"/>
  <c r="AO12" i="2"/>
  <c r="AN12" i="2"/>
  <c r="AM12" i="2"/>
  <c r="AL12" i="2"/>
  <c r="AK12" i="2"/>
  <c r="AJ12" i="2"/>
  <c r="AI12" i="2"/>
  <c r="AH12" i="2"/>
  <c r="AG12" i="2"/>
  <c r="AD12" i="2"/>
  <c r="AC12" i="2"/>
  <c r="AB12" i="2"/>
  <c r="AA12" i="2"/>
  <c r="Z12" i="2"/>
  <c r="W12" i="2"/>
  <c r="AW12" i="2" s="1"/>
  <c r="T12" i="2"/>
  <c r="AT12" i="2" s="1"/>
  <c r="Q12" i="2"/>
  <c r="AQ12" i="2" s="1"/>
  <c r="F12" i="2"/>
  <c r="AF12" i="2" s="1"/>
  <c r="AV11" i="2"/>
  <c r="AU11" i="2"/>
  <c r="AS11" i="2"/>
  <c r="AR11" i="2"/>
  <c r="AP11" i="2"/>
  <c r="AO11" i="2"/>
  <c r="AN11" i="2"/>
  <c r="AM11" i="2"/>
  <c r="AL11" i="2"/>
  <c r="AK11" i="2"/>
  <c r="AJ11" i="2"/>
  <c r="AI11" i="2"/>
  <c r="AH11" i="2"/>
  <c r="AG11" i="2"/>
  <c r="AD11" i="2"/>
  <c r="AC11" i="2"/>
  <c r="AB11" i="2"/>
  <c r="AA11" i="2"/>
  <c r="Z11" i="2"/>
  <c r="W11" i="2"/>
  <c r="AW11" i="2" s="1"/>
  <c r="T11" i="2"/>
  <c r="AT11" i="2" s="1"/>
  <c r="Q11" i="2"/>
  <c r="AQ11" i="2" s="1"/>
  <c r="F11" i="2"/>
  <c r="AF11" i="2" s="1"/>
  <c r="AV10" i="2"/>
  <c r="AU10" i="2"/>
  <c r="AS10" i="2"/>
  <c r="AR10" i="2"/>
  <c r="AP10" i="2"/>
  <c r="AO10" i="2"/>
  <c r="AN10" i="2"/>
  <c r="AM10" i="2"/>
  <c r="AL10" i="2"/>
  <c r="AK10" i="2"/>
  <c r="AJ10" i="2"/>
  <c r="AI10" i="2"/>
  <c r="AH10" i="2"/>
  <c r="AG10" i="2"/>
  <c r="AD10" i="2"/>
  <c r="AC10" i="2"/>
  <c r="AB10" i="2"/>
  <c r="AA10" i="2"/>
  <c r="Z10" i="2"/>
  <c r="W10" i="2"/>
  <c r="AW10" i="2" s="1"/>
  <c r="T10" i="2"/>
  <c r="AT10" i="2" s="1"/>
  <c r="Q10" i="2"/>
  <c r="AQ10" i="2" s="1"/>
  <c r="F10" i="2"/>
  <c r="AF10" i="2" s="1"/>
  <c r="AV9" i="2"/>
  <c r="AU9" i="2"/>
  <c r="AS9" i="2"/>
  <c r="AR9" i="2"/>
  <c r="AP9" i="2"/>
  <c r="AO9" i="2"/>
  <c r="AN9" i="2"/>
  <c r="AM9" i="2"/>
  <c r="AL9" i="2"/>
  <c r="AK9" i="2"/>
  <c r="AJ9" i="2"/>
  <c r="AI9" i="2"/>
  <c r="AH9" i="2"/>
  <c r="AG9" i="2"/>
  <c r="AD9" i="2"/>
  <c r="AC9" i="2"/>
  <c r="AB9" i="2"/>
  <c r="AA9" i="2"/>
  <c r="Z9" i="2"/>
  <c r="W9" i="2"/>
  <c r="AW9" i="2" s="1"/>
  <c r="T9" i="2"/>
  <c r="AT9" i="2" s="1"/>
  <c r="Q9" i="2"/>
  <c r="AQ9" i="2" s="1"/>
  <c r="F9" i="2"/>
  <c r="AF9" i="2" s="1"/>
  <c r="AV8" i="2"/>
  <c r="AU8" i="2"/>
  <c r="AS8" i="2"/>
  <c r="AR8" i="2"/>
  <c r="AP8" i="2"/>
  <c r="AO8" i="2"/>
  <c r="AN8" i="2"/>
  <c r="AM8" i="2"/>
  <c r="AL8" i="2"/>
  <c r="AK8" i="2"/>
  <c r="AJ8" i="2"/>
  <c r="AI8" i="2"/>
  <c r="AH8" i="2"/>
  <c r="AG8" i="2"/>
  <c r="AD8" i="2"/>
  <c r="AC8" i="2"/>
  <c r="AB8" i="2"/>
  <c r="AA8" i="2"/>
  <c r="Z8" i="2"/>
  <c r="W8" i="2"/>
  <c r="AW8" i="2" s="1"/>
  <c r="T8" i="2"/>
  <c r="AT8" i="2" s="1"/>
  <c r="Q8" i="2"/>
  <c r="AQ8" i="2" s="1"/>
  <c r="F8" i="2"/>
  <c r="AF8" i="2" s="1"/>
  <c r="AV7" i="2"/>
  <c r="AU7" i="2"/>
  <c r="AS7" i="2"/>
  <c r="AR7" i="2"/>
  <c r="AP7" i="2"/>
  <c r="AO7" i="2"/>
  <c r="AN7" i="2"/>
  <c r="AM7" i="2"/>
  <c r="AL7" i="2"/>
  <c r="AK7" i="2"/>
  <c r="AJ7" i="2"/>
  <c r="AI7" i="2"/>
  <c r="AH7" i="2"/>
  <c r="AG7" i="2"/>
  <c r="AD7" i="2"/>
  <c r="AC7" i="2"/>
  <c r="AB7" i="2"/>
  <c r="AA7" i="2"/>
  <c r="Z7" i="2"/>
  <c r="W7" i="2"/>
  <c r="AW7" i="2" s="1"/>
  <c r="T7" i="2"/>
  <c r="AT7" i="2" s="1"/>
  <c r="Q7" i="2"/>
  <c r="AQ7" i="2" s="1"/>
  <c r="F7" i="2"/>
  <c r="AF7" i="2" s="1"/>
  <c r="C7" i="2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AV6" i="2"/>
  <c r="AU6" i="2"/>
  <c r="AS6" i="2"/>
  <c r="AR6" i="2"/>
  <c r="AP6" i="2"/>
  <c r="AO6" i="2"/>
  <c r="AN6" i="2"/>
  <c r="AM6" i="2"/>
  <c r="AL6" i="2"/>
  <c r="AK6" i="2"/>
  <c r="AJ6" i="2"/>
  <c r="AI6" i="2"/>
  <c r="AH6" i="2"/>
  <c r="AG6" i="2"/>
  <c r="AD6" i="2"/>
  <c r="AC6" i="2"/>
  <c r="AB6" i="2"/>
  <c r="AA6" i="2"/>
  <c r="Z6" i="2"/>
  <c r="W6" i="2"/>
  <c r="AW6" i="2" s="1"/>
  <c r="T6" i="2"/>
  <c r="AT6" i="2" s="1"/>
  <c r="Q6" i="2"/>
  <c r="AQ6" i="2" s="1"/>
  <c r="F6" i="2"/>
  <c r="AF6" i="2" s="1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D31" i="23" s="1"/>
  <c r="P40" i="1"/>
  <c r="O40" i="1"/>
  <c r="P39" i="1"/>
  <c r="O39" i="1"/>
  <c r="P38" i="1"/>
  <c r="O38" i="1"/>
  <c r="P37" i="1"/>
  <c r="O37" i="1"/>
  <c r="D40" i="23" s="1"/>
  <c r="P36" i="1"/>
  <c r="O36" i="1"/>
  <c r="D29" i="23" s="1"/>
  <c r="P35" i="1"/>
  <c r="O35" i="1"/>
  <c r="P34" i="1"/>
  <c r="O34" i="1"/>
  <c r="P33" i="1"/>
  <c r="O33" i="1"/>
  <c r="P32" i="1"/>
  <c r="O32" i="1"/>
  <c r="P31" i="1"/>
  <c r="O31" i="1"/>
  <c r="D28" i="23" s="1"/>
  <c r="P30" i="1"/>
  <c r="O30" i="1"/>
  <c r="P29" i="1"/>
  <c r="O29" i="1"/>
  <c r="P28" i="1"/>
  <c r="O28" i="1"/>
  <c r="P27" i="1"/>
  <c r="O27" i="1"/>
  <c r="P26" i="1"/>
  <c r="O26" i="1"/>
  <c r="P25" i="1"/>
  <c r="O25" i="1"/>
  <c r="D14" i="23" s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D36" i="23" s="1"/>
  <c r="P17" i="1"/>
  <c r="O17" i="1"/>
  <c r="D12" i="23" s="1"/>
  <c r="P16" i="1"/>
  <c r="O16" i="1"/>
  <c r="D23" i="23" s="1"/>
  <c r="P15" i="1"/>
  <c r="O15" i="1"/>
  <c r="O14" i="1"/>
  <c r="O13" i="1"/>
  <c r="O12" i="1"/>
  <c r="O11" i="1"/>
  <c r="O10" i="1"/>
  <c r="O9" i="1"/>
  <c r="O8" i="1"/>
  <c r="P7" i="1"/>
  <c r="P8" i="1" s="1"/>
  <c r="P9" i="1" s="1"/>
  <c r="P10" i="1" s="1"/>
  <c r="P11" i="1" s="1"/>
  <c r="P12" i="1" s="1"/>
  <c r="P13" i="1" s="1"/>
  <c r="P14" i="1" s="1"/>
  <c r="O7" i="1"/>
  <c r="P6" i="1"/>
  <c r="O6" i="1"/>
  <c r="D21" i="23" s="1"/>
  <c r="O5" i="1"/>
  <c r="D26" i="23" s="1"/>
  <c r="E5" i="1"/>
  <c r="C1" i="9" s="1"/>
  <c r="B90" i="5"/>
  <c r="B89" i="5"/>
  <c r="B88" i="5"/>
  <c r="B87" i="5"/>
  <c r="B86" i="5"/>
  <c r="B85" i="5"/>
  <c r="B84" i="5"/>
  <c r="B83" i="5"/>
  <c r="B9" i="5"/>
  <c r="B34" i="5"/>
  <c r="B50" i="5"/>
  <c r="B33" i="5"/>
  <c r="B49" i="5"/>
  <c r="B10" i="5"/>
  <c r="B35" i="5"/>
  <c r="B52" i="5"/>
  <c r="B8" i="5"/>
  <c r="B32" i="5"/>
  <c r="B47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1" i="5"/>
  <c r="B48" i="5"/>
  <c r="B46" i="5"/>
  <c r="B45" i="5"/>
  <c r="B44" i="5"/>
  <c r="B43" i="5"/>
  <c r="B42" i="5"/>
  <c r="B41" i="5"/>
  <c r="B40" i="5"/>
  <c r="B39" i="5"/>
  <c r="B38" i="5"/>
  <c r="B37" i="5"/>
  <c r="B36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7" i="5"/>
  <c r="B6" i="5"/>
  <c r="B5" i="5"/>
  <c r="B4" i="5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G249" i="14"/>
  <c r="F249" i="14"/>
  <c r="E249" i="14"/>
  <c r="D249" i="14"/>
  <c r="B249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G248" i="14"/>
  <c r="F248" i="14"/>
  <c r="E248" i="14"/>
  <c r="D248" i="14"/>
  <c r="B248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G247" i="14"/>
  <c r="F247" i="14"/>
  <c r="E247" i="14"/>
  <c r="D247" i="14"/>
  <c r="B247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G246" i="14"/>
  <c r="F246" i="14"/>
  <c r="E246" i="14"/>
  <c r="D246" i="14"/>
  <c r="B246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G245" i="14"/>
  <c r="F245" i="14"/>
  <c r="E245" i="14"/>
  <c r="D245" i="14"/>
  <c r="B245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G244" i="14"/>
  <c r="F244" i="14"/>
  <c r="E244" i="14"/>
  <c r="D244" i="14"/>
  <c r="B244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G243" i="14"/>
  <c r="F243" i="14"/>
  <c r="E243" i="14"/>
  <c r="D243" i="14"/>
  <c r="B243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G242" i="14"/>
  <c r="F242" i="14"/>
  <c r="E242" i="14"/>
  <c r="D242" i="14"/>
  <c r="B242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G241" i="14"/>
  <c r="F241" i="14"/>
  <c r="E241" i="14"/>
  <c r="D241" i="14"/>
  <c r="B241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D240" i="14"/>
  <c r="B240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G239" i="14"/>
  <c r="F239" i="14"/>
  <c r="E239" i="14"/>
  <c r="D239" i="14"/>
  <c r="B239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G238" i="14"/>
  <c r="F238" i="14"/>
  <c r="E238" i="14"/>
  <c r="D238" i="14"/>
  <c r="B238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G237" i="14"/>
  <c r="F237" i="14"/>
  <c r="E237" i="14"/>
  <c r="D237" i="14"/>
  <c r="B237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G236" i="14"/>
  <c r="F236" i="14"/>
  <c r="E236" i="14"/>
  <c r="D236" i="14"/>
  <c r="B236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G235" i="14"/>
  <c r="F235" i="14"/>
  <c r="E235" i="14"/>
  <c r="D235" i="14"/>
  <c r="B235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G234" i="14"/>
  <c r="F234" i="14"/>
  <c r="E234" i="14"/>
  <c r="D234" i="14"/>
  <c r="B234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G233" i="14"/>
  <c r="F233" i="14"/>
  <c r="E233" i="14"/>
  <c r="D233" i="14"/>
  <c r="B233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G232" i="14"/>
  <c r="F232" i="14"/>
  <c r="E232" i="14"/>
  <c r="D232" i="14"/>
  <c r="B232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G231" i="14"/>
  <c r="F231" i="14"/>
  <c r="E231" i="14"/>
  <c r="D231" i="14"/>
  <c r="B231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G230" i="14"/>
  <c r="F230" i="14"/>
  <c r="E230" i="14"/>
  <c r="D230" i="14"/>
  <c r="B230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G229" i="14"/>
  <c r="F229" i="14"/>
  <c r="E229" i="14"/>
  <c r="D229" i="14"/>
  <c r="B229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G228" i="14"/>
  <c r="F228" i="14"/>
  <c r="E228" i="14"/>
  <c r="D228" i="14"/>
  <c r="B228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D227" i="14"/>
  <c r="B227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D226" i="14"/>
  <c r="B226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G225" i="14"/>
  <c r="F225" i="14"/>
  <c r="E225" i="14"/>
  <c r="D225" i="14"/>
  <c r="B225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G224" i="14"/>
  <c r="F224" i="14"/>
  <c r="E224" i="14"/>
  <c r="D224" i="14"/>
  <c r="B224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G223" i="14"/>
  <c r="F223" i="14"/>
  <c r="E223" i="14"/>
  <c r="D223" i="14"/>
  <c r="B223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G222" i="14"/>
  <c r="F222" i="14"/>
  <c r="E222" i="14"/>
  <c r="D222" i="14"/>
  <c r="B222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G221" i="14"/>
  <c r="F221" i="14"/>
  <c r="E221" i="14"/>
  <c r="D221" i="14"/>
  <c r="B221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G220" i="14"/>
  <c r="F220" i="14"/>
  <c r="E220" i="14"/>
  <c r="D220" i="14"/>
  <c r="B220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G219" i="14"/>
  <c r="F219" i="14"/>
  <c r="E219" i="14"/>
  <c r="D219" i="14"/>
  <c r="B219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G218" i="14"/>
  <c r="F218" i="14"/>
  <c r="E218" i="14"/>
  <c r="D218" i="14"/>
  <c r="B218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G217" i="14"/>
  <c r="F217" i="14"/>
  <c r="E217" i="14"/>
  <c r="D217" i="14"/>
  <c r="B217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G216" i="14"/>
  <c r="F216" i="14"/>
  <c r="E216" i="14"/>
  <c r="D216" i="14"/>
  <c r="B216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G215" i="14"/>
  <c r="F215" i="14"/>
  <c r="E215" i="14"/>
  <c r="D215" i="14"/>
  <c r="B215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G214" i="14"/>
  <c r="F214" i="14"/>
  <c r="E214" i="14"/>
  <c r="D214" i="14"/>
  <c r="B214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G213" i="14"/>
  <c r="F213" i="14"/>
  <c r="E213" i="14"/>
  <c r="D213" i="14"/>
  <c r="B213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D212" i="14"/>
  <c r="B212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G211" i="14"/>
  <c r="F211" i="14"/>
  <c r="E211" i="14"/>
  <c r="D211" i="14"/>
  <c r="B211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G210" i="14"/>
  <c r="F210" i="14"/>
  <c r="E210" i="14"/>
  <c r="D210" i="14"/>
  <c r="B210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G209" i="14"/>
  <c r="F209" i="14"/>
  <c r="E209" i="14"/>
  <c r="D209" i="14"/>
  <c r="B209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G208" i="14"/>
  <c r="F208" i="14"/>
  <c r="E208" i="14"/>
  <c r="D208" i="14"/>
  <c r="B208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G207" i="14"/>
  <c r="F207" i="14"/>
  <c r="E207" i="14"/>
  <c r="D207" i="14"/>
  <c r="B207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G206" i="14"/>
  <c r="F206" i="14"/>
  <c r="E206" i="14"/>
  <c r="D206" i="14"/>
  <c r="B206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G205" i="14"/>
  <c r="F205" i="14"/>
  <c r="E205" i="14"/>
  <c r="D205" i="14"/>
  <c r="B205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G204" i="14"/>
  <c r="F204" i="14"/>
  <c r="E204" i="14"/>
  <c r="D204" i="14"/>
  <c r="B204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G203" i="14"/>
  <c r="F203" i="14"/>
  <c r="E203" i="14"/>
  <c r="D203" i="14"/>
  <c r="B203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D202" i="14"/>
  <c r="B202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G201" i="14"/>
  <c r="F201" i="14"/>
  <c r="E201" i="14"/>
  <c r="D201" i="14"/>
  <c r="B201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G200" i="14"/>
  <c r="F200" i="14"/>
  <c r="E200" i="14"/>
  <c r="D200" i="14"/>
  <c r="B200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G199" i="14"/>
  <c r="F199" i="14"/>
  <c r="E199" i="14"/>
  <c r="D199" i="14"/>
  <c r="B199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D198" i="14"/>
  <c r="B198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G197" i="14"/>
  <c r="F197" i="14"/>
  <c r="E197" i="14"/>
  <c r="D197" i="14"/>
  <c r="B197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G196" i="14"/>
  <c r="F196" i="14"/>
  <c r="E196" i="14"/>
  <c r="D196" i="14"/>
  <c r="B196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G195" i="14"/>
  <c r="F195" i="14"/>
  <c r="E195" i="14"/>
  <c r="D195" i="14"/>
  <c r="B195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G194" i="14"/>
  <c r="F194" i="14"/>
  <c r="E194" i="14"/>
  <c r="D194" i="14"/>
  <c r="B194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D193" i="14"/>
  <c r="B193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G192" i="14"/>
  <c r="F192" i="14"/>
  <c r="E192" i="14"/>
  <c r="D192" i="14"/>
  <c r="B192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G191" i="14"/>
  <c r="F191" i="14"/>
  <c r="E191" i="14"/>
  <c r="D191" i="14"/>
  <c r="B191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G190" i="14"/>
  <c r="F190" i="14"/>
  <c r="E190" i="14"/>
  <c r="D190" i="14"/>
  <c r="B190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G189" i="14"/>
  <c r="F189" i="14"/>
  <c r="E189" i="14"/>
  <c r="D189" i="14"/>
  <c r="B189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G188" i="14"/>
  <c r="F188" i="14"/>
  <c r="E188" i="14"/>
  <c r="D188" i="14"/>
  <c r="B188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G187" i="14"/>
  <c r="F187" i="14"/>
  <c r="E187" i="14"/>
  <c r="D187" i="14"/>
  <c r="B187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G186" i="14"/>
  <c r="F186" i="14"/>
  <c r="E186" i="14"/>
  <c r="D186" i="14"/>
  <c r="B186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G185" i="14"/>
  <c r="F185" i="14"/>
  <c r="E185" i="14"/>
  <c r="D185" i="14"/>
  <c r="B185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D184" i="14"/>
  <c r="B184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D183" i="14"/>
  <c r="B183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G182" i="14"/>
  <c r="F182" i="14"/>
  <c r="E182" i="14"/>
  <c r="D182" i="14"/>
  <c r="B182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G181" i="14"/>
  <c r="F181" i="14"/>
  <c r="E181" i="14"/>
  <c r="D181" i="14"/>
  <c r="B181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G180" i="14"/>
  <c r="F180" i="14"/>
  <c r="E180" i="14"/>
  <c r="D180" i="14"/>
  <c r="B180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G179" i="14"/>
  <c r="F179" i="14"/>
  <c r="E179" i="14"/>
  <c r="D179" i="14"/>
  <c r="B179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G178" i="14"/>
  <c r="F178" i="14"/>
  <c r="E178" i="14"/>
  <c r="D178" i="14"/>
  <c r="B178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G177" i="14"/>
  <c r="F177" i="14"/>
  <c r="E177" i="14"/>
  <c r="D177" i="14"/>
  <c r="B177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G176" i="14"/>
  <c r="F176" i="14"/>
  <c r="E176" i="14"/>
  <c r="D176" i="14"/>
  <c r="B176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G175" i="14"/>
  <c r="F175" i="14"/>
  <c r="E175" i="14"/>
  <c r="D175" i="14"/>
  <c r="B175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G174" i="14"/>
  <c r="F174" i="14"/>
  <c r="E174" i="14"/>
  <c r="D174" i="14"/>
  <c r="B174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G173" i="14"/>
  <c r="F173" i="14"/>
  <c r="E173" i="14"/>
  <c r="D173" i="14"/>
  <c r="B173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G172" i="14"/>
  <c r="F172" i="14"/>
  <c r="E172" i="14"/>
  <c r="D172" i="14"/>
  <c r="B172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G171" i="14"/>
  <c r="F171" i="14"/>
  <c r="E171" i="14"/>
  <c r="D171" i="14"/>
  <c r="B171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D170" i="14"/>
  <c r="B170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G169" i="14"/>
  <c r="F169" i="14"/>
  <c r="E169" i="14"/>
  <c r="D169" i="14"/>
  <c r="B169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G168" i="14"/>
  <c r="F168" i="14"/>
  <c r="E168" i="14"/>
  <c r="D168" i="14"/>
  <c r="B168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D167" i="14"/>
  <c r="B167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G166" i="14"/>
  <c r="F166" i="14"/>
  <c r="E166" i="14"/>
  <c r="D166" i="14"/>
  <c r="B166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G165" i="14"/>
  <c r="F165" i="14"/>
  <c r="E165" i="14"/>
  <c r="D165" i="14"/>
  <c r="B165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G164" i="14"/>
  <c r="F164" i="14"/>
  <c r="E164" i="14"/>
  <c r="D164" i="14"/>
  <c r="B164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G163" i="14"/>
  <c r="F163" i="14"/>
  <c r="E163" i="14"/>
  <c r="D163" i="14"/>
  <c r="B163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G162" i="14"/>
  <c r="F162" i="14"/>
  <c r="E162" i="14"/>
  <c r="D162" i="14"/>
  <c r="B162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G161" i="14"/>
  <c r="F161" i="14"/>
  <c r="E161" i="14"/>
  <c r="D161" i="14"/>
  <c r="B161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G160" i="14"/>
  <c r="F160" i="14"/>
  <c r="E160" i="14"/>
  <c r="D160" i="14"/>
  <c r="B160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G159" i="14"/>
  <c r="F159" i="14"/>
  <c r="E159" i="14"/>
  <c r="D159" i="14"/>
  <c r="B159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G158" i="14"/>
  <c r="F158" i="14"/>
  <c r="E158" i="14"/>
  <c r="D158" i="14"/>
  <c r="B158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G157" i="14"/>
  <c r="F157" i="14"/>
  <c r="E157" i="14"/>
  <c r="D157" i="14"/>
  <c r="B157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D156" i="14"/>
  <c r="B156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G155" i="14"/>
  <c r="F155" i="14"/>
  <c r="E155" i="14"/>
  <c r="D155" i="14"/>
  <c r="B155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G154" i="14"/>
  <c r="F154" i="14"/>
  <c r="E154" i="14"/>
  <c r="D154" i="14"/>
  <c r="B154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G153" i="14"/>
  <c r="F153" i="14"/>
  <c r="E153" i="14"/>
  <c r="D153" i="14"/>
  <c r="B153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G152" i="14"/>
  <c r="F152" i="14"/>
  <c r="E152" i="14"/>
  <c r="D152" i="14"/>
  <c r="B152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G151" i="14"/>
  <c r="F151" i="14"/>
  <c r="E151" i="14"/>
  <c r="D151" i="14"/>
  <c r="B151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G150" i="14"/>
  <c r="F150" i="14"/>
  <c r="E150" i="14"/>
  <c r="D150" i="14"/>
  <c r="B150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G149" i="14"/>
  <c r="F149" i="14"/>
  <c r="E149" i="14"/>
  <c r="D149" i="14"/>
  <c r="B149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G148" i="14"/>
  <c r="F148" i="14"/>
  <c r="E148" i="14"/>
  <c r="D148" i="14"/>
  <c r="B148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G147" i="14"/>
  <c r="F147" i="14"/>
  <c r="E147" i="14"/>
  <c r="D147" i="14"/>
  <c r="B147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E146" i="14"/>
  <c r="D146" i="14"/>
  <c r="B146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G145" i="14"/>
  <c r="F145" i="14"/>
  <c r="E145" i="14"/>
  <c r="D145" i="14"/>
  <c r="B145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D144" i="14"/>
  <c r="B144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G143" i="14"/>
  <c r="F143" i="14"/>
  <c r="E143" i="14"/>
  <c r="D143" i="14"/>
  <c r="B143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D142" i="14"/>
  <c r="B142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G141" i="14"/>
  <c r="F141" i="14"/>
  <c r="E141" i="14"/>
  <c r="D141" i="14"/>
  <c r="B141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G140" i="14"/>
  <c r="F140" i="14"/>
  <c r="E140" i="14"/>
  <c r="D140" i="14"/>
  <c r="B140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G139" i="14"/>
  <c r="F139" i="14"/>
  <c r="E139" i="14"/>
  <c r="D139" i="14"/>
  <c r="B139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G138" i="14"/>
  <c r="F138" i="14"/>
  <c r="E138" i="14"/>
  <c r="D138" i="14"/>
  <c r="B138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D137" i="14"/>
  <c r="B137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G136" i="14"/>
  <c r="F136" i="14"/>
  <c r="E136" i="14"/>
  <c r="D136" i="14"/>
  <c r="B136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G135" i="14"/>
  <c r="F135" i="14"/>
  <c r="E135" i="14"/>
  <c r="D135" i="14"/>
  <c r="B135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D134" i="14"/>
  <c r="B134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G133" i="14"/>
  <c r="F133" i="14"/>
  <c r="E133" i="14"/>
  <c r="D133" i="14"/>
  <c r="B133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G132" i="14"/>
  <c r="F132" i="14"/>
  <c r="E132" i="14"/>
  <c r="D132" i="14"/>
  <c r="B132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D131" i="14"/>
  <c r="B131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G130" i="14"/>
  <c r="F130" i="14"/>
  <c r="E130" i="14"/>
  <c r="D130" i="14"/>
  <c r="B130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D129" i="14"/>
  <c r="B129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D128" i="14"/>
  <c r="B128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G127" i="14"/>
  <c r="F127" i="14"/>
  <c r="E127" i="14"/>
  <c r="D127" i="14"/>
  <c r="B127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G126" i="14"/>
  <c r="F126" i="14"/>
  <c r="E126" i="14"/>
  <c r="D126" i="14"/>
  <c r="B126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G125" i="14"/>
  <c r="F125" i="14"/>
  <c r="E125" i="14"/>
  <c r="D125" i="14"/>
  <c r="B125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G124" i="14"/>
  <c r="F124" i="14"/>
  <c r="E124" i="14"/>
  <c r="D124" i="14"/>
  <c r="B124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G122" i="14"/>
  <c r="F122" i="14"/>
  <c r="E122" i="14"/>
  <c r="D122" i="14"/>
  <c r="B122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D121" i="14"/>
  <c r="B121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D120" i="14"/>
  <c r="B120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D119" i="14"/>
  <c r="B119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D118" i="14"/>
  <c r="B118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D117" i="14"/>
  <c r="B117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B116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D115" i="14"/>
  <c r="B115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D114" i="14"/>
  <c r="B114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D113" i="14"/>
  <c r="B113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D112" i="14"/>
  <c r="B112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D111" i="14"/>
  <c r="B111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D110" i="14"/>
  <c r="B110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D109" i="14"/>
  <c r="B109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D108" i="14"/>
  <c r="B108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D107" i="14"/>
  <c r="B107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D106" i="14"/>
  <c r="B106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D105" i="14"/>
  <c r="B105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B104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D103" i="14"/>
  <c r="B103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D102" i="14"/>
  <c r="B102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B101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D100" i="14"/>
  <c r="B100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B99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D98" i="14"/>
  <c r="B98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D97" i="14"/>
  <c r="B97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D96" i="14"/>
  <c r="B96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B95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D94" i="14"/>
  <c r="B94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B93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B91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B90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B89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B88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B87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B86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B85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B84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B83" i="14"/>
  <c r="U82" i="14"/>
  <c r="T82" i="14"/>
  <c r="V82" i="14" s="1"/>
  <c r="R82" i="14"/>
  <c r="Q82" i="14"/>
  <c r="S82" i="14" s="1"/>
  <c r="O82" i="14"/>
  <c r="N82" i="14"/>
  <c r="M82" i="14"/>
  <c r="L82" i="14"/>
  <c r="K82" i="14"/>
  <c r="J82" i="14"/>
  <c r="I82" i="14"/>
  <c r="H82" i="14"/>
  <c r="G82" i="14"/>
  <c r="F82" i="14"/>
  <c r="E82" i="14"/>
  <c r="D82" i="14"/>
  <c r="U81" i="14"/>
  <c r="T81" i="14"/>
  <c r="R81" i="14"/>
  <c r="Q81" i="14"/>
  <c r="O81" i="14"/>
  <c r="N81" i="14"/>
  <c r="M81" i="14"/>
  <c r="L81" i="14"/>
  <c r="K81" i="14"/>
  <c r="J81" i="14"/>
  <c r="I81" i="14"/>
  <c r="H81" i="14"/>
  <c r="G81" i="14"/>
  <c r="F81" i="14"/>
  <c r="E81" i="14"/>
  <c r="D81" i="14"/>
  <c r="U80" i="14"/>
  <c r="T80" i="14"/>
  <c r="R80" i="14"/>
  <c r="Q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U79" i="14"/>
  <c r="T79" i="14"/>
  <c r="R79" i="14"/>
  <c r="Q79" i="14"/>
  <c r="O79" i="14"/>
  <c r="N79" i="14"/>
  <c r="M79" i="14"/>
  <c r="L79" i="14"/>
  <c r="K79" i="14"/>
  <c r="J79" i="14"/>
  <c r="I79" i="14"/>
  <c r="H79" i="14"/>
  <c r="G79" i="14"/>
  <c r="F79" i="14"/>
  <c r="E79" i="14"/>
  <c r="D79" i="14"/>
  <c r="U78" i="14"/>
  <c r="T78" i="14"/>
  <c r="R78" i="14"/>
  <c r="Q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U77" i="14"/>
  <c r="T77" i="14"/>
  <c r="R77" i="14"/>
  <c r="Q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U76" i="14"/>
  <c r="T76" i="14"/>
  <c r="R76" i="14"/>
  <c r="Q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U75" i="14"/>
  <c r="T75" i="14"/>
  <c r="R75" i="14"/>
  <c r="Q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U74" i="14"/>
  <c r="T74" i="14"/>
  <c r="R74" i="14"/>
  <c r="Q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U73" i="14"/>
  <c r="T73" i="14"/>
  <c r="R73" i="14"/>
  <c r="Q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U72" i="14"/>
  <c r="T72" i="14"/>
  <c r="R72" i="14"/>
  <c r="Q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U71" i="14"/>
  <c r="T71" i="14"/>
  <c r="R71" i="14"/>
  <c r="Q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U70" i="14"/>
  <c r="T70" i="14"/>
  <c r="R70" i="14"/>
  <c r="Q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U69" i="14"/>
  <c r="T69" i="14"/>
  <c r="R69" i="14"/>
  <c r="Q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U68" i="14"/>
  <c r="T68" i="14"/>
  <c r="R68" i="14"/>
  <c r="Q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U67" i="14"/>
  <c r="T67" i="14"/>
  <c r="R67" i="14"/>
  <c r="Q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U66" i="14"/>
  <c r="T66" i="14"/>
  <c r="V66" i="14" s="1"/>
  <c r="R66" i="14"/>
  <c r="Q66" i="14"/>
  <c r="O66" i="14"/>
  <c r="N66" i="14"/>
  <c r="P66" i="14" s="1"/>
  <c r="M66" i="14"/>
  <c r="L66" i="14"/>
  <c r="K66" i="14"/>
  <c r="J66" i="14"/>
  <c r="I66" i="14"/>
  <c r="H66" i="14"/>
  <c r="G66" i="14"/>
  <c r="F66" i="14"/>
  <c r="E66" i="14"/>
  <c r="D66" i="14"/>
  <c r="U65" i="14"/>
  <c r="T65" i="14"/>
  <c r="R65" i="14"/>
  <c r="Q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U64" i="14"/>
  <c r="T64" i="14"/>
  <c r="R64" i="14"/>
  <c r="Q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U63" i="14"/>
  <c r="T63" i="14"/>
  <c r="R63" i="14"/>
  <c r="Q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U62" i="14"/>
  <c r="T62" i="14"/>
  <c r="R62" i="14"/>
  <c r="Q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U61" i="14"/>
  <c r="T61" i="14"/>
  <c r="R61" i="14"/>
  <c r="Q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U60" i="14"/>
  <c r="T60" i="14"/>
  <c r="R60" i="14"/>
  <c r="Q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U59" i="14"/>
  <c r="T59" i="14"/>
  <c r="R59" i="14"/>
  <c r="Q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U58" i="14"/>
  <c r="T58" i="14"/>
  <c r="R58" i="14"/>
  <c r="Q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U57" i="14"/>
  <c r="T57" i="14"/>
  <c r="R57" i="14"/>
  <c r="Q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U56" i="14"/>
  <c r="T56" i="14"/>
  <c r="R56" i="14"/>
  <c r="Q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U55" i="14"/>
  <c r="T55" i="14"/>
  <c r="R55" i="14"/>
  <c r="Q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U54" i="14"/>
  <c r="T54" i="14"/>
  <c r="R54" i="14"/>
  <c r="Q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U53" i="14"/>
  <c r="T53" i="14"/>
  <c r="R53" i="14"/>
  <c r="Q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U52" i="14"/>
  <c r="T52" i="14"/>
  <c r="R52" i="14"/>
  <c r="Q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U51" i="14"/>
  <c r="T51" i="14"/>
  <c r="R51" i="14"/>
  <c r="Q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U50" i="14"/>
  <c r="T50" i="14"/>
  <c r="R50" i="14"/>
  <c r="Q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U49" i="14"/>
  <c r="T49" i="14"/>
  <c r="R49" i="14"/>
  <c r="Q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U48" i="14"/>
  <c r="T48" i="14"/>
  <c r="R48" i="14"/>
  <c r="Q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U47" i="14"/>
  <c r="T47" i="14"/>
  <c r="R47" i="14"/>
  <c r="Q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U46" i="14"/>
  <c r="T46" i="14"/>
  <c r="R46" i="14"/>
  <c r="Q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U45" i="14"/>
  <c r="T45" i="14"/>
  <c r="R45" i="14"/>
  <c r="Q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U40" i="14"/>
  <c r="T40" i="14"/>
  <c r="R40" i="14"/>
  <c r="Q40" i="14"/>
  <c r="O40" i="14"/>
  <c r="N40" i="14"/>
  <c r="M40" i="14"/>
  <c r="L40" i="14"/>
  <c r="K40" i="14"/>
  <c r="J40" i="14"/>
  <c r="I40" i="14"/>
  <c r="H40" i="14"/>
  <c r="G40" i="14"/>
  <c r="F40" i="14"/>
  <c r="E40" i="14"/>
  <c r="U39" i="14"/>
  <c r="T39" i="14"/>
  <c r="R39" i="14"/>
  <c r="Q39" i="14"/>
  <c r="O39" i="14"/>
  <c r="N39" i="14"/>
  <c r="M39" i="14"/>
  <c r="L39" i="14"/>
  <c r="K39" i="14"/>
  <c r="J39" i="14"/>
  <c r="I39" i="14"/>
  <c r="H39" i="14"/>
  <c r="G39" i="14"/>
  <c r="F39" i="14"/>
  <c r="E39" i="14"/>
  <c r="U21" i="14"/>
  <c r="T21" i="14"/>
  <c r="R21" i="14"/>
  <c r="Q21" i="14"/>
  <c r="O21" i="14"/>
  <c r="N21" i="14"/>
  <c r="M21" i="14"/>
  <c r="L21" i="14"/>
  <c r="K21" i="14"/>
  <c r="J21" i="14"/>
  <c r="I21" i="14"/>
  <c r="H21" i="14"/>
  <c r="G21" i="14"/>
  <c r="F21" i="14"/>
  <c r="E21" i="14"/>
  <c r="U33" i="14"/>
  <c r="T33" i="14"/>
  <c r="R33" i="14"/>
  <c r="Q33" i="14"/>
  <c r="O33" i="14"/>
  <c r="N33" i="14"/>
  <c r="M33" i="14"/>
  <c r="L33" i="14"/>
  <c r="K33" i="14"/>
  <c r="J33" i="14"/>
  <c r="I33" i="14"/>
  <c r="H33" i="14"/>
  <c r="G33" i="14"/>
  <c r="F33" i="14"/>
  <c r="E33" i="14"/>
  <c r="U36" i="14"/>
  <c r="T36" i="14"/>
  <c r="R36" i="14"/>
  <c r="Q36" i="14"/>
  <c r="O36" i="14"/>
  <c r="N36" i="14"/>
  <c r="M36" i="14"/>
  <c r="L36" i="14"/>
  <c r="K36" i="14"/>
  <c r="J36" i="14"/>
  <c r="I36" i="14"/>
  <c r="H36" i="14"/>
  <c r="G36" i="14"/>
  <c r="F36" i="14"/>
  <c r="E36" i="14"/>
  <c r="U9" i="14"/>
  <c r="T9" i="14"/>
  <c r="R9" i="14"/>
  <c r="Q9" i="14"/>
  <c r="O9" i="14"/>
  <c r="N9" i="14"/>
  <c r="M9" i="14"/>
  <c r="L9" i="14"/>
  <c r="K9" i="14"/>
  <c r="J9" i="14"/>
  <c r="I9" i="14"/>
  <c r="H9" i="14"/>
  <c r="G9" i="14"/>
  <c r="F9" i="14"/>
  <c r="E9" i="14"/>
  <c r="U25" i="14"/>
  <c r="T25" i="14"/>
  <c r="R25" i="14"/>
  <c r="Q25" i="14"/>
  <c r="O25" i="14"/>
  <c r="N25" i="14"/>
  <c r="M25" i="14"/>
  <c r="L25" i="14"/>
  <c r="K25" i="14"/>
  <c r="J25" i="14"/>
  <c r="I25" i="14"/>
  <c r="H25" i="14"/>
  <c r="G25" i="14"/>
  <c r="F25" i="14"/>
  <c r="E25" i="14"/>
  <c r="U7" i="14"/>
  <c r="T7" i="14"/>
  <c r="R7" i="14"/>
  <c r="Q7" i="14"/>
  <c r="O7" i="14"/>
  <c r="N7" i="14"/>
  <c r="M7" i="14"/>
  <c r="L7" i="14"/>
  <c r="K7" i="14"/>
  <c r="J7" i="14"/>
  <c r="I7" i="14"/>
  <c r="H7" i="14"/>
  <c r="G7" i="14"/>
  <c r="F7" i="14"/>
  <c r="E7" i="14"/>
  <c r="U6" i="14"/>
  <c r="T6" i="14"/>
  <c r="R6" i="14"/>
  <c r="Q6" i="14"/>
  <c r="O6" i="14"/>
  <c r="N6" i="14"/>
  <c r="M6" i="14"/>
  <c r="L6" i="14"/>
  <c r="K6" i="14"/>
  <c r="J6" i="14"/>
  <c r="I6" i="14"/>
  <c r="H6" i="14"/>
  <c r="G6" i="14"/>
  <c r="F6" i="14"/>
  <c r="E6" i="14"/>
  <c r="U34" i="14"/>
  <c r="T34" i="14"/>
  <c r="R34" i="14"/>
  <c r="Q34" i="14"/>
  <c r="O34" i="14"/>
  <c r="N34" i="14"/>
  <c r="M34" i="14"/>
  <c r="L34" i="14"/>
  <c r="K34" i="14"/>
  <c r="J34" i="14"/>
  <c r="I34" i="14"/>
  <c r="H34" i="14"/>
  <c r="G34" i="14"/>
  <c r="F34" i="14"/>
  <c r="E34" i="14"/>
  <c r="U19" i="14"/>
  <c r="T19" i="14"/>
  <c r="R19" i="14"/>
  <c r="Q19" i="14"/>
  <c r="O19" i="14"/>
  <c r="N19" i="14"/>
  <c r="M19" i="14"/>
  <c r="L19" i="14"/>
  <c r="K19" i="14"/>
  <c r="J19" i="14"/>
  <c r="I19" i="14"/>
  <c r="H19" i="14"/>
  <c r="G19" i="14"/>
  <c r="F19" i="14"/>
  <c r="E19" i="14"/>
  <c r="U28" i="14"/>
  <c r="T28" i="14"/>
  <c r="R28" i="14"/>
  <c r="Q28" i="14"/>
  <c r="O28" i="14"/>
  <c r="N28" i="14"/>
  <c r="M28" i="14"/>
  <c r="L28" i="14"/>
  <c r="K28" i="14"/>
  <c r="J28" i="14"/>
  <c r="I28" i="14"/>
  <c r="H28" i="14"/>
  <c r="G28" i="14"/>
  <c r="F28" i="14"/>
  <c r="E28" i="14"/>
  <c r="U22" i="14"/>
  <c r="T22" i="14"/>
  <c r="R22" i="14"/>
  <c r="Q22" i="14"/>
  <c r="O22" i="14"/>
  <c r="N22" i="14"/>
  <c r="M22" i="14"/>
  <c r="L22" i="14"/>
  <c r="K22" i="14"/>
  <c r="J22" i="14"/>
  <c r="I22" i="14"/>
  <c r="H22" i="14"/>
  <c r="G22" i="14"/>
  <c r="F22" i="14"/>
  <c r="E22" i="14"/>
  <c r="U24" i="14"/>
  <c r="T24" i="14"/>
  <c r="R24" i="14"/>
  <c r="Q24" i="14"/>
  <c r="O24" i="14"/>
  <c r="N24" i="14"/>
  <c r="M24" i="14"/>
  <c r="L24" i="14"/>
  <c r="K24" i="14"/>
  <c r="J24" i="14"/>
  <c r="I24" i="14"/>
  <c r="H24" i="14"/>
  <c r="G24" i="14"/>
  <c r="F24" i="14"/>
  <c r="E24" i="14"/>
  <c r="U20" i="14"/>
  <c r="T20" i="14"/>
  <c r="R20" i="14"/>
  <c r="Q20" i="14"/>
  <c r="O20" i="14"/>
  <c r="N20" i="14"/>
  <c r="M20" i="14"/>
  <c r="L20" i="14"/>
  <c r="K20" i="14"/>
  <c r="J20" i="14"/>
  <c r="I20" i="14"/>
  <c r="H20" i="14"/>
  <c r="G20" i="14"/>
  <c r="F20" i="14"/>
  <c r="E20" i="14"/>
  <c r="U42" i="14"/>
  <c r="T42" i="14"/>
  <c r="R42" i="14"/>
  <c r="Q42" i="14"/>
  <c r="O42" i="14"/>
  <c r="N42" i="14"/>
  <c r="M42" i="14"/>
  <c r="L42" i="14"/>
  <c r="K42" i="14"/>
  <c r="J42" i="14"/>
  <c r="I42" i="14"/>
  <c r="H42" i="14"/>
  <c r="G42" i="14"/>
  <c r="F42" i="14"/>
  <c r="E42" i="14"/>
  <c r="U44" i="14"/>
  <c r="T44" i="14"/>
  <c r="R44" i="14"/>
  <c r="Q44" i="14"/>
  <c r="O44" i="14"/>
  <c r="N44" i="14"/>
  <c r="M44" i="14"/>
  <c r="L44" i="14"/>
  <c r="K44" i="14"/>
  <c r="J44" i="14"/>
  <c r="I44" i="14"/>
  <c r="H44" i="14"/>
  <c r="G44" i="14"/>
  <c r="F44" i="14"/>
  <c r="E44" i="14"/>
  <c r="U37" i="14"/>
  <c r="T37" i="14"/>
  <c r="R37" i="14"/>
  <c r="Q37" i="14"/>
  <c r="O37" i="14"/>
  <c r="N37" i="14"/>
  <c r="M37" i="14"/>
  <c r="L37" i="14"/>
  <c r="K37" i="14"/>
  <c r="J37" i="14"/>
  <c r="I37" i="14"/>
  <c r="H37" i="14"/>
  <c r="G37" i="14"/>
  <c r="F37" i="14"/>
  <c r="E37" i="14"/>
  <c r="U43" i="14"/>
  <c r="T43" i="14"/>
  <c r="R43" i="14"/>
  <c r="Q43" i="14"/>
  <c r="O43" i="14"/>
  <c r="N43" i="14"/>
  <c r="M43" i="14"/>
  <c r="L43" i="14"/>
  <c r="K43" i="14"/>
  <c r="J43" i="14"/>
  <c r="I43" i="14"/>
  <c r="H43" i="14"/>
  <c r="G43" i="14"/>
  <c r="F43" i="14"/>
  <c r="E43" i="14"/>
  <c r="U31" i="14"/>
  <c r="T31" i="14"/>
  <c r="R31" i="14"/>
  <c r="Q31" i="14"/>
  <c r="O31" i="14"/>
  <c r="N31" i="14"/>
  <c r="M31" i="14"/>
  <c r="L31" i="14"/>
  <c r="K31" i="14"/>
  <c r="J31" i="14"/>
  <c r="I31" i="14"/>
  <c r="H31" i="14"/>
  <c r="G31" i="14"/>
  <c r="F31" i="14"/>
  <c r="E31" i="14"/>
  <c r="U30" i="14"/>
  <c r="T30" i="14"/>
  <c r="R30" i="14"/>
  <c r="Q30" i="14"/>
  <c r="O30" i="14"/>
  <c r="N30" i="14"/>
  <c r="M30" i="14"/>
  <c r="L30" i="14"/>
  <c r="K30" i="14"/>
  <c r="J30" i="14"/>
  <c r="I30" i="14"/>
  <c r="H30" i="14"/>
  <c r="G30" i="14"/>
  <c r="F30" i="14"/>
  <c r="E30" i="14"/>
  <c r="U41" i="14"/>
  <c r="T41" i="14"/>
  <c r="R41" i="14"/>
  <c r="Q41" i="14"/>
  <c r="O41" i="14"/>
  <c r="N41" i="14"/>
  <c r="M41" i="14"/>
  <c r="L41" i="14"/>
  <c r="K41" i="14"/>
  <c r="J41" i="14"/>
  <c r="I41" i="14"/>
  <c r="H41" i="14"/>
  <c r="G41" i="14"/>
  <c r="F41" i="14"/>
  <c r="E41" i="14"/>
  <c r="U13" i="14"/>
  <c r="T13" i="14"/>
  <c r="R13" i="14"/>
  <c r="Q13" i="14"/>
  <c r="O13" i="14"/>
  <c r="N13" i="14"/>
  <c r="M13" i="14"/>
  <c r="L13" i="14"/>
  <c r="K13" i="14"/>
  <c r="J13" i="14"/>
  <c r="I13" i="14"/>
  <c r="H13" i="14"/>
  <c r="G13" i="14"/>
  <c r="F13" i="14"/>
  <c r="E13" i="14"/>
  <c r="U18" i="14"/>
  <c r="T18" i="14"/>
  <c r="R18" i="14"/>
  <c r="Q18" i="14"/>
  <c r="O18" i="14"/>
  <c r="N18" i="14"/>
  <c r="M18" i="14"/>
  <c r="L18" i="14"/>
  <c r="K18" i="14"/>
  <c r="J18" i="14"/>
  <c r="I18" i="14"/>
  <c r="H18" i="14"/>
  <c r="G18" i="14"/>
  <c r="F18" i="14"/>
  <c r="E18" i="14"/>
  <c r="U15" i="14"/>
  <c r="T15" i="14"/>
  <c r="R15" i="14"/>
  <c r="Q15" i="14"/>
  <c r="O15" i="14"/>
  <c r="N15" i="14"/>
  <c r="M15" i="14"/>
  <c r="L15" i="14"/>
  <c r="K15" i="14"/>
  <c r="J15" i="14"/>
  <c r="I15" i="14"/>
  <c r="H15" i="14"/>
  <c r="G15" i="14"/>
  <c r="F15" i="14"/>
  <c r="E15" i="14"/>
  <c r="U29" i="14"/>
  <c r="T29" i="14"/>
  <c r="R29" i="14"/>
  <c r="Q29" i="14"/>
  <c r="O29" i="14"/>
  <c r="N29" i="14"/>
  <c r="M29" i="14"/>
  <c r="L29" i="14"/>
  <c r="K29" i="14"/>
  <c r="J29" i="14"/>
  <c r="I29" i="14"/>
  <c r="H29" i="14"/>
  <c r="G29" i="14"/>
  <c r="F29" i="14"/>
  <c r="E29" i="14"/>
  <c r="U27" i="14"/>
  <c r="T27" i="14"/>
  <c r="R27" i="14"/>
  <c r="Q27" i="14"/>
  <c r="O27" i="14"/>
  <c r="N27" i="14"/>
  <c r="M27" i="14"/>
  <c r="L27" i="14"/>
  <c r="K27" i="14"/>
  <c r="J27" i="14"/>
  <c r="I27" i="14"/>
  <c r="H27" i="14"/>
  <c r="G27" i="14"/>
  <c r="F27" i="14"/>
  <c r="E27" i="14"/>
  <c r="U26" i="14"/>
  <c r="T26" i="14"/>
  <c r="R26" i="14"/>
  <c r="Q26" i="14"/>
  <c r="O26" i="14"/>
  <c r="N26" i="14"/>
  <c r="M26" i="14"/>
  <c r="L26" i="14"/>
  <c r="K26" i="14"/>
  <c r="J26" i="14"/>
  <c r="I26" i="14"/>
  <c r="H26" i="14"/>
  <c r="G26" i="14"/>
  <c r="F26" i="14"/>
  <c r="E26" i="14"/>
  <c r="U4" i="14"/>
  <c r="T4" i="14"/>
  <c r="R4" i="14"/>
  <c r="Q4" i="14"/>
  <c r="O4" i="14"/>
  <c r="N4" i="14"/>
  <c r="M4" i="14"/>
  <c r="L4" i="14"/>
  <c r="K4" i="14"/>
  <c r="J4" i="14"/>
  <c r="I4" i="14"/>
  <c r="H4" i="14"/>
  <c r="G4" i="14"/>
  <c r="F4" i="14"/>
  <c r="E4" i="14"/>
  <c r="U5" i="14"/>
  <c r="T5" i="14"/>
  <c r="R5" i="14"/>
  <c r="Q5" i="14"/>
  <c r="O5" i="14"/>
  <c r="N5" i="14"/>
  <c r="M5" i="14"/>
  <c r="L5" i="14"/>
  <c r="K5" i="14"/>
  <c r="J5" i="14"/>
  <c r="I5" i="14"/>
  <c r="H5" i="14"/>
  <c r="G5" i="14"/>
  <c r="F5" i="14"/>
  <c r="E5" i="14"/>
  <c r="U11" i="14"/>
  <c r="T11" i="14"/>
  <c r="R11" i="14"/>
  <c r="Q11" i="14"/>
  <c r="O11" i="14"/>
  <c r="N11" i="14"/>
  <c r="M11" i="14"/>
  <c r="L11" i="14"/>
  <c r="K11" i="14"/>
  <c r="J11" i="14"/>
  <c r="I11" i="14"/>
  <c r="H11" i="14"/>
  <c r="G11" i="14"/>
  <c r="F11" i="14"/>
  <c r="E11" i="14"/>
  <c r="U14" i="14"/>
  <c r="T14" i="14"/>
  <c r="R14" i="14"/>
  <c r="Q14" i="14"/>
  <c r="O14" i="14"/>
  <c r="N14" i="14"/>
  <c r="M14" i="14"/>
  <c r="L14" i="14"/>
  <c r="K14" i="14"/>
  <c r="J14" i="14"/>
  <c r="I14" i="14"/>
  <c r="H14" i="14"/>
  <c r="G14" i="14"/>
  <c r="F14" i="14"/>
  <c r="E14" i="14"/>
  <c r="U38" i="14"/>
  <c r="T38" i="14"/>
  <c r="R38" i="14"/>
  <c r="Q38" i="14"/>
  <c r="O38" i="14"/>
  <c r="N38" i="14"/>
  <c r="M38" i="14"/>
  <c r="L38" i="14"/>
  <c r="K38" i="14"/>
  <c r="J38" i="14"/>
  <c r="I38" i="14"/>
  <c r="H38" i="14"/>
  <c r="G38" i="14"/>
  <c r="F38" i="14"/>
  <c r="E38" i="14"/>
  <c r="U32" i="14"/>
  <c r="T32" i="14"/>
  <c r="R32" i="14"/>
  <c r="Q32" i="14"/>
  <c r="O32" i="14"/>
  <c r="N32" i="14"/>
  <c r="M32" i="14"/>
  <c r="L32" i="14"/>
  <c r="K32" i="14"/>
  <c r="J32" i="14"/>
  <c r="I32" i="14"/>
  <c r="H32" i="14"/>
  <c r="G32" i="14"/>
  <c r="F32" i="14"/>
  <c r="E32" i="14"/>
  <c r="U8" i="14"/>
  <c r="T8" i="14"/>
  <c r="R8" i="14"/>
  <c r="Q8" i="14"/>
  <c r="O8" i="14"/>
  <c r="N8" i="14"/>
  <c r="M8" i="14"/>
  <c r="L8" i="14"/>
  <c r="K8" i="14"/>
  <c r="J8" i="14"/>
  <c r="I8" i="14"/>
  <c r="H8" i="14"/>
  <c r="G8" i="14"/>
  <c r="F8" i="14"/>
  <c r="E8" i="14"/>
  <c r="U35" i="14"/>
  <c r="T35" i="14"/>
  <c r="R35" i="14"/>
  <c r="Q35" i="14"/>
  <c r="O35" i="14"/>
  <c r="N35" i="14"/>
  <c r="M35" i="14"/>
  <c r="L35" i="14"/>
  <c r="K35" i="14"/>
  <c r="J35" i="14"/>
  <c r="I35" i="14"/>
  <c r="H35" i="14"/>
  <c r="G35" i="14"/>
  <c r="F35" i="14"/>
  <c r="E35" i="14"/>
  <c r="U17" i="14"/>
  <c r="T17" i="14"/>
  <c r="R17" i="14"/>
  <c r="Q17" i="14"/>
  <c r="O17" i="14"/>
  <c r="N17" i="14"/>
  <c r="M17" i="14"/>
  <c r="L17" i="14"/>
  <c r="K17" i="14"/>
  <c r="J17" i="14"/>
  <c r="I17" i="14"/>
  <c r="H17" i="14"/>
  <c r="G17" i="14"/>
  <c r="F17" i="14"/>
  <c r="E17" i="14"/>
  <c r="U10" i="14"/>
  <c r="T10" i="14"/>
  <c r="R10" i="14"/>
  <c r="Q10" i="14"/>
  <c r="O10" i="14"/>
  <c r="N10" i="14"/>
  <c r="M10" i="14"/>
  <c r="L10" i="14"/>
  <c r="K10" i="14"/>
  <c r="J10" i="14"/>
  <c r="I10" i="14"/>
  <c r="H10" i="14"/>
  <c r="G10" i="14"/>
  <c r="F10" i="14"/>
  <c r="E10" i="14"/>
  <c r="U12" i="14"/>
  <c r="T12" i="14"/>
  <c r="R12" i="14"/>
  <c r="Q12" i="14"/>
  <c r="O12" i="14"/>
  <c r="N12" i="14"/>
  <c r="M12" i="14"/>
  <c r="L12" i="14"/>
  <c r="K12" i="14"/>
  <c r="J12" i="14"/>
  <c r="I12" i="14"/>
  <c r="H12" i="14"/>
  <c r="G12" i="14"/>
  <c r="F12" i="14"/>
  <c r="E12" i="14"/>
  <c r="U16" i="14"/>
  <c r="T16" i="14"/>
  <c r="R16" i="14"/>
  <c r="Q16" i="14"/>
  <c r="O16" i="14"/>
  <c r="N16" i="14"/>
  <c r="M16" i="14"/>
  <c r="L16" i="14"/>
  <c r="K16" i="14"/>
  <c r="J16" i="14"/>
  <c r="I16" i="14"/>
  <c r="H16" i="14"/>
  <c r="G16" i="14"/>
  <c r="F16" i="14"/>
  <c r="E16" i="14"/>
  <c r="B5" i="14"/>
  <c r="U23" i="14"/>
  <c r="T23" i="14"/>
  <c r="R23" i="14"/>
  <c r="Q23" i="14"/>
  <c r="O23" i="14"/>
  <c r="N23" i="14"/>
  <c r="M23" i="14"/>
  <c r="L23" i="14"/>
  <c r="K23" i="14"/>
  <c r="J23" i="14"/>
  <c r="I23" i="14"/>
  <c r="H23" i="14"/>
  <c r="G23" i="14"/>
  <c r="F23" i="14"/>
  <c r="E23" i="14"/>
  <c r="V250" i="16"/>
  <c r="U250" i="16"/>
  <c r="T250" i="16"/>
  <c r="S250" i="16"/>
  <c r="R250" i="16"/>
  <c r="Q250" i="16"/>
  <c r="P250" i="16"/>
  <c r="O250" i="16"/>
  <c r="N250" i="16"/>
  <c r="M250" i="16"/>
  <c r="L250" i="16"/>
  <c r="K250" i="16"/>
  <c r="J250" i="16"/>
  <c r="I250" i="16"/>
  <c r="H250" i="16"/>
  <c r="G250" i="16"/>
  <c r="F250" i="16"/>
  <c r="E250" i="16"/>
  <c r="B250" i="16"/>
  <c r="V249" i="16"/>
  <c r="U249" i="16"/>
  <c r="T249" i="16"/>
  <c r="S249" i="16"/>
  <c r="R249" i="16"/>
  <c r="Q249" i="16"/>
  <c r="P249" i="16"/>
  <c r="O249" i="16"/>
  <c r="N249" i="16"/>
  <c r="M249" i="16"/>
  <c r="L249" i="16"/>
  <c r="K249" i="16"/>
  <c r="J249" i="16"/>
  <c r="I249" i="16"/>
  <c r="H249" i="16"/>
  <c r="G249" i="16"/>
  <c r="F249" i="16"/>
  <c r="E249" i="16"/>
  <c r="B249" i="16"/>
  <c r="V248" i="16"/>
  <c r="U248" i="16"/>
  <c r="T248" i="16"/>
  <c r="S248" i="16"/>
  <c r="R248" i="16"/>
  <c r="Q248" i="16"/>
  <c r="P248" i="16"/>
  <c r="O248" i="16"/>
  <c r="N248" i="16"/>
  <c r="M248" i="16"/>
  <c r="L248" i="16"/>
  <c r="K248" i="16"/>
  <c r="J248" i="16"/>
  <c r="I248" i="16"/>
  <c r="H248" i="16"/>
  <c r="G248" i="16"/>
  <c r="F248" i="16"/>
  <c r="E248" i="16"/>
  <c r="B248" i="16"/>
  <c r="V247" i="16"/>
  <c r="U247" i="16"/>
  <c r="T247" i="16"/>
  <c r="S247" i="16"/>
  <c r="R247" i="16"/>
  <c r="Q247" i="16"/>
  <c r="P247" i="16"/>
  <c r="O247" i="16"/>
  <c r="N247" i="16"/>
  <c r="M247" i="16"/>
  <c r="L247" i="16"/>
  <c r="K247" i="16"/>
  <c r="J247" i="16"/>
  <c r="I247" i="16"/>
  <c r="H247" i="16"/>
  <c r="G247" i="16"/>
  <c r="F247" i="16"/>
  <c r="E247" i="16"/>
  <c r="B247" i="16"/>
  <c r="V246" i="16"/>
  <c r="U246" i="16"/>
  <c r="T246" i="16"/>
  <c r="S246" i="16"/>
  <c r="R246" i="16"/>
  <c r="Q246" i="16"/>
  <c r="P246" i="16"/>
  <c r="O246" i="16"/>
  <c r="N246" i="16"/>
  <c r="M246" i="16"/>
  <c r="L246" i="16"/>
  <c r="K246" i="16"/>
  <c r="J246" i="16"/>
  <c r="I246" i="16"/>
  <c r="H246" i="16"/>
  <c r="G246" i="16"/>
  <c r="F246" i="16"/>
  <c r="E246" i="16"/>
  <c r="B246" i="16"/>
  <c r="V245" i="16"/>
  <c r="U245" i="16"/>
  <c r="T245" i="16"/>
  <c r="S245" i="16"/>
  <c r="R245" i="16"/>
  <c r="Q245" i="16"/>
  <c r="P245" i="16"/>
  <c r="O245" i="16"/>
  <c r="N245" i="16"/>
  <c r="M245" i="16"/>
  <c r="L245" i="16"/>
  <c r="K245" i="16"/>
  <c r="J245" i="16"/>
  <c r="I245" i="16"/>
  <c r="H245" i="16"/>
  <c r="G245" i="16"/>
  <c r="F245" i="16"/>
  <c r="E245" i="16"/>
  <c r="B245" i="16"/>
  <c r="V244" i="16"/>
  <c r="U244" i="16"/>
  <c r="T244" i="16"/>
  <c r="S244" i="16"/>
  <c r="R244" i="16"/>
  <c r="Q244" i="16"/>
  <c r="P244" i="16"/>
  <c r="O244" i="16"/>
  <c r="N244" i="16"/>
  <c r="M244" i="16"/>
  <c r="L244" i="16"/>
  <c r="K244" i="16"/>
  <c r="J244" i="16"/>
  <c r="I244" i="16"/>
  <c r="H244" i="16"/>
  <c r="G244" i="16"/>
  <c r="F244" i="16"/>
  <c r="E244" i="16"/>
  <c r="B244" i="16"/>
  <c r="V243" i="16"/>
  <c r="U243" i="16"/>
  <c r="T243" i="16"/>
  <c r="S243" i="16"/>
  <c r="R243" i="16"/>
  <c r="Q243" i="16"/>
  <c r="P243" i="16"/>
  <c r="O243" i="16"/>
  <c r="N243" i="16"/>
  <c r="M243" i="16"/>
  <c r="L243" i="16"/>
  <c r="K243" i="16"/>
  <c r="J243" i="16"/>
  <c r="I243" i="16"/>
  <c r="H243" i="16"/>
  <c r="G243" i="16"/>
  <c r="F243" i="16"/>
  <c r="E243" i="16"/>
  <c r="B243" i="16"/>
  <c r="V242" i="16"/>
  <c r="U242" i="16"/>
  <c r="T242" i="16"/>
  <c r="S242" i="16"/>
  <c r="R242" i="16"/>
  <c r="Q242" i="16"/>
  <c r="P242" i="16"/>
  <c r="O242" i="16"/>
  <c r="N242" i="16"/>
  <c r="M242" i="16"/>
  <c r="L242" i="16"/>
  <c r="K242" i="16"/>
  <c r="J242" i="16"/>
  <c r="I242" i="16"/>
  <c r="H242" i="16"/>
  <c r="G242" i="16"/>
  <c r="F242" i="16"/>
  <c r="E242" i="16"/>
  <c r="B242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I241" i="16"/>
  <c r="H241" i="16"/>
  <c r="G241" i="16"/>
  <c r="F241" i="16"/>
  <c r="E241" i="16"/>
  <c r="B241" i="16"/>
  <c r="V240" i="16"/>
  <c r="U240" i="16"/>
  <c r="T240" i="16"/>
  <c r="S240" i="16"/>
  <c r="R240" i="16"/>
  <c r="Q240" i="16"/>
  <c r="P240" i="16"/>
  <c r="O240" i="16"/>
  <c r="N240" i="16"/>
  <c r="M240" i="16"/>
  <c r="L240" i="16"/>
  <c r="K240" i="16"/>
  <c r="J240" i="16"/>
  <c r="I240" i="16"/>
  <c r="H240" i="16"/>
  <c r="G240" i="16"/>
  <c r="F240" i="16"/>
  <c r="E240" i="16"/>
  <c r="B240" i="16"/>
  <c r="V239" i="16"/>
  <c r="U239" i="16"/>
  <c r="T239" i="16"/>
  <c r="S239" i="16"/>
  <c r="R239" i="16"/>
  <c r="Q239" i="16"/>
  <c r="P239" i="16"/>
  <c r="O239" i="16"/>
  <c r="N239" i="16"/>
  <c r="M239" i="16"/>
  <c r="L239" i="16"/>
  <c r="K239" i="16"/>
  <c r="J239" i="16"/>
  <c r="I239" i="16"/>
  <c r="H239" i="16"/>
  <c r="G239" i="16"/>
  <c r="F239" i="16"/>
  <c r="E239" i="16"/>
  <c r="B239" i="16"/>
  <c r="V238" i="16"/>
  <c r="U238" i="16"/>
  <c r="T238" i="16"/>
  <c r="S238" i="16"/>
  <c r="R238" i="16"/>
  <c r="Q238" i="16"/>
  <c r="P238" i="16"/>
  <c r="O238" i="16"/>
  <c r="N238" i="16"/>
  <c r="M238" i="16"/>
  <c r="L238" i="16"/>
  <c r="K238" i="16"/>
  <c r="J238" i="16"/>
  <c r="I238" i="16"/>
  <c r="H238" i="16"/>
  <c r="G238" i="16"/>
  <c r="F238" i="16"/>
  <c r="E238" i="16"/>
  <c r="B238" i="16"/>
  <c r="V237" i="16"/>
  <c r="U237" i="16"/>
  <c r="T237" i="16"/>
  <c r="S237" i="16"/>
  <c r="R237" i="16"/>
  <c r="Q237" i="16"/>
  <c r="P237" i="16"/>
  <c r="O237" i="16"/>
  <c r="N237" i="16"/>
  <c r="M237" i="16"/>
  <c r="L237" i="16"/>
  <c r="K237" i="16"/>
  <c r="J237" i="16"/>
  <c r="I237" i="16"/>
  <c r="H237" i="16"/>
  <c r="G237" i="16"/>
  <c r="F237" i="16"/>
  <c r="E237" i="16"/>
  <c r="B237" i="16"/>
  <c r="V236" i="16"/>
  <c r="U236" i="16"/>
  <c r="T236" i="16"/>
  <c r="S236" i="16"/>
  <c r="R236" i="16"/>
  <c r="Q236" i="16"/>
  <c r="P236" i="16"/>
  <c r="O236" i="16"/>
  <c r="N236" i="16"/>
  <c r="M236" i="16"/>
  <c r="L236" i="16"/>
  <c r="K236" i="16"/>
  <c r="J236" i="16"/>
  <c r="I236" i="16"/>
  <c r="H236" i="16"/>
  <c r="G236" i="16"/>
  <c r="F236" i="16"/>
  <c r="E236" i="16"/>
  <c r="B236" i="16"/>
  <c r="V235" i="16"/>
  <c r="U235" i="16"/>
  <c r="T235" i="16"/>
  <c r="S235" i="16"/>
  <c r="R235" i="16"/>
  <c r="Q235" i="16"/>
  <c r="P235" i="16"/>
  <c r="O235" i="16"/>
  <c r="N235" i="16"/>
  <c r="M235" i="16"/>
  <c r="L235" i="16"/>
  <c r="K235" i="16"/>
  <c r="J235" i="16"/>
  <c r="I235" i="16"/>
  <c r="H235" i="16"/>
  <c r="G235" i="16"/>
  <c r="F235" i="16"/>
  <c r="E235" i="16"/>
  <c r="B235" i="16"/>
  <c r="V234" i="16"/>
  <c r="U234" i="16"/>
  <c r="T234" i="16"/>
  <c r="S234" i="16"/>
  <c r="R234" i="16"/>
  <c r="Q234" i="16"/>
  <c r="P234" i="16"/>
  <c r="O234" i="16"/>
  <c r="N234" i="16"/>
  <c r="M234" i="16"/>
  <c r="L234" i="16"/>
  <c r="K234" i="16"/>
  <c r="J234" i="16"/>
  <c r="I234" i="16"/>
  <c r="H234" i="16"/>
  <c r="G234" i="16"/>
  <c r="F234" i="16"/>
  <c r="E234" i="16"/>
  <c r="B234" i="16"/>
  <c r="V233" i="16"/>
  <c r="U233" i="16"/>
  <c r="T233" i="16"/>
  <c r="S233" i="16"/>
  <c r="R233" i="16"/>
  <c r="Q233" i="16"/>
  <c r="P233" i="16"/>
  <c r="O233" i="16"/>
  <c r="N233" i="16"/>
  <c r="M233" i="16"/>
  <c r="L233" i="16"/>
  <c r="K233" i="16"/>
  <c r="J233" i="16"/>
  <c r="I233" i="16"/>
  <c r="H233" i="16"/>
  <c r="G233" i="16"/>
  <c r="F233" i="16"/>
  <c r="E233" i="16"/>
  <c r="B233" i="16"/>
  <c r="V232" i="16"/>
  <c r="U232" i="16"/>
  <c r="T232" i="16"/>
  <c r="S232" i="16"/>
  <c r="R232" i="16"/>
  <c r="Q232" i="16"/>
  <c r="P232" i="16"/>
  <c r="O232" i="16"/>
  <c r="N232" i="16"/>
  <c r="M232" i="16"/>
  <c r="L232" i="16"/>
  <c r="K232" i="16"/>
  <c r="J232" i="16"/>
  <c r="I232" i="16"/>
  <c r="H232" i="16"/>
  <c r="G232" i="16"/>
  <c r="F232" i="16"/>
  <c r="E232" i="16"/>
  <c r="B232" i="16"/>
  <c r="V231" i="16"/>
  <c r="U231" i="16"/>
  <c r="T231" i="16"/>
  <c r="S231" i="16"/>
  <c r="R231" i="16"/>
  <c r="Q231" i="16"/>
  <c r="P231" i="16"/>
  <c r="O231" i="16"/>
  <c r="N231" i="16"/>
  <c r="M231" i="16"/>
  <c r="L231" i="16"/>
  <c r="K231" i="16"/>
  <c r="J231" i="16"/>
  <c r="I231" i="16"/>
  <c r="H231" i="16"/>
  <c r="G231" i="16"/>
  <c r="F231" i="16"/>
  <c r="E231" i="16"/>
  <c r="B231" i="16"/>
  <c r="V230" i="16"/>
  <c r="U230" i="16"/>
  <c r="T230" i="16"/>
  <c r="S230" i="16"/>
  <c r="R230" i="16"/>
  <c r="Q230" i="16"/>
  <c r="P230" i="16"/>
  <c r="O230" i="16"/>
  <c r="N230" i="16"/>
  <c r="M230" i="16"/>
  <c r="L230" i="16"/>
  <c r="K230" i="16"/>
  <c r="J230" i="16"/>
  <c r="I230" i="16"/>
  <c r="H230" i="16"/>
  <c r="G230" i="16"/>
  <c r="F230" i="16"/>
  <c r="E230" i="16"/>
  <c r="B230" i="16"/>
  <c r="V229" i="16"/>
  <c r="U229" i="16"/>
  <c r="T229" i="16"/>
  <c r="S229" i="16"/>
  <c r="R229" i="16"/>
  <c r="Q229" i="16"/>
  <c r="P229" i="16"/>
  <c r="O229" i="16"/>
  <c r="N229" i="16"/>
  <c r="M229" i="16"/>
  <c r="L229" i="16"/>
  <c r="K229" i="16"/>
  <c r="J229" i="16"/>
  <c r="I229" i="16"/>
  <c r="H229" i="16"/>
  <c r="G229" i="16"/>
  <c r="F229" i="16"/>
  <c r="E229" i="16"/>
  <c r="B229" i="16"/>
  <c r="V228" i="16"/>
  <c r="U228" i="16"/>
  <c r="T228" i="16"/>
  <c r="S228" i="16"/>
  <c r="R228" i="16"/>
  <c r="Q228" i="16"/>
  <c r="P228" i="16"/>
  <c r="O228" i="16"/>
  <c r="N228" i="16"/>
  <c r="M228" i="16"/>
  <c r="L228" i="16"/>
  <c r="K228" i="16"/>
  <c r="J228" i="16"/>
  <c r="I228" i="16"/>
  <c r="H228" i="16"/>
  <c r="G228" i="16"/>
  <c r="F228" i="16"/>
  <c r="E228" i="16"/>
  <c r="B228" i="16"/>
  <c r="V227" i="16"/>
  <c r="U227" i="16"/>
  <c r="T227" i="16"/>
  <c r="S227" i="16"/>
  <c r="R227" i="16"/>
  <c r="Q227" i="16"/>
  <c r="P227" i="16"/>
  <c r="O227" i="16"/>
  <c r="N227" i="16"/>
  <c r="M227" i="16"/>
  <c r="L227" i="16"/>
  <c r="K227" i="16"/>
  <c r="J227" i="16"/>
  <c r="I227" i="16"/>
  <c r="H227" i="16"/>
  <c r="G227" i="16"/>
  <c r="F227" i="16"/>
  <c r="E227" i="16"/>
  <c r="B227" i="16"/>
  <c r="V226" i="16"/>
  <c r="U226" i="16"/>
  <c r="T226" i="16"/>
  <c r="S226" i="16"/>
  <c r="R226" i="16"/>
  <c r="Q226" i="16"/>
  <c r="P226" i="16"/>
  <c r="O226" i="16"/>
  <c r="N226" i="16"/>
  <c r="M226" i="16"/>
  <c r="L226" i="16"/>
  <c r="K226" i="16"/>
  <c r="J226" i="16"/>
  <c r="I226" i="16"/>
  <c r="H226" i="16"/>
  <c r="G226" i="16"/>
  <c r="F226" i="16"/>
  <c r="E226" i="16"/>
  <c r="B226" i="16"/>
  <c r="V225" i="16"/>
  <c r="U225" i="16"/>
  <c r="T225" i="16"/>
  <c r="S225" i="16"/>
  <c r="R225" i="16"/>
  <c r="Q225" i="16"/>
  <c r="P225" i="16"/>
  <c r="O225" i="16"/>
  <c r="N225" i="16"/>
  <c r="M225" i="16"/>
  <c r="L225" i="16"/>
  <c r="K225" i="16"/>
  <c r="J225" i="16"/>
  <c r="I225" i="16"/>
  <c r="H225" i="16"/>
  <c r="G225" i="16"/>
  <c r="F225" i="16"/>
  <c r="E225" i="16"/>
  <c r="B225" i="16"/>
  <c r="V224" i="16"/>
  <c r="U224" i="16"/>
  <c r="T224" i="16"/>
  <c r="S224" i="16"/>
  <c r="R224" i="16"/>
  <c r="Q224" i="16"/>
  <c r="P224" i="16"/>
  <c r="O224" i="16"/>
  <c r="N224" i="16"/>
  <c r="M224" i="16"/>
  <c r="L224" i="16"/>
  <c r="K224" i="16"/>
  <c r="J224" i="16"/>
  <c r="I224" i="16"/>
  <c r="H224" i="16"/>
  <c r="G224" i="16"/>
  <c r="F224" i="16"/>
  <c r="E224" i="16"/>
  <c r="B224" i="16"/>
  <c r="V223" i="16"/>
  <c r="U223" i="16"/>
  <c r="T223" i="16"/>
  <c r="S223" i="16"/>
  <c r="R223" i="16"/>
  <c r="Q223" i="16"/>
  <c r="P223" i="16"/>
  <c r="O223" i="16"/>
  <c r="N223" i="16"/>
  <c r="M223" i="16"/>
  <c r="L223" i="16"/>
  <c r="K223" i="16"/>
  <c r="J223" i="16"/>
  <c r="I223" i="16"/>
  <c r="H223" i="16"/>
  <c r="G223" i="16"/>
  <c r="F223" i="16"/>
  <c r="E223" i="16"/>
  <c r="B223" i="16"/>
  <c r="V222" i="16"/>
  <c r="U222" i="16"/>
  <c r="T222" i="16"/>
  <c r="S222" i="16"/>
  <c r="R222" i="16"/>
  <c r="Q222" i="16"/>
  <c r="P222" i="16"/>
  <c r="O222" i="16"/>
  <c r="N222" i="16"/>
  <c r="M222" i="16"/>
  <c r="L222" i="16"/>
  <c r="K222" i="16"/>
  <c r="J222" i="16"/>
  <c r="I222" i="16"/>
  <c r="H222" i="16"/>
  <c r="G222" i="16"/>
  <c r="F222" i="16"/>
  <c r="E222" i="16"/>
  <c r="B222" i="16"/>
  <c r="V221" i="16"/>
  <c r="U221" i="16"/>
  <c r="T221" i="16"/>
  <c r="S221" i="16"/>
  <c r="R221" i="16"/>
  <c r="Q221" i="16"/>
  <c r="P221" i="16"/>
  <c r="O221" i="16"/>
  <c r="N221" i="16"/>
  <c r="M221" i="16"/>
  <c r="L221" i="16"/>
  <c r="K221" i="16"/>
  <c r="J221" i="16"/>
  <c r="I221" i="16"/>
  <c r="H221" i="16"/>
  <c r="G221" i="16"/>
  <c r="F221" i="16"/>
  <c r="E221" i="16"/>
  <c r="B221" i="16"/>
  <c r="V220" i="16"/>
  <c r="U220" i="16"/>
  <c r="T220" i="16"/>
  <c r="S220" i="16"/>
  <c r="R220" i="16"/>
  <c r="Q220" i="16"/>
  <c r="P220" i="16"/>
  <c r="O220" i="16"/>
  <c r="N220" i="16"/>
  <c r="M220" i="16"/>
  <c r="L220" i="16"/>
  <c r="K220" i="16"/>
  <c r="J220" i="16"/>
  <c r="I220" i="16"/>
  <c r="H220" i="16"/>
  <c r="G220" i="16"/>
  <c r="F220" i="16"/>
  <c r="E220" i="16"/>
  <c r="B220" i="16"/>
  <c r="V219" i="16"/>
  <c r="U219" i="16"/>
  <c r="T219" i="16"/>
  <c r="S219" i="16"/>
  <c r="R219" i="16"/>
  <c r="Q219" i="16"/>
  <c r="P219" i="16"/>
  <c r="O219" i="16"/>
  <c r="N219" i="16"/>
  <c r="M219" i="16"/>
  <c r="L219" i="16"/>
  <c r="K219" i="16"/>
  <c r="J219" i="16"/>
  <c r="I219" i="16"/>
  <c r="H219" i="16"/>
  <c r="G219" i="16"/>
  <c r="F219" i="16"/>
  <c r="E219" i="16"/>
  <c r="B219" i="16"/>
  <c r="V218" i="16"/>
  <c r="U218" i="16"/>
  <c r="T218" i="16"/>
  <c r="S218" i="16"/>
  <c r="R218" i="16"/>
  <c r="Q218" i="16"/>
  <c r="P218" i="16"/>
  <c r="O218" i="16"/>
  <c r="N218" i="16"/>
  <c r="M218" i="16"/>
  <c r="L218" i="16"/>
  <c r="K218" i="16"/>
  <c r="J218" i="16"/>
  <c r="I218" i="16"/>
  <c r="H218" i="16"/>
  <c r="G218" i="16"/>
  <c r="F218" i="16"/>
  <c r="E218" i="16"/>
  <c r="B218" i="16"/>
  <c r="V217" i="16"/>
  <c r="U217" i="16"/>
  <c r="T217" i="16"/>
  <c r="S217" i="16"/>
  <c r="R217" i="16"/>
  <c r="Q217" i="16"/>
  <c r="P217" i="16"/>
  <c r="O217" i="16"/>
  <c r="N217" i="16"/>
  <c r="M217" i="16"/>
  <c r="L217" i="16"/>
  <c r="K217" i="16"/>
  <c r="J217" i="16"/>
  <c r="I217" i="16"/>
  <c r="H217" i="16"/>
  <c r="G217" i="16"/>
  <c r="F217" i="16"/>
  <c r="E217" i="16"/>
  <c r="B217" i="16"/>
  <c r="V216" i="16"/>
  <c r="U216" i="16"/>
  <c r="T216" i="16"/>
  <c r="S216" i="16"/>
  <c r="R216" i="16"/>
  <c r="Q216" i="16"/>
  <c r="P216" i="16"/>
  <c r="O216" i="16"/>
  <c r="N216" i="16"/>
  <c r="M216" i="16"/>
  <c r="L216" i="16"/>
  <c r="K216" i="16"/>
  <c r="J216" i="16"/>
  <c r="I216" i="16"/>
  <c r="H216" i="16"/>
  <c r="G216" i="16"/>
  <c r="F216" i="16"/>
  <c r="E216" i="16"/>
  <c r="B216" i="16"/>
  <c r="V215" i="16"/>
  <c r="U215" i="16"/>
  <c r="T215" i="16"/>
  <c r="S215" i="16"/>
  <c r="R215" i="16"/>
  <c r="Q215" i="16"/>
  <c r="P215" i="16"/>
  <c r="O215" i="16"/>
  <c r="N215" i="16"/>
  <c r="M215" i="16"/>
  <c r="L215" i="16"/>
  <c r="K215" i="16"/>
  <c r="J215" i="16"/>
  <c r="I215" i="16"/>
  <c r="H215" i="16"/>
  <c r="G215" i="16"/>
  <c r="F215" i="16"/>
  <c r="E215" i="16"/>
  <c r="B215" i="16"/>
  <c r="V214" i="16"/>
  <c r="U214" i="16"/>
  <c r="T214" i="16"/>
  <c r="S214" i="16"/>
  <c r="R214" i="16"/>
  <c r="Q214" i="16"/>
  <c r="P214" i="16"/>
  <c r="O214" i="16"/>
  <c r="N214" i="16"/>
  <c r="M214" i="16"/>
  <c r="L214" i="16"/>
  <c r="K214" i="16"/>
  <c r="J214" i="16"/>
  <c r="I214" i="16"/>
  <c r="H214" i="16"/>
  <c r="G214" i="16"/>
  <c r="F214" i="16"/>
  <c r="E214" i="16"/>
  <c r="B214" i="16"/>
  <c r="V213" i="16"/>
  <c r="U213" i="16"/>
  <c r="T213" i="16"/>
  <c r="S213" i="16"/>
  <c r="R213" i="16"/>
  <c r="Q213" i="16"/>
  <c r="P213" i="16"/>
  <c r="O213" i="16"/>
  <c r="N213" i="16"/>
  <c r="M213" i="16"/>
  <c r="L213" i="16"/>
  <c r="K213" i="16"/>
  <c r="J213" i="16"/>
  <c r="I213" i="16"/>
  <c r="H213" i="16"/>
  <c r="G213" i="16"/>
  <c r="F213" i="16"/>
  <c r="E213" i="16"/>
  <c r="B213" i="16"/>
  <c r="V212" i="16"/>
  <c r="U212" i="16"/>
  <c r="T212" i="16"/>
  <c r="S212" i="16"/>
  <c r="R212" i="16"/>
  <c r="Q212" i="16"/>
  <c r="P212" i="16"/>
  <c r="O212" i="16"/>
  <c r="N212" i="16"/>
  <c r="M212" i="16"/>
  <c r="L212" i="16"/>
  <c r="K212" i="16"/>
  <c r="J212" i="16"/>
  <c r="I212" i="16"/>
  <c r="H212" i="16"/>
  <c r="G212" i="16"/>
  <c r="F212" i="16"/>
  <c r="E212" i="16"/>
  <c r="B212" i="16"/>
  <c r="V211" i="16"/>
  <c r="U211" i="16"/>
  <c r="T211" i="16"/>
  <c r="S211" i="16"/>
  <c r="R211" i="16"/>
  <c r="Q211" i="16"/>
  <c r="P211" i="16"/>
  <c r="O211" i="16"/>
  <c r="N211" i="16"/>
  <c r="M211" i="16"/>
  <c r="L211" i="16"/>
  <c r="K211" i="16"/>
  <c r="J211" i="16"/>
  <c r="I211" i="16"/>
  <c r="H211" i="16"/>
  <c r="G211" i="16"/>
  <c r="F211" i="16"/>
  <c r="E211" i="16"/>
  <c r="B211" i="16"/>
  <c r="V210" i="16"/>
  <c r="U210" i="16"/>
  <c r="T210" i="16"/>
  <c r="S210" i="16"/>
  <c r="R210" i="16"/>
  <c r="Q210" i="16"/>
  <c r="P210" i="16"/>
  <c r="O210" i="16"/>
  <c r="N210" i="16"/>
  <c r="M210" i="16"/>
  <c r="L210" i="16"/>
  <c r="K210" i="16"/>
  <c r="J210" i="16"/>
  <c r="I210" i="16"/>
  <c r="H210" i="16"/>
  <c r="G210" i="16"/>
  <c r="F210" i="16"/>
  <c r="E210" i="16"/>
  <c r="B210" i="16"/>
  <c r="V209" i="16"/>
  <c r="U209" i="16"/>
  <c r="T209" i="16"/>
  <c r="S209" i="16"/>
  <c r="R209" i="16"/>
  <c r="Q209" i="16"/>
  <c r="P209" i="16"/>
  <c r="O209" i="16"/>
  <c r="N209" i="16"/>
  <c r="M209" i="16"/>
  <c r="L209" i="16"/>
  <c r="K209" i="16"/>
  <c r="J209" i="16"/>
  <c r="I209" i="16"/>
  <c r="H209" i="16"/>
  <c r="G209" i="16"/>
  <c r="F209" i="16"/>
  <c r="E209" i="16"/>
  <c r="B209" i="16"/>
  <c r="V208" i="16"/>
  <c r="U208" i="16"/>
  <c r="T208" i="16"/>
  <c r="S208" i="16"/>
  <c r="R208" i="16"/>
  <c r="Q208" i="16"/>
  <c r="P208" i="16"/>
  <c r="O208" i="16"/>
  <c r="N208" i="16"/>
  <c r="M208" i="16"/>
  <c r="L208" i="16"/>
  <c r="K208" i="16"/>
  <c r="J208" i="16"/>
  <c r="I208" i="16"/>
  <c r="H208" i="16"/>
  <c r="G208" i="16"/>
  <c r="F208" i="16"/>
  <c r="E208" i="16"/>
  <c r="B208" i="16"/>
  <c r="V207" i="16"/>
  <c r="U207" i="16"/>
  <c r="T207" i="16"/>
  <c r="S207" i="16"/>
  <c r="R207" i="16"/>
  <c r="Q207" i="16"/>
  <c r="P207" i="16"/>
  <c r="O207" i="16"/>
  <c r="N207" i="16"/>
  <c r="M207" i="16"/>
  <c r="L207" i="16"/>
  <c r="K207" i="16"/>
  <c r="J207" i="16"/>
  <c r="I207" i="16"/>
  <c r="H207" i="16"/>
  <c r="G207" i="16"/>
  <c r="F207" i="16"/>
  <c r="E207" i="16"/>
  <c r="B207" i="16"/>
  <c r="V206" i="16"/>
  <c r="U206" i="16"/>
  <c r="T206" i="16"/>
  <c r="S206" i="16"/>
  <c r="R206" i="16"/>
  <c r="Q206" i="16"/>
  <c r="P206" i="16"/>
  <c r="O206" i="16"/>
  <c r="N206" i="16"/>
  <c r="M206" i="16"/>
  <c r="L206" i="16"/>
  <c r="K206" i="16"/>
  <c r="J206" i="16"/>
  <c r="I206" i="16"/>
  <c r="H206" i="16"/>
  <c r="G206" i="16"/>
  <c r="F206" i="16"/>
  <c r="E206" i="16"/>
  <c r="B206" i="16"/>
  <c r="V205" i="16"/>
  <c r="U205" i="16"/>
  <c r="T205" i="16"/>
  <c r="S205" i="16"/>
  <c r="R205" i="16"/>
  <c r="Q205" i="16"/>
  <c r="P205" i="16"/>
  <c r="O205" i="16"/>
  <c r="N205" i="16"/>
  <c r="M205" i="16"/>
  <c r="L205" i="16"/>
  <c r="K205" i="16"/>
  <c r="J205" i="16"/>
  <c r="I205" i="16"/>
  <c r="H205" i="16"/>
  <c r="G205" i="16"/>
  <c r="F205" i="16"/>
  <c r="E205" i="16"/>
  <c r="B205" i="16"/>
  <c r="V204" i="16"/>
  <c r="U204" i="16"/>
  <c r="T204" i="16"/>
  <c r="S204" i="16"/>
  <c r="R204" i="16"/>
  <c r="Q204" i="16"/>
  <c r="P204" i="16"/>
  <c r="O204" i="16"/>
  <c r="N204" i="16"/>
  <c r="M204" i="16"/>
  <c r="L204" i="16"/>
  <c r="K204" i="16"/>
  <c r="J204" i="16"/>
  <c r="I204" i="16"/>
  <c r="H204" i="16"/>
  <c r="G204" i="16"/>
  <c r="F204" i="16"/>
  <c r="E204" i="16"/>
  <c r="B204" i="16"/>
  <c r="V203" i="16"/>
  <c r="U203" i="16"/>
  <c r="T203" i="16"/>
  <c r="S203" i="16"/>
  <c r="R203" i="16"/>
  <c r="Q203" i="16"/>
  <c r="P203" i="16"/>
  <c r="O203" i="16"/>
  <c r="N203" i="16"/>
  <c r="M203" i="16"/>
  <c r="L203" i="16"/>
  <c r="K203" i="16"/>
  <c r="J203" i="16"/>
  <c r="I203" i="16"/>
  <c r="H203" i="16"/>
  <c r="G203" i="16"/>
  <c r="F203" i="16"/>
  <c r="E203" i="16"/>
  <c r="B203" i="16"/>
  <c r="V202" i="16"/>
  <c r="U202" i="16"/>
  <c r="T202" i="16"/>
  <c r="S202" i="16"/>
  <c r="R202" i="16"/>
  <c r="Q202" i="16"/>
  <c r="P202" i="16"/>
  <c r="O202" i="16"/>
  <c r="N202" i="16"/>
  <c r="M202" i="16"/>
  <c r="L202" i="16"/>
  <c r="K202" i="16"/>
  <c r="J202" i="16"/>
  <c r="I202" i="16"/>
  <c r="H202" i="16"/>
  <c r="G202" i="16"/>
  <c r="F202" i="16"/>
  <c r="E202" i="16"/>
  <c r="B202" i="16"/>
  <c r="V201" i="16"/>
  <c r="U201" i="16"/>
  <c r="T201" i="16"/>
  <c r="S201" i="16"/>
  <c r="R201" i="16"/>
  <c r="Q201" i="16"/>
  <c r="P201" i="16"/>
  <c r="O201" i="16"/>
  <c r="N201" i="16"/>
  <c r="M201" i="16"/>
  <c r="L201" i="16"/>
  <c r="K201" i="16"/>
  <c r="J201" i="16"/>
  <c r="I201" i="16"/>
  <c r="H201" i="16"/>
  <c r="G201" i="16"/>
  <c r="F201" i="16"/>
  <c r="E201" i="16"/>
  <c r="B201" i="16"/>
  <c r="V200" i="16"/>
  <c r="U200" i="16"/>
  <c r="T200" i="16"/>
  <c r="S200" i="16"/>
  <c r="R200" i="16"/>
  <c r="Q200" i="16"/>
  <c r="P200" i="16"/>
  <c r="O200" i="16"/>
  <c r="N200" i="16"/>
  <c r="M200" i="16"/>
  <c r="L200" i="16"/>
  <c r="K200" i="16"/>
  <c r="J200" i="16"/>
  <c r="I200" i="16"/>
  <c r="H200" i="16"/>
  <c r="G200" i="16"/>
  <c r="F200" i="16"/>
  <c r="E200" i="16"/>
  <c r="B200" i="16"/>
  <c r="V199" i="16"/>
  <c r="U199" i="16"/>
  <c r="T199" i="16"/>
  <c r="S199" i="16"/>
  <c r="R199" i="16"/>
  <c r="Q199" i="16"/>
  <c r="P199" i="16"/>
  <c r="O199" i="16"/>
  <c r="N199" i="16"/>
  <c r="M199" i="16"/>
  <c r="L199" i="16"/>
  <c r="K199" i="16"/>
  <c r="J199" i="16"/>
  <c r="I199" i="16"/>
  <c r="H199" i="16"/>
  <c r="G199" i="16"/>
  <c r="F199" i="16"/>
  <c r="E199" i="16"/>
  <c r="B199" i="16"/>
  <c r="V198" i="16"/>
  <c r="U198" i="16"/>
  <c r="T198" i="16"/>
  <c r="S198" i="16"/>
  <c r="R198" i="16"/>
  <c r="Q198" i="16"/>
  <c r="P198" i="16"/>
  <c r="O198" i="16"/>
  <c r="N198" i="16"/>
  <c r="M198" i="16"/>
  <c r="L198" i="16"/>
  <c r="K198" i="16"/>
  <c r="J198" i="16"/>
  <c r="I198" i="16"/>
  <c r="H198" i="16"/>
  <c r="G198" i="16"/>
  <c r="F198" i="16"/>
  <c r="E198" i="16"/>
  <c r="B198" i="16"/>
  <c r="V197" i="16"/>
  <c r="U197" i="16"/>
  <c r="T197" i="16"/>
  <c r="S197" i="16"/>
  <c r="R197" i="16"/>
  <c r="Q197" i="16"/>
  <c r="P197" i="16"/>
  <c r="O197" i="16"/>
  <c r="N197" i="16"/>
  <c r="M197" i="16"/>
  <c r="L197" i="16"/>
  <c r="K197" i="16"/>
  <c r="J197" i="16"/>
  <c r="I197" i="16"/>
  <c r="H197" i="16"/>
  <c r="G197" i="16"/>
  <c r="F197" i="16"/>
  <c r="E197" i="16"/>
  <c r="B197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I196" i="16"/>
  <c r="H196" i="16"/>
  <c r="G196" i="16"/>
  <c r="F196" i="16"/>
  <c r="E196" i="16"/>
  <c r="B196" i="16"/>
  <c r="V195" i="16"/>
  <c r="U195" i="16"/>
  <c r="T195" i="16"/>
  <c r="S195" i="16"/>
  <c r="R195" i="16"/>
  <c r="Q195" i="16"/>
  <c r="P195" i="16"/>
  <c r="O195" i="16"/>
  <c r="N195" i="16"/>
  <c r="M195" i="16"/>
  <c r="L195" i="16"/>
  <c r="K195" i="16"/>
  <c r="J195" i="16"/>
  <c r="I195" i="16"/>
  <c r="H195" i="16"/>
  <c r="G195" i="16"/>
  <c r="F195" i="16"/>
  <c r="E195" i="16"/>
  <c r="B195" i="16"/>
  <c r="V194" i="16"/>
  <c r="U194" i="16"/>
  <c r="T194" i="16"/>
  <c r="S194" i="16"/>
  <c r="R194" i="16"/>
  <c r="Q194" i="16"/>
  <c r="P194" i="16"/>
  <c r="O194" i="16"/>
  <c r="N194" i="16"/>
  <c r="M194" i="16"/>
  <c r="L194" i="16"/>
  <c r="K194" i="16"/>
  <c r="J194" i="16"/>
  <c r="I194" i="16"/>
  <c r="H194" i="16"/>
  <c r="G194" i="16"/>
  <c r="F194" i="16"/>
  <c r="E194" i="16"/>
  <c r="B194" i="16"/>
  <c r="V193" i="16"/>
  <c r="U193" i="16"/>
  <c r="T193" i="16"/>
  <c r="S193" i="16"/>
  <c r="R193" i="16"/>
  <c r="Q193" i="16"/>
  <c r="P193" i="16"/>
  <c r="O193" i="16"/>
  <c r="N193" i="16"/>
  <c r="M193" i="16"/>
  <c r="L193" i="16"/>
  <c r="K193" i="16"/>
  <c r="J193" i="16"/>
  <c r="I193" i="16"/>
  <c r="H193" i="16"/>
  <c r="G193" i="16"/>
  <c r="F193" i="16"/>
  <c r="E193" i="16"/>
  <c r="B193" i="16"/>
  <c r="V192" i="16"/>
  <c r="U192" i="16"/>
  <c r="T192" i="16"/>
  <c r="S192" i="16"/>
  <c r="R192" i="16"/>
  <c r="Q192" i="16"/>
  <c r="P192" i="16"/>
  <c r="O192" i="16"/>
  <c r="N192" i="16"/>
  <c r="M192" i="16"/>
  <c r="L192" i="16"/>
  <c r="K192" i="16"/>
  <c r="J192" i="16"/>
  <c r="I192" i="16"/>
  <c r="H192" i="16"/>
  <c r="G192" i="16"/>
  <c r="F192" i="16"/>
  <c r="E192" i="16"/>
  <c r="B192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I191" i="16"/>
  <c r="H191" i="16"/>
  <c r="G191" i="16"/>
  <c r="F191" i="16"/>
  <c r="E191" i="16"/>
  <c r="B191" i="16"/>
  <c r="V190" i="16"/>
  <c r="U190" i="16"/>
  <c r="T190" i="16"/>
  <c r="S190" i="16"/>
  <c r="R190" i="16"/>
  <c r="Q190" i="16"/>
  <c r="P190" i="16"/>
  <c r="O190" i="16"/>
  <c r="N190" i="16"/>
  <c r="M190" i="16"/>
  <c r="L190" i="16"/>
  <c r="K190" i="16"/>
  <c r="J190" i="16"/>
  <c r="I190" i="16"/>
  <c r="H190" i="16"/>
  <c r="G190" i="16"/>
  <c r="F190" i="16"/>
  <c r="E190" i="16"/>
  <c r="B190" i="16"/>
  <c r="V189" i="16"/>
  <c r="U189" i="16"/>
  <c r="T189" i="16"/>
  <c r="S189" i="16"/>
  <c r="R189" i="16"/>
  <c r="Q189" i="16"/>
  <c r="P189" i="16"/>
  <c r="O189" i="16"/>
  <c r="N189" i="16"/>
  <c r="M189" i="16"/>
  <c r="L189" i="16"/>
  <c r="K189" i="16"/>
  <c r="J189" i="16"/>
  <c r="I189" i="16"/>
  <c r="H189" i="16"/>
  <c r="G189" i="16"/>
  <c r="F189" i="16"/>
  <c r="E189" i="16"/>
  <c r="B189" i="16"/>
  <c r="V188" i="16"/>
  <c r="U188" i="16"/>
  <c r="T188" i="16"/>
  <c r="S188" i="16"/>
  <c r="R188" i="16"/>
  <c r="Q188" i="16"/>
  <c r="P188" i="16"/>
  <c r="O188" i="16"/>
  <c r="N188" i="16"/>
  <c r="M188" i="16"/>
  <c r="L188" i="16"/>
  <c r="K188" i="16"/>
  <c r="J188" i="16"/>
  <c r="I188" i="16"/>
  <c r="H188" i="16"/>
  <c r="G188" i="16"/>
  <c r="F188" i="16"/>
  <c r="E188" i="16"/>
  <c r="B188" i="16"/>
  <c r="V187" i="16"/>
  <c r="U187" i="16"/>
  <c r="T187" i="16"/>
  <c r="S187" i="16"/>
  <c r="R187" i="16"/>
  <c r="Q187" i="16"/>
  <c r="P187" i="16"/>
  <c r="O187" i="16"/>
  <c r="N187" i="16"/>
  <c r="M187" i="16"/>
  <c r="L187" i="16"/>
  <c r="K187" i="16"/>
  <c r="J187" i="16"/>
  <c r="I187" i="16"/>
  <c r="H187" i="16"/>
  <c r="G187" i="16"/>
  <c r="F187" i="16"/>
  <c r="E187" i="16"/>
  <c r="B187" i="16"/>
  <c r="V186" i="16"/>
  <c r="U186" i="16"/>
  <c r="T186" i="16"/>
  <c r="S186" i="16"/>
  <c r="R186" i="16"/>
  <c r="Q186" i="16"/>
  <c r="P186" i="16"/>
  <c r="O186" i="16"/>
  <c r="N186" i="16"/>
  <c r="M186" i="16"/>
  <c r="L186" i="16"/>
  <c r="K186" i="16"/>
  <c r="J186" i="16"/>
  <c r="I186" i="16"/>
  <c r="H186" i="16"/>
  <c r="G186" i="16"/>
  <c r="F186" i="16"/>
  <c r="E186" i="16"/>
  <c r="B186" i="16"/>
  <c r="V185" i="16"/>
  <c r="U185" i="16"/>
  <c r="T185" i="16"/>
  <c r="S185" i="16"/>
  <c r="R185" i="16"/>
  <c r="Q185" i="16"/>
  <c r="P185" i="16"/>
  <c r="O185" i="16"/>
  <c r="N185" i="16"/>
  <c r="M185" i="16"/>
  <c r="L185" i="16"/>
  <c r="K185" i="16"/>
  <c r="J185" i="16"/>
  <c r="I185" i="16"/>
  <c r="H185" i="16"/>
  <c r="G185" i="16"/>
  <c r="F185" i="16"/>
  <c r="E185" i="16"/>
  <c r="B185" i="16"/>
  <c r="V184" i="16"/>
  <c r="U184" i="16"/>
  <c r="T184" i="16"/>
  <c r="S184" i="16"/>
  <c r="R184" i="16"/>
  <c r="Q184" i="16"/>
  <c r="P184" i="16"/>
  <c r="O184" i="16"/>
  <c r="N184" i="16"/>
  <c r="M184" i="16"/>
  <c r="L184" i="16"/>
  <c r="K184" i="16"/>
  <c r="J184" i="16"/>
  <c r="I184" i="16"/>
  <c r="H184" i="16"/>
  <c r="G184" i="16"/>
  <c r="F184" i="16"/>
  <c r="E184" i="16"/>
  <c r="B184" i="16"/>
  <c r="V183" i="16"/>
  <c r="U183" i="16"/>
  <c r="T183" i="16"/>
  <c r="S183" i="16"/>
  <c r="R183" i="16"/>
  <c r="Q183" i="16"/>
  <c r="P183" i="16"/>
  <c r="O183" i="16"/>
  <c r="N183" i="16"/>
  <c r="M183" i="16"/>
  <c r="L183" i="16"/>
  <c r="K183" i="16"/>
  <c r="J183" i="16"/>
  <c r="I183" i="16"/>
  <c r="H183" i="16"/>
  <c r="G183" i="16"/>
  <c r="F183" i="16"/>
  <c r="E183" i="16"/>
  <c r="B183" i="16"/>
  <c r="V182" i="16"/>
  <c r="U182" i="16"/>
  <c r="T182" i="16"/>
  <c r="S182" i="16"/>
  <c r="R182" i="16"/>
  <c r="Q182" i="16"/>
  <c r="P182" i="16"/>
  <c r="O182" i="16"/>
  <c r="N182" i="16"/>
  <c r="M182" i="16"/>
  <c r="L182" i="16"/>
  <c r="K182" i="16"/>
  <c r="J182" i="16"/>
  <c r="I182" i="16"/>
  <c r="H182" i="16"/>
  <c r="G182" i="16"/>
  <c r="F182" i="16"/>
  <c r="E182" i="16"/>
  <c r="B182" i="16"/>
  <c r="V181" i="16"/>
  <c r="U181" i="16"/>
  <c r="T181" i="16"/>
  <c r="S181" i="16"/>
  <c r="R181" i="16"/>
  <c r="Q181" i="16"/>
  <c r="P181" i="16"/>
  <c r="O181" i="16"/>
  <c r="N181" i="16"/>
  <c r="M181" i="16"/>
  <c r="L181" i="16"/>
  <c r="K181" i="16"/>
  <c r="J181" i="16"/>
  <c r="I181" i="16"/>
  <c r="H181" i="16"/>
  <c r="G181" i="16"/>
  <c r="F181" i="16"/>
  <c r="E181" i="16"/>
  <c r="B181" i="16"/>
  <c r="V180" i="16"/>
  <c r="U180" i="16"/>
  <c r="T180" i="16"/>
  <c r="S180" i="16"/>
  <c r="R180" i="16"/>
  <c r="Q180" i="16"/>
  <c r="P180" i="16"/>
  <c r="O180" i="16"/>
  <c r="N180" i="16"/>
  <c r="M180" i="16"/>
  <c r="L180" i="16"/>
  <c r="K180" i="16"/>
  <c r="J180" i="16"/>
  <c r="I180" i="16"/>
  <c r="H180" i="16"/>
  <c r="G180" i="16"/>
  <c r="F180" i="16"/>
  <c r="E180" i="16"/>
  <c r="B180" i="16"/>
  <c r="V179" i="16"/>
  <c r="U179" i="16"/>
  <c r="T179" i="16"/>
  <c r="S179" i="16"/>
  <c r="R179" i="16"/>
  <c r="Q179" i="16"/>
  <c r="P179" i="16"/>
  <c r="O179" i="16"/>
  <c r="N179" i="16"/>
  <c r="M179" i="16"/>
  <c r="L179" i="16"/>
  <c r="K179" i="16"/>
  <c r="J179" i="16"/>
  <c r="I179" i="16"/>
  <c r="H179" i="16"/>
  <c r="G179" i="16"/>
  <c r="F179" i="16"/>
  <c r="E179" i="16"/>
  <c r="B179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I178" i="16"/>
  <c r="H178" i="16"/>
  <c r="G178" i="16"/>
  <c r="F178" i="16"/>
  <c r="E178" i="16"/>
  <c r="B178" i="16"/>
  <c r="V177" i="16"/>
  <c r="U177" i="16"/>
  <c r="T177" i="16"/>
  <c r="S177" i="16"/>
  <c r="R177" i="16"/>
  <c r="Q177" i="16"/>
  <c r="P177" i="16"/>
  <c r="O177" i="16"/>
  <c r="N177" i="16"/>
  <c r="M177" i="16"/>
  <c r="L177" i="16"/>
  <c r="K177" i="16"/>
  <c r="J177" i="16"/>
  <c r="I177" i="16"/>
  <c r="H177" i="16"/>
  <c r="G177" i="16"/>
  <c r="F177" i="16"/>
  <c r="E177" i="16"/>
  <c r="B177" i="16"/>
  <c r="V176" i="16"/>
  <c r="U176" i="16"/>
  <c r="T176" i="16"/>
  <c r="S176" i="16"/>
  <c r="R176" i="16"/>
  <c r="Q176" i="16"/>
  <c r="P176" i="16"/>
  <c r="O176" i="16"/>
  <c r="N176" i="16"/>
  <c r="M176" i="16"/>
  <c r="L176" i="16"/>
  <c r="K176" i="16"/>
  <c r="J176" i="16"/>
  <c r="I176" i="16"/>
  <c r="H176" i="16"/>
  <c r="G176" i="16"/>
  <c r="F176" i="16"/>
  <c r="E176" i="16"/>
  <c r="B176" i="16"/>
  <c r="V175" i="16"/>
  <c r="U175" i="16"/>
  <c r="T175" i="16"/>
  <c r="S175" i="16"/>
  <c r="R175" i="16"/>
  <c r="Q175" i="16"/>
  <c r="P175" i="16"/>
  <c r="O175" i="16"/>
  <c r="N175" i="16"/>
  <c r="M175" i="16"/>
  <c r="L175" i="16"/>
  <c r="K175" i="16"/>
  <c r="J175" i="16"/>
  <c r="I175" i="16"/>
  <c r="H175" i="16"/>
  <c r="G175" i="16"/>
  <c r="F175" i="16"/>
  <c r="E175" i="16"/>
  <c r="B175" i="16"/>
  <c r="V174" i="16"/>
  <c r="U174" i="16"/>
  <c r="T174" i="16"/>
  <c r="S174" i="16"/>
  <c r="R174" i="16"/>
  <c r="Q174" i="16"/>
  <c r="P174" i="16"/>
  <c r="O174" i="16"/>
  <c r="N174" i="16"/>
  <c r="M174" i="16"/>
  <c r="L174" i="16"/>
  <c r="K174" i="16"/>
  <c r="J174" i="16"/>
  <c r="I174" i="16"/>
  <c r="H174" i="16"/>
  <c r="G174" i="16"/>
  <c r="F174" i="16"/>
  <c r="E174" i="16"/>
  <c r="B174" i="16"/>
  <c r="V173" i="16"/>
  <c r="U173" i="16"/>
  <c r="T173" i="16"/>
  <c r="S173" i="16"/>
  <c r="R173" i="16"/>
  <c r="Q173" i="16"/>
  <c r="P173" i="16"/>
  <c r="O173" i="16"/>
  <c r="N173" i="16"/>
  <c r="M173" i="16"/>
  <c r="L173" i="16"/>
  <c r="K173" i="16"/>
  <c r="J173" i="16"/>
  <c r="I173" i="16"/>
  <c r="H173" i="16"/>
  <c r="G173" i="16"/>
  <c r="F173" i="16"/>
  <c r="E173" i="16"/>
  <c r="B173" i="16"/>
  <c r="V172" i="16"/>
  <c r="U172" i="16"/>
  <c r="T172" i="16"/>
  <c r="S172" i="16"/>
  <c r="R172" i="16"/>
  <c r="Q172" i="16"/>
  <c r="P172" i="16"/>
  <c r="O172" i="16"/>
  <c r="N172" i="16"/>
  <c r="M172" i="16"/>
  <c r="L172" i="16"/>
  <c r="K172" i="16"/>
  <c r="J172" i="16"/>
  <c r="I172" i="16"/>
  <c r="H172" i="16"/>
  <c r="G172" i="16"/>
  <c r="F172" i="16"/>
  <c r="E172" i="16"/>
  <c r="B172" i="16"/>
  <c r="V171" i="16"/>
  <c r="U171" i="16"/>
  <c r="T171" i="16"/>
  <c r="S171" i="16"/>
  <c r="R171" i="16"/>
  <c r="Q171" i="16"/>
  <c r="P171" i="16"/>
  <c r="O171" i="16"/>
  <c r="N171" i="16"/>
  <c r="M171" i="16"/>
  <c r="L171" i="16"/>
  <c r="K171" i="16"/>
  <c r="J171" i="16"/>
  <c r="I171" i="16"/>
  <c r="H171" i="16"/>
  <c r="G171" i="16"/>
  <c r="F171" i="16"/>
  <c r="E171" i="16"/>
  <c r="B171" i="16"/>
  <c r="V170" i="16"/>
  <c r="U170" i="16"/>
  <c r="T170" i="16"/>
  <c r="S170" i="16"/>
  <c r="R170" i="16"/>
  <c r="Q170" i="16"/>
  <c r="P170" i="16"/>
  <c r="O170" i="16"/>
  <c r="N170" i="16"/>
  <c r="M170" i="16"/>
  <c r="L170" i="16"/>
  <c r="K170" i="16"/>
  <c r="J170" i="16"/>
  <c r="I170" i="16"/>
  <c r="H170" i="16"/>
  <c r="G170" i="16"/>
  <c r="F170" i="16"/>
  <c r="E170" i="16"/>
  <c r="B170" i="16"/>
  <c r="V169" i="16"/>
  <c r="U169" i="16"/>
  <c r="T169" i="16"/>
  <c r="S169" i="16"/>
  <c r="R169" i="16"/>
  <c r="Q169" i="16"/>
  <c r="P169" i="16"/>
  <c r="O169" i="16"/>
  <c r="N169" i="16"/>
  <c r="M169" i="16"/>
  <c r="L169" i="16"/>
  <c r="K169" i="16"/>
  <c r="J169" i="16"/>
  <c r="I169" i="16"/>
  <c r="H169" i="16"/>
  <c r="G169" i="16"/>
  <c r="F169" i="16"/>
  <c r="E169" i="16"/>
  <c r="B169" i="16"/>
  <c r="V168" i="16"/>
  <c r="U168" i="16"/>
  <c r="T168" i="16"/>
  <c r="S168" i="16"/>
  <c r="R168" i="16"/>
  <c r="Q168" i="16"/>
  <c r="P168" i="16"/>
  <c r="O168" i="16"/>
  <c r="N168" i="16"/>
  <c r="M168" i="16"/>
  <c r="L168" i="16"/>
  <c r="K168" i="16"/>
  <c r="J168" i="16"/>
  <c r="I168" i="16"/>
  <c r="H168" i="16"/>
  <c r="G168" i="16"/>
  <c r="F168" i="16"/>
  <c r="E168" i="16"/>
  <c r="B168" i="16"/>
  <c r="V167" i="16"/>
  <c r="U167" i="16"/>
  <c r="T167" i="16"/>
  <c r="S167" i="16"/>
  <c r="R167" i="16"/>
  <c r="Q167" i="16"/>
  <c r="P167" i="16"/>
  <c r="O167" i="16"/>
  <c r="N167" i="16"/>
  <c r="M167" i="16"/>
  <c r="L167" i="16"/>
  <c r="K167" i="16"/>
  <c r="J167" i="16"/>
  <c r="I167" i="16"/>
  <c r="H167" i="16"/>
  <c r="G167" i="16"/>
  <c r="F167" i="16"/>
  <c r="E167" i="16"/>
  <c r="B167" i="16"/>
  <c r="V166" i="16"/>
  <c r="U166" i="16"/>
  <c r="T166" i="16"/>
  <c r="S166" i="16"/>
  <c r="R166" i="16"/>
  <c r="Q166" i="16"/>
  <c r="P166" i="16"/>
  <c r="O166" i="16"/>
  <c r="N166" i="16"/>
  <c r="M166" i="16"/>
  <c r="L166" i="16"/>
  <c r="K166" i="16"/>
  <c r="J166" i="16"/>
  <c r="I166" i="16"/>
  <c r="H166" i="16"/>
  <c r="G166" i="16"/>
  <c r="F166" i="16"/>
  <c r="E166" i="16"/>
  <c r="B166" i="16"/>
  <c r="V165" i="16"/>
  <c r="U165" i="16"/>
  <c r="T165" i="16"/>
  <c r="S165" i="16"/>
  <c r="R165" i="16"/>
  <c r="Q165" i="16"/>
  <c r="P165" i="16"/>
  <c r="O165" i="16"/>
  <c r="N165" i="16"/>
  <c r="M165" i="16"/>
  <c r="L165" i="16"/>
  <c r="K165" i="16"/>
  <c r="J165" i="16"/>
  <c r="I165" i="16"/>
  <c r="H165" i="16"/>
  <c r="G165" i="16"/>
  <c r="F165" i="16"/>
  <c r="E165" i="16"/>
  <c r="B165" i="16"/>
  <c r="V164" i="16"/>
  <c r="U164" i="16"/>
  <c r="T164" i="16"/>
  <c r="S164" i="16"/>
  <c r="R164" i="16"/>
  <c r="Q164" i="16"/>
  <c r="P164" i="16"/>
  <c r="O164" i="16"/>
  <c r="N164" i="16"/>
  <c r="M164" i="16"/>
  <c r="L164" i="16"/>
  <c r="K164" i="16"/>
  <c r="J164" i="16"/>
  <c r="I164" i="16"/>
  <c r="H164" i="16"/>
  <c r="G164" i="16"/>
  <c r="F164" i="16"/>
  <c r="E164" i="16"/>
  <c r="B164" i="16"/>
  <c r="V163" i="16"/>
  <c r="U163" i="16"/>
  <c r="T163" i="16"/>
  <c r="S163" i="16"/>
  <c r="R163" i="16"/>
  <c r="Q163" i="16"/>
  <c r="P163" i="16"/>
  <c r="O163" i="16"/>
  <c r="N163" i="16"/>
  <c r="M163" i="16"/>
  <c r="L163" i="16"/>
  <c r="K163" i="16"/>
  <c r="J163" i="16"/>
  <c r="I163" i="16"/>
  <c r="H163" i="16"/>
  <c r="G163" i="16"/>
  <c r="F163" i="16"/>
  <c r="E163" i="16"/>
  <c r="B163" i="16"/>
  <c r="V162" i="16"/>
  <c r="U162" i="16"/>
  <c r="T162" i="16"/>
  <c r="S162" i="16"/>
  <c r="R162" i="16"/>
  <c r="Q162" i="16"/>
  <c r="P162" i="16"/>
  <c r="O162" i="16"/>
  <c r="N162" i="16"/>
  <c r="M162" i="16"/>
  <c r="L162" i="16"/>
  <c r="K162" i="16"/>
  <c r="J162" i="16"/>
  <c r="I162" i="16"/>
  <c r="H162" i="16"/>
  <c r="G162" i="16"/>
  <c r="F162" i="16"/>
  <c r="E162" i="16"/>
  <c r="B162" i="16"/>
  <c r="V161" i="16"/>
  <c r="U161" i="16"/>
  <c r="T161" i="16"/>
  <c r="S161" i="16"/>
  <c r="R161" i="16"/>
  <c r="Q161" i="16"/>
  <c r="P161" i="16"/>
  <c r="O161" i="16"/>
  <c r="N161" i="16"/>
  <c r="M161" i="16"/>
  <c r="L161" i="16"/>
  <c r="K161" i="16"/>
  <c r="J161" i="16"/>
  <c r="I161" i="16"/>
  <c r="H161" i="16"/>
  <c r="G161" i="16"/>
  <c r="F161" i="16"/>
  <c r="E161" i="16"/>
  <c r="B161" i="16"/>
  <c r="V160" i="16"/>
  <c r="U160" i="16"/>
  <c r="T160" i="16"/>
  <c r="S160" i="16"/>
  <c r="R160" i="16"/>
  <c r="Q160" i="16"/>
  <c r="P160" i="16"/>
  <c r="O160" i="16"/>
  <c r="N160" i="16"/>
  <c r="M160" i="16"/>
  <c r="L160" i="16"/>
  <c r="K160" i="16"/>
  <c r="J160" i="16"/>
  <c r="I160" i="16"/>
  <c r="H160" i="16"/>
  <c r="G160" i="16"/>
  <c r="F160" i="16"/>
  <c r="E160" i="16"/>
  <c r="B160" i="16"/>
  <c r="V159" i="16"/>
  <c r="U159" i="16"/>
  <c r="T159" i="16"/>
  <c r="S159" i="16"/>
  <c r="R159" i="16"/>
  <c r="Q159" i="16"/>
  <c r="P159" i="16"/>
  <c r="O159" i="16"/>
  <c r="N159" i="16"/>
  <c r="M159" i="16"/>
  <c r="L159" i="16"/>
  <c r="K159" i="16"/>
  <c r="J159" i="16"/>
  <c r="I159" i="16"/>
  <c r="H159" i="16"/>
  <c r="G159" i="16"/>
  <c r="F159" i="16"/>
  <c r="E159" i="16"/>
  <c r="B159" i="16"/>
  <c r="V158" i="16"/>
  <c r="U158" i="16"/>
  <c r="T158" i="16"/>
  <c r="S158" i="16"/>
  <c r="R158" i="16"/>
  <c r="Q158" i="16"/>
  <c r="P158" i="16"/>
  <c r="O158" i="16"/>
  <c r="N158" i="16"/>
  <c r="M158" i="16"/>
  <c r="L158" i="16"/>
  <c r="K158" i="16"/>
  <c r="J158" i="16"/>
  <c r="I158" i="16"/>
  <c r="H158" i="16"/>
  <c r="G158" i="16"/>
  <c r="F158" i="16"/>
  <c r="E158" i="16"/>
  <c r="B158" i="16"/>
  <c r="V157" i="16"/>
  <c r="U157" i="16"/>
  <c r="T157" i="16"/>
  <c r="S157" i="16"/>
  <c r="R157" i="16"/>
  <c r="Q157" i="16"/>
  <c r="P157" i="16"/>
  <c r="O157" i="16"/>
  <c r="N157" i="16"/>
  <c r="M157" i="16"/>
  <c r="L157" i="16"/>
  <c r="K157" i="16"/>
  <c r="J157" i="16"/>
  <c r="I157" i="16"/>
  <c r="H157" i="16"/>
  <c r="G157" i="16"/>
  <c r="F157" i="16"/>
  <c r="E157" i="16"/>
  <c r="B157" i="16"/>
  <c r="V156" i="16"/>
  <c r="U156" i="16"/>
  <c r="T156" i="16"/>
  <c r="S156" i="16"/>
  <c r="R156" i="16"/>
  <c r="Q156" i="16"/>
  <c r="P156" i="16"/>
  <c r="O156" i="16"/>
  <c r="N156" i="16"/>
  <c r="M156" i="16"/>
  <c r="L156" i="16"/>
  <c r="K156" i="16"/>
  <c r="J156" i="16"/>
  <c r="I156" i="16"/>
  <c r="H156" i="16"/>
  <c r="G156" i="16"/>
  <c r="F156" i="16"/>
  <c r="E156" i="16"/>
  <c r="B156" i="16"/>
  <c r="V155" i="16"/>
  <c r="U155" i="16"/>
  <c r="T155" i="16"/>
  <c r="S155" i="16"/>
  <c r="R155" i="16"/>
  <c r="Q155" i="16"/>
  <c r="P155" i="16"/>
  <c r="O155" i="16"/>
  <c r="N155" i="16"/>
  <c r="M155" i="16"/>
  <c r="L155" i="16"/>
  <c r="K155" i="16"/>
  <c r="J155" i="16"/>
  <c r="I155" i="16"/>
  <c r="H155" i="16"/>
  <c r="G155" i="16"/>
  <c r="F155" i="16"/>
  <c r="E155" i="16"/>
  <c r="B155" i="16"/>
  <c r="V154" i="16"/>
  <c r="U154" i="16"/>
  <c r="T154" i="16"/>
  <c r="S154" i="16"/>
  <c r="R154" i="16"/>
  <c r="Q154" i="16"/>
  <c r="P154" i="16"/>
  <c r="O154" i="16"/>
  <c r="N154" i="16"/>
  <c r="M154" i="16"/>
  <c r="L154" i="16"/>
  <c r="K154" i="16"/>
  <c r="J154" i="16"/>
  <c r="I154" i="16"/>
  <c r="H154" i="16"/>
  <c r="G154" i="16"/>
  <c r="F154" i="16"/>
  <c r="E154" i="16"/>
  <c r="B154" i="16"/>
  <c r="V153" i="16"/>
  <c r="U153" i="16"/>
  <c r="T153" i="16"/>
  <c r="S153" i="16"/>
  <c r="R153" i="16"/>
  <c r="Q153" i="16"/>
  <c r="P153" i="16"/>
  <c r="O153" i="16"/>
  <c r="N153" i="16"/>
  <c r="M153" i="16"/>
  <c r="L153" i="16"/>
  <c r="K153" i="16"/>
  <c r="J153" i="16"/>
  <c r="I153" i="16"/>
  <c r="H153" i="16"/>
  <c r="G153" i="16"/>
  <c r="F153" i="16"/>
  <c r="E153" i="16"/>
  <c r="B153" i="16"/>
  <c r="V152" i="16"/>
  <c r="U152" i="16"/>
  <c r="T152" i="16"/>
  <c r="S152" i="16"/>
  <c r="R152" i="16"/>
  <c r="Q152" i="16"/>
  <c r="P152" i="16"/>
  <c r="O152" i="16"/>
  <c r="N152" i="16"/>
  <c r="M152" i="16"/>
  <c r="L152" i="16"/>
  <c r="K152" i="16"/>
  <c r="J152" i="16"/>
  <c r="I152" i="16"/>
  <c r="H152" i="16"/>
  <c r="G152" i="16"/>
  <c r="F152" i="16"/>
  <c r="E152" i="16"/>
  <c r="B152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I151" i="16"/>
  <c r="H151" i="16"/>
  <c r="G151" i="16"/>
  <c r="F151" i="16"/>
  <c r="E151" i="16"/>
  <c r="B151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50" i="16"/>
  <c r="I150" i="16"/>
  <c r="H150" i="16"/>
  <c r="G150" i="16"/>
  <c r="F150" i="16"/>
  <c r="E150" i="16"/>
  <c r="B150" i="16"/>
  <c r="V149" i="16"/>
  <c r="U149" i="16"/>
  <c r="T149" i="16"/>
  <c r="S149" i="16"/>
  <c r="R149" i="16"/>
  <c r="Q149" i="16"/>
  <c r="P149" i="16"/>
  <c r="O149" i="16"/>
  <c r="N149" i="16"/>
  <c r="M149" i="16"/>
  <c r="L149" i="16"/>
  <c r="K149" i="16"/>
  <c r="J149" i="16"/>
  <c r="I149" i="16"/>
  <c r="H149" i="16"/>
  <c r="G149" i="16"/>
  <c r="F149" i="16"/>
  <c r="E149" i="16"/>
  <c r="B149" i="16"/>
  <c r="V148" i="16"/>
  <c r="U148" i="16"/>
  <c r="T148" i="16"/>
  <c r="S148" i="16"/>
  <c r="R148" i="16"/>
  <c r="Q148" i="16"/>
  <c r="P148" i="16"/>
  <c r="O148" i="16"/>
  <c r="N148" i="16"/>
  <c r="M148" i="16"/>
  <c r="L148" i="16"/>
  <c r="K148" i="16"/>
  <c r="J148" i="16"/>
  <c r="I148" i="16"/>
  <c r="H148" i="16"/>
  <c r="G148" i="16"/>
  <c r="F148" i="16"/>
  <c r="E148" i="16"/>
  <c r="B148" i="16"/>
  <c r="V147" i="16"/>
  <c r="U147" i="16"/>
  <c r="T147" i="16"/>
  <c r="S147" i="16"/>
  <c r="R147" i="16"/>
  <c r="Q147" i="16"/>
  <c r="P147" i="16"/>
  <c r="O147" i="16"/>
  <c r="N147" i="16"/>
  <c r="M147" i="16"/>
  <c r="L147" i="16"/>
  <c r="K147" i="16"/>
  <c r="J147" i="16"/>
  <c r="I147" i="16"/>
  <c r="H147" i="16"/>
  <c r="G147" i="16"/>
  <c r="F147" i="16"/>
  <c r="E147" i="16"/>
  <c r="B147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I146" i="16"/>
  <c r="H146" i="16"/>
  <c r="G146" i="16"/>
  <c r="F146" i="16"/>
  <c r="E146" i="16"/>
  <c r="B146" i="16"/>
  <c r="V145" i="16"/>
  <c r="U145" i="16"/>
  <c r="T145" i="16"/>
  <c r="S145" i="16"/>
  <c r="R145" i="16"/>
  <c r="Q145" i="16"/>
  <c r="P145" i="16"/>
  <c r="O145" i="16"/>
  <c r="N145" i="16"/>
  <c r="M145" i="16"/>
  <c r="L145" i="16"/>
  <c r="K145" i="16"/>
  <c r="J145" i="16"/>
  <c r="I145" i="16"/>
  <c r="H145" i="16"/>
  <c r="G145" i="16"/>
  <c r="F145" i="16"/>
  <c r="E145" i="16"/>
  <c r="B145" i="16"/>
  <c r="V144" i="16"/>
  <c r="U144" i="16"/>
  <c r="T144" i="16"/>
  <c r="S144" i="16"/>
  <c r="R144" i="16"/>
  <c r="Q144" i="16"/>
  <c r="P144" i="16"/>
  <c r="O144" i="16"/>
  <c r="N144" i="16"/>
  <c r="M144" i="16"/>
  <c r="L144" i="16"/>
  <c r="K144" i="16"/>
  <c r="J144" i="16"/>
  <c r="I144" i="16"/>
  <c r="H144" i="16"/>
  <c r="G144" i="16"/>
  <c r="F144" i="16"/>
  <c r="E144" i="16"/>
  <c r="B144" i="16"/>
  <c r="V143" i="16"/>
  <c r="U143" i="16"/>
  <c r="T143" i="16"/>
  <c r="S143" i="16"/>
  <c r="R143" i="16"/>
  <c r="Q143" i="16"/>
  <c r="P143" i="16"/>
  <c r="O143" i="16"/>
  <c r="N143" i="16"/>
  <c r="M143" i="16"/>
  <c r="L143" i="16"/>
  <c r="K143" i="16"/>
  <c r="J143" i="16"/>
  <c r="I143" i="16"/>
  <c r="H143" i="16"/>
  <c r="G143" i="16"/>
  <c r="F143" i="16"/>
  <c r="E143" i="16"/>
  <c r="B143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B142" i="16"/>
  <c r="V141" i="16"/>
  <c r="U141" i="16"/>
  <c r="T141" i="16"/>
  <c r="S141" i="16"/>
  <c r="R141" i="16"/>
  <c r="Q141" i="16"/>
  <c r="P141" i="16"/>
  <c r="O141" i="16"/>
  <c r="N141" i="16"/>
  <c r="M141" i="16"/>
  <c r="L141" i="16"/>
  <c r="K141" i="16"/>
  <c r="J141" i="16"/>
  <c r="I141" i="16"/>
  <c r="H141" i="16"/>
  <c r="G141" i="16"/>
  <c r="F141" i="16"/>
  <c r="E141" i="16"/>
  <c r="B141" i="16"/>
  <c r="V140" i="16"/>
  <c r="U140" i="16"/>
  <c r="T140" i="16"/>
  <c r="S140" i="16"/>
  <c r="R140" i="16"/>
  <c r="Q140" i="16"/>
  <c r="P140" i="16"/>
  <c r="O140" i="16"/>
  <c r="N140" i="16"/>
  <c r="M140" i="16"/>
  <c r="L140" i="16"/>
  <c r="K140" i="16"/>
  <c r="J140" i="16"/>
  <c r="I140" i="16"/>
  <c r="H140" i="16"/>
  <c r="G140" i="16"/>
  <c r="F140" i="16"/>
  <c r="E140" i="16"/>
  <c r="B140" i="16"/>
  <c r="V139" i="16"/>
  <c r="U139" i="16"/>
  <c r="T139" i="16"/>
  <c r="S139" i="16"/>
  <c r="R139" i="16"/>
  <c r="Q139" i="16"/>
  <c r="P139" i="16"/>
  <c r="O139" i="16"/>
  <c r="N139" i="16"/>
  <c r="M139" i="16"/>
  <c r="L139" i="16"/>
  <c r="K139" i="16"/>
  <c r="J139" i="16"/>
  <c r="I139" i="16"/>
  <c r="H139" i="16"/>
  <c r="G139" i="16"/>
  <c r="F139" i="16"/>
  <c r="E139" i="16"/>
  <c r="B139" i="16"/>
  <c r="V138" i="16"/>
  <c r="U138" i="16"/>
  <c r="T138" i="16"/>
  <c r="S138" i="16"/>
  <c r="R138" i="16"/>
  <c r="Q138" i="16"/>
  <c r="P138" i="16"/>
  <c r="O138" i="16"/>
  <c r="N138" i="16"/>
  <c r="M138" i="16"/>
  <c r="L138" i="16"/>
  <c r="K138" i="16"/>
  <c r="J138" i="16"/>
  <c r="I138" i="16"/>
  <c r="H138" i="16"/>
  <c r="G138" i="16"/>
  <c r="F138" i="16"/>
  <c r="E138" i="16"/>
  <c r="B138" i="16"/>
  <c r="V137" i="16"/>
  <c r="U137" i="16"/>
  <c r="T137" i="16"/>
  <c r="S137" i="16"/>
  <c r="R137" i="16"/>
  <c r="Q137" i="16"/>
  <c r="P137" i="16"/>
  <c r="O137" i="16"/>
  <c r="N137" i="16"/>
  <c r="M137" i="16"/>
  <c r="L137" i="16"/>
  <c r="K137" i="16"/>
  <c r="J137" i="16"/>
  <c r="I137" i="16"/>
  <c r="H137" i="16"/>
  <c r="G137" i="16"/>
  <c r="F137" i="16"/>
  <c r="E137" i="16"/>
  <c r="B137" i="16"/>
  <c r="V136" i="16"/>
  <c r="U136" i="16"/>
  <c r="T136" i="16"/>
  <c r="S136" i="16"/>
  <c r="R136" i="16"/>
  <c r="Q136" i="16"/>
  <c r="P136" i="16"/>
  <c r="O136" i="16"/>
  <c r="N136" i="16"/>
  <c r="M136" i="16"/>
  <c r="L136" i="16"/>
  <c r="K136" i="16"/>
  <c r="J136" i="16"/>
  <c r="I136" i="16"/>
  <c r="H136" i="16"/>
  <c r="G136" i="16"/>
  <c r="F136" i="16"/>
  <c r="E136" i="16"/>
  <c r="B136" i="16"/>
  <c r="V135" i="16"/>
  <c r="U135" i="16"/>
  <c r="T135" i="16"/>
  <c r="S135" i="16"/>
  <c r="R135" i="16"/>
  <c r="Q135" i="16"/>
  <c r="P135" i="16"/>
  <c r="O135" i="16"/>
  <c r="N135" i="16"/>
  <c r="M135" i="16"/>
  <c r="L135" i="16"/>
  <c r="K135" i="16"/>
  <c r="J135" i="16"/>
  <c r="I135" i="16"/>
  <c r="H135" i="16"/>
  <c r="G135" i="16"/>
  <c r="F135" i="16"/>
  <c r="E135" i="16"/>
  <c r="B135" i="16"/>
  <c r="V134" i="16"/>
  <c r="U134" i="16"/>
  <c r="T134" i="16"/>
  <c r="S134" i="16"/>
  <c r="R134" i="16"/>
  <c r="Q134" i="16"/>
  <c r="P134" i="16"/>
  <c r="O134" i="16"/>
  <c r="N134" i="16"/>
  <c r="M134" i="16"/>
  <c r="L134" i="16"/>
  <c r="K134" i="16"/>
  <c r="J134" i="16"/>
  <c r="I134" i="16"/>
  <c r="H134" i="16"/>
  <c r="G134" i="16"/>
  <c r="F134" i="16"/>
  <c r="E134" i="16"/>
  <c r="B134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I133" i="16"/>
  <c r="H133" i="16"/>
  <c r="G133" i="16"/>
  <c r="F133" i="16"/>
  <c r="E133" i="16"/>
  <c r="B133" i="16"/>
  <c r="V132" i="16"/>
  <c r="U132" i="16"/>
  <c r="T132" i="16"/>
  <c r="S132" i="16"/>
  <c r="R132" i="16"/>
  <c r="Q132" i="16"/>
  <c r="P132" i="16"/>
  <c r="O132" i="16"/>
  <c r="N132" i="16"/>
  <c r="M132" i="16"/>
  <c r="L132" i="16"/>
  <c r="K132" i="16"/>
  <c r="J132" i="16"/>
  <c r="I132" i="16"/>
  <c r="H132" i="16"/>
  <c r="G132" i="16"/>
  <c r="F132" i="16"/>
  <c r="E132" i="16"/>
  <c r="B132" i="16"/>
  <c r="V131" i="16"/>
  <c r="U131" i="16"/>
  <c r="T131" i="16"/>
  <c r="S131" i="16"/>
  <c r="R131" i="16"/>
  <c r="Q131" i="16"/>
  <c r="P131" i="16"/>
  <c r="O131" i="16"/>
  <c r="N131" i="16"/>
  <c r="M131" i="16"/>
  <c r="L131" i="16"/>
  <c r="K131" i="16"/>
  <c r="J131" i="16"/>
  <c r="I131" i="16"/>
  <c r="H131" i="16"/>
  <c r="G131" i="16"/>
  <c r="F131" i="16"/>
  <c r="E131" i="16"/>
  <c r="B131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B130" i="16"/>
  <c r="V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E129" i="16"/>
  <c r="B129" i="16"/>
  <c r="V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E128" i="16"/>
  <c r="B128" i="16"/>
  <c r="V127" i="16"/>
  <c r="U127" i="16"/>
  <c r="T127" i="16"/>
  <c r="S127" i="16"/>
  <c r="R127" i="16"/>
  <c r="Q127" i="16"/>
  <c r="P127" i="16"/>
  <c r="O127" i="16"/>
  <c r="N127" i="16"/>
  <c r="M127" i="16"/>
  <c r="L127" i="16"/>
  <c r="K127" i="16"/>
  <c r="J127" i="16"/>
  <c r="I127" i="16"/>
  <c r="H127" i="16"/>
  <c r="G127" i="16"/>
  <c r="F127" i="16"/>
  <c r="E127" i="16"/>
  <c r="B127" i="16"/>
  <c r="V126" i="16"/>
  <c r="U126" i="16"/>
  <c r="T126" i="16"/>
  <c r="S126" i="16"/>
  <c r="R126" i="16"/>
  <c r="Q126" i="16"/>
  <c r="P126" i="16"/>
  <c r="O126" i="16"/>
  <c r="N126" i="16"/>
  <c r="M126" i="16"/>
  <c r="L126" i="16"/>
  <c r="K126" i="16"/>
  <c r="J126" i="16"/>
  <c r="I126" i="16"/>
  <c r="H126" i="16"/>
  <c r="G126" i="16"/>
  <c r="F126" i="16"/>
  <c r="E126" i="16"/>
  <c r="B126" i="16"/>
  <c r="V125" i="16"/>
  <c r="U125" i="16"/>
  <c r="T125" i="16"/>
  <c r="S125" i="16"/>
  <c r="R125" i="16"/>
  <c r="Q125" i="16"/>
  <c r="P125" i="16"/>
  <c r="O125" i="16"/>
  <c r="N125" i="16"/>
  <c r="M125" i="16"/>
  <c r="L125" i="16"/>
  <c r="K125" i="16"/>
  <c r="J125" i="16"/>
  <c r="I125" i="16"/>
  <c r="H125" i="16"/>
  <c r="G125" i="16"/>
  <c r="F125" i="16"/>
  <c r="E125" i="16"/>
  <c r="B125" i="16"/>
  <c r="V124" i="16"/>
  <c r="U124" i="16"/>
  <c r="T124" i="16"/>
  <c r="S124" i="16"/>
  <c r="R124" i="16"/>
  <c r="Q124" i="16"/>
  <c r="P124" i="16"/>
  <c r="O124" i="16"/>
  <c r="N124" i="16"/>
  <c r="M124" i="16"/>
  <c r="L124" i="16"/>
  <c r="K124" i="16"/>
  <c r="J124" i="16"/>
  <c r="I124" i="16"/>
  <c r="H124" i="16"/>
  <c r="G124" i="16"/>
  <c r="F124" i="16"/>
  <c r="E124" i="16"/>
  <c r="B124" i="16"/>
  <c r="V123" i="16"/>
  <c r="U123" i="16"/>
  <c r="T123" i="16"/>
  <c r="S123" i="16"/>
  <c r="R123" i="16"/>
  <c r="Q123" i="16"/>
  <c r="P123" i="16"/>
  <c r="O123" i="16"/>
  <c r="N123" i="16"/>
  <c r="M123" i="16"/>
  <c r="L123" i="16"/>
  <c r="K123" i="16"/>
  <c r="J123" i="16"/>
  <c r="I123" i="16"/>
  <c r="H123" i="16"/>
  <c r="G123" i="16"/>
  <c r="F123" i="16"/>
  <c r="E123" i="16"/>
  <c r="B123" i="16"/>
  <c r="V122" i="16"/>
  <c r="U122" i="16"/>
  <c r="T122" i="16"/>
  <c r="S122" i="16"/>
  <c r="R122" i="16"/>
  <c r="Q122" i="16"/>
  <c r="P122" i="16"/>
  <c r="O122" i="16"/>
  <c r="N122" i="16"/>
  <c r="M122" i="16"/>
  <c r="L122" i="16"/>
  <c r="K122" i="16"/>
  <c r="J122" i="16"/>
  <c r="I122" i="16"/>
  <c r="H122" i="16"/>
  <c r="G122" i="16"/>
  <c r="F122" i="16"/>
  <c r="E122" i="16"/>
  <c r="B122" i="16"/>
  <c r="V121" i="16"/>
  <c r="U121" i="16"/>
  <c r="T121" i="16"/>
  <c r="S121" i="16"/>
  <c r="R121" i="16"/>
  <c r="Q121" i="16"/>
  <c r="P121" i="16"/>
  <c r="O121" i="16"/>
  <c r="N121" i="16"/>
  <c r="M121" i="16"/>
  <c r="L121" i="16"/>
  <c r="K121" i="16"/>
  <c r="J121" i="16"/>
  <c r="I121" i="16"/>
  <c r="H121" i="16"/>
  <c r="G121" i="16"/>
  <c r="F121" i="16"/>
  <c r="E121" i="16"/>
  <c r="B121" i="16"/>
  <c r="V120" i="16"/>
  <c r="U120" i="16"/>
  <c r="T120" i="16"/>
  <c r="S120" i="16"/>
  <c r="R120" i="16"/>
  <c r="Q120" i="16"/>
  <c r="P120" i="16"/>
  <c r="O120" i="16"/>
  <c r="N120" i="16"/>
  <c r="M120" i="16"/>
  <c r="L120" i="16"/>
  <c r="K120" i="16"/>
  <c r="J120" i="16"/>
  <c r="I120" i="16"/>
  <c r="H120" i="16"/>
  <c r="G120" i="16"/>
  <c r="F120" i="16"/>
  <c r="E120" i="16"/>
  <c r="B120" i="16"/>
  <c r="V119" i="16"/>
  <c r="U119" i="16"/>
  <c r="T119" i="16"/>
  <c r="S119" i="16"/>
  <c r="R119" i="16"/>
  <c r="Q119" i="16"/>
  <c r="P119" i="16"/>
  <c r="O119" i="16"/>
  <c r="N119" i="16"/>
  <c r="M119" i="16"/>
  <c r="L119" i="16"/>
  <c r="K119" i="16"/>
  <c r="J119" i="16"/>
  <c r="I119" i="16"/>
  <c r="H119" i="16"/>
  <c r="G119" i="16"/>
  <c r="F119" i="16"/>
  <c r="E119" i="16"/>
  <c r="B119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B118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B117" i="16"/>
  <c r="V116" i="16"/>
  <c r="U116" i="16"/>
  <c r="T116" i="16"/>
  <c r="S116" i="16"/>
  <c r="R116" i="16"/>
  <c r="Q116" i="16"/>
  <c r="P116" i="16"/>
  <c r="O116" i="16"/>
  <c r="N116" i="16"/>
  <c r="M116" i="16"/>
  <c r="L116" i="16"/>
  <c r="K116" i="16"/>
  <c r="J116" i="16"/>
  <c r="I116" i="16"/>
  <c r="H116" i="16"/>
  <c r="G116" i="16"/>
  <c r="F116" i="16"/>
  <c r="E116" i="16"/>
  <c r="B116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B115" i="16"/>
  <c r="V114" i="16"/>
  <c r="U114" i="16"/>
  <c r="T114" i="16"/>
  <c r="S114" i="16"/>
  <c r="R114" i="16"/>
  <c r="Q114" i="16"/>
  <c r="P114" i="16"/>
  <c r="O114" i="16"/>
  <c r="N114" i="16"/>
  <c r="M114" i="16"/>
  <c r="L114" i="16"/>
  <c r="K114" i="16"/>
  <c r="J114" i="16"/>
  <c r="I114" i="16"/>
  <c r="H114" i="16"/>
  <c r="G114" i="16"/>
  <c r="F114" i="16"/>
  <c r="E114" i="16"/>
  <c r="B114" i="16"/>
  <c r="V113" i="16"/>
  <c r="U113" i="16"/>
  <c r="T113" i="16"/>
  <c r="S113" i="16"/>
  <c r="R113" i="16"/>
  <c r="Q113" i="16"/>
  <c r="P113" i="16"/>
  <c r="O113" i="16"/>
  <c r="N113" i="16"/>
  <c r="M113" i="16"/>
  <c r="L113" i="16"/>
  <c r="K113" i="16"/>
  <c r="J113" i="16"/>
  <c r="I113" i="16"/>
  <c r="H113" i="16"/>
  <c r="G113" i="16"/>
  <c r="F113" i="16"/>
  <c r="E113" i="16"/>
  <c r="B113" i="16"/>
  <c r="V112" i="16"/>
  <c r="U112" i="16"/>
  <c r="T112" i="16"/>
  <c r="S112" i="16"/>
  <c r="R112" i="16"/>
  <c r="Q112" i="16"/>
  <c r="P112" i="16"/>
  <c r="O112" i="16"/>
  <c r="N112" i="16"/>
  <c r="M112" i="16"/>
  <c r="L112" i="16"/>
  <c r="K112" i="16"/>
  <c r="J112" i="16"/>
  <c r="I112" i="16"/>
  <c r="H112" i="16"/>
  <c r="G112" i="16"/>
  <c r="F112" i="16"/>
  <c r="E112" i="16"/>
  <c r="B112" i="16"/>
  <c r="V111" i="16"/>
  <c r="U111" i="16"/>
  <c r="T111" i="16"/>
  <c r="S111" i="16"/>
  <c r="R111" i="16"/>
  <c r="Q111" i="16"/>
  <c r="P111" i="16"/>
  <c r="O111" i="16"/>
  <c r="N111" i="16"/>
  <c r="M111" i="16"/>
  <c r="L111" i="16"/>
  <c r="K111" i="16"/>
  <c r="J111" i="16"/>
  <c r="I111" i="16"/>
  <c r="H111" i="16"/>
  <c r="G111" i="16"/>
  <c r="F111" i="16"/>
  <c r="E111" i="16"/>
  <c r="B111" i="16"/>
  <c r="V110" i="16"/>
  <c r="U110" i="16"/>
  <c r="T110" i="16"/>
  <c r="S110" i="16"/>
  <c r="R110" i="16"/>
  <c r="Q110" i="16"/>
  <c r="P110" i="16"/>
  <c r="O110" i="16"/>
  <c r="N110" i="16"/>
  <c r="M110" i="16"/>
  <c r="L110" i="16"/>
  <c r="K110" i="16"/>
  <c r="J110" i="16"/>
  <c r="I110" i="16"/>
  <c r="H110" i="16"/>
  <c r="G110" i="16"/>
  <c r="F110" i="16"/>
  <c r="E110" i="16"/>
  <c r="B110" i="16"/>
  <c r="V109" i="16"/>
  <c r="U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H109" i="16"/>
  <c r="G109" i="16"/>
  <c r="F109" i="16"/>
  <c r="E109" i="16"/>
  <c r="B109" i="16"/>
  <c r="V108" i="16"/>
  <c r="U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H108" i="16"/>
  <c r="G108" i="16"/>
  <c r="F108" i="16"/>
  <c r="E108" i="16"/>
  <c r="B108" i="16"/>
  <c r="V107" i="16"/>
  <c r="U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H107" i="16"/>
  <c r="G107" i="16"/>
  <c r="F107" i="16"/>
  <c r="E107" i="16"/>
  <c r="B107" i="16"/>
  <c r="V106" i="16"/>
  <c r="U106" i="16"/>
  <c r="T106" i="16"/>
  <c r="S106" i="16"/>
  <c r="R106" i="16"/>
  <c r="Q106" i="16"/>
  <c r="P106" i="16"/>
  <c r="O106" i="16"/>
  <c r="N106" i="16"/>
  <c r="M106" i="16"/>
  <c r="L106" i="16"/>
  <c r="K106" i="16"/>
  <c r="J106" i="16"/>
  <c r="I106" i="16"/>
  <c r="H106" i="16"/>
  <c r="G106" i="16"/>
  <c r="F106" i="16"/>
  <c r="E106" i="16"/>
  <c r="B106" i="16"/>
  <c r="V105" i="16"/>
  <c r="U105" i="16"/>
  <c r="T105" i="16"/>
  <c r="S105" i="16"/>
  <c r="R105" i="16"/>
  <c r="Q105" i="16"/>
  <c r="P105" i="16"/>
  <c r="O105" i="16"/>
  <c r="N105" i="16"/>
  <c r="M105" i="16"/>
  <c r="L105" i="16"/>
  <c r="K105" i="16"/>
  <c r="J105" i="16"/>
  <c r="I105" i="16"/>
  <c r="H105" i="16"/>
  <c r="G105" i="16"/>
  <c r="F105" i="16"/>
  <c r="E105" i="16"/>
  <c r="B105" i="16"/>
  <c r="V104" i="16"/>
  <c r="U104" i="16"/>
  <c r="T104" i="16"/>
  <c r="S104" i="16"/>
  <c r="R104" i="16"/>
  <c r="Q104" i="16"/>
  <c r="P104" i="16"/>
  <c r="O104" i="16"/>
  <c r="N104" i="16"/>
  <c r="M104" i="16"/>
  <c r="L104" i="16"/>
  <c r="K104" i="16"/>
  <c r="J104" i="16"/>
  <c r="I104" i="16"/>
  <c r="H104" i="16"/>
  <c r="G104" i="16"/>
  <c r="F104" i="16"/>
  <c r="E104" i="16"/>
  <c r="B104" i="16"/>
  <c r="V103" i="16"/>
  <c r="U103" i="16"/>
  <c r="T103" i="16"/>
  <c r="S103" i="16"/>
  <c r="R103" i="16"/>
  <c r="Q103" i="16"/>
  <c r="P103" i="16"/>
  <c r="O103" i="16"/>
  <c r="N103" i="16"/>
  <c r="M103" i="16"/>
  <c r="L103" i="16"/>
  <c r="K103" i="16"/>
  <c r="J103" i="16"/>
  <c r="I103" i="16"/>
  <c r="H103" i="16"/>
  <c r="G103" i="16"/>
  <c r="F103" i="16"/>
  <c r="E103" i="16"/>
  <c r="B103" i="16"/>
  <c r="V102" i="16"/>
  <c r="U102" i="16"/>
  <c r="T102" i="16"/>
  <c r="S102" i="16"/>
  <c r="R102" i="16"/>
  <c r="Q102" i="16"/>
  <c r="P102" i="16"/>
  <c r="O102" i="16"/>
  <c r="N102" i="16"/>
  <c r="M102" i="16"/>
  <c r="L102" i="16"/>
  <c r="K102" i="16"/>
  <c r="J102" i="16"/>
  <c r="I102" i="16"/>
  <c r="H102" i="16"/>
  <c r="G102" i="16"/>
  <c r="F102" i="16"/>
  <c r="E102" i="16"/>
  <c r="B102" i="16"/>
  <c r="V101" i="16"/>
  <c r="U101" i="16"/>
  <c r="T101" i="16"/>
  <c r="S101" i="16"/>
  <c r="R101" i="16"/>
  <c r="Q101" i="16"/>
  <c r="P101" i="16"/>
  <c r="O101" i="16"/>
  <c r="N101" i="16"/>
  <c r="M101" i="16"/>
  <c r="L101" i="16"/>
  <c r="K101" i="16"/>
  <c r="J101" i="16"/>
  <c r="I101" i="16"/>
  <c r="H101" i="16"/>
  <c r="G101" i="16"/>
  <c r="F101" i="16"/>
  <c r="E101" i="16"/>
  <c r="B101" i="16"/>
  <c r="V100" i="16"/>
  <c r="U100" i="16"/>
  <c r="T100" i="16"/>
  <c r="S100" i="16"/>
  <c r="R100" i="16"/>
  <c r="Q100" i="16"/>
  <c r="P100" i="16"/>
  <c r="O100" i="16"/>
  <c r="N100" i="16"/>
  <c r="M100" i="16"/>
  <c r="L100" i="16"/>
  <c r="K100" i="16"/>
  <c r="J100" i="16"/>
  <c r="I100" i="16"/>
  <c r="H100" i="16"/>
  <c r="G100" i="16"/>
  <c r="F100" i="16"/>
  <c r="E100" i="16"/>
  <c r="B100" i="16"/>
  <c r="V99" i="16"/>
  <c r="U99" i="16"/>
  <c r="T99" i="16"/>
  <c r="S99" i="16"/>
  <c r="R99" i="16"/>
  <c r="Q99" i="16"/>
  <c r="P99" i="16"/>
  <c r="O99" i="16"/>
  <c r="N99" i="16"/>
  <c r="M99" i="16"/>
  <c r="L99" i="16"/>
  <c r="K99" i="16"/>
  <c r="J99" i="16"/>
  <c r="I99" i="16"/>
  <c r="H99" i="16"/>
  <c r="G99" i="16"/>
  <c r="F99" i="16"/>
  <c r="E99" i="16"/>
  <c r="B99" i="16"/>
  <c r="V98" i="16"/>
  <c r="U98" i="16"/>
  <c r="T98" i="16"/>
  <c r="S98" i="16"/>
  <c r="R98" i="16"/>
  <c r="Q98" i="16"/>
  <c r="P98" i="16"/>
  <c r="O98" i="16"/>
  <c r="N98" i="16"/>
  <c r="M98" i="16"/>
  <c r="L98" i="16"/>
  <c r="K98" i="16"/>
  <c r="J98" i="16"/>
  <c r="I98" i="16"/>
  <c r="H98" i="16"/>
  <c r="G98" i="16"/>
  <c r="F98" i="16"/>
  <c r="E98" i="16"/>
  <c r="B98" i="16"/>
  <c r="V97" i="16"/>
  <c r="U97" i="16"/>
  <c r="T97" i="16"/>
  <c r="S97" i="16"/>
  <c r="R97" i="16"/>
  <c r="Q97" i="16"/>
  <c r="P97" i="16"/>
  <c r="O97" i="16"/>
  <c r="N97" i="16"/>
  <c r="M97" i="16"/>
  <c r="L97" i="16"/>
  <c r="K97" i="16"/>
  <c r="J97" i="16"/>
  <c r="I97" i="16"/>
  <c r="H97" i="16"/>
  <c r="G97" i="16"/>
  <c r="F97" i="16"/>
  <c r="E97" i="16"/>
  <c r="B97" i="16"/>
  <c r="V96" i="16"/>
  <c r="U96" i="16"/>
  <c r="T96" i="16"/>
  <c r="S96" i="16"/>
  <c r="R96" i="16"/>
  <c r="Q96" i="16"/>
  <c r="P96" i="16"/>
  <c r="O96" i="16"/>
  <c r="N96" i="16"/>
  <c r="M96" i="16"/>
  <c r="L96" i="16"/>
  <c r="K96" i="16"/>
  <c r="J96" i="16"/>
  <c r="I96" i="16"/>
  <c r="H96" i="16"/>
  <c r="G96" i="16"/>
  <c r="F96" i="16"/>
  <c r="E96" i="16"/>
  <c r="B96" i="16"/>
  <c r="V95" i="16"/>
  <c r="U95" i="16"/>
  <c r="T95" i="16"/>
  <c r="S95" i="16"/>
  <c r="R95" i="16"/>
  <c r="Q95" i="16"/>
  <c r="P95" i="16"/>
  <c r="O95" i="16"/>
  <c r="N95" i="16"/>
  <c r="M95" i="16"/>
  <c r="L95" i="16"/>
  <c r="K95" i="16"/>
  <c r="J95" i="16"/>
  <c r="I95" i="16"/>
  <c r="H95" i="16"/>
  <c r="G95" i="16"/>
  <c r="F95" i="16"/>
  <c r="E95" i="16"/>
  <c r="B95" i="16"/>
  <c r="V94" i="16"/>
  <c r="U94" i="16"/>
  <c r="T94" i="16"/>
  <c r="S94" i="16"/>
  <c r="R94" i="16"/>
  <c r="Q94" i="16"/>
  <c r="P94" i="16"/>
  <c r="O94" i="16"/>
  <c r="N94" i="16"/>
  <c r="M94" i="16"/>
  <c r="L94" i="16"/>
  <c r="K94" i="16"/>
  <c r="J94" i="16"/>
  <c r="I94" i="16"/>
  <c r="H94" i="16"/>
  <c r="G94" i="16"/>
  <c r="F94" i="16"/>
  <c r="E94" i="16"/>
  <c r="B94" i="16"/>
  <c r="V93" i="16"/>
  <c r="U93" i="16"/>
  <c r="T93" i="16"/>
  <c r="S93" i="16"/>
  <c r="R93" i="16"/>
  <c r="Q93" i="16"/>
  <c r="P93" i="16"/>
  <c r="O93" i="16"/>
  <c r="N93" i="16"/>
  <c r="M93" i="16"/>
  <c r="L93" i="16"/>
  <c r="K93" i="16"/>
  <c r="J93" i="16"/>
  <c r="I93" i="16"/>
  <c r="H93" i="16"/>
  <c r="G93" i="16"/>
  <c r="F93" i="16"/>
  <c r="E93" i="16"/>
  <c r="B93" i="16"/>
  <c r="V92" i="16"/>
  <c r="U92" i="16"/>
  <c r="T92" i="16"/>
  <c r="S92" i="16"/>
  <c r="R92" i="16"/>
  <c r="Q92" i="16"/>
  <c r="P92" i="16"/>
  <c r="O92" i="16"/>
  <c r="N92" i="16"/>
  <c r="M92" i="16"/>
  <c r="L92" i="16"/>
  <c r="K92" i="16"/>
  <c r="J92" i="16"/>
  <c r="I92" i="16"/>
  <c r="H92" i="16"/>
  <c r="G92" i="16"/>
  <c r="F92" i="16"/>
  <c r="E92" i="16"/>
  <c r="B92" i="16"/>
  <c r="V91" i="16"/>
  <c r="U91" i="16"/>
  <c r="T91" i="16"/>
  <c r="S91" i="16"/>
  <c r="R91" i="16"/>
  <c r="Q91" i="16"/>
  <c r="P91" i="16"/>
  <c r="O91" i="16"/>
  <c r="N91" i="16"/>
  <c r="M91" i="16"/>
  <c r="L91" i="16"/>
  <c r="K91" i="16"/>
  <c r="J91" i="16"/>
  <c r="I91" i="16"/>
  <c r="H91" i="16"/>
  <c r="G91" i="16"/>
  <c r="F91" i="16"/>
  <c r="E91" i="16"/>
  <c r="B91" i="16"/>
  <c r="V90" i="16"/>
  <c r="U90" i="16"/>
  <c r="T90" i="16"/>
  <c r="S90" i="16"/>
  <c r="R90" i="16"/>
  <c r="Q90" i="16"/>
  <c r="P90" i="16"/>
  <c r="O90" i="16"/>
  <c r="N90" i="16"/>
  <c r="M90" i="16"/>
  <c r="L90" i="16"/>
  <c r="K90" i="16"/>
  <c r="J90" i="16"/>
  <c r="I90" i="16"/>
  <c r="H90" i="16"/>
  <c r="G90" i="16"/>
  <c r="F90" i="16"/>
  <c r="E90" i="16"/>
  <c r="B90" i="16"/>
  <c r="V89" i="16"/>
  <c r="U89" i="16"/>
  <c r="T89" i="16"/>
  <c r="S89" i="16"/>
  <c r="R89" i="16"/>
  <c r="Q89" i="16"/>
  <c r="P89" i="16"/>
  <c r="O89" i="16"/>
  <c r="N89" i="16"/>
  <c r="M89" i="16"/>
  <c r="L89" i="16"/>
  <c r="K89" i="16"/>
  <c r="J89" i="16"/>
  <c r="I89" i="16"/>
  <c r="H89" i="16"/>
  <c r="G89" i="16"/>
  <c r="F89" i="16"/>
  <c r="E89" i="16"/>
  <c r="B89" i="16"/>
  <c r="V88" i="16"/>
  <c r="U88" i="16"/>
  <c r="T88" i="16"/>
  <c r="S88" i="16"/>
  <c r="R88" i="16"/>
  <c r="Q88" i="16"/>
  <c r="P88" i="16"/>
  <c r="O88" i="16"/>
  <c r="N88" i="16"/>
  <c r="M88" i="16"/>
  <c r="L88" i="16"/>
  <c r="K88" i="16"/>
  <c r="J88" i="16"/>
  <c r="I88" i="16"/>
  <c r="H88" i="16"/>
  <c r="G88" i="16"/>
  <c r="F88" i="16"/>
  <c r="E88" i="16"/>
  <c r="B88" i="16"/>
  <c r="V87" i="16"/>
  <c r="U87" i="16"/>
  <c r="T87" i="16"/>
  <c r="S87" i="16"/>
  <c r="R87" i="16"/>
  <c r="Q87" i="16"/>
  <c r="P87" i="16"/>
  <c r="O87" i="16"/>
  <c r="N87" i="16"/>
  <c r="M87" i="16"/>
  <c r="L87" i="16"/>
  <c r="K87" i="16"/>
  <c r="J87" i="16"/>
  <c r="I87" i="16"/>
  <c r="H87" i="16"/>
  <c r="G87" i="16"/>
  <c r="F87" i="16"/>
  <c r="E87" i="16"/>
  <c r="B87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B86" i="16"/>
  <c r="V85" i="16"/>
  <c r="U85" i="16"/>
  <c r="T85" i="16"/>
  <c r="S85" i="16"/>
  <c r="R85" i="16"/>
  <c r="Q85" i="16"/>
  <c r="P85" i="16"/>
  <c r="O85" i="16"/>
  <c r="N85" i="16"/>
  <c r="M85" i="16"/>
  <c r="L85" i="16"/>
  <c r="K85" i="16"/>
  <c r="J85" i="16"/>
  <c r="I85" i="16"/>
  <c r="H85" i="16"/>
  <c r="G85" i="16"/>
  <c r="F85" i="16"/>
  <c r="E85" i="16"/>
  <c r="B85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B84" i="16"/>
  <c r="U83" i="16"/>
  <c r="T83" i="16"/>
  <c r="V83" i="16" s="1"/>
  <c r="R83" i="16"/>
  <c r="Q83" i="16"/>
  <c r="O83" i="16"/>
  <c r="N83" i="16"/>
  <c r="P83" i="16" s="1"/>
  <c r="M83" i="16"/>
  <c r="L83" i="16"/>
  <c r="K83" i="16"/>
  <c r="J83" i="16"/>
  <c r="I83" i="16"/>
  <c r="H83" i="16"/>
  <c r="G83" i="16"/>
  <c r="F83" i="16"/>
  <c r="E83" i="16"/>
  <c r="U82" i="16"/>
  <c r="T82" i="16"/>
  <c r="R82" i="16"/>
  <c r="Q82" i="16"/>
  <c r="O82" i="16"/>
  <c r="N82" i="16"/>
  <c r="M82" i="16"/>
  <c r="L82" i="16"/>
  <c r="K82" i="16"/>
  <c r="J82" i="16"/>
  <c r="I82" i="16"/>
  <c r="H82" i="16"/>
  <c r="G82" i="16"/>
  <c r="F82" i="16"/>
  <c r="E82" i="16"/>
  <c r="U81" i="16"/>
  <c r="T81" i="16"/>
  <c r="R81" i="16"/>
  <c r="Q81" i="16"/>
  <c r="O81" i="16"/>
  <c r="N81" i="16"/>
  <c r="M81" i="16"/>
  <c r="L81" i="16"/>
  <c r="K81" i="16"/>
  <c r="J81" i="16"/>
  <c r="I81" i="16"/>
  <c r="H81" i="16"/>
  <c r="G81" i="16"/>
  <c r="F81" i="16"/>
  <c r="E81" i="16"/>
  <c r="U80" i="16"/>
  <c r="T80" i="16"/>
  <c r="R80" i="16"/>
  <c r="Q80" i="16"/>
  <c r="O80" i="16"/>
  <c r="N80" i="16"/>
  <c r="M80" i="16"/>
  <c r="L80" i="16"/>
  <c r="K80" i="16"/>
  <c r="J80" i="16"/>
  <c r="I80" i="16"/>
  <c r="H80" i="16"/>
  <c r="G80" i="16"/>
  <c r="F80" i="16"/>
  <c r="E80" i="16"/>
  <c r="U79" i="16"/>
  <c r="T79" i="16"/>
  <c r="R79" i="16"/>
  <c r="Q79" i="16"/>
  <c r="O79" i="16"/>
  <c r="N79" i="16"/>
  <c r="M79" i="16"/>
  <c r="L79" i="16"/>
  <c r="K79" i="16"/>
  <c r="J79" i="16"/>
  <c r="I79" i="16"/>
  <c r="H79" i="16"/>
  <c r="G79" i="16"/>
  <c r="F79" i="16"/>
  <c r="E79" i="16"/>
  <c r="U78" i="16"/>
  <c r="T78" i="16"/>
  <c r="R78" i="16"/>
  <c r="Q78" i="16"/>
  <c r="O78" i="16"/>
  <c r="N78" i="16"/>
  <c r="M78" i="16"/>
  <c r="L78" i="16"/>
  <c r="K78" i="16"/>
  <c r="J78" i="16"/>
  <c r="I78" i="16"/>
  <c r="H78" i="16"/>
  <c r="G78" i="16"/>
  <c r="F78" i="16"/>
  <c r="E78" i="16"/>
  <c r="U77" i="16"/>
  <c r="T77" i="16"/>
  <c r="R77" i="16"/>
  <c r="Q77" i="16"/>
  <c r="O77" i="16"/>
  <c r="N77" i="16"/>
  <c r="M77" i="16"/>
  <c r="L77" i="16"/>
  <c r="K77" i="16"/>
  <c r="J77" i="16"/>
  <c r="I77" i="16"/>
  <c r="H77" i="16"/>
  <c r="G77" i="16"/>
  <c r="F77" i="16"/>
  <c r="E77" i="16"/>
  <c r="U76" i="16"/>
  <c r="T76" i="16"/>
  <c r="R76" i="16"/>
  <c r="Q76" i="16"/>
  <c r="O76" i="16"/>
  <c r="N76" i="16"/>
  <c r="M76" i="16"/>
  <c r="L76" i="16"/>
  <c r="K76" i="16"/>
  <c r="J76" i="16"/>
  <c r="I76" i="16"/>
  <c r="H76" i="16"/>
  <c r="G76" i="16"/>
  <c r="F76" i="16"/>
  <c r="E76" i="16"/>
  <c r="U75" i="16"/>
  <c r="T75" i="16"/>
  <c r="R75" i="16"/>
  <c r="Q75" i="16"/>
  <c r="O75" i="16"/>
  <c r="N75" i="16"/>
  <c r="M75" i="16"/>
  <c r="L75" i="16"/>
  <c r="K75" i="16"/>
  <c r="J75" i="16"/>
  <c r="I75" i="16"/>
  <c r="H75" i="16"/>
  <c r="G75" i="16"/>
  <c r="F75" i="16"/>
  <c r="E75" i="16"/>
  <c r="U74" i="16"/>
  <c r="T74" i="16"/>
  <c r="R74" i="16"/>
  <c r="Q74" i="16"/>
  <c r="O74" i="16"/>
  <c r="N74" i="16"/>
  <c r="M74" i="16"/>
  <c r="L74" i="16"/>
  <c r="K74" i="16"/>
  <c r="J74" i="16"/>
  <c r="I74" i="16"/>
  <c r="H74" i="16"/>
  <c r="G74" i="16"/>
  <c r="F74" i="16"/>
  <c r="E74" i="16"/>
  <c r="U73" i="16"/>
  <c r="T73" i="16"/>
  <c r="R73" i="16"/>
  <c r="Q73" i="16"/>
  <c r="O73" i="16"/>
  <c r="N73" i="16"/>
  <c r="M73" i="16"/>
  <c r="L73" i="16"/>
  <c r="K73" i="16"/>
  <c r="J73" i="16"/>
  <c r="I73" i="16"/>
  <c r="H73" i="16"/>
  <c r="G73" i="16"/>
  <c r="F73" i="16"/>
  <c r="E73" i="16"/>
  <c r="U72" i="16"/>
  <c r="T72" i="16"/>
  <c r="R72" i="16"/>
  <c r="Q72" i="16"/>
  <c r="O72" i="16"/>
  <c r="N72" i="16"/>
  <c r="M72" i="16"/>
  <c r="L72" i="16"/>
  <c r="K72" i="16"/>
  <c r="J72" i="16"/>
  <c r="I72" i="16"/>
  <c r="H72" i="16"/>
  <c r="G72" i="16"/>
  <c r="F72" i="16"/>
  <c r="E72" i="16"/>
  <c r="U71" i="16"/>
  <c r="T71" i="16"/>
  <c r="R71" i="16"/>
  <c r="Q71" i="16"/>
  <c r="O71" i="16"/>
  <c r="N71" i="16"/>
  <c r="M71" i="16"/>
  <c r="L71" i="16"/>
  <c r="K71" i="16"/>
  <c r="J71" i="16"/>
  <c r="I71" i="16"/>
  <c r="H71" i="16"/>
  <c r="G71" i="16"/>
  <c r="F71" i="16"/>
  <c r="E71" i="16"/>
  <c r="U70" i="16"/>
  <c r="T70" i="16"/>
  <c r="R70" i="16"/>
  <c r="Q70" i="16"/>
  <c r="O70" i="16"/>
  <c r="N70" i="16"/>
  <c r="M70" i="16"/>
  <c r="L70" i="16"/>
  <c r="K70" i="16"/>
  <c r="J70" i="16"/>
  <c r="I70" i="16"/>
  <c r="H70" i="16"/>
  <c r="G70" i="16"/>
  <c r="F70" i="16"/>
  <c r="E70" i="16"/>
  <c r="U69" i="16"/>
  <c r="T69" i="16"/>
  <c r="R69" i="16"/>
  <c r="Q69" i="16"/>
  <c r="O69" i="16"/>
  <c r="N69" i="16"/>
  <c r="M69" i="16"/>
  <c r="L69" i="16"/>
  <c r="K69" i="16"/>
  <c r="J69" i="16"/>
  <c r="I69" i="16"/>
  <c r="H69" i="16"/>
  <c r="G69" i="16"/>
  <c r="F69" i="16"/>
  <c r="E69" i="16"/>
  <c r="U68" i="16"/>
  <c r="T68" i="16"/>
  <c r="R68" i="16"/>
  <c r="Q68" i="16"/>
  <c r="O68" i="16"/>
  <c r="N68" i="16"/>
  <c r="M68" i="16"/>
  <c r="L68" i="16"/>
  <c r="K68" i="16"/>
  <c r="J68" i="16"/>
  <c r="I68" i="16"/>
  <c r="H68" i="16"/>
  <c r="G68" i="16"/>
  <c r="F68" i="16"/>
  <c r="E68" i="16"/>
  <c r="U67" i="16"/>
  <c r="T67" i="16"/>
  <c r="R67" i="16"/>
  <c r="Q67" i="16"/>
  <c r="O67" i="16"/>
  <c r="N67" i="16"/>
  <c r="M67" i="16"/>
  <c r="L67" i="16"/>
  <c r="K67" i="16"/>
  <c r="J67" i="16"/>
  <c r="I67" i="16"/>
  <c r="H67" i="16"/>
  <c r="G67" i="16"/>
  <c r="F67" i="16"/>
  <c r="E67" i="16"/>
  <c r="U66" i="16"/>
  <c r="T66" i="16"/>
  <c r="R66" i="16"/>
  <c r="Q66" i="16"/>
  <c r="O66" i="16"/>
  <c r="N66" i="16"/>
  <c r="M66" i="16"/>
  <c r="L66" i="16"/>
  <c r="K66" i="16"/>
  <c r="J66" i="16"/>
  <c r="I66" i="16"/>
  <c r="H66" i="16"/>
  <c r="G66" i="16"/>
  <c r="F66" i="16"/>
  <c r="E66" i="16"/>
  <c r="U65" i="16"/>
  <c r="T65" i="16"/>
  <c r="R65" i="16"/>
  <c r="Q65" i="16"/>
  <c r="O65" i="16"/>
  <c r="N65" i="16"/>
  <c r="M65" i="16"/>
  <c r="L65" i="16"/>
  <c r="K65" i="16"/>
  <c r="J65" i="16"/>
  <c r="I65" i="16"/>
  <c r="H65" i="16"/>
  <c r="G65" i="16"/>
  <c r="F65" i="16"/>
  <c r="E65" i="16"/>
  <c r="U64" i="16"/>
  <c r="T64" i="16"/>
  <c r="R64" i="16"/>
  <c r="Q64" i="16"/>
  <c r="O64" i="16"/>
  <c r="N64" i="16"/>
  <c r="M64" i="16"/>
  <c r="L64" i="16"/>
  <c r="K64" i="16"/>
  <c r="J64" i="16"/>
  <c r="I64" i="16"/>
  <c r="H64" i="16"/>
  <c r="G64" i="16"/>
  <c r="F64" i="16"/>
  <c r="E64" i="16"/>
  <c r="U63" i="16"/>
  <c r="T63" i="16"/>
  <c r="R63" i="16"/>
  <c r="Q63" i="16"/>
  <c r="O63" i="16"/>
  <c r="N63" i="16"/>
  <c r="M63" i="16"/>
  <c r="L63" i="16"/>
  <c r="K63" i="16"/>
  <c r="J63" i="16"/>
  <c r="I63" i="16"/>
  <c r="H63" i="16"/>
  <c r="G63" i="16"/>
  <c r="F63" i="16"/>
  <c r="E63" i="16"/>
  <c r="U62" i="16"/>
  <c r="T62" i="16"/>
  <c r="R62" i="16"/>
  <c r="Q62" i="16"/>
  <c r="O62" i="16"/>
  <c r="N62" i="16"/>
  <c r="M62" i="16"/>
  <c r="L62" i="16"/>
  <c r="K62" i="16"/>
  <c r="J62" i="16"/>
  <c r="I62" i="16"/>
  <c r="H62" i="16"/>
  <c r="G62" i="16"/>
  <c r="F62" i="16"/>
  <c r="E62" i="16"/>
  <c r="U61" i="16"/>
  <c r="T61" i="16"/>
  <c r="R61" i="16"/>
  <c r="Q61" i="16"/>
  <c r="O61" i="16"/>
  <c r="N61" i="16"/>
  <c r="M61" i="16"/>
  <c r="L61" i="16"/>
  <c r="K61" i="16"/>
  <c r="J61" i="16"/>
  <c r="I61" i="16"/>
  <c r="H61" i="16"/>
  <c r="G61" i="16"/>
  <c r="F61" i="16"/>
  <c r="E61" i="16"/>
  <c r="U60" i="16"/>
  <c r="T60" i="16"/>
  <c r="R60" i="16"/>
  <c r="Q60" i="16"/>
  <c r="O60" i="16"/>
  <c r="N60" i="16"/>
  <c r="M60" i="16"/>
  <c r="L60" i="16"/>
  <c r="K60" i="16"/>
  <c r="J60" i="16"/>
  <c r="I60" i="16"/>
  <c r="H60" i="16"/>
  <c r="G60" i="16"/>
  <c r="F60" i="16"/>
  <c r="E60" i="16"/>
  <c r="U59" i="16"/>
  <c r="T59" i="16"/>
  <c r="R59" i="16"/>
  <c r="Q59" i="16"/>
  <c r="O59" i="16"/>
  <c r="N59" i="16"/>
  <c r="M59" i="16"/>
  <c r="L59" i="16"/>
  <c r="K59" i="16"/>
  <c r="J59" i="16"/>
  <c r="I59" i="16"/>
  <c r="H59" i="16"/>
  <c r="G59" i="16"/>
  <c r="F59" i="16"/>
  <c r="E59" i="16"/>
  <c r="U58" i="16"/>
  <c r="T58" i="16"/>
  <c r="R58" i="16"/>
  <c r="Q58" i="16"/>
  <c r="O58" i="16"/>
  <c r="N58" i="16"/>
  <c r="M58" i="16"/>
  <c r="L58" i="16"/>
  <c r="K58" i="16"/>
  <c r="J58" i="16"/>
  <c r="I58" i="16"/>
  <c r="H58" i="16"/>
  <c r="G58" i="16"/>
  <c r="F58" i="16"/>
  <c r="E58" i="16"/>
  <c r="U57" i="16"/>
  <c r="T57" i="16"/>
  <c r="R57" i="16"/>
  <c r="Q57" i="16"/>
  <c r="O57" i="16"/>
  <c r="N57" i="16"/>
  <c r="M57" i="16"/>
  <c r="L57" i="16"/>
  <c r="K57" i="16"/>
  <c r="J57" i="16"/>
  <c r="I57" i="16"/>
  <c r="H57" i="16"/>
  <c r="G57" i="16"/>
  <c r="F57" i="16"/>
  <c r="E57" i="16"/>
  <c r="U56" i="16"/>
  <c r="T56" i="16"/>
  <c r="R56" i="16"/>
  <c r="Q56" i="16"/>
  <c r="O56" i="16"/>
  <c r="N56" i="16"/>
  <c r="M56" i="16"/>
  <c r="L56" i="16"/>
  <c r="K56" i="16"/>
  <c r="J56" i="16"/>
  <c r="I56" i="16"/>
  <c r="H56" i="16"/>
  <c r="G56" i="16"/>
  <c r="F56" i="16"/>
  <c r="E56" i="16"/>
  <c r="U55" i="16"/>
  <c r="T55" i="16"/>
  <c r="R55" i="16"/>
  <c r="Q55" i="16"/>
  <c r="O55" i="16"/>
  <c r="N55" i="16"/>
  <c r="M55" i="16"/>
  <c r="L55" i="16"/>
  <c r="K55" i="16"/>
  <c r="J55" i="16"/>
  <c r="I55" i="16"/>
  <c r="H55" i="16"/>
  <c r="G55" i="16"/>
  <c r="F55" i="16"/>
  <c r="E55" i="16"/>
  <c r="U54" i="16"/>
  <c r="T54" i="16"/>
  <c r="R54" i="16"/>
  <c r="Q54" i="16"/>
  <c r="O54" i="16"/>
  <c r="N54" i="16"/>
  <c r="M54" i="16"/>
  <c r="L54" i="16"/>
  <c r="K54" i="16"/>
  <c r="J54" i="16"/>
  <c r="I54" i="16"/>
  <c r="H54" i="16"/>
  <c r="G54" i="16"/>
  <c r="F54" i="16"/>
  <c r="E54" i="16"/>
  <c r="U53" i="16"/>
  <c r="T53" i="16"/>
  <c r="R53" i="16"/>
  <c r="Q53" i="16"/>
  <c r="O53" i="16"/>
  <c r="N53" i="16"/>
  <c r="M53" i="16"/>
  <c r="L53" i="16"/>
  <c r="K53" i="16"/>
  <c r="J53" i="16"/>
  <c r="I53" i="16"/>
  <c r="H53" i="16"/>
  <c r="G53" i="16"/>
  <c r="F53" i="16"/>
  <c r="E53" i="16"/>
  <c r="U52" i="16"/>
  <c r="T52" i="16"/>
  <c r="R52" i="16"/>
  <c r="Q52" i="16"/>
  <c r="O52" i="16"/>
  <c r="N52" i="16"/>
  <c r="M52" i="16"/>
  <c r="L52" i="16"/>
  <c r="K52" i="16"/>
  <c r="J52" i="16"/>
  <c r="I52" i="16"/>
  <c r="H52" i="16"/>
  <c r="G52" i="16"/>
  <c r="F52" i="16"/>
  <c r="E52" i="16"/>
  <c r="U51" i="16"/>
  <c r="T51" i="16"/>
  <c r="R51" i="16"/>
  <c r="Q51" i="16"/>
  <c r="O51" i="16"/>
  <c r="N51" i="16"/>
  <c r="M51" i="16"/>
  <c r="L51" i="16"/>
  <c r="K51" i="16"/>
  <c r="J51" i="16"/>
  <c r="I51" i="16"/>
  <c r="H51" i="16"/>
  <c r="G51" i="16"/>
  <c r="F51" i="16"/>
  <c r="E51" i="16"/>
  <c r="U50" i="16"/>
  <c r="T50" i="16"/>
  <c r="R50" i="16"/>
  <c r="Q50" i="16"/>
  <c r="O50" i="16"/>
  <c r="N50" i="16"/>
  <c r="M50" i="16"/>
  <c r="L50" i="16"/>
  <c r="K50" i="16"/>
  <c r="J50" i="16"/>
  <c r="I50" i="16"/>
  <c r="H50" i="16"/>
  <c r="G50" i="16"/>
  <c r="F50" i="16"/>
  <c r="E50" i="16"/>
  <c r="U49" i="16"/>
  <c r="T49" i="16"/>
  <c r="R49" i="16"/>
  <c r="Q49" i="16"/>
  <c r="O49" i="16"/>
  <c r="N49" i="16"/>
  <c r="M49" i="16"/>
  <c r="L49" i="16"/>
  <c r="K49" i="16"/>
  <c r="J49" i="16"/>
  <c r="I49" i="16"/>
  <c r="H49" i="16"/>
  <c r="G49" i="16"/>
  <c r="F49" i="16"/>
  <c r="E49" i="16"/>
  <c r="U48" i="16"/>
  <c r="T48" i="16"/>
  <c r="R48" i="16"/>
  <c r="Q48" i="16"/>
  <c r="O48" i="16"/>
  <c r="N48" i="16"/>
  <c r="M48" i="16"/>
  <c r="L48" i="16"/>
  <c r="K48" i="16"/>
  <c r="J48" i="16"/>
  <c r="I48" i="16"/>
  <c r="H48" i="16"/>
  <c r="G48" i="16"/>
  <c r="F48" i="16"/>
  <c r="E48" i="16"/>
  <c r="U47" i="16"/>
  <c r="T47" i="16"/>
  <c r="R47" i="16"/>
  <c r="Q47" i="16"/>
  <c r="O47" i="16"/>
  <c r="N47" i="16"/>
  <c r="M47" i="16"/>
  <c r="L47" i="16"/>
  <c r="K47" i="16"/>
  <c r="J47" i="16"/>
  <c r="I47" i="16"/>
  <c r="H47" i="16"/>
  <c r="G47" i="16"/>
  <c r="F47" i="16"/>
  <c r="E47" i="16"/>
  <c r="U46" i="16"/>
  <c r="T46" i="16"/>
  <c r="R46" i="16"/>
  <c r="Q46" i="16"/>
  <c r="O46" i="16"/>
  <c r="N46" i="16"/>
  <c r="M46" i="16"/>
  <c r="L46" i="16"/>
  <c r="K46" i="16"/>
  <c r="J46" i="16"/>
  <c r="I46" i="16"/>
  <c r="H46" i="16"/>
  <c r="G46" i="16"/>
  <c r="F46" i="16"/>
  <c r="E46" i="16"/>
  <c r="U45" i="16"/>
  <c r="T45" i="16"/>
  <c r="R45" i="16"/>
  <c r="Q45" i="16"/>
  <c r="O45" i="16"/>
  <c r="N45" i="16"/>
  <c r="M45" i="16"/>
  <c r="L45" i="16"/>
  <c r="K45" i="16"/>
  <c r="J45" i="16"/>
  <c r="I45" i="16"/>
  <c r="H45" i="16"/>
  <c r="G45" i="16"/>
  <c r="F45" i="16"/>
  <c r="E45" i="16"/>
  <c r="U44" i="16"/>
  <c r="T44" i="16"/>
  <c r="R44" i="16"/>
  <c r="Q44" i="16"/>
  <c r="O44" i="16"/>
  <c r="N44" i="16"/>
  <c r="M44" i="16"/>
  <c r="L44" i="16"/>
  <c r="K44" i="16"/>
  <c r="J44" i="16"/>
  <c r="I44" i="16"/>
  <c r="H44" i="16"/>
  <c r="G44" i="16"/>
  <c r="F44" i="16"/>
  <c r="E44" i="16"/>
  <c r="U43" i="16"/>
  <c r="T43" i="16"/>
  <c r="R43" i="16"/>
  <c r="Q43" i="16"/>
  <c r="O43" i="16"/>
  <c r="N43" i="16"/>
  <c r="M43" i="16"/>
  <c r="L43" i="16"/>
  <c r="K43" i="16"/>
  <c r="J43" i="16"/>
  <c r="I43" i="16"/>
  <c r="H43" i="16"/>
  <c r="G43" i="16"/>
  <c r="F43" i="16"/>
  <c r="E43" i="16"/>
  <c r="U42" i="16"/>
  <c r="T42" i="16"/>
  <c r="R42" i="16"/>
  <c r="Q42" i="16"/>
  <c r="O42" i="16"/>
  <c r="N42" i="16"/>
  <c r="M42" i="16"/>
  <c r="L42" i="16"/>
  <c r="K42" i="16"/>
  <c r="J42" i="16"/>
  <c r="I42" i="16"/>
  <c r="H42" i="16"/>
  <c r="G42" i="16"/>
  <c r="F42" i="16"/>
  <c r="E42" i="16"/>
  <c r="U41" i="16"/>
  <c r="T41" i="16"/>
  <c r="R41" i="16"/>
  <c r="Q41" i="16"/>
  <c r="O41" i="16"/>
  <c r="N41" i="16"/>
  <c r="M41" i="16"/>
  <c r="L41" i="16"/>
  <c r="K41" i="16"/>
  <c r="J41" i="16"/>
  <c r="I41" i="16"/>
  <c r="H41" i="16"/>
  <c r="G41" i="16"/>
  <c r="F41" i="16"/>
  <c r="E41" i="16"/>
  <c r="U40" i="16"/>
  <c r="T40" i="16"/>
  <c r="R40" i="16"/>
  <c r="Q40" i="16"/>
  <c r="O40" i="16"/>
  <c r="N40" i="16"/>
  <c r="M40" i="16"/>
  <c r="L40" i="16"/>
  <c r="K40" i="16"/>
  <c r="J40" i="16"/>
  <c r="I40" i="16"/>
  <c r="H40" i="16"/>
  <c r="G40" i="16"/>
  <c r="F40" i="16"/>
  <c r="E40" i="16"/>
  <c r="U39" i="16"/>
  <c r="T39" i="16"/>
  <c r="R39" i="16"/>
  <c r="Q39" i="16"/>
  <c r="O39" i="16"/>
  <c r="N39" i="16"/>
  <c r="M39" i="16"/>
  <c r="L39" i="16"/>
  <c r="K39" i="16"/>
  <c r="J39" i="16"/>
  <c r="I39" i="16"/>
  <c r="H39" i="16"/>
  <c r="G39" i="16"/>
  <c r="F39" i="16"/>
  <c r="E39" i="16"/>
  <c r="U38" i="16"/>
  <c r="T38" i="16"/>
  <c r="R38" i="16"/>
  <c r="Q38" i="16"/>
  <c r="O38" i="16"/>
  <c r="N38" i="16"/>
  <c r="M38" i="16"/>
  <c r="L38" i="16"/>
  <c r="K38" i="16"/>
  <c r="J38" i="16"/>
  <c r="I38" i="16"/>
  <c r="H38" i="16"/>
  <c r="G38" i="16"/>
  <c r="F38" i="16"/>
  <c r="E38" i="16"/>
  <c r="U37" i="16"/>
  <c r="T37" i="16"/>
  <c r="R37" i="16"/>
  <c r="Q37" i="16"/>
  <c r="O37" i="16"/>
  <c r="N37" i="16"/>
  <c r="M37" i="16"/>
  <c r="L37" i="16"/>
  <c r="K37" i="16"/>
  <c r="J37" i="16"/>
  <c r="I37" i="16"/>
  <c r="H37" i="16"/>
  <c r="G37" i="16"/>
  <c r="F37" i="16"/>
  <c r="E37" i="16"/>
  <c r="U36" i="16"/>
  <c r="T36" i="16"/>
  <c r="R36" i="16"/>
  <c r="Q36" i="16"/>
  <c r="O36" i="16"/>
  <c r="N36" i="16"/>
  <c r="M36" i="16"/>
  <c r="L36" i="16"/>
  <c r="K36" i="16"/>
  <c r="J36" i="16"/>
  <c r="I36" i="16"/>
  <c r="H36" i="16"/>
  <c r="G36" i="16"/>
  <c r="F36" i="16"/>
  <c r="E36" i="16"/>
  <c r="U35" i="16"/>
  <c r="T35" i="16"/>
  <c r="R35" i="16"/>
  <c r="Q35" i="16"/>
  <c r="O35" i="16"/>
  <c r="N35" i="16"/>
  <c r="M35" i="16"/>
  <c r="L35" i="16"/>
  <c r="K35" i="16"/>
  <c r="J35" i="16"/>
  <c r="I35" i="16"/>
  <c r="H35" i="16"/>
  <c r="G35" i="16"/>
  <c r="F35" i="16"/>
  <c r="E35" i="16"/>
  <c r="U34" i="16"/>
  <c r="T34" i="16"/>
  <c r="R34" i="16"/>
  <c r="Q34" i="16"/>
  <c r="O34" i="16"/>
  <c r="N34" i="16"/>
  <c r="M34" i="16"/>
  <c r="L34" i="16"/>
  <c r="K34" i="16"/>
  <c r="J34" i="16"/>
  <c r="I34" i="16"/>
  <c r="H34" i="16"/>
  <c r="G34" i="16"/>
  <c r="F34" i="16"/>
  <c r="E34" i="16"/>
  <c r="U33" i="16"/>
  <c r="T33" i="16"/>
  <c r="R33" i="16"/>
  <c r="Q33" i="16"/>
  <c r="O33" i="16"/>
  <c r="N33" i="16"/>
  <c r="M33" i="16"/>
  <c r="L33" i="16"/>
  <c r="K33" i="16"/>
  <c r="J33" i="16"/>
  <c r="I33" i="16"/>
  <c r="H33" i="16"/>
  <c r="G33" i="16"/>
  <c r="F33" i="16"/>
  <c r="E33" i="16"/>
  <c r="U32" i="16"/>
  <c r="T32" i="16"/>
  <c r="R32" i="16"/>
  <c r="Q32" i="16"/>
  <c r="O32" i="16"/>
  <c r="N32" i="16"/>
  <c r="M32" i="16"/>
  <c r="L32" i="16"/>
  <c r="K32" i="16"/>
  <c r="J32" i="16"/>
  <c r="I32" i="16"/>
  <c r="H32" i="16"/>
  <c r="G32" i="16"/>
  <c r="F32" i="16"/>
  <c r="E32" i="16"/>
  <c r="U31" i="16"/>
  <c r="T31" i="16"/>
  <c r="R31" i="16"/>
  <c r="Q31" i="16"/>
  <c r="O31" i="16"/>
  <c r="N31" i="16"/>
  <c r="M31" i="16"/>
  <c r="L31" i="16"/>
  <c r="K31" i="16"/>
  <c r="J31" i="16"/>
  <c r="I31" i="16"/>
  <c r="H31" i="16"/>
  <c r="G31" i="16"/>
  <c r="F31" i="16"/>
  <c r="E31" i="16"/>
  <c r="U30" i="16"/>
  <c r="T30" i="16"/>
  <c r="R30" i="16"/>
  <c r="Q30" i="16"/>
  <c r="O30" i="16"/>
  <c r="N30" i="16"/>
  <c r="M30" i="16"/>
  <c r="L30" i="16"/>
  <c r="K30" i="16"/>
  <c r="J30" i="16"/>
  <c r="I30" i="16"/>
  <c r="H30" i="16"/>
  <c r="G30" i="16"/>
  <c r="F30" i="16"/>
  <c r="E30" i="16"/>
  <c r="U29" i="16"/>
  <c r="T29" i="16"/>
  <c r="R29" i="16"/>
  <c r="Q29" i="16"/>
  <c r="O29" i="16"/>
  <c r="N29" i="16"/>
  <c r="M29" i="16"/>
  <c r="L29" i="16"/>
  <c r="K29" i="16"/>
  <c r="J29" i="16"/>
  <c r="I29" i="16"/>
  <c r="H29" i="16"/>
  <c r="G29" i="16"/>
  <c r="F29" i="16"/>
  <c r="E29" i="16"/>
  <c r="U28" i="16"/>
  <c r="T28" i="16"/>
  <c r="R28" i="16"/>
  <c r="Q28" i="16"/>
  <c r="O28" i="16"/>
  <c r="N28" i="16"/>
  <c r="M28" i="16"/>
  <c r="L28" i="16"/>
  <c r="K28" i="16"/>
  <c r="J28" i="16"/>
  <c r="I28" i="16"/>
  <c r="H28" i="16"/>
  <c r="G28" i="16"/>
  <c r="F28" i="16"/>
  <c r="E28" i="16"/>
  <c r="U27" i="16"/>
  <c r="T27" i="16"/>
  <c r="R27" i="16"/>
  <c r="Q27" i="16"/>
  <c r="O27" i="16"/>
  <c r="N27" i="16"/>
  <c r="M27" i="16"/>
  <c r="L27" i="16"/>
  <c r="K27" i="16"/>
  <c r="J27" i="16"/>
  <c r="I27" i="16"/>
  <c r="H27" i="16"/>
  <c r="G27" i="16"/>
  <c r="F27" i="16"/>
  <c r="E27" i="16"/>
  <c r="U26" i="16"/>
  <c r="T26" i="16"/>
  <c r="R26" i="16"/>
  <c r="Q26" i="16"/>
  <c r="O26" i="16"/>
  <c r="N26" i="16"/>
  <c r="M26" i="16"/>
  <c r="L26" i="16"/>
  <c r="K26" i="16"/>
  <c r="J26" i="16"/>
  <c r="I26" i="16"/>
  <c r="H26" i="16"/>
  <c r="G26" i="16"/>
  <c r="F26" i="16"/>
  <c r="E26" i="16"/>
  <c r="U25" i="16"/>
  <c r="T25" i="16"/>
  <c r="R25" i="16"/>
  <c r="Q25" i="16"/>
  <c r="O25" i="16"/>
  <c r="N25" i="16"/>
  <c r="M25" i="16"/>
  <c r="L25" i="16"/>
  <c r="K25" i="16"/>
  <c r="J25" i="16"/>
  <c r="I25" i="16"/>
  <c r="H25" i="16"/>
  <c r="G25" i="16"/>
  <c r="F25" i="16"/>
  <c r="E25" i="16"/>
  <c r="U24" i="16"/>
  <c r="T24" i="16"/>
  <c r="R24" i="16"/>
  <c r="Q24" i="16"/>
  <c r="O24" i="16"/>
  <c r="N24" i="16"/>
  <c r="M24" i="16"/>
  <c r="L24" i="16"/>
  <c r="K24" i="16"/>
  <c r="J24" i="16"/>
  <c r="I24" i="16"/>
  <c r="H24" i="16"/>
  <c r="G24" i="16"/>
  <c r="F24" i="16"/>
  <c r="E24" i="16"/>
  <c r="U23" i="16"/>
  <c r="T23" i="16"/>
  <c r="R23" i="16"/>
  <c r="Q23" i="16"/>
  <c r="O23" i="16"/>
  <c r="N23" i="16"/>
  <c r="M23" i="16"/>
  <c r="L23" i="16"/>
  <c r="K23" i="16"/>
  <c r="J23" i="16"/>
  <c r="I23" i="16"/>
  <c r="H23" i="16"/>
  <c r="G23" i="16"/>
  <c r="F23" i="16"/>
  <c r="E23" i="16"/>
  <c r="U22" i="16"/>
  <c r="T22" i="16"/>
  <c r="R22" i="16"/>
  <c r="Q22" i="16"/>
  <c r="O22" i="16"/>
  <c r="N22" i="16"/>
  <c r="M22" i="16"/>
  <c r="L22" i="16"/>
  <c r="K22" i="16"/>
  <c r="J22" i="16"/>
  <c r="I22" i="16"/>
  <c r="H22" i="16"/>
  <c r="G22" i="16"/>
  <c r="F22" i="16"/>
  <c r="E22" i="16"/>
  <c r="U21" i="16"/>
  <c r="T21" i="16"/>
  <c r="R21" i="16"/>
  <c r="Q21" i="16"/>
  <c r="O21" i="16"/>
  <c r="N21" i="16"/>
  <c r="M21" i="16"/>
  <c r="L21" i="16"/>
  <c r="K21" i="16"/>
  <c r="J21" i="16"/>
  <c r="I21" i="16"/>
  <c r="H21" i="16"/>
  <c r="G21" i="16"/>
  <c r="F21" i="16"/>
  <c r="E21" i="16"/>
  <c r="U20" i="16"/>
  <c r="T20" i="16"/>
  <c r="R20" i="16"/>
  <c r="Q20" i="16"/>
  <c r="O20" i="16"/>
  <c r="N20" i="16"/>
  <c r="M20" i="16"/>
  <c r="L20" i="16"/>
  <c r="K20" i="16"/>
  <c r="J20" i="16"/>
  <c r="I20" i="16"/>
  <c r="H20" i="16"/>
  <c r="G20" i="16"/>
  <c r="F20" i="16"/>
  <c r="E20" i="16"/>
  <c r="U19" i="16"/>
  <c r="T19" i="16"/>
  <c r="R19" i="16"/>
  <c r="Q19" i="16"/>
  <c r="O19" i="16"/>
  <c r="N19" i="16"/>
  <c r="M19" i="16"/>
  <c r="L19" i="16"/>
  <c r="K19" i="16"/>
  <c r="J19" i="16"/>
  <c r="I19" i="16"/>
  <c r="H19" i="16"/>
  <c r="G19" i="16"/>
  <c r="F19" i="16"/>
  <c r="E19" i="16"/>
  <c r="U18" i="16"/>
  <c r="T18" i="16"/>
  <c r="R18" i="16"/>
  <c r="Q18" i="16"/>
  <c r="O18" i="16"/>
  <c r="N18" i="16"/>
  <c r="M18" i="16"/>
  <c r="L18" i="16"/>
  <c r="K18" i="16"/>
  <c r="J18" i="16"/>
  <c r="I18" i="16"/>
  <c r="H18" i="16"/>
  <c r="G18" i="16"/>
  <c r="F18" i="16"/>
  <c r="E18" i="16"/>
  <c r="U17" i="16"/>
  <c r="T17" i="16"/>
  <c r="R17" i="16"/>
  <c r="Q17" i="16"/>
  <c r="O17" i="16"/>
  <c r="N17" i="16"/>
  <c r="M17" i="16"/>
  <c r="L17" i="16"/>
  <c r="K17" i="16"/>
  <c r="J17" i="16"/>
  <c r="I17" i="16"/>
  <c r="H17" i="16"/>
  <c r="G17" i="16"/>
  <c r="F17" i="16"/>
  <c r="E17" i="16"/>
  <c r="U16" i="16"/>
  <c r="T16" i="16"/>
  <c r="R16" i="16"/>
  <c r="Q16" i="16"/>
  <c r="O16" i="16"/>
  <c r="N16" i="16"/>
  <c r="M16" i="16"/>
  <c r="L16" i="16"/>
  <c r="K16" i="16"/>
  <c r="J16" i="16"/>
  <c r="I16" i="16"/>
  <c r="H16" i="16"/>
  <c r="G16" i="16"/>
  <c r="F16" i="16"/>
  <c r="E16" i="16"/>
  <c r="U15" i="16"/>
  <c r="T15" i="16"/>
  <c r="R15" i="16"/>
  <c r="Q15" i="16"/>
  <c r="O15" i="16"/>
  <c r="N15" i="16"/>
  <c r="M15" i="16"/>
  <c r="L15" i="16"/>
  <c r="K15" i="16"/>
  <c r="J15" i="16"/>
  <c r="I15" i="16"/>
  <c r="H15" i="16"/>
  <c r="G15" i="16"/>
  <c r="F15" i="16"/>
  <c r="E15" i="16"/>
  <c r="U14" i="16"/>
  <c r="T14" i="16"/>
  <c r="R14" i="16"/>
  <c r="Q14" i="16"/>
  <c r="O14" i="16"/>
  <c r="N14" i="16"/>
  <c r="M14" i="16"/>
  <c r="L14" i="16"/>
  <c r="K14" i="16"/>
  <c r="J14" i="16"/>
  <c r="I14" i="16"/>
  <c r="H14" i="16"/>
  <c r="G14" i="16"/>
  <c r="F14" i="16"/>
  <c r="E14" i="16"/>
  <c r="U13" i="16"/>
  <c r="T13" i="16"/>
  <c r="R13" i="16"/>
  <c r="Q13" i="16"/>
  <c r="O13" i="16"/>
  <c r="N13" i="16"/>
  <c r="M13" i="16"/>
  <c r="L13" i="16"/>
  <c r="K13" i="16"/>
  <c r="J13" i="16"/>
  <c r="I13" i="16"/>
  <c r="H13" i="16"/>
  <c r="G13" i="16"/>
  <c r="F13" i="16"/>
  <c r="E13" i="16"/>
  <c r="U12" i="16"/>
  <c r="T12" i="16"/>
  <c r="R12" i="16"/>
  <c r="Q12" i="16"/>
  <c r="O12" i="16"/>
  <c r="N12" i="16"/>
  <c r="M12" i="16"/>
  <c r="L12" i="16"/>
  <c r="K12" i="16"/>
  <c r="J12" i="16"/>
  <c r="I12" i="16"/>
  <c r="H12" i="16"/>
  <c r="G12" i="16"/>
  <c r="F12" i="16"/>
  <c r="E12" i="16"/>
  <c r="U11" i="16"/>
  <c r="T11" i="16"/>
  <c r="R11" i="16"/>
  <c r="Q11" i="16"/>
  <c r="O11" i="16"/>
  <c r="N11" i="16"/>
  <c r="M11" i="16"/>
  <c r="L11" i="16"/>
  <c r="K11" i="16"/>
  <c r="J11" i="16"/>
  <c r="I11" i="16"/>
  <c r="H11" i="16"/>
  <c r="G11" i="16"/>
  <c r="F11" i="16"/>
  <c r="E11" i="16"/>
  <c r="U10" i="16"/>
  <c r="T10" i="16"/>
  <c r="R10" i="16"/>
  <c r="Q10" i="16"/>
  <c r="O10" i="16"/>
  <c r="N10" i="16"/>
  <c r="M10" i="16"/>
  <c r="L10" i="16"/>
  <c r="K10" i="16"/>
  <c r="J10" i="16"/>
  <c r="I10" i="16"/>
  <c r="H10" i="16"/>
  <c r="G10" i="16"/>
  <c r="F10" i="16"/>
  <c r="E10" i="16"/>
  <c r="U9" i="16"/>
  <c r="T9" i="16"/>
  <c r="R9" i="16"/>
  <c r="Q9" i="16"/>
  <c r="O9" i="16"/>
  <c r="N9" i="16"/>
  <c r="M9" i="16"/>
  <c r="L9" i="16"/>
  <c r="K9" i="16"/>
  <c r="J9" i="16"/>
  <c r="I9" i="16"/>
  <c r="H9" i="16"/>
  <c r="G9" i="16"/>
  <c r="F9" i="16"/>
  <c r="E9" i="16"/>
  <c r="U8" i="16"/>
  <c r="T8" i="16"/>
  <c r="R8" i="16"/>
  <c r="Q8" i="16"/>
  <c r="O8" i="16"/>
  <c r="N8" i="16"/>
  <c r="M8" i="16"/>
  <c r="L8" i="16"/>
  <c r="K8" i="16"/>
  <c r="J8" i="16"/>
  <c r="I8" i="16"/>
  <c r="H8" i="16"/>
  <c r="G8" i="16"/>
  <c r="F8" i="16"/>
  <c r="E8" i="16"/>
  <c r="U7" i="16"/>
  <c r="T7" i="16"/>
  <c r="R7" i="16"/>
  <c r="Q7" i="16"/>
  <c r="O7" i="16"/>
  <c r="N7" i="16"/>
  <c r="M7" i="16"/>
  <c r="L7" i="16"/>
  <c r="K7" i="16"/>
  <c r="J7" i="16"/>
  <c r="I7" i="16"/>
  <c r="H7" i="16"/>
  <c r="G7" i="16"/>
  <c r="F7" i="16"/>
  <c r="E7" i="16"/>
  <c r="U6" i="16"/>
  <c r="T6" i="16"/>
  <c r="R6" i="16"/>
  <c r="Q6" i="16"/>
  <c r="O6" i="16"/>
  <c r="N6" i="16"/>
  <c r="M6" i="16"/>
  <c r="L6" i="16"/>
  <c r="K6" i="16"/>
  <c r="J6" i="16"/>
  <c r="I6" i="16"/>
  <c r="H6" i="16"/>
  <c r="G6" i="16"/>
  <c r="F6" i="16"/>
  <c r="E6" i="16"/>
  <c r="U5" i="16"/>
  <c r="T5" i="16"/>
  <c r="R5" i="16"/>
  <c r="Q5" i="16"/>
  <c r="O5" i="16"/>
  <c r="N5" i="16"/>
  <c r="M5" i="16"/>
  <c r="L5" i="16"/>
  <c r="K5" i="16"/>
  <c r="J5" i="16"/>
  <c r="I5" i="16"/>
  <c r="H5" i="16"/>
  <c r="G5" i="16"/>
  <c r="F5" i="16"/>
  <c r="E5" i="16"/>
  <c r="B5" i="16"/>
  <c r="U4" i="16"/>
  <c r="T4" i="16"/>
  <c r="R4" i="16"/>
  <c r="Q4" i="16"/>
  <c r="O4" i="16"/>
  <c r="N4" i="16"/>
  <c r="M4" i="16"/>
  <c r="L4" i="16"/>
  <c r="K4" i="16"/>
  <c r="J4" i="16"/>
  <c r="I4" i="16"/>
  <c r="H4" i="16"/>
  <c r="G4" i="16"/>
  <c r="F4" i="16"/>
  <c r="E4" i="16"/>
  <c r="V80" i="13"/>
  <c r="U80" i="13"/>
  <c r="T80" i="13"/>
  <c r="S80" i="13"/>
  <c r="R80" i="13"/>
  <c r="Q80" i="13"/>
  <c r="P80" i="13"/>
  <c r="O80" i="13"/>
  <c r="N80" i="13"/>
  <c r="M80" i="13"/>
  <c r="L80" i="13"/>
  <c r="K80" i="13"/>
  <c r="J80" i="13"/>
  <c r="I80" i="13"/>
  <c r="H80" i="13"/>
  <c r="G80" i="13"/>
  <c r="F80" i="13"/>
  <c r="D80" i="13"/>
  <c r="B80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J79" i="13"/>
  <c r="I79" i="13"/>
  <c r="H79" i="13"/>
  <c r="G79" i="13"/>
  <c r="F79" i="13"/>
  <c r="D79" i="13"/>
  <c r="B79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J78" i="13"/>
  <c r="I78" i="13"/>
  <c r="H78" i="13"/>
  <c r="G78" i="13"/>
  <c r="F78" i="13"/>
  <c r="D78" i="13"/>
  <c r="B78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D77" i="13"/>
  <c r="B77" i="13"/>
  <c r="V76" i="13"/>
  <c r="U76" i="13"/>
  <c r="T76" i="13"/>
  <c r="S76" i="13"/>
  <c r="R76" i="13"/>
  <c r="Q76" i="13"/>
  <c r="P76" i="13"/>
  <c r="O76" i="13"/>
  <c r="N76" i="13"/>
  <c r="M76" i="13"/>
  <c r="L76" i="13"/>
  <c r="K76" i="13"/>
  <c r="J76" i="13"/>
  <c r="I76" i="13"/>
  <c r="H76" i="13"/>
  <c r="G76" i="13"/>
  <c r="F76" i="13"/>
  <c r="D76" i="13"/>
  <c r="B76" i="13"/>
  <c r="V75" i="13"/>
  <c r="U75" i="13"/>
  <c r="T75" i="13"/>
  <c r="S75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D75" i="13"/>
  <c r="B75" i="13"/>
  <c r="V74" i="13"/>
  <c r="U74" i="13"/>
  <c r="T74" i="13"/>
  <c r="S74" i="13"/>
  <c r="R74" i="13"/>
  <c r="Q74" i="13"/>
  <c r="P74" i="13"/>
  <c r="O74" i="13"/>
  <c r="N74" i="13"/>
  <c r="M74" i="13"/>
  <c r="L74" i="13"/>
  <c r="K74" i="13"/>
  <c r="J74" i="13"/>
  <c r="I74" i="13"/>
  <c r="H74" i="13"/>
  <c r="G74" i="13"/>
  <c r="F74" i="13"/>
  <c r="D74" i="13"/>
  <c r="B74" i="13"/>
  <c r="V73" i="13"/>
  <c r="U73" i="13"/>
  <c r="T73" i="13"/>
  <c r="S73" i="13"/>
  <c r="R73" i="13"/>
  <c r="Q73" i="13"/>
  <c r="P73" i="13"/>
  <c r="O73" i="13"/>
  <c r="N73" i="13"/>
  <c r="M73" i="13"/>
  <c r="L73" i="13"/>
  <c r="K73" i="13"/>
  <c r="J73" i="13"/>
  <c r="I73" i="13"/>
  <c r="H73" i="13"/>
  <c r="G73" i="13"/>
  <c r="F73" i="13"/>
  <c r="D73" i="13"/>
  <c r="B73" i="13"/>
  <c r="V72" i="13"/>
  <c r="U72" i="13"/>
  <c r="T72" i="13"/>
  <c r="S72" i="13"/>
  <c r="R72" i="13"/>
  <c r="Q72" i="13"/>
  <c r="P72" i="13"/>
  <c r="O72" i="13"/>
  <c r="N72" i="13"/>
  <c r="M72" i="13"/>
  <c r="L72" i="13"/>
  <c r="K72" i="13"/>
  <c r="J72" i="13"/>
  <c r="I72" i="13"/>
  <c r="H72" i="13"/>
  <c r="G72" i="13"/>
  <c r="F72" i="13"/>
  <c r="D72" i="13"/>
  <c r="B72" i="13"/>
  <c r="V71" i="13"/>
  <c r="U71" i="13"/>
  <c r="T71" i="13"/>
  <c r="S71" i="13"/>
  <c r="R71" i="13"/>
  <c r="Q71" i="13"/>
  <c r="P71" i="13"/>
  <c r="O71" i="13"/>
  <c r="N71" i="13"/>
  <c r="M71" i="13"/>
  <c r="L71" i="13"/>
  <c r="K71" i="13"/>
  <c r="J71" i="13"/>
  <c r="I71" i="13"/>
  <c r="H71" i="13"/>
  <c r="G71" i="13"/>
  <c r="F71" i="13"/>
  <c r="D71" i="13"/>
  <c r="B71" i="13"/>
  <c r="V70" i="13"/>
  <c r="U70" i="13"/>
  <c r="T70" i="13"/>
  <c r="S70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F70" i="13"/>
  <c r="D70" i="13"/>
  <c r="B70" i="13"/>
  <c r="V69" i="13"/>
  <c r="U69" i="13"/>
  <c r="T69" i="13"/>
  <c r="S69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F69" i="13"/>
  <c r="D69" i="13"/>
  <c r="B69" i="13"/>
  <c r="V68" i="13"/>
  <c r="U68" i="13"/>
  <c r="T68" i="13"/>
  <c r="S68" i="13"/>
  <c r="R68" i="13"/>
  <c r="Q68" i="13"/>
  <c r="P68" i="13"/>
  <c r="O68" i="13"/>
  <c r="N68" i="13"/>
  <c r="M68" i="13"/>
  <c r="L68" i="13"/>
  <c r="K68" i="13"/>
  <c r="J68" i="13"/>
  <c r="I68" i="13"/>
  <c r="H68" i="13"/>
  <c r="G68" i="13"/>
  <c r="F68" i="13"/>
  <c r="D68" i="13"/>
  <c r="B68" i="13"/>
  <c r="V67" i="13"/>
  <c r="U67" i="13"/>
  <c r="T67" i="13"/>
  <c r="S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F67" i="13"/>
  <c r="D67" i="13"/>
  <c r="B67" i="13"/>
  <c r="V66" i="13"/>
  <c r="U66" i="13"/>
  <c r="T66" i="13"/>
  <c r="S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F66" i="13"/>
  <c r="D66" i="13"/>
  <c r="B66" i="13"/>
  <c r="V65" i="13"/>
  <c r="U65" i="13"/>
  <c r="T65" i="13"/>
  <c r="S65" i="13"/>
  <c r="R65" i="13"/>
  <c r="Q65" i="13"/>
  <c r="P65" i="13"/>
  <c r="O65" i="13"/>
  <c r="N65" i="13"/>
  <c r="M65" i="13"/>
  <c r="L65" i="13"/>
  <c r="K65" i="13"/>
  <c r="J65" i="13"/>
  <c r="I65" i="13"/>
  <c r="H65" i="13"/>
  <c r="G65" i="13"/>
  <c r="F65" i="13"/>
  <c r="D65" i="13"/>
  <c r="B65" i="13"/>
  <c r="V64" i="13"/>
  <c r="U64" i="13"/>
  <c r="T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F64" i="13"/>
  <c r="D64" i="13"/>
  <c r="B64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D63" i="13"/>
  <c r="B63" i="13"/>
  <c r="V62" i="13"/>
  <c r="U62" i="13"/>
  <c r="T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F62" i="13"/>
  <c r="D62" i="13"/>
  <c r="B62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D61" i="13"/>
  <c r="B61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D60" i="13"/>
  <c r="B60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D59" i="13"/>
  <c r="B59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D58" i="13"/>
  <c r="B58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7" i="13"/>
  <c r="D57" i="13"/>
  <c r="B57" i="13"/>
  <c r="V56" i="13"/>
  <c r="U56" i="13"/>
  <c r="T56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F56" i="13"/>
  <c r="D56" i="13"/>
  <c r="B56" i="13"/>
  <c r="V55" i="13"/>
  <c r="U55" i="13"/>
  <c r="T55" i="13"/>
  <c r="S55" i="13"/>
  <c r="R55" i="13"/>
  <c r="Q55" i="13"/>
  <c r="P55" i="13"/>
  <c r="O55" i="13"/>
  <c r="N55" i="13"/>
  <c r="M55" i="13"/>
  <c r="L55" i="13"/>
  <c r="K55" i="13"/>
  <c r="J55" i="13"/>
  <c r="I55" i="13"/>
  <c r="H55" i="13"/>
  <c r="G55" i="13"/>
  <c r="F55" i="13"/>
  <c r="D55" i="13"/>
  <c r="B55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D54" i="13"/>
  <c r="B54" i="13"/>
  <c r="V53" i="13"/>
  <c r="U53" i="13"/>
  <c r="T53" i="13"/>
  <c r="S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F53" i="13"/>
  <c r="D53" i="13"/>
  <c r="B53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F52" i="13"/>
  <c r="D52" i="13"/>
  <c r="B52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D51" i="13"/>
  <c r="B51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D50" i="13"/>
  <c r="B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D49" i="13"/>
  <c r="B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D48" i="13"/>
  <c r="B48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F47" i="13"/>
  <c r="D47" i="13"/>
  <c r="B47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F46" i="13"/>
  <c r="D46" i="13"/>
  <c r="B46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J45" i="13"/>
  <c r="I45" i="13"/>
  <c r="H45" i="13"/>
  <c r="G45" i="13"/>
  <c r="F45" i="13"/>
  <c r="D45" i="13"/>
  <c r="B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J44" i="13"/>
  <c r="I44" i="13"/>
  <c r="H44" i="13"/>
  <c r="G44" i="13"/>
  <c r="F44" i="13"/>
  <c r="D44" i="13"/>
  <c r="B44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D43" i="13"/>
  <c r="B43" i="13"/>
  <c r="V42" i="13"/>
  <c r="U42" i="13"/>
  <c r="T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D42" i="13"/>
  <c r="B42" i="13"/>
  <c r="U10" i="13"/>
  <c r="T10" i="13"/>
  <c r="R10" i="13"/>
  <c r="Q10" i="13"/>
  <c r="O10" i="13"/>
  <c r="N10" i="13"/>
  <c r="M10" i="13"/>
  <c r="L10" i="13"/>
  <c r="K10" i="13"/>
  <c r="J10" i="13"/>
  <c r="I10" i="13"/>
  <c r="H10" i="13"/>
  <c r="G10" i="13"/>
  <c r="F10" i="13"/>
  <c r="U34" i="13"/>
  <c r="T34" i="13"/>
  <c r="R34" i="13"/>
  <c r="Q34" i="13"/>
  <c r="O34" i="13"/>
  <c r="N34" i="13"/>
  <c r="M34" i="13"/>
  <c r="L34" i="13"/>
  <c r="K34" i="13"/>
  <c r="J34" i="13"/>
  <c r="I34" i="13"/>
  <c r="H34" i="13"/>
  <c r="G34" i="13"/>
  <c r="F34" i="13"/>
  <c r="U36" i="13"/>
  <c r="T36" i="13"/>
  <c r="R36" i="13"/>
  <c r="Q36" i="13"/>
  <c r="O36" i="13"/>
  <c r="N36" i="13"/>
  <c r="M36" i="13"/>
  <c r="L36" i="13"/>
  <c r="K36" i="13"/>
  <c r="J36" i="13"/>
  <c r="I36" i="13"/>
  <c r="H36" i="13"/>
  <c r="G36" i="13"/>
  <c r="F36" i="13"/>
  <c r="U8" i="13"/>
  <c r="T8" i="13"/>
  <c r="R8" i="13"/>
  <c r="Q8" i="13"/>
  <c r="O8" i="13"/>
  <c r="N8" i="13"/>
  <c r="M8" i="13"/>
  <c r="L8" i="13"/>
  <c r="K8" i="13"/>
  <c r="J8" i="13"/>
  <c r="I8" i="13"/>
  <c r="H8" i="13"/>
  <c r="G8" i="13"/>
  <c r="F8" i="13"/>
  <c r="U26" i="13"/>
  <c r="T26" i="13"/>
  <c r="R26" i="13"/>
  <c r="Q26" i="13"/>
  <c r="O26" i="13"/>
  <c r="N26" i="13"/>
  <c r="M26" i="13"/>
  <c r="L26" i="13"/>
  <c r="K26" i="13"/>
  <c r="J26" i="13"/>
  <c r="I26" i="13"/>
  <c r="H26" i="13"/>
  <c r="G26" i="13"/>
  <c r="F26" i="13"/>
  <c r="U39" i="13"/>
  <c r="T39" i="13"/>
  <c r="R39" i="13"/>
  <c r="Q39" i="13"/>
  <c r="O39" i="13"/>
  <c r="N39" i="13"/>
  <c r="M39" i="13"/>
  <c r="L39" i="13"/>
  <c r="K39" i="13"/>
  <c r="J39" i="13"/>
  <c r="I39" i="13"/>
  <c r="H39" i="13"/>
  <c r="G39" i="13"/>
  <c r="F39" i="13"/>
  <c r="U38" i="13"/>
  <c r="T38" i="13"/>
  <c r="R38" i="13"/>
  <c r="Q38" i="13"/>
  <c r="O38" i="13"/>
  <c r="N38" i="13"/>
  <c r="M38" i="13"/>
  <c r="L38" i="13"/>
  <c r="K38" i="13"/>
  <c r="J38" i="13"/>
  <c r="I38" i="13"/>
  <c r="H38" i="13"/>
  <c r="G38" i="13"/>
  <c r="F38" i="13"/>
  <c r="U31" i="13"/>
  <c r="T31" i="13"/>
  <c r="R31" i="13"/>
  <c r="Q31" i="13"/>
  <c r="O31" i="13"/>
  <c r="N31" i="13"/>
  <c r="M31" i="13"/>
  <c r="L31" i="13"/>
  <c r="K31" i="13"/>
  <c r="J31" i="13"/>
  <c r="I31" i="13"/>
  <c r="H31" i="13"/>
  <c r="G31" i="13"/>
  <c r="F31" i="13"/>
  <c r="U30" i="13"/>
  <c r="T30" i="13"/>
  <c r="R30" i="13"/>
  <c r="Q30" i="13"/>
  <c r="O30" i="13"/>
  <c r="N30" i="13"/>
  <c r="M30" i="13"/>
  <c r="L30" i="13"/>
  <c r="K30" i="13"/>
  <c r="J30" i="13"/>
  <c r="I30" i="13"/>
  <c r="H30" i="13"/>
  <c r="G30" i="13"/>
  <c r="F30" i="13"/>
  <c r="U11" i="13"/>
  <c r="T11" i="13"/>
  <c r="R11" i="13"/>
  <c r="Q11" i="13"/>
  <c r="O11" i="13"/>
  <c r="N11" i="13"/>
  <c r="M11" i="13"/>
  <c r="L11" i="13"/>
  <c r="K11" i="13"/>
  <c r="J11" i="13"/>
  <c r="I11" i="13"/>
  <c r="H11" i="13"/>
  <c r="G11" i="13"/>
  <c r="F11" i="13"/>
  <c r="U35" i="13"/>
  <c r="T35" i="13"/>
  <c r="R35" i="13"/>
  <c r="Q35" i="13"/>
  <c r="O35" i="13"/>
  <c r="N35" i="13"/>
  <c r="M35" i="13"/>
  <c r="L35" i="13"/>
  <c r="K35" i="13"/>
  <c r="J35" i="13"/>
  <c r="I35" i="13"/>
  <c r="H35" i="13"/>
  <c r="G35" i="13"/>
  <c r="F35" i="13"/>
  <c r="U23" i="13"/>
  <c r="T23" i="13"/>
  <c r="R23" i="13"/>
  <c r="Q23" i="13"/>
  <c r="O23" i="13"/>
  <c r="N23" i="13"/>
  <c r="M23" i="13"/>
  <c r="L23" i="13"/>
  <c r="K23" i="13"/>
  <c r="J23" i="13"/>
  <c r="I23" i="13"/>
  <c r="H23" i="13"/>
  <c r="G23" i="13"/>
  <c r="F23" i="13"/>
  <c r="U7" i="13"/>
  <c r="T7" i="13"/>
  <c r="R7" i="13"/>
  <c r="Q7" i="13"/>
  <c r="O7" i="13"/>
  <c r="N7" i="13"/>
  <c r="M7" i="13"/>
  <c r="L7" i="13"/>
  <c r="K7" i="13"/>
  <c r="J7" i="13"/>
  <c r="I7" i="13"/>
  <c r="H7" i="13"/>
  <c r="G7" i="13"/>
  <c r="F7" i="13"/>
  <c r="U18" i="13"/>
  <c r="T18" i="13"/>
  <c r="R18" i="13"/>
  <c r="Q18" i="13"/>
  <c r="O18" i="13"/>
  <c r="N18" i="13"/>
  <c r="M18" i="13"/>
  <c r="L18" i="13"/>
  <c r="K18" i="13"/>
  <c r="J18" i="13"/>
  <c r="I18" i="13"/>
  <c r="H18" i="13"/>
  <c r="G18" i="13"/>
  <c r="F18" i="13"/>
  <c r="U12" i="13"/>
  <c r="T12" i="13"/>
  <c r="R12" i="13"/>
  <c r="Q12" i="13"/>
  <c r="O12" i="13"/>
  <c r="N12" i="13"/>
  <c r="M12" i="13"/>
  <c r="L12" i="13"/>
  <c r="K12" i="13"/>
  <c r="J12" i="13"/>
  <c r="I12" i="13"/>
  <c r="H12" i="13"/>
  <c r="G12" i="13"/>
  <c r="F12" i="13"/>
  <c r="U22" i="13"/>
  <c r="T22" i="13"/>
  <c r="R22" i="13"/>
  <c r="Q22" i="13"/>
  <c r="O22" i="13"/>
  <c r="N22" i="13"/>
  <c r="M22" i="13"/>
  <c r="L22" i="13"/>
  <c r="K22" i="13"/>
  <c r="J22" i="13"/>
  <c r="I22" i="13"/>
  <c r="H22" i="13"/>
  <c r="G22" i="13"/>
  <c r="F22" i="13"/>
  <c r="U41" i="13"/>
  <c r="T41" i="13"/>
  <c r="R41" i="13"/>
  <c r="Q41" i="13"/>
  <c r="O41" i="13"/>
  <c r="N41" i="13"/>
  <c r="M41" i="13"/>
  <c r="L41" i="13"/>
  <c r="K41" i="13"/>
  <c r="J41" i="13"/>
  <c r="I41" i="13"/>
  <c r="H41" i="13"/>
  <c r="G41" i="13"/>
  <c r="F41" i="13"/>
  <c r="U33" i="13"/>
  <c r="T33" i="13"/>
  <c r="R33" i="13"/>
  <c r="Q33" i="13"/>
  <c r="O33" i="13"/>
  <c r="N33" i="13"/>
  <c r="M33" i="13"/>
  <c r="L33" i="13"/>
  <c r="K33" i="13"/>
  <c r="J33" i="13"/>
  <c r="I33" i="13"/>
  <c r="H33" i="13"/>
  <c r="G33" i="13"/>
  <c r="F33" i="13"/>
  <c r="U4" i="13"/>
  <c r="T4" i="13"/>
  <c r="R4" i="13"/>
  <c r="Q4" i="13"/>
  <c r="O4" i="13"/>
  <c r="N4" i="13"/>
  <c r="M4" i="13"/>
  <c r="L4" i="13"/>
  <c r="K4" i="13"/>
  <c r="J4" i="13"/>
  <c r="I4" i="13"/>
  <c r="H4" i="13"/>
  <c r="G4" i="13"/>
  <c r="F4" i="13"/>
  <c r="U6" i="13"/>
  <c r="T6" i="13"/>
  <c r="R6" i="13"/>
  <c r="Q6" i="13"/>
  <c r="O6" i="13"/>
  <c r="N6" i="13"/>
  <c r="M6" i="13"/>
  <c r="L6" i="13"/>
  <c r="K6" i="13"/>
  <c r="J6" i="13"/>
  <c r="I6" i="13"/>
  <c r="H6" i="13"/>
  <c r="G6" i="13"/>
  <c r="F6" i="13"/>
  <c r="U25" i="13"/>
  <c r="T25" i="13"/>
  <c r="R25" i="13"/>
  <c r="Q25" i="13"/>
  <c r="O25" i="13"/>
  <c r="N25" i="13"/>
  <c r="M25" i="13"/>
  <c r="L25" i="13"/>
  <c r="K25" i="13"/>
  <c r="J25" i="13"/>
  <c r="I25" i="13"/>
  <c r="H25" i="13"/>
  <c r="G25" i="13"/>
  <c r="F25" i="13"/>
  <c r="U32" i="13"/>
  <c r="T32" i="13"/>
  <c r="R32" i="13"/>
  <c r="Q32" i="13"/>
  <c r="O32" i="13"/>
  <c r="N32" i="13"/>
  <c r="M32" i="13"/>
  <c r="L32" i="13"/>
  <c r="K32" i="13"/>
  <c r="J32" i="13"/>
  <c r="I32" i="13"/>
  <c r="H32" i="13"/>
  <c r="G32" i="13"/>
  <c r="F32" i="13"/>
  <c r="U13" i="13"/>
  <c r="T13" i="13"/>
  <c r="R13" i="13"/>
  <c r="Q13" i="13"/>
  <c r="O13" i="13"/>
  <c r="N13" i="13"/>
  <c r="M13" i="13"/>
  <c r="L13" i="13"/>
  <c r="K13" i="13"/>
  <c r="J13" i="13"/>
  <c r="I13" i="13"/>
  <c r="H13" i="13"/>
  <c r="G13" i="13"/>
  <c r="F13" i="13"/>
  <c r="U9" i="13"/>
  <c r="T9" i="13"/>
  <c r="R9" i="13"/>
  <c r="Q9" i="13"/>
  <c r="O9" i="13"/>
  <c r="N9" i="13"/>
  <c r="M9" i="13"/>
  <c r="L9" i="13"/>
  <c r="K9" i="13"/>
  <c r="J9" i="13"/>
  <c r="I9" i="13"/>
  <c r="H9" i="13"/>
  <c r="G9" i="13"/>
  <c r="F9" i="13"/>
  <c r="U28" i="13"/>
  <c r="T28" i="13"/>
  <c r="R28" i="13"/>
  <c r="Q28" i="13"/>
  <c r="O28" i="13"/>
  <c r="N28" i="13"/>
  <c r="M28" i="13"/>
  <c r="L28" i="13"/>
  <c r="K28" i="13"/>
  <c r="J28" i="13"/>
  <c r="I28" i="13"/>
  <c r="H28" i="13"/>
  <c r="G28" i="13"/>
  <c r="F28" i="13"/>
  <c r="U17" i="13"/>
  <c r="T17" i="13"/>
  <c r="R17" i="13"/>
  <c r="Q17" i="13"/>
  <c r="O17" i="13"/>
  <c r="N17" i="13"/>
  <c r="M17" i="13"/>
  <c r="L17" i="13"/>
  <c r="K17" i="13"/>
  <c r="J17" i="13"/>
  <c r="I17" i="13"/>
  <c r="H17" i="13"/>
  <c r="G17" i="13"/>
  <c r="F17" i="13"/>
  <c r="U27" i="13"/>
  <c r="T27" i="13"/>
  <c r="R27" i="13"/>
  <c r="Q27" i="13"/>
  <c r="O27" i="13"/>
  <c r="N27" i="13"/>
  <c r="M27" i="13"/>
  <c r="L27" i="13"/>
  <c r="K27" i="13"/>
  <c r="J27" i="13"/>
  <c r="I27" i="13"/>
  <c r="H27" i="13"/>
  <c r="G27" i="13"/>
  <c r="F27" i="13"/>
  <c r="U29" i="13"/>
  <c r="T29" i="13"/>
  <c r="R29" i="13"/>
  <c r="Q29" i="13"/>
  <c r="O29" i="13"/>
  <c r="N29" i="13"/>
  <c r="M29" i="13"/>
  <c r="L29" i="13"/>
  <c r="K29" i="13"/>
  <c r="J29" i="13"/>
  <c r="I29" i="13"/>
  <c r="H29" i="13"/>
  <c r="G29" i="13"/>
  <c r="F29" i="13"/>
  <c r="U21" i="13"/>
  <c r="T21" i="13"/>
  <c r="R21" i="13"/>
  <c r="Q21" i="13"/>
  <c r="O21" i="13"/>
  <c r="N21" i="13"/>
  <c r="M21" i="13"/>
  <c r="L21" i="13"/>
  <c r="K21" i="13"/>
  <c r="J21" i="13"/>
  <c r="I21" i="13"/>
  <c r="H21" i="13"/>
  <c r="G21" i="13"/>
  <c r="F21" i="13"/>
  <c r="U16" i="13"/>
  <c r="T16" i="13"/>
  <c r="R16" i="13"/>
  <c r="Q16" i="13"/>
  <c r="O16" i="13"/>
  <c r="N16" i="13"/>
  <c r="M16" i="13"/>
  <c r="L16" i="13"/>
  <c r="K16" i="13"/>
  <c r="J16" i="13"/>
  <c r="I16" i="13"/>
  <c r="H16" i="13"/>
  <c r="G16" i="13"/>
  <c r="F16" i="13"/>
  <c r="U15" i="13"/>
  <c r="T15" i="13"/>
  <c r="R15" i="13"/>
  <c r="Q15" i="13"/>
  <c r="O15" i="13"/>
  <c r="N15" i="13"/>
  <c r="M15" i="13"/>
  <c r="L15" i="13"/>
  <c r="K15" i="13"/>
  <c r="J15" i="13"/>
  <c r="I15" i="13"/>
  <c r="H15" i="13"/>
  <c r="G15" i="13"/>
  <c r="F15" i="13"/>
  <c r="U14" i="13"/>
  <c r="T14" i="13"/>
  <c r="R14" i="13"/>
  <c r="Q14" i="13"/>
  <c r="O14" i="13"/>
  <c r="N14" i="13"/>
  <c r="M14" i="13"/>
  <c r="L14" i="13"/>
  <c r="K14" i="13"/>
  <c r="J14" i="13"/>
  <c r="I14" i="13"/>
  <c r="H14" i="13"/>
  <c r="G14" i="13"/>
  <c r="F14" i="13"/>
  <c r="U5" i="13"/>
  <c r="T5" i="13"/>
  <c r="R5" i="13"/>
  <c r="Q5" i="13"/>
  <c r="O5" i="13"/>
  <c r="N5" i="13"/>
  <c r="M5" i="13"/>
  <c r="L5" i="13"/>
  <c r="K5" i="13"/>
  <c r="J5" i="13"/>
  <c r="I5" i="13"/>
  <c r="H5" i="13"/>
  <c r="G5" i="13"/>
  <c r="F5" i="13"/>
  <c r="U19" i="13"/>
  <c r="T19" i="13"/>
  <c r="R19" i="13"/>
  <c r="Q19" i="13"/>
  <c r="O19" i="13"/>
  <c r="N19" i="13"/>
  <c r="M19" i="13"/>
  <c r="L19" i="13"/>
  <c r="K19" i="13"/>
  <c r="J19" i="13"/>
  <c r="I19" i="13"/>
  <c r="H19" i="13"/>
  <c r="G19" i="13"/>
  <c r="F19" i="13"/>
  <c r="U24" i="13"/>
  <c r="T24" i="13"/>
  <c r="R24" i="13"/>
  <c r="Q24" i="13"/>
  <c r="O24" i="13"/>
  <c r="N24" i="13"/>
  <c r="M24" i="13"/>
  <c r="L24" i="13"/>
  <c r="K24" i="13"/>
  <c r="J24" i="13"/>
  <c r="I24" i="13"/>
  <c r="H24" i="13"/>
  <c r="G24" i="13"/>
  <c r="F24" i="13"/>
  <c r="U40" i="13"/>
  <c r="T40" i="13"/>
  <c r="R40" i="13"/>
  <c r="Q40" i="13"/>
  <c r="O40" i="13"/>
  <c r="N40" i="13"/>
  <c r="M40" i="13"/>
  <c r="L40" i="13"/>
  <c r="K40" i="13"/>
  <c r="J40" i="13"/>
  <c r="I40" i="13"/>
  <c r="H40" i="13"/>
  <c r="G40" i="13"/>
  <c r="F40" i="13"/>
  <c r="U37" i="13"/>
  <c r="T37" i="13"/>
  <c r="R37" i="13"/>
  <c r="Q37" i="13"/>
  <c r="O37" i="13"/>
  <c r="N37" i="13"/>
  <c r="M37" i="13"/>
  <c r="L37" i="13"/>
  <c r="K37" i="13"/>
  <c r="J37" i="13"/>
  <c r="I37" i="13"/>
  <c r="H37" i="13"/>
  <c r="G37" i="13"/>
  <c r="F37" i="13"/>
  <c r="B5" i="13"/>
  <c r="B6" i="13" s="1"/>
  <c r="U20" i="13"/>
  <c r="T20" i="13"/>
  <c r="R20" i="13"/>
  <c r="Q20" i="13"/>
  <c r="O20" i="13"/>
  <c r="N20" i="13"/>
  <c r="M20" i="13"/>
  <c r="L20" i="13"/>
  <c r="K20" i="13"/>
  <c r="J20" i="13"/>
  <c r="I20" i="13"/>
  <c r="H20" i="13"/>
  <c r="G20" i="13"/>
  <c r="F20" i="13"/>
  <c r="E20" i="13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B46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B45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B44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B43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B42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B41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B40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B39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B38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B37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B36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B35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B34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B33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B32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B31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B30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B29" i="12"/>
  <c r="T28" i="12"/>
  <c r="S28" i="12"/>
  <c r="U28" i="12" s="1"/>
  <c r="Q28" i="12"/>
  <c r="P28" i="12"/>
  <c r="R28" i="12" s="1"/>
  <c r="N28" i="12"/>
  <c r="M28" i="12"/>
  <c r="O28" i="12" s="1"/>
  <c r="L28" i="12"/>
  <c r="K28" i="12"/>
  <c r="J28" i="12"/>
  <c r="I28" i="12"/>
  <c r="H28" i="12"/>
  <c r="G28" i="12"/>
  <c r="F28" i="12"/>
  <c r="E28" i="12"/>
  <c r="D28" i="12"/>
  <c r="B28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U21" i="12" a="1"/>
  <c r="U21" i="12" s="1"/>
  <c r="T21" i="12"/>
  <c r="T25" i="12" s="1"/>
  <c r="S21" i="12"/>
  <c r="S25" i="12" s="1"/>
  <c r="R21" i="12" a="1"/>
  <c r="R21" i="12" s="1"/>
  <c r="Q21" i="12"/>
  <c r="Q24" i="12" s="1"/>
  <c r="P21" i="12"/>
  <c r="P25" i="12" s="1"/>
  <c r="O21" i="12" a="1"/>
  <c r="O21" i="12" s="1"/>
  <c r="N21" i="12"/>
  <c r="N24" i="12" s="1"/>
  <c r="M21" i="12"/>
  <c r="M24" i="12" s="1"/>
  <c r="L21" i="12"/>
  <c r="L25" i="12" s="1"/>
  <c r="K21" i="12"/>
  <c r="K25" i="12" s="1"/>
  <c r="J21" i="12"/>
  <c r="J24" i="12" s="1"/>
  <c r="I21" i="12"/>
  <c r="I24" i="12" s="1"/>
  <c r="H21" i="12"/>
  <c r="H25" i="12" s="1"/>
  <c r="G21" i="12"/>
  <c r="G25" i="12" s="1"/>
  <c r="F21" i="12"/>
  <c r="F24" i="12" s="1"/>
  <c r="E21" i="12"/>
  <c r="E24" i="12" s="1"/>
  <c r="U14" i="12" a="1"/>
  <c r="U14" i="12" s="1"/>
  <c r="T14" i="12"/>
  <c r="T17" i="12" s="1"/>
  <c r="S14" i="12"/>
  <c r="S18" i="12" s="1"/>
  <c r="R14" i="12" a="1"/>
  <c r="R14" i="12" s="1"/>
  <c r="Q14" i="12"/>
  <c r="Q18" i="12" s="1"/>
  <c r="P14" i="12"/>
  <c r="P16" i="12" s="1"/>
  <c r="O14" i="12" a="1"/>
  <c r="O14" i="12" s="1"/>
  <c r="N14" i="12"/>
  <c r="N17" i="12" s="1"/>
  <c r="M14" i="12"/>
  <c r="M18" i="12" s="1"/>
  <c r="L14" i="12"/>
  <c r="L16" i="12" s="1"/>
  <c r="K14" i="12"/>
  <c r="K18" i="12" s="1"/>
  <c r="J14" i="12"/>
  <c r="J18" i="12" s="1"/>
  <c r="I14" i="12"/>
  <c r="I15" i="12" s="1"/>
  <c r="H14" i="12"/>
  <c r="H17" i="12" s="1"/>
  <c r="G14" i="12"/>
  <c r="G18" i="12" s="1"/>
  <c r="F14" i="12"/>
  <c r="F18" i="12" s="1"/>
  <c r="E14" i="12"/>
  <c r="E15" i="12" s="1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U6" i="12" a="1"/>
  <c r="U6" i="12" s="1"/>
  <c r="T6" i="12"/>
  <c r="T11" i="12" s="1"/>
  <c r="S6" i="12"/>
  <c r="S11" i="12" s="1"/>
  <c r="R6" i="12" a="1"/>
  <c r="R6" i="12" s="1"/>
  <c r="Q6" i="12"/>
  <c r="Q11" i="12" s="1"/>
  <c r="P6" i="12"/>
  <c r="P11" i="12" s="1"/>
  <c r="O6" i="12" a="1"/>
  <c r="O6" i="12" s="1"/>
  <c r="N6" i="12"/>
  <c r="N10" i="12" s="1"/>
  <c r="M6" i="12"/>
  <c r="M10" i="12" s="1"/>
  <c r="L6" i="12"/>
  <c r="L11" i="12" s="1"/>
  <c r="K6" i="12"/>
  <c r="K11" i="12" s="1"/>
  <c r="J6" i="12"/>
  <c r="J10" i="12" s="1"/>
  <c r="I6" i="12"/>
  <c r="I10" i="12" s="1"/>
  <c r="H6" i="12"/>
  <c r="H9" i="12" s="1"/>
  <c r="G6" i="12"/>
  <c r="G11" i="12" s="1"/>
  <c r="F6" i="12"/>
  <c r="F10" i="12" s="1"/>
  <c r="E6" i="12"/>
  <c r="E10" i="12" s="1"/>
  <c r="H79" i="10"/>
  <c r="G79" i="10"/>
  <c r="D79" i="10"/>
  <c r="H78" i="10"/>
  <c r="G78" i="10"/>
  <c r="D78" i="10"/>
  <c r="H77" i="10"/>
  <c r="G77" i="10"/>
  <c r="D77" i="10"/>
  <c r="H76" i="10"/>
  <c r="G76" i="10"/>
  <c r="D76" i="10"/>
  <c r="H75" i="10"/>
  <c r="G75" i="10"/>
  <c r="D75" i="10"/>
  <c r="H74" i="10"/>
  <c r="G74" i="10"/>
  <c r="D74" i="10"/>
  <c r="H73" i="10"/>
  <c r="G73" i="10"/>
  <c r="D73" i="10"/>
  <c r="H72" i="10"/>
  <c r="G72" i="10"/>
  <c r="D72" i="10"/>
  <c r="H71" i="10"/>
  <c r="G71" i="10"/>
  <c r="D71" i="10"/>
  <c r="H70" i="10"/>
  <c r="G70" i="10"/>
  <c r="D70" i="10"/>
  <c r="H69" i="10"/>
  <c r="G69" i="10"/>
  <c r="D69" i="10"/>
  <c r="H68" i="10"/>
  <c r="G68" i="10"/>
  <c r="D68" i="10"/>
  <c r="H67" i="10"/>
  <c r="G67" i="10"/>
  <c r="D67" i="10"/>
  <c r="H66" i="10"/>
  <c r="G66" i="10"/>
  <c r="D66" i="10"/>
  <c r="H65" i="10"/>
  <c r="G65" i="10"/>
  <c r="D65" i="10"/>
  <c r="H64" i="10"/>
  <c r="G64" i="10"/>
  <c r="D64" i="10"/>
  <c r="H63" i="10"/>
  <c r="G63" i="10"/>
  <c r="D63" i="10"/>
  <c r="H62" i="10"/>
  <c r="G62" i="10"/>
  <c r="D62" i="10"/>
  <c r="H61" i="10"/>
  <c r="G61" i="10"/>
  <c r="D61" i="10"/>
  <c r="H60" i="10"/>
  <c r="G60" i="10"/>
  <c r="D60" i="10"/>
  <c r="H59" i="10"/>
  <c r="G59" i="10"/>
  <c r="D59" i="10"/>
  <c r="H58" i="10"/>
  <c r="G58" i="10"/>
  <c r="D58" i="10"/>
  <c r="H57" i="10"/>
  <c r="G57" i="10"/>
  <c r="D57" i="10"/>
  <c r="H56" i="10"/>
  <c r="G56" i="10"/>
  <c r="D56" i="10"/>
  <c r="H55" i="10"/>
  <c r="G55" i="10"/>
  <c r="D55" i="10"/>
  <c r="H54" i="10"/>
  <c r="G54" i="10"/>
  <c r="D54" i="10"/>
  <c r="H53" i="10"/>
  <c r="G53" i="10"/>
  <c r="D53" i="10"/>
  <c r="H52" i="10"/>
  <c r="G52" i="10"/>
  <c r="D52" i="10"/>
  <c r="H51" i="10"/>
  <c r="G51" i="10"/>
  <c r="D51" i="10"/>
  <c r="H50" i="10"/>
  <c r="G50" i="10"/>
  <c r="D50" i="10"/>
  <c r="H49" i="10"/>
  <c r="G49" i="10"/>
  <c r="D49" i="10"/>
  <c r="H48" i="10"/>
  <c r="G48" i="10"/>
  <c r="D48" i="10"/>
  <c r="H47" i="10"/>
  <c r="G47" i="10"/>
  <c r="D47" i="10"/>
  <c r="H46" i="10"/>
  <c r="G46" i="10"/>
  <c r="D46" i="10"/>
  <c r="H45" i="10"/>
  <c r="G45" i="10"/>
  <c r="D45" i="10"/>
  <c r="H44" i="10"/>
  <c r="G44" i="10"/>
  <c r="D44" i="10"/>
  <c r="H43" i="10"/>
  <c r="G43" i="10"/>
  <c r="D43" i="10"/>
  <c r="H42" i="10"/>
  <c r="G42" i="10"/>
  <c r="D42" i="10"/>
  <c r="H41" i="10"/>
  <c r="G41" i="10"/>
  <c r="D41" i="10"/>
  <c r="H40" i="10"/>
  <c r="G40" i="10"/>
  <c r="D40" i="10"/>
  <c r="H39" i="10"/>
  <c r="G39" i="10"/>
  <c r="D39" i="10"/>
  <c r="H38" i="10"/>
  <c r="G38" i="10"/>
  <c r="D38" i="10"/>
  <c r="H37" i="10"/>
  <c r="G37" i="10"/>
  <c r="D37" i="10"/>
  <c r="H36" i="10"/>
  <c r="G36" i="10"/>
  <c r="D36" i="10"/>
  <c r="H35" i="10"/>
  <c r="G35" i="10"/>
  <c r="D35" i="10"/>
  <c r="H34" i="10"/>
  <c r="G34" i="10"/>
  <c r="D34" i="10"/>
  <c r="H33" i="10"/>
  <c r="G33" i="10"/>
  <c r="D33" i="10"/>
  <c r="H32" i="10"/>
  <c r="G32" i="10"/>
  <c r="D32" i="10"/>
  <c r="H31" i="10"/>
  <c r="G31" i="10"/>
  <c r="D31" i="10"/>
  <c r="H30" i="10"/>
  <c r="G30" i="10"/>
  <c r="D30" i="10"/>
  <c r="H29" i="10"/>
  <c r="G29" i="10"/>
  <c r="D29" i="10"/>
  <c r="H28" i="10"/>
  <c r="G28" i="10"/>
  <c r="D28" i="10"/>
  <c r="H27" i="10"/>
  <c r="G27" i="10"/>
  <c r="D27" i="10"/>
  <c r="H26" i="10"/>
  <c r="G26" i="10"/>
  <c r="D26" i="10"/>
  <c r="H25" i="10"/>
  <c r="G25" i="10"/>
  <c r="D25" i="10"/>
  <c r="H24" i="10"/>
  <c r="G24" i="10"/>
  <c r="D24" i="10"/>
  <c r="H23" i="10"/>
  <c r="G23" i="10"/>
  <c r="D23" i="10"/>
  <c r="H22" i="10"/>
  <c r="G22" i="10"/>
  <c r="D22" i="10"/>
  <c r="H21" i="10"/>
  <c r="G21" i="10"/>
  <c r="D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F4" i="10"/>
  <c r="E4" i="10" s="1"/>
  <c r="V44" i="7"/>
  <c r="U44" i="7"/>
  <c r="S44" i="7"/>
  <c r="R44" i="7"/>
  <c r="P44" i="7"/>
  <c r="O44" i="7"/>
  <c r="N44" i="7"/>
  <c r="M44" i="7"/>
  <c r="L44" i="7"/>
  <c r="K44" i="7"/>
  <c r="J44" i="7"/>
  <c r="I44" i="7"/>
  <c r="H44" i="7"/>
  <c r="G44" i="7"/>
  <c r="F44" i="7"/>
  <c r="E44" i="7"/>
  <c r="V43" i="7"/>
  <c r="U43" i="7"/>
  <c r="S43" i="7"/>
  <c r="R43" i="7"/>
  <c r="P43" i="7"/>
  <c r="O43" i="7"/>
  <c r="N43" i="7"/>
  <c r="M43" i="7"/>
  <c r="L43" i="7"/>
  <c r="K43" i="7"/>
  <c r="J43" i="7"/>
  <c r="I43" i="7"/>
  <c r="H43" i="7"/>
  <c r="G43" i="7"/>
  <c r="F43" i="7"/>
  <c r="E43" i="7"/>
  <c r="V42" i="7"/>
  <c r="U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V41" i="7"/>
  <c r="U41" i="7"/>
  <c r="S41" i="7"/>
  <c r="R41" i="7"/>
  <c r="P41" i="7"/>
  <c r="O41" i="7"/>
  <c r="N41" i="7"/>
  <c r="M41" i="7"/>
  <c r="L41" i="7"/>
  <c r="K41" i="7"/>
  <c r="J41" i="7"/>
  <c r="I41" i="7"/>
  <c r="H41" i="7"/>
  <c r="G41" i="7"/>
  <c r="F41" i="7"/>
  <c r="E41" i="7"/>
  <c r="V40" i="7"/>
  <c r="U40" i="7"/>
  <c r="S40" i="7"/>
  <c r="R40" i="7"/>
  <c r="P40" i="7"/>
  <c r="O40" i="7"/>
  <c r="N40" i="7"/>
  <c r="M40" i="7"/>
  <c r="L40" i="7"/>
  <c r="K40" i="7"/>
  <c r="J40" i="7"/>
  <c r="I40" i="7"/>
  <c r="H40" i="7"/>
  <c r="G40" i="7"/>
  <c r="F40" i="7"/>
  <c r="E40" i="7"/>
  <c r="V39" i="7"/>
  <c r="U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V38" i="7"/>
  <c r="U38" i="7"/>
  <c r="S38" i="7"/>
  <c r="R38" i="7"/>
  <c r="P38" i="7"/>
  <c r="O38" i="7"/>
  <c r="N38" i="7"/>
  <c r="M38" i="7"/>
  <c r="L38" i="7"/>
  <c r="K38" i="7"/>
  <c r="J38" i="7"/>
  <c r="I38" i="7"/>
  <c r="H38" i="7"/>
  <c r="G38" i="7"/>
  <c r="F38" i="7"/>
  <c r="E38" i="7"/>
  <c r="V37" i="7"/>
  <c r="U37" i="7"/>
  <c r="S37" i="7"/>
  <c r="R37" i="7"/>
  <c r="P37" i="7"/>
  <c r="O37" i="7"/>
  <c r="N37" i="7"/>
  <c r="M37" i="7"/>
  <c r="L37" i="7"/>
  <c r="K37" i="7"/>
  <c r="J37" i="7"/>
  <c r="I37" i="7"/>
  <c r="H37" i="7"/>
  <c r="G37" i="7"/>
  <c r="F37" i="7"/>
  <c r="E37" i="7"/>
  <c r="V36" i="7"/>
  <c r="U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V35" i="7"/>
  <c r="U35" i="7"/>
  <c r="S35" i="7"/>
  <c r="R35" i="7"/>
  <c r="P35" i="7"/>
  <c r="O35" i="7"/>
  <c r="N35" i="7"/>
  <c r="M35" i="7"/>
  <c r="L35" i="7"/>
  <c r="K35" i="7"/>
  <c r="J35" i="7"/>
  <c r="I35" i="7"/>
  <c r="H35" i="7"/>
  <c r="G35" i="7"/>
  <c r="F35" i="7"/>
  <c r="E35" i="7"/>
  <c r="V34" i="7"/>
  <c r="U34" i="7"/>
  <c r="S34" i="7"/>
  <c r="R34" i="7"/>
  <c r="P34" i="7"/>
  <c r="O34" i="7"/>
  <c r="N34" i="7"/>
  <c r="M34" i="7"/>
  <c r="L34" i="7"/>
  <c r="K34" i="7"/>
  <c r="J34" i="7"/>
  <c r="I34" i="7"/>
  <c r="H34" i="7"/>
  <c r="G34" i="7"/>
  <c r="F34" i="7"/>
  <c r="E34" i="7"/>
  <c r="V33" i="7"/>
  <c r="U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V32" i="7"/>
  <c r="U32" i="7"/>
  <c r="S32" i="7"/>
  <c r="R32" i="7"/>
  <c r="P32" i="7"/>
  <c r="O32" i="7"/>
  <c r="N32" i="7"/>
  <c r="M32" i="7"/>
  <c r="L32" i="7"/>
  <c r="K32" i="7"/>
  <c r="J32" i="7"/>
  <c r="I32" i="7"/>
  <c r="H32" i="7"/>
  <c r="G32" i="7"/>
  <c r="F32" i="7"/>
  <c r="E32" i="7"/>
  <c r="V31" i="7"/>
  <c r="U31" i="7"/>
  <c r="S31" i="7"/>
  <c r="R31" i="7"/>
  <c r="P31" i="7"/>
  <c r="O31" i="7"/>
  <c r="N31" i="7"/>
  <c r="M31" i="7"/>
  <c r="L31" i="7"/>
  <c r="K31" i="7"/>
  <c r="J31" i="7"/>
  <c r="I31" i="7"/>
  <c r="H31" i="7"/>
  <c r="G31" i="7"/>
  <c r="F31" i="7"/>
  <c r="E31" i="7"/>
  <c r="V30" i="7"/>
  <c r="U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V29" i="7"/>
  <c r="U29" i="7"/>
  <c r="S29" i="7"/>
  <c r="R29" i="7"/>
  <c r="P29" i="7"/>
  <c r="O29" i="7"/>
  <c r="N29" i="7"/>
  <c r="M29" i="7"/>
  <c r="L29" i="7"/>
  <c r="K29" i="7"/>
  <c r="J29" i="7"/>
  <c r="I29" i="7"/>
  <c r="H29" i="7"/>
  <c r="G29" i="7"/>
  <c r="F29" i="7"/>
  <c r="E29" i="7"/>
  <c r="V28" i="7"/>
  <c r="U28" i="7"/>
  <c r="S28" i="7"/>
  <c r="R28" i="7"/>
  <c r="P28" i="7"/>
  <c r="O28" i="7"/>
  <c r="N28" i="7"/>
  <c r="M28" i="7"/>
  <c r="L28" i="7"/>
  <c r="K28" i="7"/>
  <c r="J28" i="7"/>
  <c r="I28" i="7"/>
  <c r="H28" i="7"/>
  <c r="G28" i="7"/>
  <c r="F28" i="7"/>
  <c r="E28" i="7"/>
  <c r="V27" i="7"/>
  <c r="U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V26" i="7"/>
  <c r="U26" i="7"/>
  <c r="S26" i="7"/>
  <c r="R26" i="7"/>
  <c r="P26" i="7"/>
  <c r="O26" i="7"/>
  <c r="N26" i="7"/>
  <c r="M26" i="7"/>
  <c r="L26" i="7"/>
  <c r="K26" i="7"/>
  <c r="J26" i="7"/>
  <c r="I26" i="7"/>
  <c r="H26" i="7"/>
  <c r="G26" i="7"/>
  <c r="F26" i="7"/>
  <c r="E26" i="7"/>
  <c r="V25" i="7"/>
  <c r="U25" i="7"/>
  <c r="S25" i="7"/>
  <c r="R25" i="7"/>
  <c r="P25" i="7"/>
  <c r="O25" i="7"/>
  <c r="N25" i="7"/>
  <c r="M25" i="7"/>
  <c r="L25" i="7"/>
  <c r="K25" i="7"/>
  <c r="J25" i="7"/>
  <c r="I25" i="7"/>
  <c r="H25" i="7"/>
  <c r="G25" i="7"/>
  <c r="F25" i="7"/>
  <c r="E25" i="7"/>
  <c r="V24" i="7"/>
  <c r="U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V23" i="7"/>
  <c r="U23" i="7"/>
  <c r="S23" i="7"/>
  <c r="R23" i="7"/>
  <c r="P23" i="7"/>
  <c r="O23" i="7"/>
  <c r="N23" i="7"/>
  <c r="M23" i="7"/>
  <c r="L23" i="7"/>
  <c r="K23" i="7"/>
  <c r="J23" i="7"/>
  <c r="I23" i="7"/>
  <c r="H23" i="7"/>
  <c r="G23" i="7"/>
  <c r="F23" i="7"/>
  <c r="E23" i="7"/>
  <c r="V22" i="7"/>
  <c r="U22" i="7"/>
  <c r="S22" i="7"/>
  <c r="R22" i="7"/>
  <c r="P22" i="7"/>
  <c r="O22" i="7"/>
  <c r="N22" i="7"/>
  <c r="M22" i="7"/>
  <c r="L22" i="7"/>
  <c r="K22" i="7"/>
  <c r="J22" i="7"/>
  <c r="I22" i="7"/>
  <c r="H22" i="7"/>
  <c r="G22" i="7"/>
  <c r="F22" i="7"/>
  <c r="E22" i="7"/>
  <c r="V21" i="7"/>
  <c r="U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V20" i="7"/>
  <c r="U20" i="7"/>
  <c r="S20" i="7"/>
  <c r="R20" i="7"/>
  <c r="P20" i="7"/>
  <c r="O20" i="7"/>
  <c r="N20" i="7"/>
  <c r="M20" i="7"/>
  <c r="L20" i="7"/>
  <c r="K20" i="7"/>
  <c r="J20" i="7"/>
  <c r="I20" i="7"/>
  <c r="H20" i="7"/>
  <c r="G20" i="7"/>
  <c r="F20" i="7"/>
  <c r="E20" i="7"/>
  <c r="V19" i="7"/>
  <c r="U19" i="7"/>
  <c r="S19" i="7"/>
  <c r="R19" i="7"/>
  <c r="P19" i="7"/>
  <c r="O19" i="7"/>
  <c r="N19" i="7"/>
  <c r="M19" i="7"/>
  <c r="L19" i="7"/>
  <c r="K19" i="7"/>
  <c r="J19" i="7"/>
  <c r="I19" i="7"/>
  <c r="H19" i="7"/>
  <c r="G19" i="7"/>
  <c r="F19" i="7"/>
  <c r="E19" i="7"/>
  <c r="V18" i="7"/>
  <c r="U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V17" i="7"/>
  <c r="U17" i="7"/>
  <c r="S17" i="7"/>
  <c r="R17" i="7"/>
  <c r="P17" i="7"/>
  <c r="O17" i="7"/>
  <c r="N17" i="7"/>
  <c r="M17" i="7"/>
  <c r="L17" i="7"/>
  <c r="K17" i="7"/>
  <c r="J17" i="7"/>
  <c r="I17" i="7"/>
  <c r="H17" i="7"/>
  <c r="G17" i="7"/>
  <c r="F17" i="7"/>
  <c r="E17" i="7"/>
  <c r="V16" i="7"/>
  <c r="U16" i="7"/>
  <c r="S16" i="7"/>
  <c r="R16" i="7"/>
  <c r="P16" i="7"/>
  <c r="O16" i="7"/>
  <c r="N16" i="7"/>
  <c r="M16" i="7"/>
  <c r="L16" i="7"/>
  <c r="K16" i="7"/>
  <c r="J16" i="7"/>
  <c r="I16" i="7"/>
  <c r="H16" i="7"/>
  <c r="G16" i="7"/>
  <c r="F16" i="7"/>
  <c r="E16" i="7"/>
  <c r="V15" i="7"/>
  <c r="U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V14" i="7"/>
  <c r="U14" i="7"/>
  <c r="S14" i="7"/>
  <c r="R14" i="7"/>
  <c r="P14" i="7"/>
  <c r="O14" i="7"/>
  <c r="N14" i="7"/>
  <c r="M14" i="7"/>
  <c r="L14" i="7"/>
  <c r="K14" i="7"/>
  <c r="J14" i="7"/>
  <c r="I14" i="7"/>
  <c r="H14" i="7"/>
  <c r="G14" i="7"/>
  <c r="F14" i="7"/>
  <c r="E14" i="7"/>
  <c r="V13" i="7"/>
  <c r="U13" i="7"/>
  <c r="S13" i="7"/>
  <c r="R13" i="7"/>
  <c r="P13" i="7"/>
  <c r="O13" i="7"/>
  <c r="N13" i="7"/>
  <c r="M13" i="7"/>
  <c r="L13" i="7"/>
  <c r="K13" i="7"/>
  <c r="J13" i="7"/>
  <c r="I13" i="7"/>
  <c r="H13" i="7"/>
  <c r="G13" i="7"/>
  <c r="F13" i="7"/>
  <c r="E13" i="7"/>
  <c r="V12" i="7"/>
  <c r="U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V11" i="7"/>
  <c r="U11" i="7"/>
  <c r="S11" i="7"/>
  <c r="R11" i="7"/>
  <c r="P11" i="7"/>
  <c r="O11" i="7"/>
  <c r="N11" i="7"/>
  <c r="M11" i="7"/>
  <c r="L11" i="7"/>
  <c r="K11" i="7"/>
  <c r="J11" i="7"/>
  <c r="I11" i="7"/>
  <c r="H11" i="7"/>
  <c r="G11" i="7"/>
  <c r="F11" i="7"/>
  <c r="E11" i="7"/>
  <c r="V10" i="7"/>
  <c r="U10" i="7"/>
  <c r="S10" i="7"/>
  <c r="R10" i="7"/>
  <c r="P10" i="7"/>
  <c r="O10" i="7"/>
  <c r="N10" i="7"/>
  <c r="M10" i="7"/>
  <c r="L10" i="7"/>
  <c r="K10" i="7"/>
  <c r="J10" i="7"/>
  <c r="I10" i="7"/>
  <c r="H10" i="7"/>
  <c r="G10" i="7"/>
  <c r="F10" i="7"/>
  <c r="E10" i="7"/>
  <c r="C10" i="7"/>
  <c r="V9" i="7"/>
  <c r="U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D73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X80" i="9"/>
  <c r="U80" i="9"/>
  <c r="R80" i="9"/>
  <c r="X79" i="9"/>
  <c r="U79" i="9"/>
  <c r="R79" i="9"/>
  <c r="X78" i="9"/>
  <c r="U78" i="9"/>
  <c r="R78" i="9"/>
  <c r="X77" i="9"/>
  <c r="U77" i="9"/>
  <c r="R77" i="9"/>
  <c r="B77" i="9"/>
  <c r="X76" i="9"/>
  <c r="U76" i="9"/>
  <c r="R76" i="9"/>
  <c r="B76" i="9"/>
  <c r="X75" i="9"/>
  <c r="U75" i="9"/>
  <c r="R75" i="9"/>
  <c r="B75" i="9"/>
  <c r="X74" i="9"/>
  <c r="U74" i="9"/>
  <c r="R74" i="9"/>
  <c r="B74" i="9"/>
  <c r="X73" i="9"/>
  <c r="U73" i="9"/>
  <c r="R73" i="9"/>
  <c r="B73" i="9"/>
  <c r="X72" i="9"/>
  <c r="U72" i="9"/>
  <c r="R72" i="9"/>
  <c r="B72" i="9"/>
  <c r="X71" i="9"/>
  <c r="U71" i="9"/>
  <c r="R71" i="9"/>
  <c r="B71" i="9"/>
  <c r="X70" i="9"/>
  <c r="U70" i="9"/>
  <c r="R70" i="9"/>
  <c r="B70" i="9"/>
  <c r="X69" i="9"/>
  <c r="U69" i="9"/>
  <c r="R69" i="9"/>
  <c r="B69" i="9"/>
  <c r="X68" i="9"/>
  <c r="U68" i="9"/>
  <c r="R68" i="9"/>
  <c r="B68" i="9"/>
  <c r="X67" i="9"/>
  <c r="U67" i="9"/>
  <c r="R67" i="9"/>
  <c r="B67" i="9"/>
  <c r="X66" i="9"/>
  <c r="U66" i="9"/>
  <c r="R66" i="9"/>
  <c r="B66" i="9"/>
  <c r="X65" i="9"/>
  <c r="U65" i="9"/>
  <c r="R65" i="9"/>
  <c r="B65" i="9"/>
  <c r="X64" i="9"/>
  <c r="U64" i="9"/>
  <c r="R64" i="9"/>
  <c r="B64" i="9"/>
  <c r="X63" i="9"/>
  <c r="U63" i="9"/>
  <c r="R63" i="9"/>
  <c r="B63" i="9"/>
  <c r="X62" i="9"/>
  <c r="U62" i="9"/>
  <c r="R62" i="9"/>
  <c r="B62" i="9"/>
  <c r="X61" i="9"/>
  <c r="U61" i="9"/>
  <c r="R61" i="9"/>
  <c r="B61" i="9"/>
  <c r="X60" i="9"/>
  <c r="U60" i="9"/>
  <c r="R60" i="9"/>
  <c r="B60" i="9"/>
  <c r="X59" i="9"/>
  <c r="U59" i="9"/>
  <c r="R59" i="9"/>
  <c r="B59" i="9"/>
  <c r="X58" i="9"/>
  <c r="U58" i="9"/>
  <c r="R58" i="9"/>
  <c r="B58" i="9"/>
  <c r="X57" i="9"/>
  <c r="U57" i="9"/>
  <c r="R57" i="9"/>
  <c r="B57" i="9"/>
  <c r="X56" i="9"/>
  <c r="U56" i="9"/>
  <c r="R56" i="9"/>
  <c r="B56" i="9"/>
  <c r="X55" i="9"/>
  <c r="U55" i="9"/>
  <c r="R55" i="9"/>
  <c r="B55" i="9"/>
  <c r="X54" i="9"/>
  <c r="U54" i="9"/>
  <c r="R54" i="9"/>
  <c r="B54" i="9"/>
  <c r="X53" i="9"/>
  <c r="U53" i="9"/>
  <c r="R53" i="9"/>
  <c r="B53" i="9"/>
  <c r="X52" i="9"/>
  <c r="U52" i="9"/>
  <c r="R52" i="9"/>
  <c r="B52" i="9"/>
  <c r="X51" i="9"/>
  <c r="U51" i="9"/>
  <c r="R51" i="9"/>
  <c r="B51" i="9"/>
  <c r="X50" i="9"/>
  <c r="U50" i="9"/>
  <c r="R50" i="9"/>
  <c r="B50" i="9"/>
  <c r="X49" i="9"/>
  <c r="U49" i="9"/>
  <c r="R49" i="9"/>
  <c r="B49" i="9"/>
  <c r="X48" i="9"/>
  <c r="U48" i="9"/>
  <c r="R48" i="9"/>
  <c r="B48" i="9"/>
  <c r="X47" i="9"/>
  <c r="U47" i="9"/>
  <c r="R47" i="9"/>
  <c r="B47" i="9"/>
  <c r="X46" i="9"/>
  <c r="U46" i="9"/>
  <c r="R46" i="9"/>
  <c r="B46" i="9"/>
  <c r="X45" i="9"/>
  <c r="U45" i="9"/>
  <c r="R45" i="9"/>
  <c r="B45" i="9"/>
  <c r="X44" i="9"/>
  <c r="U44" i="9"/>
  <c r="R44" i="9"/>
  <c r="B44" i="9"/>
  <c r="X43" i="9"/>
  <c r="U43" i="9"/>
  <c r="R43" i="9"/>
  <c r="B43" i="9"/>
  <c r="X42" i="9"/>
  <c r="U42" i="9"/>
  <c r="R42" i="9"/>
  <c r="B42" i="9"/>
  <c r="X41" i="9"/>
  <c r="U41" i="9"/>
  <c r="R41" i="9"/>
  <c r="B41" i="9"/>
  <c r="X40" i="9"/>
  <c r="U40" i="9"/>
  <c r="R40" i="9"/>
  <c r="B40" i="9"/>
  <c r="X39" i="9"/>
  <c r="U39" i="9"/>
  <c r="R39" i="9"/>
  <c r="B39" i="9"/>
  <c r="X38" i="9"/>
  <c r="U38" i="9"/>
  <c r="R38" i="9"/>
  <c r="B38" i="9"/>
  <c r="X37" i="9"/>
  <c r="U37" i="9"/>
  <c r="R37" i="9"/>
  <c r="B37" i="9"/>
  <c r="X36" i="9"/>
  <c r="U36" i="9"/>
  <c r="R36" i="9"/>
  <c r="B36" i="9"/>
  <c r="X35" i="9"/>
  <c r="U35" i="9"/>
  <c r="R35" i="9"/>
  <c r="B35" i="9"/>
  <c r="X34" i="9"/>
  <c r="U34" i="9"/>
  <c r="R34" i="9"/>
  <c r="X33" i="9"/>
  <c r="U33" i="9"/>
  <c r="R33" i="9"/>
  <c r="X32" i="9"/>
  <c r="U32" i="9"/>
  <c r="R32" i="9"/>
  <c r="X31" i="9"/>
  <c r="U31" i="9"/>
  <c r="R31" i="9"/>
  <c r="X30" i="9"/>
  <c r="U30" i="9"/>
  <c r="R30" i="9"/>
  <c r="X29" i="9"/>
  <c r="U29" i="9"/>
  <c r="R29" i="9"/>
  <c r="X14" i="9"/>
  <c r="U14" i="9"/>
  <c r="AI14" i="24" s="1"/>
  <c r="R14" i="9"/>
  <c r="AF14" i="24" s="1"/>
  <c r="U13" i="9"/>
  <c r="AI13" i="24" s="1"/>
  <c r="R13" i="9"/>
  <c r="AF13" i="24" s="1"/>
  <c r="U12" i="9"/>
  <c r="AI12" i="24" s="1"/>
  <c r="R12" i="9"/>
  <c r="AF12" i="24" s="1"/>
  <c r="U11" i="9"/>
  <c r="AI11" i="24" s="1"/>
  <c r="R11" i="9"/>
  <c r="AF11" i="24" s="1"/>
  <c r="U10" i="9"/>
  <c r="AI10" i="24" s="1"/>
  <c r="R10" i="9"/>
  <c r="AF10" i="24" s="1"/>
  <c r="X28" i="9"/>
  <c r="U28" i="9"/>
  <c r="R28" i="9"/>
  <c r="X27" i="9"/>
  <c r="U27" i="9"/>
  <c r="R27" i="9"/>
  <c r="X26" i="9"/>
  <c r="U26" i="9"/>
  <c r="R26" i="9"/>
  <c r="X25" i="9"/>
  <c r="U25" i="9"/>
  <c r="R25" i="9"/>
  <c r="X24" i="9"/>
  <c r="U24" i="9"/>
  <c r="R24" i="9"/>
  <c r="X23" i="9"/>
  <c r="U23" i="9"/>
  <c r="R23" i="9"/>
  <c r="X22" i="9"/>
  <c r="U22" i="9"/>
  <c r="R22" i="9"/>
  <c r="X21" i="9"/>
  <c r="U21" i="9"/>
  <c r="R21" i="9"/>
  <c r="X20" i="9"/>
  <c r="U20" i="9"/>
  <c r="R20" i="9"/>
  <c r="X19" i="9"/>
  <c r="U19" i="9"/>
  <c r="R19" i="9"/>
  <c r="X18" i="9"/>
  <c r="U18" i="9"/>
  <c r="R18" i="9"/>
  <c r="X17" i="9"/>
  <c r="U17" i="9"/>
  <c r="R17" i="9"/>
  <c r="X16" i="9"/>
  <c r="U16" i="9"/>
  <c r="AI16" i="24" s="1"/>
  <c r="R16" i="9"/>
  <c r="AF16" i="24" s="1"/>
  <c r="X15" i="9"/>
  <c r="U15" i="9"/>
  <c r="AI15" i="24" s="1"/>
  <c r="R15" i="9"/>
  <c r="AF15" i="24" s="1"/>
  <c r="B5" i="9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D80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D79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D78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D77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D76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D75" i="8"/>
  <c r="V74" i="8"/>
  <c r="U74" i="8"/>
  <c r="T74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D74" i="8"/>
  <c r="V73" i="8"/>
  <c r="U73" i="8"/>
  <c r="T73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D73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D72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D71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D70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D69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D68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D67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D66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D65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D64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D63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D62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D61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D60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D59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D58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D57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D56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D55" i="8"/>
  <c r="B55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D54" i="8"/>
  <c r="B54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D53" i="8"/>
  <c r="B53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D52" i="8"/>
  <c r="B52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D51" i="8"/>
  <c r="B51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D50" i="8"/>
  <c r="B50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D49" i="8"/>
  <c r="B49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D48" i="8"/>
  <c r="B48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D47" i="8"/>
  <c r="B47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D46" i="8"/>
  <c r="B46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D45" i="8"/>
  <c r="B45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D44" i="8"/>
  <c r="B44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D43" i="8"/>
  <c r="B43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D42" i="8"/>
  <c r="B42" i="8"/>
  <c r="B5" i="8"/>
  <c r="B6" i="8" s="1"/>
  <c r="D1" i="8"/>
  <c r="U40" i="8" s="1"/>
  <c r="D11" i="23" l="1"/>
  <c r="D4" i="23"/>
  <c r="D22" i="23"/>
  <c r="D37" i="23"/>
  <c r="D24" i="23"/>
  <c r="D10" i="23"/>
  <c r="D8" i="23"/>
  <c r="D38" i="23"/>
  <c r="D18" i="23"/>
  <c r="D5" i="23"/>
  <c r="D25" i="23"/>
  <c r="D19" i="23"/>
  <c r="D13" i="23"/>
  <c r="D35" i="23"/>
  <c r="D43" i="23"/>
  <c r="D39" i="23"/>
  <c r="D20" i="23"/>
  <c r="D15" i="23"/>
  <c r="D45" i="23"/>
  <c r="S83" i="16"/>
  <c r="D10" i="13"/>
  <c r="P74" i="16"/>
  <c r="S77" i="16"/>
  <c r="P78" i="16"/>
  <c r="S82" i="16"/>
  <c r="P73" i="14"/>
  <c r="P77" i="14"/>
  <c r="P80" i="14"/>
  <c r="V80" i="14"/>
  <c r="P81" i="14"/>
  <c r="P82" i="14"/>
  <c r="P82" i="16"/>
  <c r="V82" i="16"/>
  <c r="S80" i="14"/>
  <c r="D40" i="14"/>
  <c r="V69" i="16"/>
  <c r="S71" i="16"/>
  <c r="P81" i="16"/>
  <c r="S46" i="16"/>
  <c r="S50" i="16"/>
  <c r="S54" i="16"/>
  <c r="P56" i="16"/>
  <c r="V56" i="16"/>
  <c r="S58" i="16"/>
  <c r="S62" i="16"/>
  <c r="S66" i="16"/>
  <c r="S70" i="16"/>
  <c r="P72" i="16"/>
  <c r="V72" i="16"/>
  <c r="P76" i="16"/>
  <c r="V76" i="16"/>
  <c r="S78" i="16"/>
  <c r="S76" i="14"/>
  <c r="P70" i="16"/>
  <c r="S81" i="16"/>
  <c r="P65" i="14"/>
  <c r="S46" i="14"/>
  <c r="S64" i="14"/>
  <c r="S65" i="14"/>
  <c r="S68" i="14"/>
  <c r="S73" i="14"/>
  <c r="P67" i="14"/>
  <c r="V67" i="14"/>
  <c r="P68" i="14"/>
  <c r="P69" i="14"/>
  <c r="P74" i="14"/>
  <c r="V74" i="14"/>
  <c r="P75" i="14"/>
  <c r="V75" i="14"/>
  <c r="P76" i="14"/>
  <c r="D26" i="16"/>
  <c r="D6" i="23"/>
  <c r="D25" i="16"/>
  <c r="D32" i="23"/>
  <c r="D37" i="16"/>
  <c r="D9" i="23"/>
  <c r="D33" i="16"/>
  <c r="D42" i="23"/>
  <c r="D9" i="14"/>
  <c r="D34" i="23"/>
  <c r="D33" i="14"/>
  <c r="D27" i="23"/>
  <c r="D39" i="14"/>
  <c r="D17" i="23"/>
  <c r="D28" i="16"/>
  <c r="D16" i="23"/>
  <c r="D8" i="16"/>
  <c r="D33" i="23"/>
  <c r="D6" i="16"/>
  <c r="D7" i="23"/>
  <c r="D41" i="18"/>
  <c r="S69" i="24" s="1"/>
  <c r="D41" i="23"/>
  <c r="D24" i="14"/>
  <c r="D30" i="23"/>
  <c r="V34" i="13"/>
  <c r="J34" i="8"/>
  <c r="J12" i="8"/>
  <c r="N6" i="8"/>
  <c r="T19" i="8"/>
  <c r="H11" i="8"/>
  <c r="H27" i="8"/>
  <c r="L27" i="8"/>
  <c r="Q27" i="8"/>
  <c r="F40" i="8"/>
  <c r="J40" i="8"/>
  <c r="N40" i="8"/>
  <c r="T40" i="8"/>
  <c r="H25" i="8"/>
  <c r="O34" i="8"/>
  <c r="T12" i="8"/>
  <c r="H26" i="8"/>
  <c r="L8" i="8"/>
  <c r="Q11" i="8"/>
  <c r="I27" i="8"/>
  <c r="M27" i="8"/>
  <c r="R27" i="8"/>
  <c r="G40" i="8"/>
  <c r="K40" i="8"/>
  <c r="O40" i="8"/>
  <c r="E40" i="8"/>
  <c r="E27" i="8"/>
  <c r="U25" i="8"/>
  <c r="Q20" i="8"/>
  <c r="F6" i="8"/>
  <c r="J19" i="8"/>
  <c r="N37" i="8"/>
  <c r="G27" i="8"/>
  <c r="K27" i="8"/>
  <c r="O27" i="8"/>
  <c r="U27" i="8"/>
  <c r="I40" i="8"/>
  <c r="M40" i="8"/>
  <c r="R40" i="8"/>
  <c r="M25" i="8"/>
  <c r="H20" i="8"/>
  <c r="L32" i="8"/>
  <c r="Q26" i="8"/>
  <c r="F37" i="8"/>
  <c r="F27" i="8"/>
  <c r="J27" i="8"/>
  <c r="N27" i="8"/>
  <c r="P27" i="8" s="1"/>
  <c r="T27" i="8"/>
  <c r="H40" i="8"/>
  <c r="L40" i="8"/>
  <c r="Q40" i="8"/>
  <c r="W4" i="9"/>
  <c r="V4" i="9"/>
  <c r="T4" i="9"/>
  <c r="T6" i="9"/>
  <c r="S5" i="9"/>
  <c r="J4" i="9"/>
  <c r="N4" i="9"/>
  <c r="I7" i="9"/>
  <c r="M7" i="9"/>
  <c r="Q7" i="9"/>
  <c r="L9" i="9"/>
  <c r="P9" i="9"/>
  <c r="K5" i="9"/>
  <c r="O5" i="9"/>
  <c r="J6" i="9"/>
  <c r="N6" i="9"/>
  <c r="I8" i="9"/>
  <c r="M8" i="9"/>
  <c r="Q8" i="9"/>
  <c r="H6" i="9"/>
  <c r="G9" i="9"/>
  <c r="G4" i="9"/>
  <c r="W6" i="9"/>
  <c r="V6" i="9"/>
  <c r="T7" i="9"/>
  <c r="T8" i="9"/>
  <c r="S6" i="9"/>
  <c r="K4" i="9"/>
  <c r="O4" i="9"/>
  <c r="J7" i="9"/>
  <c r="N7" i="9"/>
  <c r="I9" i="9"/>
  <c r="M9" i="9"/>
  <c r="Q9" i="9"/>
  <c r="L5" i="9"/>
  <c r="P5" i="9"/>
  <c r="K6" i="9"/>
  <c r="O6" i="9"/>
  <c r="J8" i="9"/>
  <c r="N8" i="9"/>
  <c r="H7" i="9"/>
  <c r="H8" i="9"/>
  <c r="G5" i="9"/>
  <c r="W9" i="9"/>
  <c r="W8" i="9"/>
  <c r="V9" i="9"/>
  <c r="V8" i="9"/>
  <c r="V7" i="9"/>
  <c r="T5" i="9"/>
  <c r="S9" i="9"/>
  <c r="I4" i="9"/>
  <c r="M4" i="9"/>
  <c r="Q4" i="9"/>
  <c r="L7" i="9"/>
  <c r="P7" i="9"/>
  <c r="K9" i="9"/>
  <c r="O9" i="9"/>
  <c r="J5" i="9"/>
  <c r="N5" i="9"/>
  <c r="I6" i="9"/>
  <c r="M6" i="9"/>
  <c r="Q6" i="9"/>
  <c r="L8" i="9"/>
  <c r="P8" i="9"/>
  <c r="H5" i="9"/>
  <c r="G7" i="9"/>
  <c r="G8" i="9"/>
  <c r="W7" i="9"/>
  <c r="W5" i="9"/>
  <c r="V5" i="9"/>
  <c r="T9" i="9"/>
  <c r="S7" i="9"/>
  <c r="S8" i="9"/>
  <c r="S4" i="9"/>
  <c r="L4" i="9"/>
  <c r="P4" i="9"/>
  <c r="K7" i="9"/>
  <c r="O7" i="9"/>
  <c r="J9" i="9"/>
  <c r="N9" i="9"/>
  <c r="I5" i="9"/>
  <c r="M5" i="9"/>
  <c r="Q5" i="9"/>
  <c r="L6" i="9"/>
  <c r="P6" i="9"/>
  <c r="K8" i="9"/>
  <c r="O8" i="9"/>
  <c r="H9" i="9"/>
  <c r="H4" i="9"/>
  <c r="G6" i="9"/>
  <c r="E6" i="9"/>
  <c r="D8" i="9"/>
  <c r="E8" i="9"/>
  <c r="D6" i="9"/>
  <c r="P10" i="13"/>
  <c r="V10" i="13"/>
  <c r="S10" i="13"/>
  <c r="D40" i="8"/>
  <c r="D34" i="8"/>
  <c r="S40" i="8"/>
  <c r="S75" i="16"/>
  <c r="V77" i="16"/>
  <c r="P69" i="16"/>
  <c r="V81" i="16"/>
  <c r="S69" i="16"/>
  <c r="P46" i="16"/>
  <c r="V46" i="16"/>
  <c r="V50" i="16"/>
  <c r="S52" i="16"/>
  <c r="P54" i="16"/>
  <c r="V54" i="16"/>
  <c r="V58" i="16"/>
  <c r="S60" i="16"/>
  <c r="P62" i="16"/>
  <c r="V62" i="16"/>
  <c r="P66" i="16"/>
  <c r="P70" i="14"/>
  <c r="V70" i="14"/>
  <c r="P71" i="14"/>
  <c r="V71" i="14"/>
  <c r="P72" i="14"/>
  <c r="S77" i="14"/>
  <c r="V81" i="14"/>
  <c r="S52" i="14"/>
  <c r="P47" i="14"/>
  <c r="P51" i="14"/>
  <c r="V52" i="14"/>
  <c r="P53" i="14"/>
  <c r="P54" i="14"/>
  <c r="P55" i="14"/>
  <c r="P56" i="14"/>
  <c r="P57" i="14"/>
  <c r="P58" i="14"/>
  <c r="P59" i="14"/>
  <c r="P60" i="14"/>
  <c r="P61" i="14"/>
  <c r="V61" i="14"/>
  <c r="P62" i="14"/>
  <c r="V62" i="14"/>
  <c r="P63" i="14"/>
  <c r="V63" i="14"/>
  <c r="P64" i="14"/>
  <c r="V64" i="14"/>
  <c r="S69" i="14"/>
  <c r="S72" i="14"/>
  <c r="P78" i="14"/>
  <c r="V78" i="14"/>
  <c r="P79" i="14"/>
  <c r="V79" i="14"/>
  <c r="S81" i="14"/>
  <c r="T9" i="7"/>
  <c r="P40" i="8"/>
  <c r="P34" i="13"/>
  <c r="D19" i="8"/>
  <c r="D25" i="18"/>
  <c r="S53" i="24" s="1"/>
  <c r="V40" i="8"/>
  <c r="D34" i="13"/>
  <c r="S45" i="16"/>
  <c r="P47" i="16"/>
  <c r="V47" i="16"/>
  <c r="S49" i="16"/>
  <c r="V51" i="16"/>
  <c r="S53" i="16"/>
  <c r="P55" i="16"/>
  <c r="V55" i="16"/>
  <c r="S57" i="16"/>
  <c r="V59" i="16"/>
  <c r="S61" i="16"/>
  <c r="P63" i="16"/>
  <c r="V63" i="16"/>
  <c r="S65" i="16"/>
  <c r="P67" i="16"/>
  <c r="V67" i="16"/>
  <c r="S74" i="16"/>
  <c r="P80" i="16"/>
  <c r="V80" i="16"/>
  <c r="V66" i="16"/>
  <c r="S68" i="16"/>
  <c r="S73" i="16"/>
  <c r="P75" i="16"/>
  <c r="V75" i="16"/>
  <c r="P79" i="16"/>
  <c r="V79" i="16"/>
  <c r="V78" i="16"/>
  <c r="S80" i="16"/>
  <c r="P40" i="14"/>
  <c r="P48" i="14"/>
  <c r="S66" i="14"/>
  <c r="V68" i="14"/>
  <c r="S70" i="14"/>
  <c r="V72" i="14"/>
  <c r="S74" i="14"/>
  <c r="V76" i="14"/>
  <c r="S78" i="14"/>
  <c r="S47" i="14"/>
  <c r="S50" i="14"/>
  <c r="V65" i="14"/>
  <c r="S67" i="14"/>
  <c r="V69" i="14"/>
  <c r="S71" i="14"/>
  <c r="V73" i="14"/>
  <c r="S75" i="14"/>
  <c r="V77" i="14"/>
  <c r="S79" i="14"/>
  <c r="D35" i="13"/>
  <c r="D38" i="13"/>
  <c r="S34" i="13"/>
  <c r="V27" i="8"/>
  <c r="H10" i="12"/>
  <c r="D36" i="8"/>
  <c r="W11" i="7"/>
  <c r="D9" i="8"/>
  <c r="D27" i="8"/>
  <c r="D6" i="8"/>
  <c r="D41" i="8"/>
  <c r="D11" i="8"/>
  <c r="D24" i="8"/>
  <c r="P45" i="16"/>
  <c r="V45" i="16"/>
  <c r="S47" i="16"/>
  <c r="P49" i="16"/>
  <c r="V49" i="16"/>
  <c r="P50" i="16"/>
  <c r="S51" i="16"/>
  <c r="P53" i="16"/>
  <c r="V53" i="16"/>
  <c r="S55" i="16"/>
  <c r="P57" i="16"/>
  <c r="V57" i="16"/>
  <c r="P58" i="16"/>
  <c r="S59" i="16"/>
  <c r="P61" i="16"/>
  <c r="V61" i="16"/>
  <c r="S63" i="16"/>
  <c r="P65" i="16"/>
  <c r="V65" i="16"/>
  <c r="S67" i="16"/>
  <c r="P71" i="16"/>
  <c r="V71" i="16"/>
  <c r="P73" i="16"/>
  <c r="V73" i="16"/>
  <c r="V74" i="16"/>
  <c r="S76" i="16"/>
  <c r="S79" i="16"/>
  <c r="V70" i="16"/>
  <c r="S72" i="16"/>
  <c r="P51" i="16"/>
  <c r="P59" i="16"/>
  <c r="P77" i="16"/>
  <c r="V48" i="14"/>
  <c r="P49" i="14"/>
  <c r="V49" i="14"/>
  <c r="P50" i="14"/>
  <c r="P52" i="14"/>
  <c r="V53" i="14"/>
  <c r="V54" i="14"/>
  <c r="V55" i="14"/>
  <c r="V56" i="14"/>
  <c r="V57" i="14"/>
  <c r="V58" i="14"/>
  <c r="V59" i="14"/>
  <c r="V60" i="14"/>
  <c r="V40" i="14"/>
  <c r="P45" i="14"/>
  <c r="V45" i="14"/>
  <c r="P46" i="14"/>
  <c r="S51" i="14"/>
  <c r="S53" i="14"/>
  <c r="S54" i="14"/>
  <c r="S55" i="14"/>
  <c r="S56" i="14"/>
  <c r="S57" i="14"/>
  <c r="S58" i="14"/>
  <c r="S59" i="14"/>
  <c r="S60" i="14"/>
  <c r="S61" i="14"/>
  <c r="S62" i="14"/>
  <c r="S63" i="14"/>
  <c r="D7" i="13"/>
  <c r="D30" i="13"/>
  <c r="D26" i="13"/>
  <c r="J22" i="8"/>
  <c r="F36" i="8"/>
  <c r="E17" i="8"/>
  <c r="E10" i="8"/>
  <c r="E7" i="8"/>
  <c r="E9" i="8"/>
  <c r="E30" i="8"/>
  <c r="E29" i="8"/>
  <c r="E12" i="8"/>
  <c r="E19" i="8"/>
  <c r="E21" i="8"/>
  <c r="E23" i="8"/>
  <c r="E31" i="8"/>
  <c r="E15" i="8"/>
  <c r="E22" i="8"/>
  <c r="E14" i="8"/>
  <c r="E34" i="8"/>
  <c r="E6" i="8"/>
  <c r="E37" i="8"/>
  <c r="E28" i="8"/>
  <c r="E41" i="8"/>
  <c r="E16" i="8"/>
  <c r="E13" i="8"/>
  <c r="E4" i="8"/>
  <c r="E35" i="8"/>
  <c r="E20" i="8"/>
  <c r="E26" i="8"/>
  <c r="E11" i="8"/>
  <c r="E39" i="8"/>
  <c r="E24" i="8"/>
  <c r="E33" i="8"/>
  <c r="E18" i="8"/>
  <c r="E38" i="8"/>
  <c r="E5" i="8"/>
  <c r="E25" i="8"/>
  <c r="E32" i="8"/>
  <c r="E8" i="8"/>
  <c r="E36" i="8"/>
  <c r="T11" i="8"/>
  <c r="N11" i="8"/>
  <c r="J11" i="8"/>
  <c r="F11" i="8"/>
  <c r="Q37" i="8"/>
  <c r="L37" i="8"/>
  <c r="H37" i="8"/>
  <c r="T8" i="8"/>
  <c r="N8" i="8"/>
  <c r="J8" i="8"/>
  <c r="F8" i="8"/>
  <c r="Q19" i="8"/>
  <c r="L19" i="8"/>
  <c r="H19" i="8"/>
  <c r="T26" i="8"/>
  <c r="N26" i="8"/>
  <c r="J26" i="8"/>
  <c r="F26" i="8"/>
  <c r="Q6" i="8"/>
  <c r="L6" i="8"/>
  <c r="H6" i="8"/>
  <c r="T32" i="8"/>
  <c r="N32" i="8"/>
  <c r="J32" i="8"/>
  <c r="F32" i="8"/>
  <c r="Q12" i="8"/>
  <c r="L12" i="8"/>
  <c r="H12" i="8"/>
  <c r="T20" i="8"/>
  <c r="N20" i="8"/>
  <c r="J20" i="8"/>
  <c r="F20" i="8"/>
  <c r="Q34" i="8"/>
  <c r="L34" i="8"/>
  <c r="H34" i="8"/>
  <c r="T25" i="8"/>
  <c r="V25" i="8" s="1"/>
  <c r="N25" i="8"/>
  <c r="J25" i="8"/>
  <c r="F25" i="8"/>
  <c r="R11" i="8"/>
  <c r="S11" i="8" s="1"/>
  <c r="M11" i="8"/>
  <c r="I11" i="8"/>
  <c r="U37" i="8"/>
  <c r="O37" i="8"/>
  <c r="P37" i="8" s="1"/>
  <c r="K37" i="8"/>
  <c r="G37" i="8"/>
  <c r="R8" i="8"/>
  <c r="M8" i="8"/>
  <c r="I8" i="8"/>
  <c r="U19" i="8"/>
  <c r="V19" i="8" s="1"/>
  <c r="O19" i="8"/>
  <c r="K19" i="8"/>
  <c r="G19" i="8"/>
  <c r="R26" i="8"/>
  <c r="S26" i="8" s="1"/>
  <c r="M26" i="8"/>
  <c r="I26" i="8"/>
  <c r="U6" i="8"/>
  <c r="O6" i="8"/>
  <c r="P6" i="8" s="1"/>
  <c r="K6" i="8"/>
  <c r="G6" i="8"/>
  <c r="R32" i="8"/>
  <c r="M32" i="8"/>
  <c r="I32" i="8"/>
  <c r="U12" i="8"/>
  <c r="V12" i="8" s="1"/>
  <c r="O12" i="8"/>
  <c r="K12" i="8"/>
  <c r="G12" i="8"/>
  <c r="R20" i="8"/>
  <c r="S20" i="8" s="1"/>
  <c r="M20" i="8"/>
  <c r="I20" i="8"/>
  <c r="U34" i="8"/>
  <c r="I25" i="8"/>
  <c r="O25" i="8"/>
  <c r="F34" i="8"/>
  <c r="K34" i="8"/>
  <c r="R34" i="8"/>
  <c r="K20" i="8"/>
  <c r="U20" i="8"/>
  <c r="M12" i="8"/>
  <c r="G32" i="8"/>
  <c r="O32" i="8"/>
  <c r="I6" i="8"/>
  <c r="R6" i="8"/>
  <c r="K26" i="8"/>
  <c r="U26" i="8"/>
  <c r="M19" i="8"/>
  <c r="G8" i="8"/>
  <c r="O8" i="8"/>
  <c r="I37" i="8"/>
  <c r="R37" i="8"/>
  <c r="K11" i="8"/>
  <c r="U11" i="8"/>
  <c r="K25" i="8"/>
  <c r="Q25" i="8"/>
  <c r="G34" i="8"/>
  <c r="M34" i="8"/>
  <c r="T34" i="8"/>
  <c r="L20" i="8"/>
  <c r="F12" i="8"/>
  <c r="N12" i="8"/>
  <c r="H32" i="8"/>
  <c r="Q32" i="8"/>
  <c r="J6" i="8"/>
  <c r="T6" i="8"/>
  <c r="L26" i="8"/>
  <c r="F19" i="8"/>
  <c r="N19" i="8"/>
  <c r="P19" i="8" s="1"/>
  <c r="H8" i="8"/>
  <c r="Q8" i="8"/>
  <c r="J37" i="8"/>
  <c r="T37" i="8"/>
  <c r="V37" i="8" s="1"/>
  <c r="L11" i="8"/>
  <c r="G25" i="8"/>
  <c r="L25" i="8"/>
  <c r="R25" i="8"/>
  <c r="I34" i="8"/>
  <c r="N34" i="8"/>
  <c r="P34" i="8" s="1"/>
  <c r="G20" i="8"/>
  <c r="O20" i="8"/>
  <c r="I12" i="8"/>
  <c r="R12" i="8"/>
  <c r="K32" i="8"/>
  <c r="U32" i="8"/>
  <c r="M6" i="8"/>
  <c r="G26" i="8"/>
  <c r="O26" i="8"/>
  <c r="I19" i="8"/>
  <c r="R19" i="8"/>
  <c r="S19" i="8" s="1"/>
  <c r="K8" i="8"/>
  <c r="U8" i="8"/>
  <c r="M37" i="8"/>
  <c r="G11" i="8"/>
  <c r="O11" i="8"/>
  <c r="W30" i="7"/>
  <c r="W22" i="7"/>
  <c r="C11" i="7"/>
  <c r="D8" i="13"/>
  <c r="D36" i="13"/>
  <c r="D31" i="13"/>
  <c r="D23" i="13"/>
  <c r="D12" i="8"/>
  <c r="D11" i="13"/>
  <c r="D39" i="13"/>
  <c r="D4" i="13"/>
  <c r="D42" i="14"/>
  <c r="T10" i="7"/>
  <c r="W12" i="7"/>
  <c r="T14" i="7"/>
  <c r="Q16" i="7"/>
  <c r="W16" i="7"/>
  <c r="T18" i="7"/>
  <c r="W28" i="7"/>
  <c r="W32" i="7"/>
  <c r="W36" i="7"/>
  <c r="W40" i="7"/>
  <c r="T23" i="2"/>
  <c r="AT23" i="2" s="1"/>
  <c r="W34" i="7"/>
  <c r="T36" i="7"/>
  <c r="T40" i="7"/>
  <c r="Q41" i="7"/>
  <c r="W41" i="7"/>
  <c r="T43" i="7"/>
  <c r="G71" i="4"/>
  <c r="K71" i="4"/>
  <c r="O71" i="4"/>
  <c r="S71" i="4"/>
  <c r="I84" i="4"/>
  <c r="M58" i="4"/>
  <c r="U71" i="4"/>
  <c r="H84" i="4"/>
  <c r="L58" i="4"/>
  <c r="P58" i="4"/>
  <c r="J19" i="4"/>
  <c r="N58" i="4"/>
  <c r="R19" i="4"/>
  <c r="V71" i="4"/>
  <c r="Q9" i="7"/>
  <c r="Q25" i="7"/>
  <c r="W25" i="7"/>
  <c r="Q29" i="7"/>
  <c r="W29" i="7"/>
  <c r="T13" i="7"/>
  <c r="Q19" i="7"/>
  <c r="W19" i="7"/>
  <c r="Q23" i="7"/>
  <c r="W23" i="7"/>
  <c r="W38" i="7"/>
  <c r="V35" i="16"/>
  <c r="W20" i="7"/>
  <c r="W24" i="7"/>
  <c r="S7" i="16"/>
  <c r="P13" i="16"/>
  <c r="S19" i="16"/>
  <c r="S23" i="16"/>
  <c r="S27" i="16"/>
  <c r="S31" i="16"/>
  <c r="S39" i="16"/>
  <c r="S43" i="16"/>
  <c r="N45" i="4"/>
  <c r="Q10" i="7"/>
  <c r="W10" i="7"/>
  <c r="T12" i="7"/>
  <c r="Q13" i="7"/>
  <c r="Q14" i="7"/>
  <c r="W14" i="7"/>
  <c r="T16" i="7"/>
  <c r="W18" i="7"/>
  <c r="W26" i="7"/>
  <c r="T28" i="7"/>
  <c r="T32" i="7"/>
  <c r="Q33" i="7"/>
  <c r="W33" i="7"/>
  <c r="Q37" i="7"/>
  <c r="W37" i="7"/>
  <c r="S22" i="12"/>
  <c r="Q23" i="12"/>
  <c r="M25" i="12"/>
  <c r="E23" i="12"/>
  <c r="S24" i="12"/>
  <c r="Q25" i="12"/>
  <c r="M23" i="12"/>
  <c r="I25" i="12"/>
  <c r="I23" i="12"/>
  <c r="E25" i="12"/>
  <c r="E16" i="12"/>
  <c r="I16" i="12"/>
  <c r="F15" i="12"/>
  <c r="E17" i="12"/>
  <c r="J15" i="12"/>
  <c r="I17" i="12"/>
  <c r="V58" i="4"/>
  <c r="Q11" i="7"/>
  <c r="T11" i="7"/>
  <c r="W13" i="7"/>
  <c r="T15" i="7"/>
  <c r="Q17" i="7"/>
  <c r="W17" i="7"/>
  <c r="T22" i="7"/>
  <c r="T26" i="7"/>
  <c r="Q27" i="7"/>
  <c r="W27" i="7"/>
  <c r="T34" i="7"/>
  <c r="Q35" i="7"/>
  <c r="W35" i="7"/>
  <c r="T42" i="7"/>
  <c r="Q44" i="7"/>
  <c r="W44" i="7"/>
  <c r="V28" i="14"/>
  <c r="L19" i="4"/>
  <c r="N71" i="4"/>
  <c r="T24" i="7"/>
  <c r="T30" i="7"/>
  <c r="Q31" i="7"/>
  <c r="W31" i="7"/>
  <c r="T38" i="7"/>
  <c r="Q39" i="7"/>
  <c r="W39" i="7"/>
  <c r="L8" i="12"/>
  <c r="P34" i="14"/>
  <c r="P19" i="4"/>
  <c r="S8" i="16"/>
  <c r="S16" i="16"/>
  <c r="S20" i="16"/>
  <c r="S24" i="16"/>
  <c r="S28" i="16"/>
  <c r="K32" i="4"/>
  <c r="O32" i="4"/>
  <c r="S45" i="4"/>
  <c r="K58" i="4"/>
  <c r="I71" i="4"/>
  <c r="M84" i="4"/>
  <c r="S84" i="4"/>
  <c r="I19" i="4"/>
  <c r="M19" i="4"/>
  <c r="U19" i="4"/>
  <c r="L32" i="4"/>
  <c r="P32" i="4"/>
  <c r="U32" i="4"/>
  <c r="J45" i="4"/>
  <c r="O45" i="4"/>
  <c r="R58" i="4"/>
  <c r="J71" i="4"/>
  <c r="P71" i="4"/>
  <c r="O84" i="4"/>
  <c r="I45" i="4"/>
  <c r="M45" i="4"/>
  <c r="U45" i="4"/>
  <c r="N19" i="4"/>
  <c r="V19" i="4"/>
  <c r="I32" i="4"/>
  <c r="M32" i="4"/>
  <c r="K45" i="4"/>
  <c r="P45" i="4"/>
  <c r="V45" i="4"/>
  <c r="I58" i="4"/>
  <c r="S58" i="4"/>
  <c r="L71" i="4"/>
  <c r="K84" i="4"/>
  <c r="P84" i="4"/>
  <c r="U84" i="4"/>
  <c r="J84" i="4"/>
  <c r="N84" i="4"/>
  <c r="R84" i="4"/>
  <c r="R32" i="4"/>
  <c r="V84" i="4"/>
  <c r="V32" i="4"/>
  <c r="K19" i="4"/>
  <c r="O19" i="4"/>
  <c r="S19" i="4"/>
  <c r="J32" i="4"/>
  <c r="N32" i="4"/>
  <c r="S32" i="4"/>
  <c r="L45" i="4"/>
  <c r="R45" i="4"/>
  <c r="J58" i="4"/>
  <c r="O58" i="4"/>
  <c r="U58" i="4"/>
  <c r="M71" i="4"/>
  <c r="R71" i="4"/>
  <c r="L84" i="4"/>
  <c r="W9" i="7"/>
  <c r="Q12" i="7"/>
  <c r="T20" i="7"/>
  <c r="Q21" i="7"/>
  <c r="W21" i="7"/>
  <c r="H7" i="12"/>
  <c r="G8" i="12"/>
  <c r="S8" i="12"/>
  <c r="L9" i="12"/>
  <c r="K10" i="12"/>
  <c r="H11" i="12"/>
  <c r="Q15" i="7"/>
  <c r="W15" i="7"/>
  <c r="T17" i="7"/>
  <c r="Q18" i="7"/>
  <c r="T19" i="7"/>
  <c r="Q20" i="7"/>
  <c r="T21" i="7"/>
  <c r="Q22" i="7"/>
  <c r="T23" i="7"/>
  <c r="Q24" i="7"/>
  <c r="T25" i="7"/>
  <c r="Q26" i="7"/>
  <c r="T27" i="7"/>
  <c r="Q28" i="7"/>
  <c r="T29" i="7"/>
  <c r="Q30" i="7"/>
  <c r="T31" i="7"/>
  <c r="Q32" i="7"/>
  <c r="T33" i="7"/>
  <c r="Q34" i="7"/>
  <c r="T35" i="7"/>
  <c r="Q36" i="7"/>
  <c r="T37" i="7"/>
  <c r="Q38" i="7"/>
  <c r="T39" i="7"/>
  <c r="Q40" i="7"/>
  <c r="T41" i="7"/>
  <c r="Q42" i="7"/>
  <c r="W42" i="7"/>
  <c r="T44" i="7"/>
  <c r="D4" i="10"/>
  <c r="I7" i="12"/>
  <c r="H8" i="12"/>
  <c r="E9" i="12"/>
  <c r="M9" i="12"/>
  <c r="L10" i="12"/>
  <c r="I11" i="12"/>
  <c r="P7" i="13"/>
  <c r="P23" i="13"/>
  <c r="P35" i="13"/>
  <c r="P11" i="13"/>
  <c r="P30" i="13"/>
  <c r="P31" i="13"/>
  <c r="P38" i="13"/>
  <c r="P39" i="13"/>
  <c r="V39" i="13"/>
  <c r="P26" i="13"/>
  <c r="V26" i="13"/>
  <c r="P8" i="13"/>
  <c r="V8" i="13"/>
  <c r="P36" i="13"/>
  <c r="V36" i="13"/>
  <c r="Q43" i="7"/>
  <c r="W43" i="7"/>
  <c r="L7" i="12"/>
  <c r="K8" i="12"/>
  <c r="G10" i="12"/>
  <c r="S10" i="12"/>
  <c r="E7" i="12"/>
  <c r="M7" i="12"/>
  <c r="I9" i="12"/>
  <c r="E11" i="12"/>
  <c r="M11" i="12"/>
  <c r="W23" i="2"/>
  <c r="AW23" i="2" s="1"/>
  <c r="P22" i="14"/>
  <c r="P6" i="14"/>
  <c r="P36" i="14"/>
  <c r="P19" i="14"/>
  <c r="V19" i="14"/>
  <c r="V7" i="13"/>
  <c r="V23" i="13"/>
  <c r="V35" i="13"/>
  <c r="V11" i="13"/>
  <c r="V30" i="13"/>
  <c r="V31" i="13"/>
  <c r="V38" i="13"/>
  <c r="S7" i="13"/>
  <c r="S23" i="13"/>
  <c r="S35" i="13"/>
  <c r="S11" i="13"/>
  <c r="S30" i="13"/>
  <c r="S31" i="13"/>
  <c r="S38" i="13"/>
  <c r="S39" i="13"/>
  <c r="S26" i="13"/>
  <c r="S8" i="13"/>
  <c r="S36" i="13"/>
  <c r="D37" i="13"/>
  <c r="D37" i="8"/>
  <c r="D19" i="14"/>
  <c r="D36" i="14"/>
  <c r="D21" i="13"/>
  <c r="D27" i="13"/>
  <c r="D7" i="18"/>
  <c r="S35" i="24" s="1"/>
  <c r="D13" i="13"/>
  <c r="D41" i="13"/>
  <c r="D12" i="13"/>
  <c r="D22" i="14"/>
  <c r="D7" i="14"/>
  <c r="D27" i="16"/>
  <c r="D29" i="18"/>
  <c r="S57" i="24" s="1"/>
  <c r="D38" i="16"/>
  <c r="D8" i="18"/>
  <c r="S36" i="24" s="1"/>
  <c r="D30" i="16"/>
  <c r="D4" i="18"/>
  <c r="S32" i="24" s="1"/>
  <c r="D15" i="18"/>
  <c r="S43" i="24" s="1"/>
  <c r="D31" i="16"/>
  <c r="D14" i="18"/>
  <c r="S42" i="24" s="1"/>
  <c r="D23" i="16"/>
  <c r="D38" i="18"/>
  <c r="S66" i="24" s="1"/>
  <c r="D10" i="16"/>
  <c r="D26" i="18"/>
  <c r="S54" i="24" s="1"/>
  <c r="D36" i="16"/>
  <c r="D32" i="18"/>
  <c r="S60" i="24" s="1"/>
  <c r="D39" i="16"/>
  <c r="D23" i="18"/>
  <c r="S51" i="24" s="1"/>
  <c r="D13" i="16"/>
  <c r="D37" i="18"/>
  <c r="S65" i="24" s="1"/>
  <c r="D14" i="16"/>
  <c r="D13" i="18"/>
  <c r="S41" i="24" s="1"/>
  <c r="D24" i="16"/>
  <c r="D5" i="18"/>
  <c r="S33" i="24" s="1"/>
  <c r="D32" i="8"/>
  <c r="D25" i="8"/>
  <c r="D20" i="8"/>
  <c r="D26" i="8"/>
  <c r="D8" i="8"/>
  <c r="D20" i="14"/>
  <c r="D28" i="14"/>
  <c r="D34" i="14"/>
  <c r="D6" i="14"/>
  <c r="D25" i="14"/>
  <c r="D21" i="14"/>
  <c r="S6" i="16"/>
  <c r="P16" i="16"/>
  <c r="P20" i="16"/>
  <c r="S22" i="16"/>
  <c r="S26" i="16"/>
  <c r="S30" i="16"/>
  <c r="S34" i="16"/>
  <c r="V14" i="16"/>
  <c r="S36" i="16"/>
  <c r="S40" i="16"/>
  <c r="V41" i="16"/>
  <c r="V4" i="16"/>
  <c r="V5" i="16"/>
  <c r="V9" i="16"/>
  <c r="V13" i="16"/>
  <c r="S15" i="16"/>
  <c r="V37" i="16"/>
  <c r="S38" i="16"/>
  <c r="V8" i="16"/>
  <c r="S10" i="16"/>
  <c r="S13" i="16"/>
  <c r="P19" i="16"/>
  <c r="V20" i="16"/>
  <c r="S21" i="16"/>
  <c r="S25" i="16"/>
  <c r="S29" i="16"/>
  <c r="V32" i="16"/>
  <c r="S33" i="16"/>
  <c r="V36" i="16"/>
  <c r="S41" i="16"/>
  <c r="S44" i="16"/>
  <c r="P48" i="16"/>
  <c r="V48" i="16"/>
  <c r="P64" i="16"/>
  <c r="V64" i="16"/>
  <c r="P44" i="16"/>
  <c r="V44" i="16"/>
  <c r="S48" i="16"/>
  <c r="P52" i="16"/>
  <c r="V52" i="16"/>
  <c r="S56" i="16"/>
  <c r="P60" i="16"/>
  <c r="V60" i="16"/>
  <c r="S64" i="16"/>
  <c r="P68" i="16"/>
  <c r="V68" i="16"/>
  <c r="V38" i="14"/>
  <c r="V4" i="14"/>
  <c r="V30" i="14"/>
  <c r="P42" i="14"/>
  <c r="P7" i="14"/>
  <c r="P33" i="14"/>
  <c r="S24" i="14"/>
  <c r="S36" i="14"/>
  <c r="S39" i="14"/>
  <c r="P28" i="14"/>
  <c r="V7" i="14"/>
  <c r="P25" i="14"/>
  <c r="V25" i="14"/>
  <c r="P9" i="14"/>
  <c r="S22" i="14"/>
  <c r="S34" i="14"/>
  <c r="V33" i="14"/>
  <c r="P21" i="14"/>
  <c r="V21" i="14"/>
  <c r="P39" i="14"/>
  <c r="V42" i="14"/>
  <c r="P20" i="14"/>
  <c r="V20" i="14"/>
  <c r="P24" i="14"/>
  <c r="S6" i="14"/>
  <c r="S9" i="14"/>
  <c r="S42" i="14"/>
  <c r="V24" i="14"/>
  <c r="S28" i="14"/>
  <c r="V34" i="14"/>
  <c r="S7" i="14"/>
  <c r="V9" i="14"/>
  <c r="S33" i="14"/>
  <c r="V39" i="14"/>
  <c r="S40" i="14"/>
  <c r="V46" i="14"/>
  <c r="S48" i="14"/>
  <c r="V50" i="14"/>
  <c r="S20" i="14"/>
  <c r="V22" i="14"/>
  <c r="S19" i="14"/>
  <c r="V6" i="14"/>
  <c r="S25" i="14"/>
  <c r="V36" i="14"/>
  <c r="S21" i="14"/>
  <c r="S45" i="14"/>
  <c r="V47" i="14"/>
  <c r="S49" i="14"/>
  <c r="V51" i="14"/>
  <c r="D10" i="8"/>
  <c r="D17" i="13"/>
  <c r="D9" i="18"/>
  <c r="S37" i="24" s="1"/>
  <c r="D21" i="18"/>
  <c r="S49" i="24" s="1"/>
  <c r="D35" i="18"/>
  <c r="S63" i="24" s="1"/>
  <c r="U14" i="8"/>
  <c r="L7" i="8"/>
  <c r="K23" i="8"/>
  <c r="F30" i="8"/>
  <c r="N41" i="8"/>
  <c r="I9" i="8"/>
  <c r="R15" i="8"/>
  <c r="F22" i="8"/>
  <c r="J14" i="8"/>
  <c r="O14" i="8"/>
  <c r="H13" i="8"/>
  <c r="O13" i="8"/>
  <c r="G7" i="8"/>
  <c r="O7" i="8"/>
  <c r="H31" i="8"/>
  <c r="T33" i="8"/>
  <c r="O23" i="8"/>
  <c r="L18" i="8"/>
  <c r="M24" i="8"/>
  <c r="J30" i="8"/>
  <c r="G38" i="8"/>
  <c r="T41" i="8"/>
  <c r="O21" i="8"/>
  <c r="L36" i="8"/>
  <c r="M9" i="8"/>
  <c r="J5" i="8"/>
  <c r="G35" i="8"/>
  <c r="T17" i="8"/>
  <c r="O10" i="8"/>
  <c r="L4" i="8"/>
  <c r="M29" i="8"/>
  <c r="R22" i="8"/>
  <c r="M22" i="8"/>
  <c r="I22" i="8"/>
  <c r="Q29" i="8"/>
  <c r="L29" i="8"/>
  <c r="H29" i="8"/>
  <c r="U4" i="8"/>
  <c r="O4" i="8"/>
  <c r="K4" i="8"/>
  <c r="G4" i="8"/>
  <c r="T10" i="8"/>
  <c r="N10" i="8"/>
  <c r="J10" i="8"/>
  <c r="F10" i="8"/>
  <c r="R17" i="8"/>
  <c r="M17" i="8"/>
  <c r="I17" i="8"/>
  <c r="Q15" i="8"/>
  <c r="L15" i="8"/>
  <c r="H15" i="8"/>
  <c r="U16" i="8"/>
  <c r="O16" i="8"/>
  <c r="K16" i="8"/>
  <c r="G16" i="8"/>
  <c r="T35" i="8"/>
  <c r="N35" i="8"/>
  <c r="J35" i="8"/>
  <c r="F35" i="8"/>
  <c r="R5" i="8"/>
  <c r="M5" i="8"/>
  <c r="I5" i="8"/>
  <c r="Q9" i="8"/>
  <c r="L9" i="8"/>
  <c r="H9" i="8"/>
  <c r="U36" i="8"/>
  <c r="O36" i="8"/>
  <c r="K36" i="8"/>
  <c r="G36" i="8"/>
  <c r="T21" i="8"/>
  <c r="N21" i="8"/>
  <c r="J21" i="8"/>
  <c r="F21" i="8"/>
  <c r="R41" i="8"/>
  <c r="M41" i="8"/>
  <c r="I41" i="8"/>
  <c r="Q39" i="8"/>
  <c r="L39" i="8"/>
  <c r="H39" i="8"/>
  <c r="U28" i="8"/>
  <c r="O28" i="8"/>
  <c r="K28" i="8"/>
  <c r="G28" i="8"/>
  <c r="T38" i="8"/>
  <c r="N38" i="8"/>
  <c r="J38" i="8"/>
  <c r="F38" i="8"/>
  <c r="R30" i="8"/>
  <c r="M30" i="8"/>
  <c r="I30" i="8"/>
  <c r="Q24" i="8"/>
  <c r="L24" i="8"/>
  <c r="H24" i="8"/>
  <c r="U18" i="8"/>
  <c r="O18" i="8"/>
  <c r="K18" i="8"/>
  <c r="G18" i="8"/>
  <c r="T23" i="8"/>
  <c r="N23" i="8"/>
  <c r="J23" i="8"/>
  <c r="F23" i="8"/>
  <c r="R33" i="8"/>
  <c r="M33" i="8"/>
  <c r="I33" i="8"/>
  <c r="Q31" i="8"/>
  <c r="L31" i="8"/>
  <c r="Q22" i="8"/>
  <c r="L22" i="8"/>
  <c r="H22" i="8"/>
  <c r="U29" i="8"/>
  <c r="O29" i="8"/>
  <c r="K29" i="8"/>
  <c r="G29" i="8"/>
  <c r="T4" i="8"/>
  <c r="V4" i="8" s="1"/>
  <c r="N4" i="8"/>
  <c r="P4" i="8" s="1"/>
  <c r="J4" i="8"/>
  <c r="F4" i="8"/>
  <c r="R10" i="8"/>
  <c r="M10" i="8"/>
  <c r="I10" i="8"/>
  <c r="Q17" i="8"/>
  <c r="L17" i="8"/>
  <c r="H17" i="8"/>
  <c r="U15" i="8"/>
  <c r="O15" i="8"/>
  <c r="K15" i="8"/>
  <c r="G15" i="8"/>
  <c r="T16" i="8"/>
  <c r="N16" i="8"/>
  <c r="P16" i="8" s="1"/>
  <c r="J16" i="8"/>
  <c r="F16" i="8"/>
  <c r="R35" i="8"/>
  <c r="M35" i="8"/>
  <c r="I35" i="8"/>
  <c r="Q5" i="8"/>
  <c r="L5" i="8"/>
  <c r="H5" i="8"/>
  <c r="U9" i="8"/>
  <c r="O9" i="8"/>
  <c r="K9" i="8"/>
  <c r="G9" i="8"/>
  <c r="T36" i="8"/>
  <c r="V36" i="8" s="1"/>
  <c r="N36" i="8"/>
  <c r="P36" i="8" s="1"/>
  <c r="J36" i="8"/>
  <c r="R21" i="8"/>
  <c r="M21" i="8"/>
  <c r="I21" i="8"/>
  <c r="Q41" i="8"/>
  <c r="L41" i="8"/>
  <c r="H41" i="8"/>
  <c r="U39" i="8"/>
  <c r="O39" i="8"/>
  <c r="K39" i="8"/>
  <c r="G39" i="8"/>
  <c r="T28" i="8"/>
  <c r="N28" i="8"/>
  <c r="J28" i="8"/>
  <c r="F28" i="8"/>
  <c r="R38" i="8"/>
  <c r="M38" i="8"/>
  <c r="I38" i="8"/>
  <c r="Q30" i="8"/>
  <c r="L30" i="8"/>
  <c r="H30" i="8"/>
  <c r="U24" i="8"/>
  <c r="O24" i="8"/>
  <c r="K24" i="8"/>
  <c r="G24" i="8"/>
  <c r="T18" i="8"/>
  <c r="N18" i="8"/>
  <c r="J18" i="8"/>
  <c r="F18" i="8"/>
  <c r="R23" i="8"/>
  <c r="M23" i="8"/>
  <c r="I23" i="8"/>
  <c r="Q33" i="8"/>
  <c r="L33" i="8"/>
  <c r="H33" i="8"/>
  <c r="U31" i="8"/>
  <c r="O31" i="8"/>
  <c r="K31" i="8"/>
  <c r="G31" i="8"/>
  <c r="T7" i="8"/>
  <c r="N7" i="8"/>
  <c r="J7" i="8"/>
  <c r="F7" i="8"/>
  <c r="R13" i="8"/>
  <c r="M13" i="8"/>
  <c r="I13" i="8"/>
  <c r="R14" i="8"/>
  <c r="M14" i="8"/>
  <c r="I14" i="8"/>
  <c r="O33" i="8"/>
  <c r="G33" i="8"/>
  <c r="T31" i="8"/>
  <c r="V31" i="8" s="1"/>
  <c r="J31" i="8"/>
  <c r="R7" i="8"/>
  <c r="M7" i="8"/>
  <c r="Q13" i="8"/>
  <c r="S13" i="8" s="1"/>
  <c r="L13" i="8"/>
  <c r="U22" i="8"/>
  <c r="O22" i="8"/>
  <c r="K22" i="8"/>
  <c r="G22" i="8"/>
  <c r="T29" i="8"/>
  <c r="N29" i="8"/>
  <c r="J29" i="8"/>
  <c r="F29" i="8"/>
  <c r="R4" i="8"/>
  <c r="M4" i="8"/>
  <c r="I4" i="8"/>
  <c r="Q10" i="8"/>
  <c r="L10" i="8"/>
  <c r="H10" i="8"/>
  <c r="U17" i="8"/>
  <c r="O17" i="8"/>
  <c r="K17" i="8"/>
  <c r="G17" i="8"/>
  <c r="T15" i="8"/>
  <c r="N15" i="8"/>
  <c r="J15" i="8"/>
  <c r="F15" i="8"/>
  <c r="R16" i="8"/>
  <c r="M16" i="8"/>
  <c r="I16" i="8"/>
  <c r="Q35" i="8"/>
  <c r="L35" i="8"/>
  <c r="H35" i="8"/>
  <c r="U5" i="8"/>
  <c r="O5" i="8"/>
  <c r="K5" i="8"/>
  <c r="G5" i="8"/>
  <c r="T9" i="8"/>
  <c r="N9" i="8"/>
  <c r="J9" i="8"/>
  <c r="F9" i="8"/>
  <c r="R36" i="8"/>
  <c r="M36" i="8"/>
  <c r="I36" i="8"/>
  <c r="Q21" i="8"/>
  <c r="L21" i="8"/>
  <c r="H21" i="8"/>
  <c r="U41" i="8"/>
  <c r="O41" i="8"/>
  <c r="K41" i="8"/>
  <c r="G41" i="8"/>
  <c r="T39" i="8"/>
  <c r="V39" i="8" s="1"/>
  <c r="N39" i="8"/>
  <c r="P39" i="8" s="1"/>
  <c r="J39" i="8"/>
  <c r="F39" i="8"/>
  <c r="R28" i="8"/>
  <c r="M28" i="8"/>
  <c r="I28" i="8"/>
  <c r="Q38" i="8"/>
  <c r="L38" i="8"/>
  <c r="H38" i="8"/>
  <c r="U30" i="8"/>
  <c r="O30" i="8"/>
  <c r="K30" i="8"/>
  <c r="G30" i="8"/>
  <c r="T24" i="8"/>
  <c r="V24" i="8" s="1"/>
  <c r="N24" i="8"/>
  <c r="P24" i="8" s="1"/>
  <c r="J24" i="8"/>
  <c r="F24" i="8"/>
  <c r="R18" i="8"/>
  <c r="M18" i="8"/>
  <c r="I18" i="8"/>
  <c r="Q23" i="8"/>
  <c r="L23" i="8"/>
  <c r="H23" i="8"/>
  <c r="U33" i="8"/>
  <c r="K33" i="8"/>
  <c r="N31" i="8"/>
  <c r="F31" i="8"/>
  <c r="I7" i="8"/>
  <c r="N14" i="8"/>
  <c r="N13" i="8"/>
  <c r="N33" i="8"/>
  <c r="I24" i="8"/>
  <c r="Q28" i="8"/>
  <c r="R39" i="8"/>
  <c r="S39" i="8" s="1"/>
  <c r="H36" i="8"/>
  <c r="U35" i="8"/>
  <c r="N17" i="8"/>
  <c r="P17" i="8" s="1"/>
  <c r="I29" i="8"/>
  <c r="K14" i="8"/>
  <c r="J13" i="8"/>
  <c r="H7" i="8"/>
  <c r="I31" i="8"/>
  <c r="Q18" i="8"/>
  <c r="N30" i="8"/>
  <c r="I39" i="8"/>
  <c r="Q36" i="8"/>
  <c r="S36" i="8" s="1"/>
  <c r="N5" i="8"/>
  <c r="P5" i="8" s="1"/>
  <c r="I15" i="8"/>
  <c r="U10" i="8"/>
  <c r="R29" i="8"/>
  <c r="D1" i="18"/>
  <c r="C1" i="10"/>
  <c r="C1" i="11"/>
  <c r="C1" i="12"/>
  <c r="C4" i="2"/>
  <c r="H14" i="8"/>
  <c r="G13" i="8"/>
  <c r="R31" i="8"/>
  <c r="S31" i="8" s="1"/>
  <c r="H18" i="8"/>
  <c r="U38" i="8"/>
  <c r="K21" i="8"/>
  <c r="F5" i="8"/>
  <c r="Q16" i="8"/>
  <c r="K10" i="8"/>
  <c r="H4" i="8"/>
  <c r="F14" i="8"/>
  <c r="Q14" i="8"/>
  <c r="S14" i="8" s="1"/>
  <c r="T13" i="8"/>
  <c r="Q7" i="8"/>
  <c r="F33" i="8"/>
  <c r="U23" i="8"/>
  <c r="R24" i="8"/>
  <c r="K38" i="8"/>
  <c r="H28" i="8"/>
  <c r="F41" i="8"/>
  <c r="U21" i="8"/>
  <c r="R9" i="8"/>
  <c r="K35" i="8"/>
  <c r="H16" i="8"/>
  <c r="F17" i="8"/>
  <c r="Q4" i="8"/>
  <c r="N22" i="8"/>
  <c r="G14" i="8"/>
  <c r="L14" i="8"/>
  <c r="T14" i="8"/>
  <c r="F13" i="8"/>
  <c r="K13" i="8"/>
  <c r="U13" i="8"/>
  <c r="K7" i="8"/>
  <c r="U7" i="8"/>
  <c r="M31" i="8"/>
  <c r="J33" i="8"/>
  <c r="G23" i="8"/>
  <c r="T30" i="8"/>
  <c r="V30" i="8" s="1"/>
  <c r="O38" i="8"/>
  <c r="L28" i="8"/>
  <c r="M39" i="8"/>
  <c r="J41" i="8"/>
  <c r="G21" i="8"/>
  <c r="T5" i="8"/>
  <c r="O35" i="8"/>
  <c r="L16" i="8"/>
  <c r="M15" i="8"/>
  <c r="J17" i="8"/>
  <c r="G10" i="8"/>
  <c r="T22" i="8"/>
  <c r="V22" i="8" s="1"/>
  <c r="AU23" i="2"/>
  <c r="AR23" i="2"/>
  <c r="Q23" i="2"/>
  <c r="AQ23" i="2" s="1"/>
  <c r="E31" i="2"/>
  <c r="F22" i="2"/>
  <c r="AF22" i="2" s="1"/>
  <c r="AA22" i="2"/>
  <c r="AB22" i="2"/>
  <c r="AC21" i="2"/>
  <c r="D29" i="8"/>
  <c r="AA21" i="2"/>
  <c r="D22" i="8"/>
  <c r="O25" i="12"/>
  <c r="O23" i="12"/>
  <c r="O24" i="12"/>
  <c r="O22" i="12"/>
  <c r="U11" i="12"/>
  <c r="U9" i="12"/>
  <c r="U7" i="12"/>
  <c r="U10" i="12"/>
  <c r="U8" i="12"/>
  <c r="R10" i="12"/>
  <c r="R8" i="12"/>
  <c r="R11" i="12"/>
  <c r="R9" i="12"/>
  <c r="R7" i="12"/>
  <c r="U24" i="12"/>
  <c r="U22" i="12"/>
  <c r="U25" i="12"/>
  <c r="U23" i="12"/>
  <c r="O10" i="12"/>
  <c r="O8" i="12"/>
  <c r="O11" i="12"/>
  <c r="O9" i="12"/>
  <c r="O7" i="12"/>
  <c r="R24" i="12"/>
  <c r="R22" i="12"/>
  <c r="R25" i="12"/>
  <c r="R23" i="12"/>
  <c r="G15" i="12"/>
  <c r="K15" i="12"/>
  <c r="F16" i="12"/>
  <c r="J16" i="12"/>
  <c r="F17" i="12"/>
  <c r="J17" i="12"/>
  <c r="E18" i="12"/>
  <c r="I18" i="12"/>
  <c r="G22" i="12"/>
  <c r="K22" i="12"/>
  <c r="G24" i="12"/>
  <c r="K24" i="12"/>
  <c r="F7" i="12"/>
  <c r="J7" i="12"/>
  <c r="N7" i="12"/>
  <c r="P8" i="12"/>
  <c r="T8" i="12"/>
  <c r="F9" i="12"/>
  <c r="J9" i="12"/>
  <c r="N9" i="12"/>
  <c r="P10" i="12"/>
  <c r="T10" i="12"/>
  <c r="F11" i="12"/>
  <c r="J11" i="12"/>
  <c r="N11" i="12"/>
  <c r="G7" i="12"/>
  <c r="K7" i="12"/>
  <c r="S7" i="12"/>
  <c r="E8" i="12"/>
  <c r="I8" i="12"/>
  <c r="M8" i="12"/>
  <c r="Q8" i="12"/>
  <c r="G9" i="12"/>
  <c r="K9" i="12"/>
  <c r="S9" i="12"/>
  <c r="Q10" i="12"/>
  <c r="H15" i="12"/>
  <c r="Q15" i="12"/>
  <c r="G16" i="12"/>
  <c r="K16" i="12"/>
  <c r="G17" i="12"/>
  <c r="K17" i="12"/>
  <c r="H22" i="12"/>
  <c r="L22" i="12"/>
  <c r="P22" i="12"/>
  <c r="T22" i="12"/>
  <c r="F23" i="12"/>
  <c r="J23" i="12"/>
  <c r="N23" i="12"/>
  <c r="H24" i="12"/>
  <c r="L24" i="12"/>
  <c r="P24" i="12"/>
  <c r="T24" i="12"/>
  <c r="F25" i="12"/>
  <c r="J25" i="12"/>
  <c r="N25" i="12"/>
  <c r="Q7" i="12"/>
  <c r="Q9" i="12"/>
  <c r="H18" i="12"/>
  <c r="P7" i="12"/>
  <c r="T7" i="12"/>
  <c r="F8" i="12"/>
  <c r="J8" i="12"/>
  <c r="N8" i="12"/>
  <c r="P9" i="12"/>
  <c r="T9" i="12"/>
  <c r="H16" i="12"/>
  <c r="S17" i="12"/>
  <c r="E22" i="12"/>
  <c r="I22" i="12"/>
  <c r="M22" i="12"/>
  <c r="Q22" i="12"/>
  <c r="G23" i="12"/>
  <c r="K23" i="12"/>
  <c r="S23" i="12"/>
  <c r="F22" i="12"/>
  <c r="J22" i="12"/>
  <c r="N22" i="12"/>
  <c r="H23" i="12"/>
  <c r="L23" i="12"/>
  <c r="P23" i="12"/>
  <c r="T23" i="12"/>
  <c r="V23" i="14"/>
  <c r="V16" i="14"/>
  <c r="V26" i="14"/>
  <c r="S30" i="14"/>
  <c r="S44" i="14"/>
  <c r="V12" i="14"/>
  <c r="V8" i="14"/>
  <c r="V27" i="14"/>
  <c r="P31" i="14"/>
  <c r="S37" i="14"/>
  <c r="V32" i="14"/>
  <c r="V5" i="14"/>
  <c r="S4" i="14"/>
  <c r="P43" i="14"/>
  <c r="P17" i="14"/>
  <c r="P15" i="14"/>
  <c r="B6" i="9"/>
  <c r="B7" i="9" s="1"/>
  <c r="E71" i="4"/>
  <c r="E58" i="4"/>
  <c r="E45" i="4"/>
  <c r="E32" i="4"/>
  <c r="E84" i="4"/>
  <c r="E19" i="4"/>
  <c r="P12" i="13"/>
  <c r="V12" i="13"/>
  <c r="P33" i="13"/>
  <c r="V33" i="13"/>
  <c r="V25" i="13"/>
  <c r="S18" i="13"/>
  <c r="P15" i="13"/>
  <c r="V15" i="13"/>
  <c r="S25" i="13"/>
  <c r="P19" i="13"/>
  <c r="P16" i="13"/>
  <c r="P40" i="13"/>
  <c r="P6" i="13"/>
  <c r="V6" i="13"/>
  <c r="P22" i="13"/>
  <c r="V22" i="13"/>
  <c r="P5" i="13"/>
  <c r="V5" i="13"/>
  <c r="P18" i="13"/>
  <c r="V18" i="13"/>
  <c r="V16" i="13"/>
  <c r="V17" i="13"/>
  <c r="P20" i="13"/>
  <c r="P13" i="13"/>
  <c r="S13" i="13"/>
  <c r="P41" i="13"/>
  <c r="V41" i="13"/>
  <c r="D7" i="8"/>
  <c r="D31" i="8"/>
  <c r="D30" i="8"/>
  <c r="D22" i="16"/>
  <c r="D15" i="8"/>
  <c r="D33" i="13"/>
  <c r="D30" i="14"/>
  <c r="D40" i="13"/>
  <c r="D19" i="13"/>
  <c r="D6" i="13"/>
  <c r="D12" i="14"/>
  <c r="D26" i="14"/>
  <c r="D16" i="13"/>
  <c r="D29" i="13"/>
  <c r="D32" i="13"/>
  <c r="D18" i="13"/>
  <c r="D9" i="16"/>
  <c r="D15" i="16"/>
  <c r="D13" i="14"/>
  <c r="D44" i="14"/>
  <c r="D23" i="8"/>
  <c r="D14" i="13"/>
  <c r="D9" i="13"/>
  <c r="D22" i="13"/>
  <c r="D13" i="8"/>
  <c r="D7" i="16"/>
  <c r="D4" i="16"/>
  <c r="D24" i="13"/>
  <c r="D12" i="16"/>
  <c r="D18" i="16"/>
  <c r="D21" i="8"/>
  <c r="D17" i="8"/>
  <c r="D32" i="16"/>
  <c r="D33" i="8"/>
  <c r="D18" i="8"/>
  <c r="D38" i="8"/>
  <c r="D28" i="8"/>
  <c r="D39" i="8"/>
  <c r="D5" i="8"/>
  <c r="D35" i="8"/>
  <c r="D16" i="8"/>
  <c r="D4" i="8"/>
  <c r="D28" i="13"/>
  <c r="D25" i="13"/>
  <c r="D10" i="14"/>
  <c r="D34" i="18"/>
  <c r="S62" i="24" s="1"/>
  <c r="D5" i="13"/>
  <c r="D18" i="18"/>
  <c r="S46" i="24" s="1"/>
  <c r="D14" i="14"/>
  <c r="D19" i="18"/>
  <c r="S47" i="24" s="1"/>
  <c r="D5" i="14"/>
  <c r="D17" i="18"/>
  <c r="S45" i="24" s="1"/>
  <c r="D29" i="14"/>
  <c r="D22" i="18"/>
  <c r="S50" i="24" s="1"/>
  <c r="D18" i="14"/>
  <c r="D11" i="18"/>
  <c r="S39" i="24" s="1"/>
  <c r="D41" i="14"/>
  <c r="D33" i="18"/>
  <c r="S61" i="24" s="1"/>
  <c r="D31" i="14"/>
  <c r="D40" i="18"/>
  <c r="S68" i="24" s="1"/>
  <c r="D37" i="14"/>
  <c r="D36" i="18"/>
  <c r="S64" i="24" s="1"/>
  <c r="D16" i="14"/>
  <c r="D27" i="18"/>
  <c r="S55" i="24" s="1"/>
  <c r="D32" i="14"/>
  <c r="D20" i="18"/>
  <c r="S48" i="24" s="1"/>
  <c r="D16" i="16"/>
  <c r="D23" i="14"/>
  <c r="D24" i="18"/>
  <c r="S52" i="24" s="1"/>
  <c r="D17" i="14"/>
  <c r="D39" i="18"/>
  <c r="S67" i="24" s="1"/>
  <c r="D8" i="14"/>
  <c r="D6" i="18"/>
  <c r="S34" i="24" s="1"/>
  <c r="D38" i="14"/>
  <c r="D30" i="18"/>
  <c r="S58" i="24" s="1"/>
  <c r="D11" i="14"/>
  <c r="D10" i="18"/>
  <c r="S38" i="24" s="1"/>
  <c r="D4" i="14"/>
  <c r="D31" i="18"/>
  <c r="S59" i="24" s="1"/>
  <c r="D27" i="14"/>
  <c r="D12" i="18"/>
  <c r="S40" i="24" s="1"/>
  <c r="D15" i="14"/>
  <c r="D28" i="18"/>
  <c r="S56" i="24" s="1"/>
  <c r="D43" i="14"/>
  <c r="D16" i="18"/>
  <c r="S44" i="24" s="1"/>
  <c r="D20" i="16"/>
  <c r="D35" i="14"/>
  <c r="D34" i="16"/>
  <c r="S9" i="16"/>
  <c r="V10" i="16"/>
  <c r="S11" i="16"/>
  <c r="S12" i="16"/>
  <c r="S14" i="16"/>
  <c r="V15" i="16"/>
  <c r="V16" i="16"/>
  <c r="S17" i="16"/>
  <c r="S18" i="16"/>
  <c r="P27" i="16"/>
  <c r="S32" i="16"/>
  <c r="V34" i="16"/>
  <c r="S35" i="16"/>
  <c r="S37" i="16"/>
  <c r="V38" i="16"/>
  <c r="V39" i="16"/>
  <c r="P42" i="16"/>
  <c r="V42" i="16"/>
  <c r="V43" i="16"/>
  <c r="S4" i="16"/>
  <c r="S5" i="16"/>
  <c r="V7" i="16"/>
  <c r="P15" i="16"/>
  <c r="V19" i="16"/>
  <c r="V25" i="16"/>
  <c r="V27" i="16"/>
  <c r="V28" i="16"/>
  <c r="V30" i="16"/>
  <c r="P36" i="16"/>
  <c r="P38" i="16"/>
  <c r="P40" i="16"/>
  <c r="V40" i="16"/>
  <c r="V6" i="16"/>
  <c r="P14" i="16"/>
  <c r="P28" i="16"/>
  <c r="P35" i="16"/>
  <c r="P37" i="16"/>
  <c r="P39" i="16"/>
  <c r="S42" i="16"/>
  <c r="V11" i="16"/>
  <c r="P12" i="16"/>
  <c r="P17" i="16"/>
  <c r="V18" i="16"/>
  <c r="V21" i="16"/>
  <c r="P22" i="16"/>
  <c r="V23" i="16"/>
  <c r="P24" i="16"/>
  <c r="P26" i="16"/>
  <c r="P29" i="16"/>
  <c r="P31" i="16"/>
  <c r="P33" i="16"/>
  <c r="B6" i="16"/>
  <c r="V12" i="16"/>
  <c r="V17" i="16"/>
  <c r="P18" i="16"/>
  <c r="P21" i="16"/>
  <c r="V22" i="16"/>
  <c r="P23" i="16"/>
  <c r="V24" i="16"/>
  <c r="P25" i="16"/>
  <c r="V26" i="16"/>
  <c r="V29" i="16"/>
  <c r="P30" i="16"/>
  <c r="V31" i="16"/>
  <c r="P32" i="16"/>
  <c r="V33" i="16"/>
  <c r="P34" i="16"/>
  <c r="P41" i="16"/>
  <c r="P43" i="16"/>
  <c r="V10" i="14"/>
  <c r="V35" i="14"/>
  <c r="V14" i="14"/>
  <c r="V11" i="14"/>
  <c r="S5" i="14"/>
  <c r="V29" i="14"/>
  <c r="S11" i="14"/>
  <c r="S29" i="14"/>
  <c r="P41" i="14"/>
  <c r="S43" i="14"/>
  <c r="S23" i="14"/>
  <c r="S16" i="14"/>
  <c r="S27" i="14"/>
  <c r="P18" i="14"/>
  <c r="P13" i="14"/>
  <c r="S31" i="14"/>
  <c r="P37" i="14"/>
  <c r="V37" i="14"/>
  <c r="B6" i="14"/>
  <c r="B7" i="14" s="1"/>
  <c r="S12" i="14"/>
  <c r="S10" i="14"/>
  <c r="V17" i="14"/>
  <c r="P35" i="14"/>
  <c r="P8" i="14"/>
  <c r="P32" i="14"/>
  <c r="P38" i="14"/>
  <c r="P14" i="14"/>
  <c r="S26" i="14"/>
  <c r="V15" i="14"/>
  <c r="V18" i="14"/>
  <c r="P23" i="14"/>
  <c r="P16" i="14"/>
  <c r="S17" i="14"/>
  <c r="P11" i="14"/>
  <c r="P5" i="14"/>
  <c r="P4" i="14"/>
  <c r="S15" i="14"/>
  <c r="S18" i="14"/>
  <c r="V13" i="14"/>
  <c r="V41" i="14"/>
  <c r="P30" i="14"/>
  <c r="P12" i="14"/>
  <c r="P10" i="14"/>
  <c r="S35" i="14"/>
  <c r="S8" i="14"/>
  <c r="S32" i="14"/>
  <c r="S38" i="14"/>
  <c r="S14" i="14"/>
  <c r="P26" i="14"/>
  <c r="P27" i="14"/>
  <c r="P29" i="14"/>
  <c r="S13" i="14"/>
  <c r="S41" i="14"/>
  <c r="V31" i="14"/>
  <c r="V43" i="14"/>
  <c r="P44" i="14"/>
  <c r="V44" i="14"/>
  <c r="D5" i="16"/>
  <c r="D11" i="16"/>
  <c r="D17" i="16"/>
  <c r="D19" i="16"/>
  <c r="D21" i="16"/>
  <c r="D29" i="16"/>
  <c r="D35" i="16"/>
  <c r="D14" i="8"/>
  <c r="D15" i="13"/>
  <c r="D20" i="13"/>
  <c r="P37" i="13"/>
  <c r="V19" i="13"/>
  <c r="V21" i="13"/>
  <c r="P27" i="13"/>
  <c r="V27" i="13"/>
  <c r="P17" i="13"/>
  <c r="V28" i="13"/>
  <c r="P9" i="13"/>
  <c r="V9" i="13"/>
  <c r="P32" i="13"/>
  <c r="P24" i="13"/>
  <c r="S16" i="13"/>
  <c r="S17" i="13"/>
  <c r="S28" i="13"/>
  <c r="B7" i="8"/>
  <c r="V20" i="13"/>
  <c r="S37" i="13"/>
  <c r="V40" i="13"/>
  <c r="S24" i="13"/>
  <c r="P21" i="13"/>
  <c r="P4" i="13"/>
  <c r="V4" i="13"/>
  <c r="S20" i="13"/>
  <c r="V37" i="13"/>
  <c r="S40" i="13"/>
  <c r="B7" i="13"/>
  <c r="V24" i="13"/>
  <c r="S19" i="13"/>
  <c r="S21" i="13"/>
  <c r="P29" i="13"/>
  <c r="V29" i="13"/>
  <c r="S27" i="13"/>
  <c r="V32" i="13"/>
  <c r="P25" i="13"/>
  <c r="S12" i="13"/>
  <c r="S5" i="13"/>
  <c r="P14" i="13"/>
  <c r="V14" i="13"/>
  <c r="S15" i="13"/>
  <c r="P28" i="13"/>
  <c r="V13" i="13"/>
  <c r="S4" i="13"/>
  <c r="S41" i="13"/>
  <c r="E4" i="9"/>
  <c r="D4" i="9"/>
  <c r="E7" i="9"/>
  <c r="E5" i="9"/>
  <c r="D5" i="9"/>
  <c r="D7" i="9"/>
  <c r="S9" i="24" s="1"/>
  <c r="E9" i="9"/>
  <c r="D9" i="9"/>
  <c r="U15" i="12"/>
  <c r="U18" i="12"/>
  <c r="U16" i="12"/>
  <c r="U17" i="12"/>
  <c r="T16" i="12"/>
  <c r="T18" i="12"/>
  <c r="T15" i="12"/>
  <c r="S16" i="12"/>
  <c r="S15" i="12"/>
  <c r="R16" i="12"/>
  <c r="R15" i="12"/>
  <c r="R18" i="12"/>
  <c r="R17" i="12"/>
  <c r="Q16" i="12"/>
  <c r="Q17" i="12"/>
  <c r="P15" i="12"/>
  <c r="P17" i="12"/>
  <c r="P18" i="12"/>
  <c r="O17" i="12"/>
  <c r="O16" i="12"/>
  <c r="O15" i="12"/>
  <c r="O18" i="12"/>
  <c r="N18" i="12"/>
  <c r="N15" i="12"/>
  <c r="N16" i="12"/>
  <c r="M16" i="12"/>
  <c r="M15" i="12"/>
  <c r="M17" i="12"/>
  <c r="L15" i="12"/>
  <c r="L17" i="12"/>
  <c r="L18" i="12"/>
  <c r="H19" i="4"/>
  <c r="H32" i="4"/>
  <c r="H45" i="4"/>
  <c r="H58" i="4"/>
  <c r="H71" i="4"/>
  <c r="G32" i="4"/>
  <c r="G84" i="4"/>
  <c r="S32" i="13"/>
  <c r="S33" i="13"/>
  <c r="P5" i="16"/>
  <c r="P7" i="16"/>
  <c r="P9" i="16"/>
  <c r="P11" i="16"/>
  <c r="G45" i="4"/>
  <c r="S14" i="13"/>
  <c r="S29" i="13"/>
  <c r="S9" i="13"/>
  <c r="S6" i="13"/>
  <c r="S22" i="13"/>
  <c r="P4" i="16"/>
  <c r="P6" i="16"/>
  <c r="P8" i="16"/>
  <c r="P10" i="16"/>
  <c r="G58" i="4"/>
  <c r="G19" i="4"/>
  <c r="Z22" i="2"/>
  <c r="AD22" i="2"/>
  <c r="Z21" i="2"/>
  <c r="AD21" i="2"/>
  <c r="F21" i="2"/>
  <c r="AB21" i="2"/>
  <c r="R4" i="9"/>
  <c r="R7" i="9"/>
  <c r="X7" i="9"/>
  <c r="U5" i="9"/>
  <c r="U7" i="9"/>
  <c r="X4" i="9"/>
  <c r="G21" i="24" s="1"/>
  <c r="R9" i="9"/>
  <c r="S6" i="24" l="1"/>
  <c r="S4" i="24"/>
  <c r="S5" i="24"/>
  <c r="R5" i="9"/>
  <c r="U9" i="9"/>
  <c r="I20" i="24"/>
  <c r="AE9" i="24"/>
  <c r="I4" i="24"/>
  <c r="S8" i="24"/>
  <c r="AH9" i="24"/>
  <c r="G19" i="24"/>
  <c r="S7" i="24"/>
  <c r="AJ5" i="20" a="1"/>
  <c r="AJ5" i="20" s="1"/>
  <c r="AJ7" i="20" a="1"/>
  <c r="AJ7" i="20" s="1"/>
  <c r="AK10" i="20" a="1"/>
  <c r="AK10" i="20" s="1"/>
  <c r="AJ12" i="20" a="1"/>
  <c r="AJ12" i="20" s="1"/>
  <c r="AJ14" i="20" a="1"/>
  <c r="AJ14" i="20" s="1"/>
  <c r="AJ16" i="20" a="1"/>
  <c r="AJ16" i="20" s="1"/>
  <c r="AK17" i="20" a="1"/>
  <c r="AK17" i="20" s="1"/>
  <c r="AK22" i="20" a="1"/>
  <c r="AK22" i="20" s="1"/>
  <c r="AJ24" i="20" a="1"/>
  <c r="AJ24" i="20" s="1"/>
  <c r="AK27" i="20" a="1"/>
  <c r="AK27" i="20" s="1"/>
  <c r="AK29" i="20" a="1"/>
  <c r="AK29" i="20" s="1"/>
  <c r="AJ26" i="20" a="1"/>
  <c r="AJ26" i="20" s="1"/>
  <c r="AJ30" i="20" a="1"/>
  <c r="AJ30" i="20" s="1"/>
  <c r="AK8" i="20" a="1"/>
  <c r="AK8" i="20" s="1"/>
  <c r="AK13" i="20" a="1"/>
  <c r="AK13" i="20" s="1"/>
  <c r="AJ19" i="20" a="1"/>
  <c r="AJ19" i="20" s="1"/>
  <c r="AK23" i="20" a="1"/>
  <c r="AK23" i="20" s="1"/>
  <c r="AJ29" i="20" a="1"/>
  <c r="AJ29" i="20" s="1"/>
  <c r="AK5" i="20" a="1"/>
  <c r="AK5" i="20" s="1"/>
  <c r="AK7" i="20" a="1"/>
  <c r="AK7" i="20" s="1"/>
  <c r="AJ9" i="20" a="1"/>
  <c r="AJ9" i="20" s="1"/>
  <c r="AJ11" i="20" a="1"/>
  <c r="AJ11" i="20" s="1"/>
  <c r="AK12" i="20" a="1"/>
  <c r="AK12" i="20" s="1"/>
  <c r="AK14" i="20" a="1"/>
  <c r="AK14" i="20" s="1"/>
  <c r="AK16" i="20" a="1"/>
  <c r="AK16" i="20" s="1"/>
  <c r="AJ18" i="20" a="1"/>
  <c r="AJ18" i="20" s="1"/>
  <c r="AK19" i="20" a="1"/>
  <c r="AK19" i="20" s="1"/>
  <c r="AJ21" i="20" a="1"/>
  <c r="AJ21" i="20" s="1"/>
  <c r="AJ23" i="20" a="1"/>
  <c r="AJ23" i="20" s="1"/>
  <c r="AK24" i="20" a="1"/>
  <c r="AK24" i="20" s="1"/>
  <c r="AJ28" i="20" a="1"/>
  <c r="AJ28" i="20" s="1"/>
  <c r="AK6" i="20" a="1"/>
  <c r="AK6" i="20" s="1"/>
  <c r="AK11" i="20" a="1"/>
  <c r="AK11" i="20" s="1"/>
  <c r="AK15" i="20" a="1"/>
  <c r="AK15" i="20" s="1"/>
  <c r="AK20" i="20" a="1"/>
  <c r="AK20" i="20" s="1"/>
  <c r="AK25" i="20" a="1"/>
  <c r="AK25" i="20" s="1"/>
  <c r="AJ6" i="20" a="1"/>
  <c r="AJ6" i="20" s="1"/>
  <c r="AJ8" i="20" a="1"/>
  <c r="AJ8" i="20" s="1"/>
  <c r="AK9" i="20" a="1"/>
  <c r="AK9" i="20" s="1"/>
  <c r="AJ13" i="20" a="1"/>
  <c r="AJ13" i="20" s="1"/>
  <c r="AJ15" i="20" a="1"/>
  <c r="AJ15" i="20" s="1"/>
  <c r="AK18" i="20" a="1"/>
  <c r="AK18" i="20" s="1"/>
  <c r="AJ20" i="20" a="1"/>
  <c r="AJ20" i="20" s="1"/>
  <c r="AK21" i="20" a="1"/>
  <c r="AK21" i="20" s="1"/>
  <c r="AJ25" i="20" a="1"/>
  <c r="AJ25" i="20" s="1"/>
  <c r="AK26" i="20" a="1"/>
  <c r="AK26" i="20" s="1"/>
  <c r="AK28" i="20" a="1"/>
  <c r="AK28" i="20" s="1"/>
  <c r="AK30" i="20" a="1"/>
  <c r="AK30" i="20" s="1"/>
  <c r="AJ10" i="20" a="1"/>
  <c r="AJ10" i="20" s="1"/>
  <c r="AJ17" i="20" a="1"/>
  <c r="AJ17" i="20" s="1"/>
  <c r="AJ22" i="20" a="1"/>
  <c r="AJ22" i="20" s="1"/>
  <c r="AJ27" i="20" a="1"/>
  <c r="AJ27" i="20" s="1"/>
  <c r="AD6" i="20" a="1"/>
  <c r="AD6" i="20" s="1"/>
  <c r="AD8" i="20" a="1"/>
  <c r="AD8" i="20" s="1"/>
  <c r="AD10" i="20" a="1"/>
  <c r="AD10" i="20" s="1"/>
  <c r="AD5" i="20" a="1"/>
  <c r="AD5" i="20" s="1"/>
  <c r="AD27" i="20" a="1"/>
  <c r="AD27" i="20" s="1"/>
  <c r="AD23" i="20" a="1"/>
  <c r="AD23" i="20" s="1"/>
  <c r="AD25" i="20" a="1"/>
  <c r="AD25" i="20" s="1"/>
  <c r="AG13" i="20" a="1"/>
  <c r="AG13" i="20" s="1"/>
  <c r="AG15" i="20" a="1"/>
  <c r="AG15" i="20" s="1"/>
  <c r="AG17" i="20" a="1"/>
  <c r="AG17" i="20" s="1"/>
  <c r="AG19" i="20" a="1"/>
  <c r="AG19" i="20" s="1"/>
  <c r="AG21" i="20" a="1"/>
  <c r="AG21" i="20" s="1"/>
  <c r="AG24" i="20" a="1"/>
  <c r="AG24" i="20" s="1"/>
  <c r="AF8" i="20" a="1"/>
  <c r="AF8" i="20" s="1"/>
  <c r="AF10" i="20" a="1"/>
  <c r="AF10" i="20" s="1"/>
  <c r="AF5" i="20" a="1"/>
  <c r="AF5" i="20" s="1"/>
  <c r="AF6" i="20" a="1"/>
  <c r="AF6" i="20" s="1"/>
  <c r="AF21" i="20" a="1"/>
  <c r="AF21" i="20" s="1"/>
  <c r="AF30" i="20" a="1"/>
  <c r="AF30" i="20" s="1"/>
  <c r="AF28" i="20" a="1"/>
  <c r="AF28" i="20" s="1"/>
  <c r="AB13" i="20" a="1"/>
  <c r="AB13" i="20" s="1"/>
  <c r="AB14" i="20" a="1"/>
  <c r="AB14" i="20" s="1"/>
  <c r="AB16" i="20" a="1"/>
  <c r="AB16" i="20" s="1"/>
  <c r="AB18" i="20" a="1"/>
  <c r="AB18" i="20" s="1"/>
  <c r="AB30" i="20" a="1"/>
  <c r="AB30" i="20" s="1"/>
  <c r="AB22" i="20" a="1"/>
  <c r="AB22" i="20" s="1"/>
  <c r="AH10" i="20" a="1"/>
  <c r="AH10" i="20" s="1"/>
  <c r="AH5" i="20" a="1"/>
  <c r="AH5" i="20" s="1"/>
  <c r="AH7" i="20" a="1"/>
  <c r="AH7" i="20" s="1"/>
  <c r="AH9" i="20" a="1"/>
  <c r="AH9" i="20" s="1"/>
  <c r="AH23" i="20" a="1"/>
  <c r="AH23" i="20" s="1"/>
  <c r="AH30" i="20" a="1"/>
  <c r="AH30" i="20" s="1"/>
  <c r="AH21" i="20" a="1"/>
  <c r="AH21" i="20" s="1"/>
  <c r="AC17" i="20" a="1"/>
  <c r="AC17" i="20" s="1"/>
  <c r="AC19" i="20" a="1"/>
  <c r="AC19" i="20" s="1"/>
  <c r="AC14" i="20" a="1"/>
  <c r="AC14" i="20" s="1"/>
  <c r="AC16" i="20" a="1"/>
  <c r="AC16" i="20" s="1"/>
  <c r="AC24" i="20" a="1"/>
  <c r="AC24" i="20" s="1"/>
  <c r="AC27" i="20" a="1"/>
  <c r="AC27" i="20" s="1"/>
  <c r="AI7" i="20" a="1"/>
  <c r="AI7" i="20" s="1"/>
  <c r="AI9" i="20" a="1"/>
  <c r="AI9" i="20" s="1"/>
  <c r="AI11" i="20" a="1"/>
  <c r="AI11" i="20" s="1"/>
  <c r="AI6" i="20" a="1"/>
  <c r="AI6" i="20" s="1"/>
  <c r="AI26" i="20" a="1"/>
  <c r="AI26" i="20" s="1"/>
  <c r="AI23" i="20" a="1"/>
  <c r="AI23" i="20" s="1"/>
  <c r="AI25" i="20" a="1"/>
  <c r="AI25" i="20" s="1"/>
  <c r="AE19" i="20" a="1"/>
  <c r="AE19" i="20" s="1"/>
  <c r="AE14" i="20" a="1"/>
  <c r="AE14" i="20" s="1"/>
  <c r="AE16" i="20" a="1"/>
  <c r="AE16" i="20" s="1"/>
  <c r="AE18" i="20" a="1"/>
  <c r="AE18" i="20" s="1"/>
  <c r="AE25" i="20" a="1"/>
  <c r="AE25" i="20" s="1"/>
  <c r="AE20" i="20" a="1"/>
  <c r="AE20" i="20" s="1"/>
  <c r="AA5" i="20" a="1"/>
  <c r="AA5" i="20" s="1"/>
  <c r="AA16" i="20" a="1"/>
  <c r="AA16" i="20" s="1"/>
  <c r="AA18" i="20" a="1"/>
  <c r="AA18" i="20" s="1"/>
  <c r="AA20" i="20" a="1"/>
  <c r="AA20" i="20" s="1"/>
  <c r="AA26" i="20" a="1"/>
  <c r="AA26" i="20" s="1"/>
  <c r="AA23" i="20" a="1"/>
  <c r="AA23" i="20" s="1"/>
  <c r="AA25" i="20" a="1"/>
  <c r="AA25" i="20" s="1"/>
  <c r="AI15" i="20" a="1"/>
  <c r="AI15" i="20" s="1"/>
  <c r="AI14" i="20" a="1"/>
  <c r="AI14" i="20" s="1"/>
  <c r="AE11" i="20" a="1"/>
  <c r="AE11" i="20" s="1"/>
  <c r="AE10" i="20" a="1"/>
  <c r="AE10" i="20" s="1"/>
  <c r="AE22" i="20" a="1"/>
  <c r="AE22" i="20" s="1"/>
  <c r="AA12" i="20" a="1"/>
  <c r="AA12" i="20" s="1"/>
  <c r="AA27" i="20" a="1"/>
  <c r="AA27" i="20" s="1"/>
  <c r="AD19" i="20" a="1"/>
  <c r="AD19" i="20" s="1"/>
  <c r="AD24" i="20" a="1"/>
  <c r="AD24" i="20" s="1"/>
  <c r="AG10" i="20" a="1"/>
  <c r="AG10" i="20" s="1"/>
  <c r="AG23" i="20" a="1"/>
  <c r="AG23" i="20" s="1"/>
  <c r="AF19" i="20" a="1"/>
  <c r="AF19" i="20" s="1"/>
  <c r="AF23" i="20" a="1"/>
  <c r="AF23" i="20" s="1"/>
  <c r="AB7" i="20" a="1"/>
  <c r="AB7" i="20" s="1"/>
  <c r="AB27" i="20" a="1"/>
  <c r="AB27" i="20" s="1"/>
  <c r="AH19" i="20" a="1"/>
  <c r="AH19" i="20" s="1"/>
  <c r="AH8" i="20" a="1"/>
  <c r="AH8" i="20" s="1"/>
  <c r="AH25" i="20" a="1"/>
  <c r="AH25" i="20" s="1"/>
  <c r="AC10" i="20" a="1"/>
  <c r="AC10" i="20" s="1"/>
  <c r="AC13" i="20" a="1"/>
  <c r="AC13" i="20" s="1"/>
  <c r="AC23" i="20" a="1"/>
  <c r="AC23" i="20" s="1"/>
  <c r="AC28" i="20" a="1"/>
  <c r="AC28" i="20" s="1"/>
  <c r="AI18" i="20" a="1"/>
  <c r="AI18" i="20" s="1"/>
  <c r="AI20" i="20" a="1"/>
  <c r="AI20" i="20" s="1"/>
  <c r="AE12" i="20" a="1"/>
  <c r="AE12" i="20" s="1"/>
  <c r="AE17" i="20" a="1"/>
  <c r="AE17" i="20" s="1"/>
  <c r="AD7" i="20" a="1"/>
  <c r="AD7" i="20" s="1"/>
  <c r="AD9" i="20" a="1"/>
  <c r="AD9" i="20" s="1"/>
  <c r="AD11" i="20" a="1"/>
  <c r="AD11" i="20" s="1"/>
  <c r="AD12" i="20" a="1"/>
  <c r="AD12" i="20" s="1"/>
  <c r="AD21" i="20" a="1"/>
  <c r="AD21" i="20" s="1"/>
  <c r="AD26" i="20" a="1"/>
  <c r="AD26" i="20" s="1"/>
  <c r="AD29" i="20" a="1"/>
  <c r="AD29" i="20" s="1"/>
  <c r="AG14" i="20" a="1"/>
  <c r="AG14" i="20" s="1"/>
  <c r="AG16" i="20" a="1"/>
  <c r="AG16" i="20" s="1"/>
  <c r="AG18" i="20" a="1"/>
  <c r="AG18" i="20" s="1"/>
  <c r="AG30" i="20" a="1"/>
  <c r="AG30" i="20" s="1"/>
  <c r="AG22" i="20" a="1"/>
  <c r="AG22" i="20" s="1"/>
  <c r="AG25" i="20" a="1"/>
  <c r="AG25" i="20" s="1"/>
  <c r="AF9" i="20" a="1"/>
  <c r="AF9" i="20" s="1"/>
  <c r="AF11" i="20" a="1"/>
  <c r="AF11" i="20" s="1"/>
  <c r="AF12" i="20" a="1"/>
  <c r="AF12" i="20" s="1"/>
  <c r="AF7" i="20" a="1"/>
  <c r="AF7" i="20" s="1"/>
  <c r="AF27" i="20" a="1"/>
  <c r="AF27" i="20" s="1"/>
  <c r="AF24" i="20" a="1"/>
  <c r="AF24" i="20" s="1"/>
  <c r="AF29" i="20" a="1"/>
  <c r="AF29" i="20" s="1"/>
  <c r="AB20" i="20" a="1"/>
  <c r="AB20" i="20" s="1"/>
  <c r="AB15" i="20" a="1"/>
  <c r="AB15" i="20" s="1"/>
  <c r="AB17" i="20" a="1"/>
  <c r="AB17" i="20" s="1"/>
  <c r="AB19" i="20" a="1"/>
  <c r="AB19" i="20" s="1"/>
  <c r="AB21" i="20" a="1"/>
  <c r="AB21" i="20" s="1"/>
  <c r="AB23" i="20" a="1"/>
  <c r="AB23" i="20" s="1"/>
  <c r="AH11" i="20" a="1"/>
  <c r="AH11" i="20" s="1"/>
  <c r="AH12" i="20" a="1"/>
  <c r="AH12" i="20" s="1"/>
  <c r="AH14" i="20" a="1"/>
  <c r="AH14" i="20" s="1"/>
  <c r="AH16" i="20" a="1"/>
  <c r="AH16" i="20" s="1"/>
  <c r="AH27" i="20" a="1"/>
  <c r="AH27" i="20" s="1"/>
  <c r="AH26" i="20" a="1"/>
  <c r="AH26" i="20" s="1"/>
  <c r="AH29" i="20" a="1"/>
  <c r="AH29" i="20" s="1"/>
  <c r="AC18" i="20" a="1"/>
  <c r="AC18" i="20" s="1"/>
  <c r="AC5" i="20" a="1"/>
  <c r="AC5" i="20" s="1"/>
  <c r="AC7" i="20" a="1"/>
  <c r="AC7" i="20" s="1"/>
  <c r="AC21" i="20" a="1"/>
  <c r="AC21" i="20" s="1"/>
  <c r="AC29" i="20" a="1"/>
  <c r="AC29" i="20" s="1"/>
  <c r="AC30" i="20" a="1"/>
  <c r="AC30" i="20" s="1"/>
  <c r="AI8" i="20" a="1"/>
  <c r="AI8" i="20" s="1"/>
  <c r="AI10" i="20" a="1"/>
  <c r="AI10" i="20" s="1"/>
  <c r="AI12" i="20" a="1"/>
  <c r="AI12" i="20" s="1"/>
  <c r="AI13" i="20" a="1"/>
  <c r="AI13" i="20" s="1"/>
  <c r="AI21" i="20" a="1"/>
  <c r="AI21" i="20" s="1"/>
  <c r="AI24" i="20" a="1"/>
  <c r="AI24" i="20" s="1"/>
  <c r="AI28" i="20" a="1"/>
  <c r="AI28" i="20" s="1"/>
  <c r="AE5" i="20" a="1"/>
  <c r="AE5" i="20" s="1"/>
  <c r="AE7" i="20" a="1"/>
  <c r="AE7" i="20" s="1"/>
  <c r="AE9" i="20" a="1"/>
  <c r="AE9" i="20" s="1"/>
  <c r="AE23" i="20" a="1"/>
  <c r="AE23" i="20" s="1"/>
  <c r="AE29" i="20" a="1"/>
  <c r="AE29" i="20" s="1"/>
  <c r="AE21" i="20" a="1"/>
  <c r="AE21" i="20" s="1"/>
  <c r="AA7" i="20" a="1"/>
  <c r="AA7" i="20" s="1"/>
  <c r="AA9" i="20" a="1"/>
  <c r="AA9" i="20" s="1"/>
  <c r="AA11" i="20" a="1"/>
  <c r="AA11" i="20" s="1"/>
  <c r="AA6" i="20" a="1"/>
  <c r="AA6" i="20" s="1"/>
  <c r="AA21" i="20" a="1"/>
  <c r="AA21" i="20" s="1"/>
  <c r="AA24" i="20" a="1"/>
  <c r="AA24" i="20" s="1"/>
  <c r="AA28" i="20" a="1"/>
  <c r="AA28" i="20" s="1"/>
  <c r="AC26" i="20" a="1"/>
  <c r="AC26" i="20" s="1"/>
  <c r="AC22" i="20" a="1"/>
  <c r="AC22" i="20" s="1"/>
  <c r="AI19" i="20" a="1"/>
  <c r="AI19" i="20" s="1"/>
  <c r="AI27" i="20" a="1"/>
  <c r="AI27" i="20" s="1"/>
  <c r="AE8" i="20" a="1"/>
  <c r="AE8" i="20" s="1"/>
  <c r="AE27" i="20" a="1"/>
  <c r="AE27" i="20" s="1"/>
  <c r="AA10" i="20" a="1"/>
  <c r="AA10" i="20" s="1"/>
  <c r="AA22" i="20" a="1"/>
  <c r="AA22" i="20" s="1"/>
  <c r="AD17" i="20" a="1"/>
  <c r="AD17" i="20" s="1"/>
  <c r="AD22" i="20" a="1"/>
  <c r="AD22" i="20" s="1"/>
  <c r="AG8" i="20" a="1"/>
  <c r="AG8" i="20" s="1"/>
  <c r="AG29" i="20" a="1"/>
  <c r="AG29" i="20" s="1"/>
  <c r="AF17" i="20" a="1"/>
  <c r="AF17" i="20" s="1"/>
  <c r="AF15" i="20" a="1"/>
  <c r="AF15" i="20" s="1"/>
  <c r="AB12" i="20" a="1"/>
  <c r="AB12" i="20" s="1"/>
  <c r="AB11" i="20" a="1"/>
  <c r="AB11" i="20" s="1"/>
  <c r="AB29" i="20" a="1"/>
  <c r="AB29" i="20" s="1"/>
  <c r="AI29" i="20" a="1"/>
  <c r="AI29" i="20" s="1"/>
  <c r="AE13" i="20" a="1"/>
  <c r="AE13" i="20" s="1"/>
  <c r="AD14" i="20" a="1"/>
  <c r="AD14" i="20" s="1"/>
  <c r="AD16" i="20" a="1"/>
  <c r="AD16" i="20" s="1"/>
  <c r="AD18" i="20" a="1"/>
  <c r="AD18" i="20" s="1"/>
  <c r="AD13" i="20" a="1"/>
  <c r="AD13" i="20" s="1"/>
  <c r="AD30" i="20" a="1"/>
  <c r="AD30" i="20" s="1"/>
  <c r="AD28" i="20" a="1"/>
  <c r="AD28" i="20" s="1"/>
  <c r="AG5" i="20" a="1"/>
  <c r="AG5" i="20" s="1"/>
  <c r="AG7" i="20" a="1"/>
  <c r="AG7" i="20" s="1"/>
  <c r="AG9" i="20" a="1"/>
  <c r="AG9" i="20" s="1"/>
  <c r="AG11" i="20" a="1"/>
  <c r="AG11" i="20" s="1"/>
  <c r="AG20" i="20" a="1"/>
  <c r="AG20" i="20" s="1"/>
  <c r="AG27" i="20" a="1"/>
  <c r="AG27" i="20" s="1"/>
  <c r="AG26" i="20" a="1"/>
  <c r="AG26" i="20" s="1"/>
  <c r="AF16" i="20" a="1"/>
  <c r="AF16" i="20" s="1"/>
  <c r="AF18" i="20" a="1"/>
  <c r="AF18" i="20" s="1"/>
  <c r="AF13" i="20" a="1"/>
  <c r="AF13" i="20" s="1"/>
  <c r="AF14" i="20" a="1"/>
  <c r="AF14" i="20" s="1"/>
  <c r="AF22" i="20" a="1"/>
  <c r="AF22" i="20" s="1"/>
  <c r="AF25" i="20" a="1"/>
  <c r="AF25" i="20" s="1"/>
  <c r="AB5" i="20" a="1"/>
  <c r="AB5" i="20" s="1"/>
  <c r="AB6" i="20" a="1"/>
  <c r="AB6" i="20" s="1"/>
  <c r="AB8" i="20" a="1"/>
  <c r="AB8" i="20" s="1"/>
  <c r="AB10" i="20" a="1"/>
  <c r="AB10" i="20" s="1"/>
  <c r="AB24" i="20" a="1"/>
  <c r="AB24" i="20" s="1"/>
  <c r="AB26" i="20" a="1"/>
  <c r="AB26" i="20" s="1"/>
  <c r="AB25" i="20" a="1"/>
  <c r="AB25" i="20" s="1"/>
  <c r="AH18" i="20" a="1"/>
  <c r="AH18" i="20" s="1"/>
  <c r="AH13" i="20" a="1"/>
  <c r="AH13" i="20" s="1"/>
  <c r="AH15" i="20" a="1"/>
  <c r="AH15" i="20" s="1"/>
  <c r="AH17" i="20" a="1"/>
  <c r="AH17" i="20" s="1"/>
  <c r="AH24" i="20" a="1"/>
  <c r="AH24" i="20" s="1"/>
  <c r="AH28" i="20" a="1"/>
  <c r="AH28" i="20" s="1"/>
  <c r="AC9" i="20" a="1"/>
  <c r="AC9" i="20" s="1"/>
  <c r="AC11" i="20" a="1"/>
  <c r="AC11" i="20" s="1"/>
  <c r="AC6" i="20" a="1"/>
  <c r="AC6" i="20" s="1"/>
  <c r="AC8" i="20" a="1"/>
  <c r="AC8" i="20" s="1"/>
  <c r="AC20" i="20" a="1"/>
  <c r="AC20" i="20" s="1"/>
  <c r="AI17" i="20" a="1"/>
  <c r="AI17" i="20" s="1"/>
  <c r="AI22" i="20" a="1"/>
  <c r="AI22" i="20" s="1"/>
  <c r="AE6" i="20" a="1"/>
  <c r="AE6" i="20" s="1"/>
  <c r="AE24" i="20" a="1"/>
  <c r="AE24" i="20" s="1"/>
  <c r="AA8" i="20" a="1"/>
  <c r="AA8" i="20" s="1"/>
  <c r="AA13" i="20" a="1"/>
  <c r="AA13" i="20" s="1"/>
  <c r="AD15" i="20" a="1"/>
  <c r="AD15" i="20" s="1"/>
  <c r="AD20" i="20" a="1"/>
  <c r="AD20" i="20" s="1"/>
  <c r="AG6" i="20" a="1"/>
  <c r="AG6" i="20" s="1"/>
  <c r="AG12" i="20" a="1"/>
  <c r="AG12" i="20" s="1"/>
  <c r="AG28" i="20" a="1"/>
  <c r="AG28" i="20" s="1"/>
  <c r="AF20" i="20" a="1"/>
  <c r="AF20" i="20" s="1"/>
  <c r="AF26" i="20" a="1"/>
  <c r="AF26" i="20" s="1"/>
  <c r="AB9" i="20" a="1"/>
  <c r="AB9" i="20" s="1"/>
  <c r="AB28" i="20" a="1"/>
  <c r="AB28" i="20" s="1"/>
  <c r="AH6" i="20" a="1"/>
  <c r="AH6" i="20" s="1"/>
  <c r="AH22" i="20" a="1"/>
  <c r="AH22" i="20" s="1"/>
  <c r="AH20" i="20" a="1"/>
  <c r="AH20" i="20" s="1"/>
  <c r="AC12" i="20" a="1"/>
  <c r="AC12" i="20" s="1"/>
  <c r="AC15" i="20" a="1"/>
  <c r="AC15" i="20" s="1"/>
  <c r="AC25" i="20" a="1"/>
  <c r="AC25" i="20" s="1"/>
  <c r="AI16" i="20" a="1"/>
  <c r="AI16" i="20" s="1"/>
  <c r="AI5" i="20" a="1"/>
  <c r="AI5" i="20" s="1"/>
  <c r="AI30" i="20" a="1"/>
  <c r="AI30" i="20" s="1"/>
  <c r="AE15" i="20" a="1"/>
  <c r="AE15" i="20" s="1"/>
  <c r="AE26" i="20" a="1"/>
  <c r="AE26" i="20" s="1"/>
  <c r="AE30" i="20" a="1"/>
  <c r="AE30" i="20" s="1"/>
  <c r="AA19" i="20" a="1"/>
  <c r="AA19" i="20" s="1"/>
  <c r="AA29" i="20" a="1"/>
  <c r="AA29" i="20" s="1"/>
  <c r="AA17" i="20" a="1"/>
  <c r="AA17" i="20" s="1"/>
  <c r="AE28" i="20" a="1"/>
  <c r="AE28" i="20" s="1"/>
  <c r="AA14" i="20" a="1"/>
  <c r="AA14" i="20" s="1"/>
  <c r="AA15" i="20" a="1"/>
  <c r="AA15" i="20" s="1"/>
  <c r="AA30" i="20" a="1"/>
  <c r="AA30" i="20" s="1"/>
  <c r="Z5" i="20" a="1"/>
  <c r="Z5" i="20" s="1"/>
  <c r="Z13" i="20" a="1"/>
  <c r="Z13" i="20" s="1"/>
  <c r="Z21" i="20" a="1"/>
  <c r="Z21" i="20" s="1"/>
  <c r="Z6" i="20" a="1"/>
  <c r="Z6" i="20" s="1"/>
  <c r="Z22" i="20" a="1"/>
  <c r="Z22" i="20" s="1"/>
  <c r="Z8" i="20" a="1"/>
  <c r="Z8" i="20" s="1"/>
  <c r="Z24" i="20" a="1"/>
  <c r="Z24" i="20" s="1"/>
  <c r="Z7" i="20" a="1"/>
  <c r="Z7" i="20" s="1"/>
  <c r="Z15" i="20" a="1"/>
  <c r="Z15" i="20" s="1"/>
  <c r="Z25" i="20" a="1"/>
  <c r="Z25" i="20" s="1"/>
  <c r="Z10" i="20" a="1"/>
  <c r="Z10" i="20" s="1"/>
  <c r="Z26" i="20" a="1"/>
  <c r="Z26" i="20" s="1"/>
  <c r="Z12" i="20" a="1"/>
  <c r="Z12" i="20" s="1"/>
  <c r="Z28" i="20" a="1"/>
  <c r="Z28" i="20" s="1"/>
  <c r="Z9" i="20" a="1"/>
  <c r="Z9" i="20" s="1"/>
  <c r="Z17" i="20" a="1"/>
  <c r="Z17" i="20" s="1"/>
  <c r="Z27" i="20" a="1"/>
  <c r="Z27" i="20" s="1"/>
  <c r="Z14" i="20" a="1"/>
  <c r="Z14" i="20" s="1"/>
  <c r="Z30" i="20" a="1"/>
  <c r="Z30" i="20" s="1"/>
  <c r="Z16" i="20" a="1"/>
  <c r="Z16" i="20" s="1"/>
  <c r="Z11" i="20" a="1"/>
  <c r="Z11" i="20" s="1"/>
  <c r="Z19" i="20" a="1"/>
  <c r="Z19" i="20" s="1"/>
  <c r="Z29" i="20" a="1"/>
  <c r="Z29" i="20" s="1"/>
  <c r="Z18" i="20" a="1"/>
  <c r="Z18" i="20" s="1"/>
  <c r="Z23" i="20" a="1"/>
  <c r="Z23" i="20" s="1"/>
  <c r="Z20" i="20" a="1"/>
  <c r="Z20" i="20" s="1"/>
  <c r="G4" i="24"/>
  <c r="S27" i="8"/>
  <c r="U6" i="9"/>
  <c r="AH6" i="24" s="1"/>
  <c r="AB7" i="9"/>
  <c r="W7" i="24" s="1"/>
  <c r="AF7" i="9"/>
  <c r="AA7" i="24" s="1"/>
  <c r="AA7" i="9"/>
  <c r="V7" i="24" s="1"/>
  <c r="Z9" i="9"/>
  <c r="AC7" i="9"/>
  <c r="X7" i="24" s="1"/>
  <c r="AG7" i="9"/>
  <c r="AB7" i="24" s="1"/>
  <c r="AI7" i="9"/>
  <c r="AD7" i="24" s="1"/>
  <c r="AM7" i="9"/>
  <c r="AJ7" i="24" s="1"/>
  <c r="AL7" i="9"/>
  <c r="AK7" i="9"/>
  <c r="AG7" i="24" s="1"/>
  <c r="AJ7" i="9"/>
  <c r="AD7" i="9"/>
  <c r="Y7" i="24" s="1"/>
  <c r="AH7" i="9"/>
  <c r="AC7" i="24" s="1"/>
  <c r="AE7" i="9"/>
  <c r="Z7" i="24" s="1"/>
  <c r="AC6" i="9"/>
  <c r="X6" i="24" s="1"/>
  <c r="AG6" i="9"/>
  <c r="AB6" i="24" s="1"/>
  <c r="AM6" i="9"/>
  <c r="AJ6" i="24" s="1"/>
  <c r="AL6" i="9"/>
  <c r="AK6" i="9"/>
  <c r="AG6" i="24" s="1"/>
  <c r="AJ6" i="9"/>
  <c r="AD6" i="9"/>
  <c r="Y6" i="24" s="1"/>
  <c r="AH6" i="9"/>
  <c r="AC6" i="24" s="1"/>
  <c r="AF6" i="9"/>
  <c r="AA6" i="24" s="1"/>
  <c r="AA6" i="9"/>
  <c r="V6" i="24" s="1"/>
  <c r="AE6" i="9"/>
  <c r="Z6" i="24" s="1"/>
  <c r="AI6" i="9"/>
  <c r="AD6" i="24" s="1"/>
  <c r="Z8" i="9"/>
  <c r="AB6" i="9"/>
  <c r="W6" i="24" s="1"/>
  <c r="X8" i="9"/>
  <c r="AM9" i="9"/>
  <c r="AJ9" i="24" s="1"/>
  <c r="AL9" i="9"/>
  <c r="AI9" i="24" s="1"/>
  <c r="AK9" i="9"/>
  <c r="AG9" i="24" s="1"/>
  <c r="AJ9" i="9"/>
  <c r="AF9" i="24" s="1"/>
  <c r="AD9" i="9"/>
  <c r="Y9" i="24" s="1"/>
  <c r="AH9" i="9"/>
  <c r="AC9" i="24" s="1"/>
  <c r="AG9" i="9"/>
  <c r="AB9" i="24" s="1"/>
  <c r="AA9" i="9"/>
  <c r="V9" i="24" s="1"/>
  <c r="AE9" i="9"/>
  <c r="Z9" i="24" s="1"/>
  <c r="AI9" i="9"/>
  <c r="AD9" i="24" s="1"/>
  <c r="Z5" i="9"/>
  <c r="I5" i="24" s="1"/>
  <c r="AC9" i="9"/>
  <c r="X9" i="24" s="1"/>
  <c r="AB9" i="9"/>
  <c r="W9" i="24" s="1"/>
  <c r="AF9" i="9"/>
  <c r="AA9" i="24" s="1"/>
  <c r="R8" i="9"/>
  <c r="AE5" i="24" s="1"/>
  <c r="AA8" i="9"/>
  <c r="V8" i="24" s="1"/>
  <c r="AE8" i="9"/>
  <c r="Z8" i="24" s="1"/>
  <c r="AI8" i="9"/>
  <c r="AD8" i="24" s="1"/>
  <c r="Z6" i="9"/>
  <c r="AK8" i="9"/>
  <c r="AG8" i="24" s="1"/>
  <c r="AD8" i="9"/>
  <c r="Y8" i="24" s="1"/>
  <c r="AB8" i="9"/>
  <c r="W8" i="24" s="1"/>
  <c r="AF8" i="9"/>
  <c r="AA8" i="24" s="1"/>
  <c r="AC8" i="9"/>
  <c r="X8" i="24" s="1"/>
  <c r="AG8" i="9"/>
  <c r="AB8" i="24" s="1"/>
  <c r="AM8" i="9"/>
  <c r="AJ8" i="24" s="1"/>
  <c r="AL8" i="9"/>
  <c r="AJ8" i="9"/>
  <c r="AH8" i="9"/>
  <c r="AC8" i="24" s="1"/>
  <c r="AM5" i="9"/>
  <c r="AJ5" i="24" s="1"/>
  <c r="AL5" i="9"/>
  <c r="AK5" i="9"/>
  <c r="AG5" i="24" s="1"/>
  <c r="AJ5" i="9"/>
  <c r="AF5" i="24" s="1"/>
  <c r="AD5" i="9"/>
  <c r="Y5" i="24" s="1"/>
  <c r="AH5" i="9"/>
  <c r="AC5" i="24" s="1"/>
  <c r="AG5" i="9"/>
  <c r="AB5" i="24" s="1"/>
  <c r="AA5" i="9"/>
  <c r="V5" i="24" s="1"/>
  <c r="AE5" i="9"/>
  <c r="Z5" i="24" s="1"/>
  <c r="AI5" i="9"/>
  <c r="AD5" i="24" s="1"/>
  <c r="Z7" i="9"/>
  <c r="AC5" i="9"/>
  <c r="X5" i="24" s="1"/>
  <c r="AB5" i="9"/>
  <c r="W5" i="24" s="1"/>
  <c r="AF5" i="9"/>
  <c r="AA5" i="24" s="1"/>
  <c r="Z4" i="9"/>
  <c r="G5" i="24" s="1"/>
  <c r="AM4" i="9"/>
  <c r="AJ4" i="24" s="1"/>
  <c r="AA4" i="9"/>
  <c r="V4" i="24" s="1"/>
  <c r="AE4" i="9"/>
  <c r="Z4" i="24" s="1"/>
  <c r="AI4" i="9"/>
  <c r="AD4" i="9"/>
  <c r="Y4" i="24" s="1"/>
  <c r="AL4" i="9"/>
  <c r="AB4" i="9"/>
  <c r="I7" i="24" s="1"/>
  <c r="AF4" i="9"/>
  <c r="AJ4" i="9"/>
  <c r="AK4" i="9"/>
  <c r="AC4" i="9"/>
  <c r="AG4" i="9"/>
  <c r="AH4" i="9"/>
  <c r="X6" i="9"/>
  <c r="U4" i="9"/>
  <c r="X5" i="9"/>
  <c r="I21" i="24" s="1"/>
  <c r="X9" i="9"/>
  <c r="AK4" i="24" s="1"/>
  <c r="U8" i="9"/>
  <c r="R6" i="9"/>
  <c r="AF6" i="24" s="1"/>
  <c r="E25" i="18"/>
  <c r="T53" i="24" s="1"/>
  <c r="E41" i="18"/>
  <c r="T69" i="24" s="1"/>
  <c r="G25" i="18"/>
  <c r="V53" i="24" s="1"/>
  <c r="K25" i="18"/>
  <c r="Z53" i="24" s="1"/>
  <c r="O25" i="18"/>
  <c r="AD53" i="24" s="1"/>
  <c r="S25" i="18"/>
  <c r="AH53" i="24" s="1"/>
  <c r="G41" i="18"/>
  <c r="V69" i="24" s="1"/>
  <c r="K41" i="18"/>
  <c r="Z69" i="24" s="1"/>
  <c r="O41" i="18"/>
  <c r="AD69" i="24" s="1"/>
  <c r="S41" i="18"/>
  <c r="AH69" i="24" s="1"/>
  <c r="F25" i="18"/>
  <c r="U53" i="24" s="1"/>
  <c r="H25" i="18"/>
  <c r="W53" i="24" s="1"/>
  <c r="L25" i="18"/>
  <c r="AA53" i="24" s="1"/>
  <c r="P25" i="18"/>
  <c r="AE53" i="24" s="1"/>
  <c r="T25" i="18"/>
  <c r="AI53" i="24" s="1"/>
  <c r="H41" i="18"/>
  <c r="W69" i="24" s="1"/>
  <c r="L41" i="18"/>
  <c r="AA69" i="24" s="1"/>
  <c r="P41" i="18"/>
  <c r="AE69" i="24" s="1"/>
  <c r="T41" i="18"/>
  <c r="AI69" i="24" s="1"/>
  <c r="F41" i="18"/>
  <c r="U69" i="24" s="1"/>
  <c r="I25" i="18"/>
  <c r="X53" i="24" s="1"/>
  <c r="M25" i="18"/>
  <c r="AB53" i="24" s="1"/>
  <c r="Q25" i="18"/>
  <c r="AF53" i="24" s="1"/>
  <c r="U25" i="18"/>
  <c r="AJ53" i="24" s="1"/>
  <c r="I41" i="18"/>
  <c r="X69" i="24" s="1"/>
  <c r="M41" i="18"/>
  <c r="AB69" i="24" s="1"/>
  <c r="Q41" i="18"/>
  <c r="AF69" i="24" s="1"/>
  <c r="U41" i="18"/>
  <c r="AJ69" i="24" s="1"/>
  <c r="J25" i="18"/>
  <c r="Y53" i="24" s="1"/>
  <c r="N25" i="18"/>
  <c r="AC53" i="24" s="1"/>
  <c r="R25" i="18"/>
  <c r="AG53" i="24" s="1"/>
  <c r="V25" i="18"/>
  <c r="AK53" i="24" s="1"/>
  <c r="J41" i="18"/>
  <c r="Y69" i="24" s="1"/>
  <c r="N41" i="18"/>
  <c r="AC69" i="24" s="1"/>
  <c r="R41" i="18"/>
  <c r="AG69" i="24" s="1"/>
  <c r="V41" i="18"/>
  <c r="AK69" i="24" s="1"/>
  <c r="D12" i="11"/>
  <c r="D11" i="11"/>
  <c r="V16" i="8"/>
  <c r="P21" i="8"/>
  <c r="P28" i="8"/>
  <c r="S15" i="8"/>
  <c r="P38" i="8"/>
  <c r="P23" i="8"/>
  <c r="P10" i="8"/>
  <c r="P32" i="8"/>
  <c r="D7" i="10"/>
  <c r="S32" i="8"/>
  <c r="S37" i="8"/>
  <c r="V20" i="8"/>
  <c r="S29" i="8"/>
  <c r="V18" i="8"/>
  <c r="V34" i="8"/>
  <c r="P35" i="8"/>
  <c r="V14" i="8"/>
  <c r="P15" i="8"/>
  <c r="S33" i="8"/>
  <c r="P9" i="8"/>
  <c r="P29" i="8"/>
  <c r="P18" i="8"/>
  <c r="P41" i="8"/>
  <c r="P25" i="8"/>
  <c r="S6" i="8"/>
  <c r="F77" i="10"/>
  <c r="F69" i="10"/>
  <c r="F61" i="10"/>
  <c r="F53" i="10"/>
  <c r="F45" i="10"/>
  <c r="F41" i="10"/>
  <c r="F33" i="10"/>
  <c r="F29" i="10"/>
  <c r="F25" i="10"/>
  <c r="F21" i="10"/>
  <c r="D5" i="10"/>
  <c r="F72" i="10"/>
  <c r="F64" i="10"/>
  <c r="F56" i="10"/>
  <c r="F48" i="10"/>
  <c r="F40" i="10"/>
  <c r="F28" i="10"/>
  <c r="D20" i="10"/>
  <c r="D12" i="10"/>
  <c r="F78" i="10"/>
  <c r="F74" i="10"/>
  <c r="F70" i="10"/>
  <c r="F66" i="10"/>
  <c r="F62" i="10"/>
  <c r="F58" i="10"/>
  <c r="F54" i="10"/>
  <c r="F50" i="10"/>
  <c r="F46" i="10"/>
  <c r="F42" i="10"/>
  <c r="F38" i="10"/>
  <c r="F34" i="10"/>
  <c r="F30" i="10"/>
  <c r="F26" i="10"/>
  <c r="F22" i="10"/>
  <c r="D18" i="10"/>
  <c r="D14" i="10"/>
  <c r="D10" i="10"/>
  <c r="D6" i="10"/>
  <c r="S8" i="8"/>
  <c r="V26" i="8"/>
  <c r="F73" i="10"/>
  <c r="F65" i="10"/>
  <c r="F57" i="10"/>
  <c r="F49" i="10"/>
  <c r="F37" i="10"/>
  <c r="D13" i="10"/>
  <c r="V6" i="8"/>
  <c r="P12" i="8"/>
  <c r="S34" i="8"/>
  <c r="D17" i="10"/>
  <c r="D9" i="10"/>
  <c r="F76" i="10"/>
  <c r="F68" i="10"/>
  <c r="F60" i="10"/>
  <c r="F52" i="10"/>
  <c r="F44" i="10"/>
  <c r="F36" i="10"/>
  <c r="F32" i="10"/>
  <c r="F24" i="10"/>
  <c r="D16" i="10"/>
  <c r="D8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D19" i="10"/>
  <c r="D15" i="10"/>
  <c r="D11" i="10"/>
  <c r="S25" i="8"/>
  <c r="V32" i="8"/>
  <c r="P11" i="8"/>
  <c r="S10" i="8"/>
  <c r="P7" i="8"/>
  <c r="S41" i="8"/>
  <c r="P20" i="8"/>
  <c r="S12" i="8"/>
  <c r="F79" i="10"/>
  <c r="V9" i="8"/>
  <c r="V23" i="8"/>
  <c r="S17" i="8"/>
  <c r="P8" i="8"/>
  <c r="V11" i="8"/>
  <c r="P26" i="8"/>
  <c r="V8" i="8"/>
  <c r="P31" i="8"/>
  <c r="V29" i="8"/>
  <c r="T6" i="11"/>
  <c r="F6" i="11"/>
  <c r="J6" i="11"/>
  <c r="N6" i="11"/>
  <c r="Q5" i="11"/>
  <c r="I5" i="11"/>
  <c r="M5" i="11"/>
  <c r="T4" i="11"/>
  <c r="F4" i="11"/>
  <c r="J4" i="11"/>
  <c r="N4" i="11"/>
  <c r="D4" i="11"/>
  <c r="S6" i="11"/>
  <c r="G6" i="11"/>
  <c r="K6" i="11"/>
  <c r="E6" i="11"/>
  <c r="P5" i="11"/>
  <c r="J5" i="11"/>
  <c r="N5" i="11"/>
  <c r="S4" i="11"/>
  <c r="U4" i="11" s="1"/>
  <c r="G4" i="11"/>
  <c r="K4" i="11"/>
  <c r="E4" i="11"/>
  <c r="Q6" i="11"/>
  <c r="H6" i="11"/>
  <c r="L6" i="11"/>
  <c r="T5" i="11"/>
  <c r="G5" i="11"/>
  <c r="K5" i="11"/>
  <c r="F5" i="11"/>
  <c r="Q4" i="11"/>
  <c r="H4" i="11"/>
  <c r="L4" i="11"/>
  <c r="D6" i="11"/>
  <c r="P6" i="11"/>
  <c r="I6" i="11"/>
  <c r="M6" i="11"/>
  <c r="S5" i="11"/>
  <c r="H5" i="11"/>
  <c r="L5" i="11"/>
  <c r="E5" i="11"/>
  <c r="P4" i="11"/>
  <c r="I4" i="11"/>
  <c r="M4" i="11"/>
  <c r="D5" i="11"/>
  <c r="V10" i="8"/>
  <c r="P14" i="8"/>
  <c r="T58" i="4"/>
  <c r="C12" i="7"/>
  <c r="V21" i="8"/>
  <c r="V33" i="8"/>
  <c r="V41" i="8"/>
  <c r="V15" i="8"/>
  <c r="V28" i="8"/>
  <c r="E16" i="18"/>
  <c r="T44" i="24" s="1"/>
  <c r="E15" i="18"/>
  <c r="T43" i="24" s="1"/>
  <c r="E38" i="18"/>
  <c r="T66" i="24" s="1"/>
  <c r="E6" i="18"/>
  <c r="T34" i="24" s="1"/>
  <c r="E20" i="18"/>
  <c r="T48" i="24" s="1"/>
  <c r="E22" i="18"/>
  <c r="T50" i="24" s="1"/>
  <c r="E27" i="18"/>
  <c r="T55" i="24" s="1"/>
  <c r="E28" i="18"/>
  <c r="T56" i="24" s="1"/>
  <c r="E8" i="18"/>
  <c r="T36" i="24" s="1"/>
  <c r="E33" i="18"/>
  <c r="T61" i="24" s="1"/>
  <c r="E31" i="18"/>
  <c r="T59" i="24" s="1"/>
  <c r="E24" i="18"/>
  <c r="T52" i="24" s="1"/>
  <c r="E13" i="18"/>
  <c r="T41" i="24" s="1"/>
  <c r="E7" i="18"/>
  <c r="T35" i="24" s="1"/>
  <c r="E10" i="18"/>
  <c r="T38" i="24" s="1"/>
  <c r="E14" i="18"/>
  <c r="T42" i="24" s="1"/>
  <c r="E32" i="18"/>
  <c r="T60" i="24" s="1"/>
  <c r="E35" i="18"/>
  <c r="T63" i="24" s="1"/>
  <c r="E18" i="18"/>
  <c r="T46" i="24" s="1"/>
  <c r="E37" i="18"/>
  <c r="T65" i="24" s="1"/>
  <c r="E26" i="18"/>
  <c r="T54" i="24" s="1"/>
  <c r="E9" i="18"/>
  <c r="T37" i="24" s="1"/>
  <c r="E12" i="18"/>
  <c r="T40" i="24" s="1"/>
  <c r="E29" i="18"/>
  <c r="T57" i="24" s="1"/>
  <c r="E4" i="18"/>
  <c r="T32" i="24" s="1"/>
  <c r="E40" i="18"/>
  <c r="T68" i="24" s="1"/>
  <c r="E30" i="18"/>
  <c r="T58" i="24" s="1"/>
  <c r="E11" i="18"/>
  <c r="T39" i="24" s="1"/>
  <c r="E34" i="18"/>
  <c r="T62" i="24" s="1"/>
  <c r="E21" i="18"/>
  <c r="T49" i="24" s="1"/>
  <c r="E36" i="18"/>
  <c r="T64" i="24" s="1"/>
  <c r="E19" i="18"/>
  <c r="T47" i="24" s="1"/>
  <c r="E5" i="18"/>
  <c r="T33" i="24" s="1"/>
  <c r="E39" i="18"/>
  <c r="T67" i="24" s="1"/>
  <c r="E17" i="18"/>
  <c r="T45" i="24" s="1"/>
  <c r="E23" i="18"/>
  <c r="T51" i="24" s="1"/>
  <c r="G37" i="18"/>
  <c r="V65" i="24" s="1"/>
  <c r="K37" i="18"/>
  <c r="Z65" i="24" s="1"/>
  <c r="O37" i="18"/>
  <c r="AD65" i="24" s="1"/>
  <c r="S37" i="18"/>
  <c r="AH65" i="24" s="1"/>
  <c r="G14" i="18"/>
  <c r="V42" i="24" s="1"/>
  <c r="K14" i="18"/>
  <c r="Z42" i="24" s="1"/>
  <c r="O14" i="18"/>
  <c r="AD42" i="24" s="1"/>
  <c r="S14" i="18"/>
  <c r="AH42" i="24" s="1"/>
  <c r="G29" i="18"/>
  <c r="V57" i="24" s="1"/>
  <c r="K29" i="18"/>
  <c r="Z57" i="24" s="1"/>
  <c r="O29" i="18"/>
  <c r="AD57" i="24" s="1"/>
  <c r="S29" i="18"/>
  <c r="AH57" i="24" s="1"/>
  <c r="G38" i="18"/>
  <c r="V66" i="24" s="1"/>
  <c r="K38" i="18"/>
  <c r="Z66" i="24" s="1"/>
  <c r="O38" i="18"/>
  <c r="AD66" i="24" s="1"/>
  <c r="S38" i="18"/>
  <c r="AH66" i="24" s="1"/>
  <c r="G13" i="18"/>
  <c r="V41" i="24" s="1"/>
  <c r="K13" i="18"/>
  <c r="Z41" i="24" s="1"/>
  <c r="O13" i="18"/>
  <c r="AD41" i="24" s="1"/>
  <c r="S13" i="18"/>
  <c r="AH41" i="24" s="1"/>
  <c r="G26" i="18"/>
  <c r="V54" i="24" s="1"/>
  <c r="K26" i="18"/>
  <c r="Z54" i="24" s="1"/>
  <c r="O26" i="18"/>
  <c r="AD54" i="24" s="1"/>
  <c r="S26" i="18"/>
  <c r="AH54" i="24" s="1"/>
  <c r="G8" i="18"/>
  <c r="V36" i="24" s="1"/>
  <c r="K8" i="18"/>
  <c r="Z36" i="24" s="1"/>
  <c r="O8" i="18"/>
  <c r="AD36" i="24" s="1"/>
  <c r="S8" i="18"/>
  <c r="AH36" i="24" s="1"/>
  <c r="G32" i="18"/>
  <c r="V60" i="24" s="1"/>
  <c r="K32" i="18"/>
  <c r="Z60" i="24" s="1"/>
  <c r="O32" i="18"/>
  <c r="AD60" i="24" s="1"/>
  <c r="S32" i="18"/>
  <c r="AH60" i="24" s="1"/>
  <c r="G5" i="18"/>
  <c r="V33" i="24" s="1"/>
  <c r="K5" i="18"/>
  <c r="Z33" i="24" s="1"/>
  <c r="O5" i="18"/>
  <c r="AD33" i="24" s="1"/>
  <c r="S5" i="18"/>
  <c r="AH33" i="24" s="1"/>
  <c r="G23" i="18"/>
  <c r="V51" i="24" s="1"/>
  <c r="K23" i="18"/>
  <c r="Z51" i="24" s="1"/>
  <c r="O23" i="18"/>
  <c r="AD51" i="24" s="1"/>
  <c r="S23" i="18"/>
  <c r="AH51" i="24" s="1"/>
  <c r="G4" i="18"/>
  <c r="V32" i="24" s="1"/>
  <c r="K4" i="18"/>
  <c r="Z32" i="24" s="1"/>
  <c r="O4" i="18"/>
  <c r="AD32" i="24" s="1"/>
  <c r="S4" i="18"/>
  <c r="AH32" i="24" s="1"/>
  <c r="F37" i="18"/>
  <c r="U65" i="24" s="1"/>
  <c r="F13" i="18"/>
  <c r="U41" i="24" s="1"/>
  <c r="F5" i="18"/>
  <c r="U33" i="24" s="1"/>
  <c r="H37" i="18"/>
  <c r="W65" i="24" s="1"/>
  <c r="L37" i="18"/>
  <c r="AA65" i="24" s="1"/>
  <c r="P37" i="18"/>
  <c r="AE65" i="24" s="1"/>
  <c r="T37" i="18"/>
  <c r="AI65" i="24" s="1"/>
  <c r="H14" i="18"/>
  <c r="W42" i="24" s="1"/>
  <c r="L14" i="18"/>
  <c r="AA42" i="24" s="1"/>
  <c r="P14" i="18"/>
  <c r="AE42" i="24" s="1"/>
  <c r="T14" i="18"/>
  <c r="AI42" i="24" s="1"/>
  <c r="H29" i="18"/>
  <c r="W57" i="24" s="1"/>
  <c r="L29" i="18"/>
  <c r="AA57" i="24" s="1"/>
  <c r="P29" i="18"/>
  <c r="AE57" i="24" s="1"/>
  <c r="T29" i="18"/>
  <c r="AI57" i="24" s="1"/>
  <c r="H38" i="18"/>
  <c r="W66" i="24" s="1"/>
  <c r="L38" i="18"/>
  <c r="AA66" i="24" s="1"/>
  <c r="P38" i="18"/>
  <c r="AE66" i="24" s="1"/>
  <c r="T38" i="18"/>
  <c r="AI66" i="24" s="1"/>
  <c r="H13" i="18"/>
  <c r="W41" i="24" s="1"/>
  <c r="L13" i="18"/>
  <c r="AA41" i="24" s="1"/>
  <c r="P13" i="18"/>
  <c r="AE41" i="24" s="1"/>
  <c r="T13" i="18"/>
  <c r="AI41" i="24" s="1"/>
  <c r="H26" i="18"/>
  <c r="W54" i="24" s="1"/>
  <c r="L26" i="18"/>
  <c r="AA54" i="24" s="1"/>
  <c r="P26" i="18"/>
  <c r="AE54" i="24" s="1"/>
  <c r="T26" i="18"/>
  <c r="AI54" i="24" s="1"/>
  <c r="H8" i="18"/>
  <c r="W36" i="24" s="1"/>
  <c r="L8" i="18"/>
  <c r="AA36" i="24" s="1"/>
  <c r="P8" i="18"/>
  <c r="AE36" i="24" s="1"/>
  <c r="T8" i="18"/>
  <c r="AI36" i="24" s="1"/>
  <c r="H32" i="18"/>
  <c r="W60" i="24" s="1"/>
  <c r="L32" i="18"/>
  <c r="AA60" i="24" s="1"/>
  <c r="P32" i="18"/>
  <c r="AE60" i="24" s="1"/>
  <c r="T32" i="18"/>
  <c r="AI60" i="24" s="1"/>
  <c r="H5" i="18"/>
  <c r="W33" i="24" s="1"/>
  <c r="L5" i="18"/>
  <c r="AA33" i="24" s="1"/>
  <c r="P5" i="18"/>
  <c r="AE33" i="24" s="1"/>
  <c r="T5" i="18"/>
  <c r="AI33" i="24" s="1"/>
  <c r="H23" i="18"/>
  <c r="W51" i="24" s="1"/>
  <c r="L23" i="18"/>
  <c r="AA51" i="24" s="1"/>
  <c r="P23" i="18"/>
  <c r="AE51" i="24" s="1"/>
  <c r="T23" i="18"/>
  <c r="AI51" i="24" s="1"/>
  <c r="H4" i="18"/>
  <c r="W32" i="24" s="1"/>
  <c r="L4" i="18"/>
  <c r="AA32" i="24" s="1"/>
  <c r="P4" i="18"/>
  <c r="AE32" i="24" s="1"/>
  <c r="T4" i="18"/>
  <c r="AI32" i="24" s="1"/>
  <c r="F14" i="18"/>
  <c r="U42" i="24" s="1"/>
  <c r="F26" i="18"/>
  <c r="U54" i="24" s="1"/>
  <c r="F23" i="18"/>
  <c r="U51" i="24" s="1"/>
  <c r="I37" i="18"/>
  <c r="X65" i="24" s="1"/>
  <c r="M37" i="18"/>
  <c r="AB65" i="24" s="1"/>
  <c r="Q37" i="18"/>
  <c r="AF65" i="24" s="1"/>
  <c r="U37" i="18"/>
  <c r="AJ65" i="24" s="1"/>
  <c r="I14" i="18"/>
  <c r="X42" i="24" s="1"/>
  <c r="M14" i="18"/>
  <c r="AB42" i="24" s="1"/>
  <c r="Q14" i="18"/>
  <c r="AF42" i="24" s="1"/>
  <c r="U14" i="18"/>
  <c r="AJ42" i="24" s="1"/>
  <c r="I29" i="18"/>
  <c r="X57" i="24" s="1"/>
  <c r="M29" i="18"/>
  <c r="AB57" i="24" s="1"/>
  <c r="Q29" i="18"/>
  <c r="AF57" i="24" s="1"/>
  <c r="U29" i="18"/>
  <c r="AJ57" i="24" s="1"/>
  <c r="I38" i="18"/>
  <c r="X66" i="24" s="1"/>
  <c r="M38" i="18"/>
  <c r="AB66" i="24" s="1"/>
  <c r="Q38" i="18"/>
  <c r="AF66" i="24" s="1"/>
  <c r="U38" i="18"/>
  <c r="AJ66" i="24" s="1"/>
  <c r="I13" i="18"/>
  <c r="X41" i="24" s="1"/>
  <c r="M13" i="18"/>
  <c r="AB41" i="24" s="1"/>
  <c r="Q13" i="18"/>
  <c r="AF41" i="24" s="1"/>
  <c r="U13" i="18"/>
  <c r="AJ41" i="24" s="1"/>
  <c r="I26" i="18"/>
  <c r="X54" i="24" s="1"/>
  <c r="M26" i="18"/>
  <c r="AB54" i="24" s="1"/>
  <c r="Q26" i="18"/>
  <c r="AF54" i="24" s="1"/>
  <c r="U26" i="18"/>
  <c r="AJ54" i="24" s="1"/>
  <c r="I8" i="18"/>
  <c r="X36" i="24" s="1"/>
  <c r="M8" i="18"/>
  <c r="AB36" i="24" s="1"/>
  <c r="Q8" i="18"/>
  <c r="AF36" i="24" s="1"/>
  <c r="U8" i="18"/>
  <c r="AJ36" i="24" s="1"/>
  <c r="I32" i="18"/>
  <c r="X60" i="24" s="1"/>
  <c r="M32" i="18"/>
  <c r="AB60" i="24" s="1"/>
  <c r="Q32" i="18"/>
  <c r="AF60" i="24" s="1"/>
  <c r="U32" i="18"/>
  <c r="AJ60" i="24" s="1"/>
  <c r="I5" i="18"/>
  <c r="X33" i="24" s="1"/>
  <c r="M5" i="18"/>
  <c r="AB33" i="24" s="1"/>
  <c r="Q5" i="18"/>
  <c r="AF33" i="24" s="1"/>
  <c r="U5" i="18"/>
  <c r="AJ33" i="24" s="1"/>
  <c r="I23" i="18"/>
  <c r="X51" i="24" s="1"/>
  <c r="M23" i="18"/>
  <c r="AB51" i="24" s="1"/>
  <c r="Q23" i="18"/>
  <c r="AF51" i="24" s="1"/>
  <c r="U23" i="18"/>
  <c r="AJ51" i="24" s="1"/>
  <c r="I4" i="18"/>
  <c r="X32" i="24" s="1"/>
  <c r="M4" i="18"/>
  <c r="AB32" i="24" s="1"/>
  <c r="Q4" i="18"/>
  <c r="AF32" i="24" s="1"/>
  <c r="U4" i="18"/>
  <c r="AJ32" i="24" s="1"/>
  <c r="F29" i="18"/>
  <c r="U57" i="24" s="1"/>
  <c r="F8" i="18"/>
  <c r="U36" i="24" s="1"/>
  <c r="F4" i="18"/>
  <c r="U32" i="24" s="1"/>
  <c r="J37" i="18"/>
  <c r="Y65" i="24" s="1"/>
  <c r="N37" i="18"/>
  <c r="AC65" i="24" s="1"/>
  <c r="R37" i="18"/>
  <c r="AG65" i="24" s="1"/>
  <c r="V37" i="18"/>
  <c r="AK65" i="24" s="1"/>
  <c r="J14" i="18"/>
  <c r="Y42" i="24" s="1"/>
  <c r="N14" i="18"/>
  <c r="AC42" i="24" s="1"/>
  <c r="R14" i="18"/>
  <c r="AG42" i="24" s="1"/>
  <c r="V14" i="18"/>
  <c r="AK42" i="24" s="1"/>
  <c r="J29" i="18"/>
  <c r="Y57" i="24" s="1"/>
  <c r="N29" i="18"/>
  <c r="AC57" i="24" s="1"/>
  <c r="R29" i="18"/>
  <c r="AG57" i="24" s="1"/>
  <c r="V29" i="18"/>
  <c r="AK57" i="24" s="1"/>
  <c r="J38" i="18"/>
  <c r="Y66" i="24" s="1"/>
  <c r="N38" i="18"/>
  <c r="AC66" i="24" s="1"/>
  <c r="R38" i="18"/>
  <c r="AG66" i="24" s="1"/>
  <c r="V38" i="18"/>
  <c r="AK66" i="24" s="1"/>
  <c r="J13" i="18"/>
  <c r="Y41" i="24" s="1"/>
  <c r="N13" i="18"/>
  <c r="AC41" i="24" s="1"/>
  <c r="R13" i="18"/>
  <c r="AG41" i="24" s="1"/>
  <c r="V13" i="18"/>
  <c r="AK41" i="24" s="1"/>
  <c r="J26" i="18"/>
  <c r="Y54" i="24" s="1"/>
  <c r="N26" i="18"/>
  <c r="AC54" i="24" s="1"/>
  <c r="R26" i="18"/>
  <c r="AG54" i="24" s="1"/>
  <c r="V26" i="18"/>
  <c r="AK54" i="24" s="1"/>
  <c r="J8" i="18"/>
  <c r="Y36" i="24" s="1"/>
  <c r="N8" i="18"/>
  <c r="AC36" i="24" s="1"/>
  <c r="R8" i="18"/>
  <c r="AG36" i="24" s="1"/>
  <c r="V8" i="18"/>
  <c r="AK36" i="24" s="1"/>
  <c r="J32" i="18"/>
  <c r="Y60" i="24" s="1"/>
  <c r="N32" i="18"/>
  <c r="AC60" i="24" s="1"/>
  <c r="R32" i="18"/>
  <c r="AG60" i="24" s="1"/>
  <c r="V32" i="18"/>
  <c r="AK60" i="24" s="1"/>
  <c r="J5" i="18"/>
  <c r="Y33" i="24" s="1"/>
  <c r="N5" i="18"/>
  <c r="AC33" i="24" s="1"/>
  <c r="R5" i="18"/>
  <c r="AG33" i="24" s="1"/>
  <c r="V5" i="18"/>
  <c r="AK33" i="24" s="1"/>
  <c r="J23" i="18"/>
  <c r="Y51" i="24" s="1"/>
  <c r="N23" i="18"/>
  <c r="AC51" i="24" s="1"/>
  <c r="R23" i="18"/>
  <c r="AG51" i="24" s="1"/>
  <c r="V23" i="18"/>
  <c r="AK51" i="24" s="1"/>
  <c r="J4" i="18"/>
  <c r="Y32" i="24" s="1"/>
  <c r="N4" i="18"/>
  <c r="AC32" i="24" s="1"/>
  <c r="R4" i="18"/>
  <c r="AG32" i="24" s="1"/>
  <c r="V4" i="18"/>
  <c r="AK32" i="24" s="1"/>
  <c r="F38" i="18"/>
  <c r="U66" i="24" s="1"/>
  <c r="F32" i="18"/>
  <c r="U60" i="24" s="1"/>
  <c r="S5" i="8"/>
  <c r="S23" i="8"/>
  <c r="S18" i="8"/>
  <c r="S4" i="8"/>
  <c r="S21" i="8"/>
  <c r="P22" i="8"/>
  <c r="S9" i="8"/>
  <c r="S24" i="8"/>
  <c r="S16" i="8"/>
  <c r="S7" i="8"/>
  <c r="P33" i="8"/>
  <c r="V5" i="8"/>
  <c r="P30" i="8"/>
  <c r="W71" i="4"/>
  <c r="W84" i="4"/>
  <c r="W45" i="4"/>
  <c r="W19" i="4"/>
  <c r="W32" i="4"/>
  <c r="W58" i="4"/>
  <c r="T71" i="4"/>
  <c r="Q45" i="4"/>
  <c r="Q84" i="4"/>
  <c r="Q71" i="4"/>
  <c r="Q32" i="4"/>
  <c r="Q19" i="4"/>
  <c r="Q58" i="4"/>
  <c r="T45" i="4"/>
  <c r="T19" i="4"/>
  <c r="T84" i="4"/>
  <c r="T32" i="4"/>
  <c r="B8" i="9"/>
  <c r="B9" i="9" s="1"/>
  <c r="F6" i="9"/>
  <c r="F8" i="9"/>
  <c r="V13" i="8"/>
  <c r="S28" i="8"/>
  <c r="V7" i="8"/>
  <c r="S38" i="8"/>
  <c r="S35" i="8"/>
  <c r="S30" i="8"/>
  <c r="V38" i="8"/>
  <c r="V35" i="8"/>
  <c r="S22" i="8"/>
  <c r="V17" i="8"/>
  <c r="P13" i="8"/>
  <c r="B8" i="8"/>
  <c r="B9" i="8" s="1"/>
  <c r="G24" i="18"/>
  <c r="V52" i="24" s="1"/>
  <c r="K24" i="18"/>
  <c r="Z52" i="24" s="1"/>
  <c r="O24" i="18"/>
  <c r="AD52" i="24" s="1"/>
  <c r="S24" i="18"/>
  <c r="AH52" i="24" s="1"/>
  <c r="G27" i="18"/>
  <c r="V55" i="24" s="1"/>
  <c r="K27" i="18"/>
  <c r="Z55" i="24" s="1"/>
  <c r="O27" i="18"/>
  <c r="AD55" i="24" s="1"/>
  <c r="S27" i="18"/>
  <c r="AH55" i="24" s="1"/>
  <c r="G15" i="18"/>
  <c r="V43" i="24" s="1"/>
  <c r="K15" i="18"/>
  <c r="Z43" i="24" s="1"/>
  <c r="O15" i="18"/>
  <c r="AD43" i="24" s="1"/>
  <c r="S15" i="18"/>
  <c r="AH43" i="24" s="1"/>
  <c r="G34" i="18"/>
  <c r="V62" i="24" s="1"/>
  <c r="K34" i="18"/>
  <c r="Z62" i="24" s="1"/>
  <c r="O34" i="18"/>
  <c r="AD62" i="24" s="1"/>
  <c r="S34" i="18"/>
  <c r="AH62" i="24" s="1"/>
  <c r="G39" i="18"/>
  <c r="V67" i="24" s="1"/>
  <c r="K39" i="18"/>
  <c r="Z67" i="24" s="1"/>
  <c r="O39" i="18"/>
  <c r="AD67" i="24" s="1"/>
  <c r="S39" i="18"/>
  <c r="AH67" i="24" s="1"/>
  <c r="G18" i="18"/>
  <c r="V46" i="24" s="1"/>
  <c r="K18" i="18"/>
  <c r="Z46" i="24" s="1"/>
  <c r="O18" i="18"/>
  <c r="AD46" i="24" s="1"/>
  <c r="S18" i="18"/>
  <c r="AH46" i="24" s="1"/>
  <c r="G6" i="18"/>
  <c r="V34" i="24" s="1"/>
  <c r="K6" i="18"/>
  <c r="Z34" i="24" s="1"/>
  <c r="O6" i="18"/>
  <c r="AD34" i="24" s="1"/>
  <c r="S6" i="18"/>
  <c r="AH34" i="24" s="1"/>
  <c r="G20" i="18"/>
  <c r="V48" i="24" s="1"/>
  <c r="K20" i="18"/>
  <c r="Z48" i="24" s="1"/>
  <c r="O20" i="18"/>
  <c r="AD48" i="24" s="1"/>
  <c r="S20" i="18"/>
  <c r="AH48" i="24" s="1"/>
  <c r="G30" i="18"/>
  <c r="V58" i="24" s="1"/>
  <c r="K30" i="18"/>
  <c r="Z58" i="24" s="1"/>
  <c r="O30" i="18"/>
  <c r="AD58" i="24" s="1"/>
  <c r="S30" i="18"/>
  <c r="AH58" i="24" s="1"/>
  <c r="G19" i="18"/>
  <c r="V47" i="24" s="1"/>
  <c r="K19" i="18"/>
  <c r="Z47" i="24" s="1"/>
  <c r="O19" i="18"/>
  <c r="AD47" i="24" s="1"/>
  <c r="S19" i="18"/>
  <c r="AH47" i="24" s="1"/>
  <c r="G10" i="18"/>
  <c r="V38" i="24" s="1"/>
  <c r="K10" i="18"/>
  <c r="Z38" i="24" s="1"/>
  <c r="O10" i="18"/>
  <c r="AD38" i="24" s="1"/>
  <c r="S10" i="18"/>
  <c r="AH38" i="24" s="1"/>
  <c r="G17" i="18"/>
  <c r="V45" i="24" s="1"/>
  <c r="K17" i="18"/>
  <c r="Z45" i="24" s="1"/>
  <c r="O17" i="18"/>
  <c r="AD45" i="24" s="1"/>
  <c r="S17" i="18"/>
  <c r="AH45" i="24" s="1"/>
  <c r="G31" i="18"/>
  <c r="V59" i="24" s="1"/>
  <c r="K31" i="18"/>
  <c r="Z59" i="24" s="1"/>
  <c r="O31" i="18"/>
  <c r="AD59" i="24" s="1"/>
  <c r="S31" i="18"/>
  <c r="AH59" i="24" s="1"/>
  <c r="G7" i="18"/>
  <c r="V35" i="24" s="1"/>
  <c r="K7" i="18"/>
  <c r="Z35" i="24" s="1"/>
  <c r="O7" i="18"/>
  <c r="AD35" i="24" s="1"/>
  <c r="S7" i="18"/>
  <c r="AH35" i="24" s="1"/>
  <c r="G12" i="18"/>
  <c r="V40" i="24" s="1"/>
  <c r="K12" i="18"/>
  <c r="Z40" i="24" s="1"/>
  <c r="O12" i="18"/>
  <c r="AD40" i="24" s="1"/>
  <c r="S12" i="18"/>
  <c r="AH40" i="24" s="1"/>
  <c r="G22" i="18"/>
  <c r="V50" i="24" s="1"/>
  <c r="K22" i="18"/>
  <c r="Z50" i="24" s="1"/>
  <c r="O22" i="18"/>
  <c r="AD50" i="24" s="1"/>
  <c r="S22" i="18"/>
  <c r="AH50" i="24" s="1"/>
  <c r="G28" i="18"/>
  <c r="V56" i="24" s="1"/>
  <c r="K28" i="18"/>
  <c r="Z56" i="24" s="1"/>
  <c r="O28" i="18"/>
  <c r="AD56" i="24" s="1"/>
  <c r="S28" i="18"/>
  <c r="AH56" i="24" s="1"/>
  <c r="G11" i="18"/>
  <c r="V39" i="24" s="1"/>
  <c r="K11" i="18"/>
  <c r="Z39" i="24" s="1"/>
  <c r="O11" i="18"/>
  <c r="AD39" i="24" s="1"/>
  <c r="S11" i="18"/>
  <c r="AH39" i="24" s="1"/>
  <c r="G9" i="18"/>
  <c r="V37" i="24" s="1"/>
  <c r="K9" i="18"/>
  <c r="Z37" i="24" s="1"/>
  <c r="H24" i="18"/>
  <c r="W52" i="24" s="1"/>
  <c r="L24" i="18"/>
  <c r="AA52" i="24" s="1"/>
  <c r="P24" i="18"/>
  <c r="AE52" i="24" s="1"/>
  <c r="T24" i="18"/>
  <c r="AI52" i="24" s="1"/>
  <c r="H27" i="18"/>
  <c r="W55" i="24" s="1"/>
  <c r="L27" i="18"/>
  <c r="AA55" i="24" s="1"/>
  <c r="P27" i="18"/>
  <c r="AE55" i="24" s="1"/>
  <c r="T27" i="18"/>
  <c r="AI55" i="24" s="1"/>
  <c r="H15" i="18"/>
  <c r="W43" i="24" s="1"/>
  <c r="L15" i="18"/>
  <c r="AA43" i="24" s="1"/>
  <c r="P15" i="18"/>
  <c r="AE43" i="24" s="1"/>
  <c r="T15" i="18"/>
  <c r="AI43" i="24" s="1"/>
  <c r="H34" i="18"/>
  <c r="W62" i="24" s="1"/>
  <c r="L34" i="18"/>
  <c r="AA62" i="24" s="1"/>
  <c r="P34" i="18"/>
  <c r="AE62" i="24" s="1"/>
  <c r="T34" i="18"/>
  <c r="AI62" i="24" s="1"/>
  <c r="H39" i="18"/>
  <c r="W67" i="24" s="1"/>
  <c r="L39" i="18"/>
  <c r="AA67" i="24" s="1"/>
  <c r="P39" i="18"/>
  <c r="AE67" i="24" s="1"/>
  <c r="T39" i="18"/>
  <c r="AI67" i="24" s="1"/>
  <c r="H18" i="18"/>
  <c r="W46" i="24" s="1"/>
  <c r="L18" i="18"/>
  <c r="AA46" i="24" s="1"/>
  <c r="P18" i="18"/>
  <c r="AE46" i="24" s="1"/>
  <c r="T18" i="18"/>
  <c r="AI46" i="24" s="1"/>
  <c r="H6" i="18"/>
  <c r="W34" i="24" s="1"/>
  <c r="L6" i="18"/>
  <c r="AA34" i="24" s="1"/>
  <c r="P6" i="18"/>
  <c r="AE34" i="24" s="1"/>
  <c r="T6" i="18"/>
  <c r="AI34" i="24" s="1"/>
  <c r="H20" i="18"/>
  <c r="W48" i="24" s="1"/>
  <c r="L20" i="18"/>
  <c r="AA48" i="24" s="1"/>
  <c r="P20" i="18"/>
  <c r="AE48" i="24" s="1"/>
  <c r="T20" i="18"/>
  <c r="AI48" i="24" s="1"/>
  <c r="H30" i="18"/>
  <c r="W58" i="24" s="1"/>
  <c r="L30" i="18"/>
  <c r="AA58" i="24" s="1"/>
  <c r="P30" i="18"/>
  <c r="AE58" i="24" s="1"/>
  <c r="T30" i="18"/>
  <c r="AI58" i="24" s="1"/>
  <c r="H19" i="18"/>
  <c r="W47" i="24" s="1"/>
  <c r="L19" i="18"/>
  <c r="AA47" i="24" s="1"/>
  <c r="P19" i="18"/>
  <c r="AE47" i="24" s="1"/>
  <c r="T19" i="18"/>
  <c r="AI47" i="24" s="1"/>
  <c r="H10" i="18"/>
  <c r="W38" i="24" s="1"/>
  <c r="L10" i="18"/>
  <c r="AA38" i="24" s="1"/>
  <c r="P10" i="18"/>
  <c r="AE38" i="24" s="1"/>
  <c r="T10" i="18"/>
  <c r="AI38" i="24" s="1"/>
  <c r="H17" i="18"/>
  <c r="W45" i="24" s="1"/>
  <c r="L17" i="18"/>
  <c r="AA45" i="24" s="1"/>
  <c r="P17" i="18"/>
  <c r="AE45" i="24" s="1"/>
  <c r="T17" i="18"/>
  <c r="AI45" i="24" s="1"/>
  <c r="H31" i="18"/>
  <c r="W59" i="24" s="1"/>
  <c r="L31" i="18"/>
  <c r="AA59" i="24" s="1"/>
  <c r="P31" i="18"/>
  <c r="AE59" i="24" s="1"/>
  <c r="T31" i="18"/>
  <c r="AI59" i="24" s="1"/>
  <c r="H7" i="18"/>
  <c r="W35" i="24" s="1"/>
  <c r="L7" i="18"/>
  <c r="AA35" i="24" s="1"/>
  <c r="P7" i="18"/>
  <c r="AE35" i="24" s="1"/>
  <c r="T7" i="18"/>
  <c r="AI35" i="24" s="1"/>
  <c r="H12" i="18"/>
  <c r="W40" i="24" s="1"/>
  <c r="L12" i="18"/>
  <c r="AA40" i="24" s="1"/>
  <c r="P12" i="18"/>
  <c r="AE40" i="24" s="1"/>
  <c r="T12" i="18"/>
  <c r="AI40" i="24" s="1"/>
  <c r="H22" i="18"/>
  <c r="W50" i="24" s="1"/>
  <c r="L22" i="18"/>
  <c r="AA50" i="24" s="1"/>
  <c r="P22" i="18"/>
  <c r="AE50" i="24" s="1"/>
  <c r="T22" i="18"/>
  <c r="AI50" i="24" s="1"/>
  <c r="H28" i="18"/>
  <c r="W56" i="24" s="1"/>
  <c r="L28" i="18"/>
  <c r="AA56" i="24" s="1"/>
  <c r="P28" i="18"/>
  <c r="AE56" i="24" s="1"/>
  <c r="T28" i="18"/>
  <c r="AI56" i="24" s="1"/>
  <c r="H11" i="18"/>
  <c r="W39" i="24" s="1"/>
  <c r="L11" i="18"/>
  <c r="AA39" i="24" s="1"/>
  <c r="P11" i="18"/>
  <c r="AE39" i="24" s="1"/>
  <c r="T11" i="18"/>
  <c r="AI39" i="24" s="1"/>
  <c r="H9" i="18"/>
  <c r="W37" i="24" s="1"/>
  <c r="L9" i="18"/>
  <c r="AA37" i="24" s="1"/>
  <c r="P9" i="18"/>
  <c r="AE37" i="24" s="1"/>
  <c r="T9" i="18"/>
  <c r="AI37" i="24" s="1"/>
  <c r="H33" i="18"/>
  <c r="W61" i="24" s="1"/>
  <c r="L33" i="18"/>
  <c r="AA61" i="24" s="1"/>
  <c r="P33" i="18"/>
  <c r="AE61" i="24" s="1"/>
  <c r="T33" i="18"/>
  <c r="AI61" i="24" s="1"/>
  <c r="H21" i="18"/>
  <c r="W49" i="24" s="1"/>
  <c r="L21" i="18"/>
  <c r="AA49" i="24" s="1"/>
  <c r="P21" i="18"/>
  <c r="AE49" i="24" s="1"/>
  <c r="T21" i="18"/>
  <c r="AI49" i="24" s="1"/>
  <c r="H40" i="18"/>
  <c r="W68" i="24" s="1"/>
  <c r="I24" i="18"/>
  <c r="X52" i="24" s="1"/>
  <c r="M24" i="18"/>
  <c r="AB52" i="24" s="1"/>
  <c r="Q24" i="18"/>
  <c r="AF52" i="24" s="1"/>
  <c r="U24" i="18"/>
  <c r="AJ52" i="24" s="1"/>
  <c r="I27" i="18"/>
  <c r="X55" i="24" s="1"/>
  <c r="M27" i="18"/>
  <c r="AB55" i="24" s="1"/>
  <c r="Q27" i="18"/>
  <c r="AF55" i="24" s="1"/>
  <c r="U27" i="18"/>
  <c r="AJ55" i="24" s="1"/>
  <c r="I15" i="18"/>
  <c r="X43" i="24" s="1"/>
  <c r="M15" i="18"/>
  <c r="AB43" i="24" s="1"/>
  <c r="Q15" i="18"/>
  <c r="AF43" i="24" s="1"/>
  <c r="U15" i="18"/>
  <c r="AJ43" i="24" s="1"/>
  <c r="I34" i="18"/>
  <c r="X62" i="24" s="1"/>
  <c r="M34" i="18"/>
  <c r="AB62" i="24" s="1"/>
  <c r="Q34" i="18"/>
  <c r="AF62" i="24" s="1"/>
  <c r="U34" i="18"/>
  <c r="AJ62" i="24" s="1"/>
  <c r="I39" i="18"/>
  <c r="X67" i="24" s="1"/>
  <c r="M39" i="18"/>
  <c r="AB67" i="24" s="1"/>
  <c r="Q39" i="18"/>
  <c r="AF67" i="24" s="1"/>
  <c r="U39" i="18"/>
  <c r="AJ67" i="24" s="1"/>
  <c r="I18" i="18"/>
  <c r="X46" i="24" s="1"/>
  <c r="M18" i="18"/>
  <c r="AB46" i="24" s="1"/>
  <c r="Q18" i="18"/>
  <c r="AF46" i="24" s="1"/>
  <c r="U18" i="18"/>
  <c r="AJ46" i="24" s="1"/>
  <c r="I6" i="18"/>
  <c r="X34" i="24" s="1"/>
  <c r="M6" i="18"/>
  <c r="AB34" i="24" s="1"/>
  <c r="Q6" i="18"/>
  <c r="AF34" i="24" s="1"/>
  <c r="U6" i="18"/>
  <c r="AJ34" i="24" s="1"/>
  <c r="I20" i="18"/>
  <c r="X48" i="24" s="1"/>
  <c r="M20" i="18"/>
  <c r="AB48" i="24" s="1"/>
  <c r="Q20" i="18"/>
  <c r="AF48" i="24" s="1"/>
  <c r="U20" i="18"/>
  <c r="AJ48" i="24" s="1"/>
  <c r="I30" i="18"/>
  <c r="X58" i="24" s="1"/>
  <c r="M30" i="18"/>
  <c r="AB58" i="24" s="1"/>
  <c r="Q30" i="18"/>
  <c r="AF58" i="24" s="1"/>
  <c r="U30" i="18"/>
  <c r="AJ58" i="24" s="1"/>
  <c r="I19" i="18"/>
  <c r="X47" i="24" s="1"/>
  <c r="M19" i="18"/>
  <c r="AB47" i="24" s="1"/>
  <c r="Q19" i="18"/>
  <c r="AF47" i="24" s="1"/>
  <c r="U19" i="18"/>
  <c r="AJ47" i="24" s="1"/>
  <c r="I10" i="18"/>
  <c r="X38" i="24" s="1"/>
  <c r="M10" i="18"/>
  <c r="AB38" i="24" s="1"/>
  <c r="Q10" i="18"/>
  <c r="AF38" i="24" s="1"/>
  <c r="U10" i="18"/>
  <c r="AJ38" i="24" s="1"/>
  <c r="I17" i="18"/>
  <c r="X45" i="24" s="1"/>
  <c r="M17" i="18"/>
  <c r="AB45" i="24" s="1"/>
  <c r="Q17" i="18"/>
  <c r="AF45" i="24" s="1"/>
  <c r="U17" i="18"/>
  <c r="AJ45" i="24" s="1"/>
  <c r="I31" i="18"/>
  <c r="X59" i="24" s="1"/>
  <c r="M31" i="18"/>
  <c r="AB59" i="24" s="1"/>
  <c r="Q31" i="18"/>
  <c r="AF59" i="24" s="1"/>
  <c r="U31" i="18"/>
  <c r="AJ59" i="24" s="1"/>
  <c r="I7" i="18"/>
  <c r="X35" i="24" s="1"/>
  <c r="M7" i="18"/>
  <c r="AB35" i="24" s="1"/>
  <c r="Q7" i="18"/>
  <c r="AF35" i="24" s="1"/>
  <c r="U7" i="18"/>
  <c r="AJ35" i="24" s="1"/>
  <c r="I12" i="18"/>
  <c r="X40" i="24" s="1"/>
  <c r="M12" i="18"/>
  <c r="AB40" i="24" s="1"/>
  <c r="Q12" i="18"/>
  <c r="AF40" i="24" s="1"/>
  <c r="U12" i="18"/>
  <c r="AJ40" i="24" s="1"/>
  <c r="I22" i="18"/>
  <c r="X50" i="24" s="1"/>
  <c r="M22" i="18"/>
  <c r="AB50" i="24" s="1"/>
  <c r="Q22" i="18"/>
  <c r="AF50" i="24" s="1"/>
  <c r="U22" i="18"/>
  <c r="AJ50" i="24" s="1"/>
  <c r="I28" i="18"/>
  <c r="X56" i="24" s="1"/>
  <c r="J24" i="18"/>
  <c r="Y52" i="24" s="1"/>
  <c r="J27" i="18"/>
  <c r="Y55" i="24" s="1"/>
  <c r="J15" i="18"/>
  <c r="Y43" i="24" s="1"/>
  <c r="J34" i="18"/>
  <c r="Y62" i="24" s="1"/>
  <c r="J39" i="18"/>
  <c r="Y67" i="24" s="1"/>
  <c r="J18" i="18"/>
  <c r="Y46" i="24" s="1"/>
  <c r="J6" i="18"/>
  <c r="Y34" i="24" s="1"/>
  <c r="J20" i="18"/>
  <c r="Y48" i="24" s="1"/>
  <c r="J30" i="18"/>
  <c r="Y58" i="24" s="1"/>
  <c r="J19" i="18"/>
  <c r="Y47" i="24" s="1"/>
  <c r="J10" i="18"/>
  <c r="Y38" i="24" s="1"/>
  <c r="J17" i="18"/>
  <c r="Y45" i="24" s="1"/>
  <c r="J31" i="18"/>
  <c r="Y59" i="24" s="1"/>
  <c r="J7" i="18"/>
  <c r="Y35" i="24" s="1"/>
  <c r="J12" i="18"/>
  <c r="Y40" i="24" s="1"/>
  <c r="J22" i="18"/>
  <c r="Y50" i="24" s="1"/>
  <c r="J28" i="18"/>
  <c r="Y56" i="24" s="1"/>
  <c r="R28" i="18"/>
  <c r="AG56" i="24" s="1"/>
  <c r="J11" i="18"/>
  <c r="Y39" i="24" s="1"/>
  <c r="R11" i="18"/>
  <c r="AG39" i="24" s="1"/>
  <c r="J9" i="18"/>
  <c r="Y37" i="24" s="1"/>
  <c r="Q9" i="18"/>
  <c r="AF37" i="24" s="1"/>
  <c r="V9" i="18"/>
  <c r="AK37" i="24" s="1"/>
  <c r="K33" i="18"/>
  <c r="Z61" i="24" s="1"/>
  <c r="Q33" i="18"/>
  <c r="AF61" i="24" s="1"/>
  <c r="V33" i="18"/>
  <c r="AK61" i="24" s="1"/>
  <c r="K21" i="18"/>
  <c r="Z49" i="24" s="1"/>
  <c r="Q21" i="18"/>
  <c r="AF49" i="24" s="1"/>
  <c r="V21" i="18"/>
  <c r="AK49" i="24" s="1"/>
  <c r="K40" i="18"/>
  <c r="Z68" i="24" s="1"/>
  <c r="O40" i="18"/>
  <c r="AD68" i="24" s="1"/>
  <c r="S40" i="18"/>
  <c r="AH68" i="24" s="1"/>
  <c r="G16" i="18"/>
  <c r="V44" i="24" s="1"/>
  <c r="K16" i="18"/>
  <c r="Z44" i="24" s="1"/>
  <c r="O16" i="18"/>
  <c r="AD44" i="24" s="1"/>
  <c r="S16" i="18"/>
  <c r="AH44" i="24" s="1"/>
  <c r="G36" i="18"/>
  <c r="V64" i="24" s="1"/>
  <c r="K36" i="18"/>
  <c r="Z64" i="24" s="1"/>
  <c r="O36" i="18"/>
  <c r="AD64" i="24" s="1"/>
  <c r="S36" i="18"/>
  <c r="AH64" i="24" s="1"/>
  <c r="G35" i="18"/>
  <c r="V63" i="24" s="1"/>
  <c r="K35" i="18"/>
  <c r="Z63" i="24" s="1"/>
  <c r="O35" i="18"/>
  <c r="AD63" i="24" s="1"/>
  <c r="S35" i="18"/>
  <c r="AH63" i="24" s="1"/>
  <c r="F27" i="18"/>
  <c r="U55" i="24" s="1"/>
  <c r="F18" i="18"/>
  <c r="U46" i="24" s="1"/>
  <c r="F19" i="18"/>
  <c r="U47" i="24" s="1"/>
  <c r="F7" i="18"/>
  <c r="U35" i="24" s="1"/>
  <c r="F11" i="18"/>
  <c r="U39" i="24" s="1"/>
  <c r="F40" i="18"/>
  <c r="U68" i="24" s="1"/>
  <c r="F24" i="18"/>
  <c r="U52" i="24" s="1"/>
  <c r="V15" i="18"/>
  <c r="AK43" i="24" s="1"/>
  <c r="V34" i="18"/>
  <c r="AK62" i="24" s="1"/>
  <c r="V39" i="18"/>
  <c r="AK67" i="24" s="1"/>
  <c r="V18" i="18"/>
  <c r="AK46" i="24" s="1"/>
  <c r="V6" i="18"/>
  <c r="AK34" i="24" s="1"/>
  <c r="V19" i="18"/>
  <c r="AK47" i="24" s="1"/>
  <c r="V31" i="18"/>
  <c r="AK59" i="24" s="1"/>
  <c r="Q28" i="18"/>
  <c r="AF56" i="24" s="1"/>
  <c r="I9" i="18"/>
  <c r="X37" i="24" s="1"/>
  <c r="J33" i="18"/>
  <c r="Y61" i="24" s="1"/>
  <c r="O21" i="18"/>
  <c r="AD49" i="24" s="1"/>
  <c r="N40" i="18"/>
  <c r="AC68" i="24" s="1"/>
  <c r="N16" i="18"/>
  <c r="AC44" i="24" s="1"/>
  <c r="N36" i="18"/>
  <c r="AC64" i="24" s="1"/>
  <c r="R35" i="18"/>
  <c r="AG63" i="24" s="1"/>
  <c r="F31" i="18"/>
  <c r="U59" i="24" s="1"/>
  <c r="F35" i="18"/>
  <c r="U63" i="24" s="1"/>
  <c r="N24" i="18"/>
  <c r="AC52" i="24" s="1"/>
  <c r="N27" i="18"/>
  <c r="AC55" i="24" s="1"/>
  <c r="N15" i="18"/>
  <c r="AC43" i="24" s="1"/>
  <c r="N34" i="18"/>
  <c r="AC62" i="24" s="1"/>
  <c r="N39" i="18"/>
  <c r="AC67" i="24" s="1"/>
  <c r="N18" i="18"/>
  <c r="AC46" i="24" s="1"/>
  <c r="N6" i="18"/>
  <c r="AC34" i="24" s="1"/>
  <c r="N20" i="18"/>
  <c r="AC48" i="24" s="1"/>
  <c r="N30" i="18"/>
  <c r="AC58" i="24" s="1"/>
  <c r="N19" i="18"/>
  <c r="AC47" i="24" s="1"/>
  <c r="N10" i="18"/>
  <c r="AC38" i="24" s="1"/>
  <c r="N17" i="18"/>
  <c r="AC45" i="24" s="1"/>
  <c r="N31" i="18"/>
  <c r="AC59" i="24" s="1"/>
  <c r="N7" i="18"/>
  <c r="AC35" i="24" s="1"/>
  <c r="N12" i="18"/>
  <c r="AC40" i="24" s="1"/>
  <c r="N22" i="18"/>
  <c r="AC50" i="24" s="1"/>
  <c r="M28" i="18"/>
  <c r="AB56" i="24" s="1"/>
  <c r="U28" i="18"/>
  <c r="AJ56" i="24" s="1"/>
  <c r="M11" i="18"/>
  <c r="AB39" i="24" s="1"/>
  <c r="U11" i="18"/>
  <c r="AJ39" i="24" s="1"/>
  <c r="M9" i="18"/>
  <c r="AB37" i="24" s="1"/>
  <c r="R9" i="18"/>
  <c r="AG37" i="24" s="1"/>
  <c r="G33" i="18"/>
  <c r="V61" i="24" s="1"/>
  <c r="M33" i="18"/>
  <c r="AB61" i="24" s="1"/>
  <c r="R33" i="18"/>
  <c r="AG61" i="24" s="1"/>
  <c r="G21" i="18"/>
  <c r="V49" i="24" s="1"/>
  <c r="M21" i="18"/>
  <c r="AB49" i="24" s="1"/>
  <c r="R21" i="18"/>
  <c r="AG49" i="24" s="1"/>
  <c r="G40" i="18"/>
  <c r="V68" i="24" s="1"/>
  <c r="L40" i="18"/>
  <c r="AA68" i="24" s="1"/>
  <c r="P40" i="18"/>
  <c r="AE68" i="24" s="1"/>
  <c r="T40" i="18"/>
  <c r="AI68" i="24" s="1"/>
  <c r="H16" i="18"/>
  <c r="W44" i="24" s="1"/>
  <c r="L16" i="18"/>
  <c r="AA44" i="24" s="1"/>
  <c r="P16" i="18"/>
  <c r="AE44" i="24" s="1"/>
  <c r="T16" i="18"/>
  <c r="AI44" i="24" s="1"/>
  <c r="H36" i="18"/>
  <c r="W64" i="24" s="1"/>
  <c r="L36" i="18"/>
  <c r="AA64" i="24" s="1"/>
  <c r="P36" i="18"/>
  <c r="AE64" i="24" s="1"/>
  <c r="T36" i="18"/>
  <c r="AI64" i="24" s="1"/>
  <c r="H35" i="18"/>
  <c r="W63" i="24" s="1"/>
  <c r="L35" i="18"/>
  <c r="AA63" i="24" s="1"/>
  <c r="P35" i="18"/>
  <c r="AE63" i="24" s="1"/>
  <c r="T35" i="18"/>
  <c r="AI63" i="24" s="1"/>
  <c r="F15" i="18"/>
  <c r="U43" i="24" s="1"/>
  <c r="F6" i="18"/>
  <c r="U34" i="24" s="1"/>
  <c r="F10" i="18"/>
  <c r="U38" i="24" s="1"/>
  <c r="F12" i="18"/>
  <c r="U40" i="24" s="1"/>
  <c r="F9" i="18"/>
  <c r="U37" i="24" s="1"/>
  <c r="F16" i="18"/>
  <c r="U44" i="24" s="1"/>
  <c r="V27" i="18"/>
  <c r="AK55" i="24" s="1"/>
  <c r="V30" i="18"/>
  <c r="AK58" i="24" s="1"/>
  <c r="V10" i="18"/>
  <c r="AK38" i="24" s="1"/>
  <c r="V7" i="18"/>
  <c r="AK35" i="24" s="1"/>
  <c r="V22" i="18"/>
  <c r="AK50" i="24" s="1"/>
  <c r="Q11" i="18"/>
  <c r="AF39" i="24" s="1"/>
  <c r="U9" i="18"/>
  <c r="AJ37" i="24" s="1"/>
  <c r="O33" i="18"/>
  <c r="AD61" i="24" s="1"/>
  <c r="J21" i="18"/>
  <c r="Y49" i="24" s="1"/>
  <c r="J40" i="18"/>
  <c r="Y68" i="24" s="1"/>
  <c r="R40" i="18"/>
  <c r="AG68" i="24" s="1"/>
  <c r="J16" i="18"/>
  <c r="Y44" i="24" s="1"/>
  <c r="V16" i="18"/>
  <c r="AK44" i="24" s="1"/>
  <c r="J36" i="18"/>
  <c r="Y64" i="24" s="1"/>
  <c r="V36" i="18"/>
  <c r="AK64" i="24" s="1"/>
  <c r="J35" i="18"/>
  <c r="Y63" i="24" s="1"/>
  <c r="V35" i="18"/>
  <c r="AK63" i="24" s="1"/>
  <c r="F30" i="18"/>
  <c r="U58" i="24" s="1"/>
  <c r="F28" i="18"/>
  <c r="U56" i="24" s="1"/>
  <c r="R24" i="18"/>
  <c r="AG52" i="24" s="1"/>
  <c r="R27" i="18"/>
  <c r="AG55" i="24" s="1"/>
  <c r="R15" i="18"/>
  <c r="AG43" i="24" s="1"/>
  <c r="R34" i="18"/>
  <c r="AG62" i="24" s="1"/>
  <c r="R39" i="18"/>
  <c r="AG67" i="24" s="1"/>
  <c r="R18" i="18"/>
  <c r="AG46" i="24" s="1"/>
  <c r="R6" i="18"/>
  <c r="AG34" i="24" s="1"/>
  <c r="R20" i="18"/>
  <c r="AG48" i="24" s="1"/>
  <c r="R30" i="18"/>
  <c r="AG58" i="24" s="1"/>
  <c r="R19" i="18"/>
  <c r="AG47" i="24" s="1"/>
  <c r="R10" i="18"/>
  <c r="AG38" i="24" s="1"/>
  <c r="R17" i="18"/>
  <c r="AG45" i="24" s="1"/>
  <c r="R31" i="18"/>
  <c r="AG59" i="24" s="1"/>
  <c r="R7" i="18"/>
  <c r="AG35" i="24" s="1"/>
  <c r="R12" i="18"/>
  <c r="AG40" i="24" s="1"/>
  <c r="R22" i="18"/>
  <c r="AG50" i="24" s="1"/>
  <c r="N28" i="18"/>
  <c r="AC56" i="24" s="1"/>
  <c r="V28" i="18"/>
  <c r="AK56" i="24" s="1"/>
  <c r="N11" i="18"/>
  <c r="AC39" i="24" s="1"/>
  <c r="V11" i="18"/>
  <c r="AK39" i="24" s="1"/>
  <c r="N9" i="18"/>
  <c r="AC37" i="24" s="1"/>
  <c r="S9" i="18"/>
  <c r="AH37" i="24" s="1"/>
  <c r="I33" i="18"/>
  <c r="X61" i="24" s="1"/>
  <c r="N33" i="18"/>
  <c r="AC61" i="24" s="1"/>
  <c r="S33" i="18"/>
  <c r="AH61" i="24" s="1"/>
  <c r="I21" i="18"/>
  <c r="X49" i="24" s="1"/>
  <c r="N21" i="18"/>
  <c r="AC49" i="24" s="1"/>
  <c r="S21" i="18"/>
  <c r="AH49" i="24" s="1"/>
  <c r="I40" i="18"/>
  <c r="X68" i="24" s="1"/>
  <c r="M40" i="18"/>
  <c r="AB68" i="24" s="1"/>
  <c r="Q40" i="18"/>
  <c r="AF68" i="24" s="1"/>
  <c r="U40" i="18"/>
  <c r="AJ68" i="24" s="1"/>
  <c r="I16" i="18"/>
  <c r="X44" i="24" s="1"/>
  <c r="M16" i="18"/>
  <c r="AB44" i="24" s="1"/>
  <c r="Q16" i="18"/>
  <c r="AF44" i="24" s="1"/>
  <c r="U16" i="18"/>
  <c r="AJ44" i="24" s="1"/>
  <c r="I36" i="18"/>
  <c r="X64" i="24" s="1"/>
  <c r="M36" i="18"/>
  <c r="AB64" i="24" s="1"/>
  <c r="Q36" i="18"/>
  <c r="AF64" i="24" s="1"/>
  <c r="U36" i="18"/>
  <c r="AJ64" i="24" s="1"/>
  <c r="I35" i="18"/>
  <c r="X63" i="24" s="1"/>
  <c r="M35" i="18"/>
  <c r="AB63" i="24" s="1"/>
  <c r="Q35" i="18"/>
  <c r="AF63" i="24" s="1"/>
  <c r="U35" i="18"/>
  <c r="AJ63" i="24" s="1"/>
  <c r="F34" i="18"/>
  <c r="U62" i="24" s="1"/>
  <c r="F20" i="18"/>
  <c r="U48" i="24" s="1"/>
  <c r="F17" i="18"/>
  <c r="U45" i="24" s="1"/>
  <c r="F22" i="18"/>
  <c r="U50" i="24" s="1"/>
  <c r="F33" i="18"/>
  <c r="U61" i="24" s="1"/>
  <c r="F36" i="18"/>
  <c r="U64" i="24" s="1"/>
  <c r="V24" i="18"/>
  <c r="AK52" i="24" s="1"/>
  <c r="V20" i="18"/>
  <c r="AK48" i="24" s="1"/>
  <c r="V17" i="18"/>
  <c r="AK45" i="24" s="1"/>
  <c r="V12" i="18"/>
  <c r="AK40" i="24" s="1"/>
  <c r="I11" i="18"/>
  <c r="X39" i="24" s="1"/>
  <c r="O9" i="18"/>
  <c r="AD37" i="24" s="1"/>
  <c r="U33" i="18"/>
  <c r="AJ61" i="24" s="1"/>
  <c r="U21" i="18"/>
  <c r="AJ49" i="24" s="1"/>
  <c r="V40" i="18"/>
  <c r="AK68" i="24" s="1"/>
  <c r="R16" i="18"/>
  <c r="AG44" i="24" s="1"/>
  <c r="R36" i="18"/>
  <c r="AG64" i="24" s="1"/>
  <c r="N35" i="18"/>
  <c r="AC63" i="24" s="1"/>
  <c r="F39" i="18"/>
  <c r="U67" i="24" s="1"/>
  <c r="F21" i="18"/>
  <c r="U49" i="24" s="1"/>
  <c r="E19" i="2"/>
  <c r="E17" i="2"/>
  <c r="AE17" i="2" s="1"/>
  <c r="E15" i="2"/>
  <c r="AE15" i="2" s="1"/>
  <c r="E13" i="2"/>
  <c r="AE13" i="2" s="1"/>
  <c r="E11" i="2"/>
  <c r="AE11" i="2" s="1"/>
  <c r="E9" i="2"/>
  <c r="AE9" i="2" s="1"/>
  <c r="E8" i="2"/>
  <c r="AE8" i="2" s="1"/>
  <c r="E7" i="2"/>
  <c r="AE7" i="2" s="1"/>
  <c r="Z23" i="2"/>
  <c r="E6" i="2"/>
  <c r="AE6" i="2" s="1"/>
  <c r="E16" i="2"/>
  <c r="AE16" i="2" s="1"/>
  <c r="E25" i="2"/>
  <c r="E18" i="2"/>
  <c r="E10" i="2"/>
  <c r="AE10" i="2" s="1"/>
  <c r="E20" i="2"/>
  <c r="E12" i="2"/>
  <c r="AE12" i="2" s="1"/>
  <c r="E14" i="2"/>
  <c r="AE14" i="2" s="1"/>
  <c r="T12" i="11"/>
  <c r="N12" i="11"/>
  <c r="J12" i="11"/>
  <c r="F12" i="11"/>
  <c r="S11" i="11"/>
  <c r="M11" i="11"/>
  <c r="I11" i="11"/>
  <c r="E11" i="11"/>
  <c r="S12" i="11"/>
  <c r="U12" i="11" s="1"/>
  <c r="M12" i="11"/>
  <c r="I12" i="11"/>
  <c r="E12" i="11"/>
  <c r="Q11" i="11"/>
  <c r="L11" i="11"/>
  <c r="H11" i="11"/>
  <c r="Q12" i="11"/>
  <c r="L12" i="11"/>
  <c r="H12" i="11"/>
  <c r="P11" i="11"/>
  <c r="K11" i="11"/>
  <c r="G11" i="11"/>
  <c r="P12" i="11"/>
  <c r="T11" i="11"/>
  <c r="F11" i="11"/>
  <c r="F13" i="11" s="1"/>
  <c r="K12" i="11"/>
  <c r="N11" i="11"/>
  <c r="N13" i="11" s="1"/>
  <c r="G12" i="11"/>
  <c r="J11" i="11"/>
  <c r="F23" i="2"/>
  <c r="AF23" i="2" s="1"/>
  <c r="B11" i="9"/>
  <c r="B13" i="9" s="1"/>
  <c r="B12" i="9"/>
  <c r="B7" i="16"/>
  <c r="B46" i="16"/>
  <c r="B8" i="14"/>
  <c r="B8" i="13"/>
  <c r="F7" i="9"/>
  <c r="F4" i="9"/>
  <c r="F5" i="9"/>
  <c r="T8" i="24" s="1"/>
  <c r="F9" i="9"/>
  <c r="B78" i="9"/>
  <c r="B80" i="9" s="1"/>
  <c r="B79" i="9"/>
  <c r="AF21" i="2"/>
  <c r="AI7" i="24" l="1"/>
  <c r="I16" i="24"/>
  <c r="T7" i="24"/>
  <c r="I11" i="24"/>
  <c r="I14" i="24"/>
  <c r="I17" i="24"/>
  <c r="I13" i="24"/>
  <c r="U6" i="24"/>
  <c r="AE4" i="24"/>
  <c r="I12" i="24"/>
  <c r="U9" i="24"/>
  <c r="AE8" i="24"/>
  <c r="AK5" i="24"/>
  <c r="AK9" i="24"/>
  <c r="AH8" i="24"/>
  <c r="I8" i="24"/>
  <c r="AH4" i="24"/>
  <c r="T5" i="24"/>
  <c r="T9" i="24"/>
  <c r="AK6" i="24"/>
  <c r="U7" i="24"/>
  <c r="T4" i="24"/>
  <c r="AK7" i="24"/>
  <c r="T6" i="24"/>
  <c r="AI8" i="24"/>
  <c r="AF7" i="24"/>
  <c r="U4" i="24"/>
  <c r="I15" i="24"/>
  <c r="W4" i="24"/>
  <c r="AB4" i="24"/>
  <c r="AA4" i="24"/>
  <c r="AE6" i="24"/>
  <c r="AF4" i="24"/>
  <c r="AK8" i="24"/>
  <c r="AG4" i="24"/>
  <c r="U8" i="24"/>
  <c r="AI4" i="24"/>
  <c r="I19" i="24"/>
  <c r="AF8" i="24"/>
  <c r="G20" i="24"/>
  <c r="AI5" i="24"/>
  <c r="AI6" i="24"/>
  <c r="AC4" i="24"/>
  <c r="U5" i="24"/>
  <c r="I6" i="24"/>
  <c r="AD4" i="24"/>
  <c r="AH7" i="24"/>
  <c r="AH5" i="24"/>
  <c r="AE7" i="24"/>
  <c r="X4" i="24"/>
  <c r="A6" i="24"/>
  <c r="B6" i="24" s="1"/>
  <c r="G12" i="24"/>
  <c r="G16" i="24"/>
  <c r="G11" i="24"/>
  <c r="G14" i="24"/>
  <c r="G13" i="24"/>
  <c r="G17" i="24"/>
  <c r="G7" i="24"/>
  <c r="G10" i="24"/>
  <c r="G9" i="24"/>
  <c r="G18" i="24"/>
  <c r="G8" i="24"/>
  <c r="G6" i="24"/>
  <c r="G15" i="24"/>
  <c r="I10" i="24"/>
  <c r="I9" i="24"/>
  <c r="I18" i="24"/>
  <c r="A14" i="24"/>
  <c r="B14" i="24" s="1"/>
  <c r="A12" i="24"/>
  <c r="C12" i="24" s="1"/>
  <c r="A13" i="24"/>
  <c r="C13" i="24" s="1"/>
  <c r="A7" i="24"/>
  <c r="D7" i="24" s="1"/>
  <c r="A10" i="24"/>
  <c r="C10" i="24" s="1"/>
  <c r="A11" i="24"/>
  <c r="C11" i="24" s="1"/>
  <c r="A17" i="24"/>
  <c r="D17" i="24" s="1"/>
  <c r="A8" i="24"/>
  <c r="C8" i="24" s="1"/>
  <c r="A15" i="24"/>
  <c r="D15" i="24" s="1"/>
  <c r="A18" i="24"/>
  <c r="D18" i="24" s="1"/>
  <c r="A16" i="24"/>
  <c r="C16" i="24" s="1"/>
  <c r="L9" i="24"/>
  <c r="O9" i="24" s="1"/>
  <c r="A9" i="24"/>
  <c r="L5" i="24"/>
  <c r="N5" i="24" s="1"/>
  <c r="A5" i="24"/>
  <c r="L14" i="24"/>
  <c r="O14" i="24" s="1"/>
  <c r="L12" i="24"/>
  <c r="O12" i="24" s="1"/>
  <c r="L15" i="24"/>
  <c r="O15" i="24" s="1"/>
  <c r="L10" i="24"/>
  <c r="O10" i="24" s="1"/>
  <c r="L17" i="24"/>
  <c r="O17" i="24" s="1"/>
  <c r="L6" i="24"/>
  <c r="O6" i="24" s="1"/>
  <c r="L11" i="24"/>
  <c r="O11" i="24" s="1"/>
  <c r="L8" i="24"/>
  <c r="O8" i="24" s="1"/>
  <c r="L13" i="24"/>
  <c r="O13" i="24" s="1"/>
  <c r="L7" i="24"/>
  <c r="O7" i="24" s="1"/>
  <c r="L18" i="24"/>
  <c r="O18" i="24" s="1"/>
  <c r="L16" i="24"/>
  <c r="O16" i="24" s="1"/>
  <c r="U6" i="11"/>
  <c r="D13" i="11"/>
  <c r="R5" i="11"/>
  <c r="R12" i="11"/>
  <c r="O12" i="11"/>
  <c r="Q13" i="11"/>
  <c r="O4" i="11"/>
  <c r="R6" i="11"/>
  <c r="O5" i="11"/>
  <c r="R4" i="11"/>
  <c r="U5" i="11"/>
  <c r="B10" i="8"/>
  <c r="B11" i="8" s="1"/>
  <c r="C13" i="7"/>
  <c r="O6" i="11"/>
  <c r="T13" i="11"/>
  <c r="J13" i="11"/>
  <c r="L13" i="11"/>
  <c r="B47" i="16"/>
  <c r="B48" i="16" s="1"/>
  <c r="G13" i="11"/>
  <c r="U11" i="11"/>
  <c r="U13" i="11" s="1"/>
  <c r="S13" i="11"/>
  <c r="V22" i="2"/>
  <c r="AV22" i="2" s="1"/>
  <c r="R22" i="2"/>
  <c r="M22" i="2"/>
  <c r="AM22" i="2" s="1"/>
  <c r="I22" i="2"/>
  <c r="AI22" i="2" s="1"/>
  <c r="U21" i="2"/>
  <c r="L22" i="2"/>
  <c r="AL22" i="2" s="1"/>
  <c r="H21" i="2"/>
  <c r="AH21" i="2" s="1"/>
  <c r="R21" i="2"/>
  <c r="AR21" i="2" s="1"/>
  <c r="S22" i="2"/>
  <c r="AS22" i="2" s="1"/>
  <c r="N22" i="2"/>
  <c r="AN22" i="2" s="1"/>
  <c r="J22" i="2"/>
  <c r="AJ22" i="2" s="1"/>
  <c r="P22" i="2"/>
  <c r="AP22" i="2" s="1"/>
  <c r="L21" i="2"/>
  <c r="AL21" i="2" s="1"/>
  <c r="V21" i="2"/>
  <c r="AV21" i="2" s="1"/>
  <c r="M21" i="2"/>
  <c r="AM21" i="2" s="1"/>
  <c r="I21" i="2"/>
  <c r="AI21" i="2" s="1"/>
  <c r="J21" i="2"/>
  <c r="AJ21" i="2" s="1"/>
  <c r="K22" i="2"/>
  <c r="AK22" i="2" s="1"/>
  <c r="G22" i="2"/>
  <c r="AG22" i="2" s="1"/>
  <c r="H22" i="2"/>
  <c r="AH22" i="2" s="1"/>
  <c r="N21" i="2"/>
  <c r="AN21" i="2" s="1"/>
  <c r="G21" i="2"/>
  <c r="O21" i="2"/>
  <c r="U22" i="2"/>
  <c r="AU22" i="2" s="1"/>
  <c r="P21" i="2"/>
  <c r="AP21" i="2" s="1"/>
  <c r="S21" i="2"/>
  <c r="AS21" i="2" s="1"/>
  <c r="O22" i="2"/>
  <c r="K21" i="2"/>
  <c r="AK21" i="2" s="1"/>
  <c r="K13" i="11"/>
  <c r="E13" i="11"/>
  <c r="M13" i="11"/>
  <c r="O11" i="11"/>
  <c r="R11" i="11"/>
  <c r="P13" i="11"/>
  <c r="H13" i="11"/>
  <c r="I13" i="11"/>
  <c r="B14" i="9"/>
  <c r="B8" i="16"/>
  <c r="B9" i="16" s="1"/>
  <c r="B9" i="14"/>
  <c r="B10" i="14" s="1"/>
  <c r="B11" i="14" s="1"/>
  <c r="B9" i="13"/>
  <c r="C6" i="24" l="1"/>
  <c r="M14" i="24"/>
  <c r="D6" i="24"/>
  <c r="B17" i="24"/>
  <c r="D14" i="24"/>
  <c r="C14" i="24"/>
  <c r="N6" i="24"/>
  <c r="B7" i="24"/>
  <c r="C7" i="24"/>
  <c r="B10" i="24"/>
  <c r="B12" i="24"/>
  <c r="D12" i="24"/>
  <c r="D10" i="24"/>
  <c r="C18" i="24"/>
  <c r="D13" i="24"/>
  <c r="B13" i="24"/>
  <c r="C17" i="24"/>
  <c r="D11" i="24"/>
  <c r="B11" i="24"/>
  <c r="D16" i="24"/>
  <c r="B8" i="24"/>
  <c r="B16" i="24"/>
  <c r="D8" i="24"/>
  <c r="B15" i="24"/>
  <c r="C15" i="24"/>
  <c r="M5" i="24"/>
  <c r="N9" i="24"/>
  <c r="B18" i="24"/>
  <c r="M9" i="24"/>
  <c r="M15" i="24"/>
  <c r="O5" i="24"/>
  <c r="C9" i="24"/>
  <c r="D9" i="24"/>
  <c r="B9" i="24"/>
  <c r="C5" i="24"/>
  <c r="B5" i="24"/>
  <c r="D5" i="24"/>
  <c r="N14" i="24"/>
  <c r="N12" i="24"/>
  <c r="N16" i="24"/>
  <c r="M11" i="24"/>
  <c r="N7" i="24"/>
  <c r="M8" i="24"/>
  <c r="M12" i="24"/>
  <c r="N10" i="24"/>
  <c r="M10" i="24"/>
  <c r="N15" i="24"/>
  <c r="M7" i="24"/>
  <c r="M6" i="24"/>
  <c r="M18" i="24"/>
  <c r="N11" i="24"/>
  <c r="M13" i="24"/>
  <c r="N17" i="24"/>
  <c r="M16" i="24"/>
  <c r="M17" i="24"/>
  <c r="N18" i="24"/>
  <c r="N13" i="24"/>
  <c r="N8" i="24"/>
  <c r="O13" i="11"/>
  <c r="R13" i="11"/>
  <c r="C14" i="7"/>
  <c r="C15" i="7"/>
  <c r="E22" i="2"/>
  <c r="AE22" i="2" s="1"/>
  <c r="AG21" i="2"/>
  <c r="E21" i="2"/>
  <c r="AE21" i="2" s="1"/>
  <c r="AU21" i="2"/>
  <c r="W21" i="2"/>
  <c r="AW21" i="2" s="1"/>
  <c r="W22" i="2"/>
  <c r="AW22" i="2" s="1"/>
  <c r="T21" i="2"/>
  <c r="AT21" i="2" s="1"/>
  <c r="AO22" i="2"/>
  <c r="Q22" i="2"/>
  <c r="AQ22" i="2" s="1"/>
  <c r="AO21" i="2"/>
  <c r="Q21" i="2"/>
  <c r="AQ21" i="2" s="1"/>
  <c r="AR22" i="2"/>
  <c r="T22" i="2"/>
  <c r="AT22" i="2" s="1"/>
  <c r="B12" i="14"/>
  <c r="B10" i="16"/>
  <c r="B11" i="16" s="1"/>
  <c r="B49" i="16"/>
  <c r="B12" i="8"/>
  <c r="B13" i="8" s="1"/>
  <c r="B14" i="8" s="1"/>
  <c r="B15" i="8" s="1"/>
  <c r="B10" i="13"/>
  <c r="C16" i="7" l="1"/>
  <c r="B11" i="13"/>
  <c r="B12" i="13" s="1"/>
  <c r="B50" i="16"/>
  <c r="B51" i="16" s="1"/>
  <c r="B52" i="16" s="1"/>
  <c r="B13" i="14"/>
  <c r="B14" i="14" s="1"/>
  <c r="B12" i="16"/>
  <c r="B16" i="8"/>
  <c r="B17" i="8" s="1"/>
  <c r="C17" i="7" l="1"/>
  <c r="B13" i="16"/>
  <c r="B14" i="16" s="1"/>
  <c r="B53" i="16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15" i="14"/>
  <c r="B18" i="8"/>
  <c r="B13" i="13"/>
  <c r="C18" i="7" l="1"/>
  <c r="C19" i="7" s="1"/>
  <c r="C20" i="7" s="1"/>
  <c r="C21" i="7" s="1"/>
  <c r="C22" i="7" s="1"/>
  <c r="C23" i="7" s="1"/>
  <c r="B16" i="14"/>
  <c r="B15" i="16"/>
  <c r="B19" i="8"/>
  <c r="B14" i="13"/>
  <c r="C24" i="7" l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B15" i="13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17" i="14"/>
  <c r="B16" i="16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20" i="8"/>
  <c r="B21" i="8" s="1"/>
  <c r="B22" i="8" s="1"/>
  <c r="B23" i="8" s="1"/>
  <c r="B24" i="8" s="1"/>
  <c r="B25" i="8" s="1"/>
  <c r="B26" i="8" s="1"/>
  <c r="B27" i="8" s="1"/>
  <c r="B28" i="8" s="1"/>
  <c r="B56" i="8" l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29" i="8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18" i="14"/>
  <c r="B79" i="8" l="1"/>
  <c r="B80" i="8" s="1"/>
  <c r="B19" i="14"/>
  <c r="B20" i="14" l="1"/>
  <c r="B21" i="14" l="1"/>
  <c r="B22" i="14" l="1"/>
  <c r="B23" i="14" l="1"/>
  <c r="B24" i="14" l="1"/>
  <c r="B25" i="14" l="1"/>
  <c r="B26" i="14" l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l="1"/>
  <c r="B45" i="14" l="1"/>
  <c r="B46" i="14" l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l="1"/>
  <c r="B65" i="14"/>
  <c r="B66" i="14" s="1"/>
  <c r="B67" i="14" s="1"/>
  <c r="B68" i="14" l="1"/>
  <c r="B69" i="14" l="1"/>
  <c r="B70" i="14" s="1"/>
  <c r="B71" i="14" s="1"/>
  <c r="B72" i="14" l="1"/>
  <c r="B73" i="14" s="1"/>
  <c r="B74" i="14" s="1"/>
  <c r="B75" i="14" s="1"/>
  <c r="B76" i="14" s="1"/>
  <c r="B77" i="14" s="1"/>
  <c r="B78" i="14" s="1"/>
  <c r="B79" i="14" l="1"/>
  <c r="B80" i="14" s="1"/>
  <c r="B81" i="14" s="1"/>
  <c r="B82" i="14" s="1"/>
</calcChain>
</file>

<file path=xl/sharedStrings.xml><?xml version="1.0" encoding="utf-8"?>
<sst xmlns="http://schemas.openxmlformats.org/spreadsheetml/2006/main" count="5854" uniqueCount="259">
  <si>
    <t>Players</t>
  </si>
  <si>
    <t>JP Celis</t>
  </si>
  <si>
    <t>Josh Williams</t>
  </si>
  <si>
    <t>Logan Frobose</t>
  </si>
  <si>
    <t>Daniel Moser</t>
  </si>
  <si>
    <t>Tanner Greenhagen</t>
  </si>
  <si>
    <t>Denzel Johnson</t>
  </si>
  <si>
    <t>Dallas Keifer</t>
  </si>
  <si>
    <t>Jake Schmeltz</t>
  </si>
  <si>
    <t>Dylan Semler</t>
  </si>
  <si>
    <t>Jacek Kuron</t>
  </si>
  <si>
    <t>Zac Gregory</t>
  </si>
  <si>
    <t>Seth Harnishfeger</t>
  </si>
  <si>
    <t>Pat Hackney</t>
  </si>
  <si>
    <t>Alex VanDeBussche</t>
  </si>
  <si>
    <t>Parker Vollmar</t>
  </si>
  <si>
    <t>Claudio Pino</t>
  </si>
  <si>
    <t>Aaron Roberts</t>
  </si>
  <si>
    <t>Fred Balmoria</t>
  </si>
  <si>
    <t>Jalen Myers</t>
  </si>
  <si>
    <t>AJ Wagner</t>
  </si>
  <si>
    <t>Cam Carsey</t>
  </si>
  <si>
    <t>Will Varner</t>
  </si>
  <si>
    <t>Logan Elias</t>
  </si>
  <si>
    <t>Austin Rohleder</t>
  </si>
  <si>
    <t>Luke Beach</t>
  </si>
  <si>
    <t>Braden Womack</t>
  </si>
  <si>
    <t>Dakota Maher</t>
  </si>
  <si>
    <t>Matt Paris</t>
  </si>
  <si>
    <t>Mason Gonzales</t>
  </si>
  <si>
    <t>Garry Armstrong</t>
  </si>
  <si>
    <t>Jake Schwiefert</t>
  </si>
  <si>
    <t>Jarid Schwiefert</t>
  </si>
  <si>
    <t>Brett Fitzwater</t>
  </si>
  <si>
    <t>Mike Flipse</t>
  </si>
  <si>
    <t>Justen Garmenn</t>
  </si>
  <si>
    <t>PJ Brandel</t>
  </si>
  <si>
    <t>Teams</t>
  </si>
  <si>
    <t>Lightning</t>
  </si>
  <si>
    <t>Mustangs</t>
  </si>
  <si>
    <t>Wombats</t>
  </si>
  <si>
    <t>All Pistons Are Firing</t>
  </si>
  <si>
    <t>Hoopers</t>
  </si>
  <si>
    <t>Vandals</t>
  </si>
  <si>
    <t>Season</t>
  </si>
  <si>
    <t>Season 1</t>
  </si>
  <si>
    <t>Season 2</t>
  </si>
  <si>
    <t>Season 3</t>
  </si>
  <si>
    <t>Season 4</t>
  </si>
  <si>
    <t>Season 5</t>
  </si>
  <si>
    <t>Season 6</t>
  </si>
  <si>
    <t>Season 7</t>
  </si>
  <si>
    <t>Season 8</t>
  </si>
  <si>
    <t>Season 9</t>
  </si>
  <si>
    <t>Season 10</t>
  </si>
  <si>
    <t>Week</t>
  </si>
  <si>
    <t>Week 1</t>
  </si>
  <si>
    <t>Week 2</t>
  </si>
  <si>
    <t>Week 3</t>
  </si>
  <si>
    <t>Week 4</t>
  </si>
  <si>
    <t>Week 5</t>
  </si>
  <si>
    <t>Week 6</t>
  </si>
  <si>
    <t>Time Slot</t>
  </si>
  <si>
    <t>Pre Season</t>
  </si>
  <si>
    <t>Exhibition</t>
  </si>
  <si>
    <t>Regular Season</t>
  </si>
  <si>
    <t>Post Season</t>
  </si>
  <si>
    <t>All Star Game</t>
  </si>
  <si>
    <t>Game Type:</t>
  </si>
  <si>
    <t>#</t>
  </si>
  <si>
    <t>TEAM</t>
  </si>
  <si>
    <t>GP</t>
  </si>
  <si>
    <t>PTS</t>
  </si>
  <si>
    <t>REB</t>
  </si>
  <si>
    <t>AST</t>
  </si>
  <si>
    <t>STL</t>
  </si>
  <si>
    <t>BLK</t>
  </si>
  <si>
    <t>TO</t>
  </si>
  <si>
    <t>OREB</t>
  </si>
  <si>
    <t>DREB</t>
  </si>
  <si>
    <t>3PT MADE</t>
  </si>
  <si>
    <t>3PT ATT</t>
  </si>
  <si>
    <t>3PT%</t>
  </si>
  <si>
    <t>FG MADE</t>
  </si>
  <si>
    <t>FG ATT</t>
  </si>
  <si>
    <t>FG%</t>
  </si>
  <si>
    <t>FT MADE</t>
  </si>
  <si>
    <t>FT ATT</t>
  </si>
  <si>
    <t>FT%</t>
  </si>
  <si>
    <t>GAME TOTALS</t>
  </si>
  <si>
    <t>Week:</t>
  </si>
  <si>
    <t>Away:</t>
  </si>
  <si>
    <t>Home:</t>
  </si>
  <si>
    <t>Time:</t>
  </si>
  <si>
    <t>Season:</t>
  </si>
  <si>
    <t>Game Title:</t>
  </si>
  <si>
    <t>TEAM TOTALS</t>
  </si>
  <si>
    <t>Select Season:</t>
  </si>
  <si>
    <t>Player List</t>
  </si>
  <si>
    <t>Chad Kleman</t>
  </si>
  <si>
    <t>Andrew Hofbaur</t>
  </si>
  <si>
    <t>Kevin Vollmar</t>
  </si>
  <si>
    <t>Kyle Wright</t>
  </si>
  <si>
    <t>EXP</t>
  </si>
  <si>
    <t>PLACE PLAYER ON HIS CURRENT ROSTER</t>
  </si>
  <si>
    <t>Select team you wish to view by using the drop down menu in each team's stat box and enter the player names</t>
  </si>
  <si>
    <t>Current Players</t>
  </si>
  <si>
    <t>Player</t>
  </si>
  <si>
    <t>INDIVIDUAL GAME STATISTICS</t>
  </si>
  <si>
    <t>TEAM GAME STATISTICS</t>
  </si>
  <si>
    <t>GAME STATISTICS</t>
  </si>
  <si>
    <t>Select current Season:</t>
  </si>
  <si>
    <t>Alltime Teams List</t>
  </si>
  <si>
    <t>DO NOT EDIT</t>
  </si>
  <si>
    <t>2)
Fill in the season number in the yellow box and it will auto update the season in cell E5</t>
  </si>
  <si>
    <t>COMPLETE THE FOLLOWING STEPS BEFORE EACH SEASON</t>
  </si>
  <si>
    <t>1)
Before the start of a season, fill in the lists to the left appropriately, as needed</t>
  </si>
  <si>
    <t>Game Types</t>
  </si>
  <si>
    <t>3)
After updating, click the "Export Player List" button to update the league's alltime roster on the "Rosters" sheet.</t>
  </si>
  <si>
    <t>Pippen Ain't Easy</t>
  </si>
  <si>
    <t>-</t>
  </si>
  <si>
    <t>Game Title</t>
  </si>
  <si>
    <t>Player Engine</t>
  </si>
  <si>
    <t>Lookup</t>
  </si>
  <si>
    <t>3PT
ATT</t>
  </si>
  <si>
    <t>FG
MADE</t>
  </si>
  <si>
    <t>FG
ATT</t>
  </si>
  <si>
    <t>FT
MADE</t>
  </si>
  <si>
    <t>FT
ATT</t>
  </si>
  <si>
    <t>4)
After updating, click the "Export Team List" button to update the league's alltime team roster on the right and the "Teams" sheet.</t>
  </si>
  <si>
    <t>Team</t>
  </si>
  <si>
    <t>Value</t>
  </si>
  <si>
    <t>Category</t>
  </si>
  <si>
    <t>Game</t>
  </si>
  <si>
    <t>League Totals</t>
  </si>
  <si>
    <t>COMPARE ANY TWO TEAMS BELOW: TYPE TWO TEAMS IN "TEAM" CATEGORY</t>
  </si>
  <si>
    <t>Difference</t>
  </si>
  <si>
    <t>Game Type</t>
  </si>
  <si>
    <t>GAME RECORDS</t>
  </si>
  <si>
    <t>SEASON RECORDS</t>
  </si>
  <si>
    <t>Name</t>
  </si>
  <si>
    <t>PLAYER</t>
  </si>
  <si>
    <t>Team Name</t>
  </si>
  <si>
    <t>GAME TOTAL</t>
  </si>
  <si>
    <t>Season Engine</t>
  </si>
  <si>
    <t>DO NOT EDIT. Used to list current team in "Individuals" sheet</t>
  </si>
  <si>
    <t>DO NOT EDIT. Used in "Records" sheet</t>
  </si>
  <si>
    <t>CAREER TOTALS</t>
  </si>
  <si>
    <t>Season Player List Engine</t>
  </si>
  <si>
    <t>DO NOT EDIT.  Used in "Individuals"</t>
  </si>
  <si>
    <t>a</t>
  </si>
  <si>
    <t>6)
Go to the "Rosters" sheet and select appropriate team for each player for current season.</t>
  </si>
  <si>
    <t>5)
Click the "Update Season Player Engine List" button to update each season's on the right</t>
  </si>
  <si>
    <t>SEASON LEADERS</t>
  </si>
  <si>
    <t>create season database where stats from SeasonStats are exported every season like single games are to reference top statistics for each category</t>
  </si>
  <si>
    <t>Team Averages</t>
  </si>
  <si>
    <t>Player Averages</t>
  </si>
  <si>
    <t/>
  </si>
  <si>
    <t>Season 1 -- Week 1 --  All Pistons Are Firing vs. Pippen Ain't Easy -- Regular Season Game</t>
  </si>
  <si>
    <t>Season 1 -- Week 1 --  Pippen Ain't Easy vs. Lightning -- Regular Season Game</t>
  </si>
  <si>
    <t>Season 1 -- Week 1 --  Wombats vs. Lightning -- Regular Season Game</t>
  </si>
  <si>
    <t>Paris</t>
  </si>
  <si>
    <t>Season 1 -- Week 2 --  All Pistons Are Firing vs. Lightning -- Regular Season Game</t>
  </si>
  <si>
    <t>Season 1 -- Week 2 --  All Pistons Are Firing vs. Wombats -- Regular Season Game</t>
  </si>
  <si>
    <t>Season 1 -- Week 2 --  Wombats vs. Pippen Ain't Easy -- Regular Season Game</t>
  </si>
  <si>
    <t>Season 1 -- Week 3 --  Pippen Ain't Easy vs. Lightning -- Regular Season Game</t>
  </si>
  <si>
    <t>Season 1 -- Week 3 --  Wombats vs. Lightning -- Regular Season Game</t>
  </si>
  <si>
    <t>Season 1 -- Week 3 --  All Pistons Are Firing vs. Pippen Ain't Easy -- Regular Season Game</t>
  </si>
  <si>
    <t>Season 1 -- Week 4 --  All Pistons Are Firing vs. Wombats -- Regular Season Game</t>
  </si>
  <si>
    <t>Season 1 -- Week 4 --  All Pistons Are Firing vs. Lightning -- Regular Season Game</t>
  </si>
  <si>
    <t>Season 1 -- Week 4 --  Wombats vs. Pippen Ain't Easy -- Regular Season Game</t>
  </si>
  <si>
    <t>Season 1 -- Week 5 --  Wombats vs. All Pistons Are Firing -- Regular Season Game</t>
  </si>
  <si>
    <t>Season 1 -- Week 5 --  Pippen Ain't Easy vs. Lightning -- Regular Season Game</t>
  </si>
  <si>
    <t>Season 1 -- Week 6 --  Lightning vs. All Pistons Are Firing -- Regular Season Game</t>
  </si>
  <si>
    <t>W</t>
  </si>
  <si>
    <t>L</t>
  </si>
  <si>
    <t>GB</t>
  </si>
  <si>
    <t>T</t>
  </si>
  <si>
    <t>x</t>
  </si>
  <si>
    <t>USER LOGIN INFORMATION</t>
  </si>
  <si>
    <t>UserName</t>
  </si>
  <si>
    <t>Password</t>
  </si>
  <si>
    <t>PW Correct</t>
  </si>
  <si>
    <t>UserRow</t>
  </si>
  <si>
    <t>Individuals</t>
  </si>
  <si>
    <t>IndividualsPerGame</t>
  </si>
  <si>
    <t>LeagueTotals</t>
  </si>
  <si>
    <t>Records</t>
  </si>
  <si>
    <t>SeasonStats</t>
  </si>
  <si>
    <t>CareerRecords</t>
  </si>
  <si>
    <t>Rosters</t>
  </si>
  <si>
    <t>Lists</t>
  </si>
  <si>
    <t>SingleGame</t>
  </si>
  <si>
    <t>Database</t>
  </si>
  <si>
    <t>SHEETS</t>
  </si>
  <si>
    <t>ACCOUNT INFORMATION</t>
  </si>
  <si>
    <t>Admin</t>
  </si>
  <si>
    <t>LBLOhio</t>
  </si>
  <si>
    <t>Guest</t>
  </si>
  <si>
    <t>Stats</t>
  </si>
  <si>
    <t>Y</t>
  </si>
  <si>
    <t>Kevin</t>
  </si>
  <si>
    <t>Arnold</t>
  </si>
  <si>
    <t>V</t>
  </si>
  <si>
    <t>H</t>
  </si>
  <si>
    <t>V = Visible</t>
  </si>
  <si>
    <t>H = Hidden</t>
  </si>
  <si>
    <t>Y = Visible, Edit</t>
  </si>
  <si>
    <t>Season 2 -- Week 1 --  Hoopers vs. Mustangs -- Regular Season Game</t>
  </si>
  <si>
    <t>Season 2 -- Week 1 --  Wombats vs. Lightning -- Regular Season Game</t>
  </si>
  <si>
    <t>Season 2 -- Week 2 --  Wombats vs. Vandals -- Regular Season Game</t>
  </si>
  <si>
    <t>Season 2 -- Week 2 --  Lightning vs. Hoopers -- Regular Season Game</t>
  </si>
  <si>
    <t>Kyle</t>
  </si>
  <si>
    <t>Season 2 -- Week 3 --  Hoopers vs. Wombats -- Regular Season Game</t>
  </si>
  <si>
    <t>Season 2 -- Week 3 --  Mustangs vs. Vandals -- Regular Season Game</t>
  </si>
  <si>
    <t>PLAYER COMPARE</t>
  </si>
  <si>
    <t>ENTER ANY PLAYER FROM ANY SEASON TO COMPARE THEIR STATS</t>
  </si>
  <si>
    <t>PlayerCompare</t>
  </si>
  <si>
    <t>---------------------------------------------------------------------------------------------------------------------------------------------------------------------------------------------------</t>
  </si>
  <si>
    <t>--------------------- Per Game Statistics ---------------------</t>
  </si>
  <si>
    <t>Season 2 -- Week 4 --  Vandals vs. Lightning -- Regular Season Game</t>
  </si>
  <si>
    <t>Season 2 -- Week 4 --  Wombats vs. Mustangs -- Regular Season Game</t>
  </si>
  <si>
    <t>Pistons</t>
  </si>
  <si>
    <t>Season 2 -- Week 4 --  Hoopers vs. Pistons -- Regular Season Game</t>
  </si>
  <si>
    <t>Season 2 -- Week 3 --  Pistons vs. Lightning -- Regular Season Game</t>
  </si>
  <si>
    <t>Season 2 -- Week 2 --  Pistons vs. Mustangs -- Regular Season Game</t>
  </si>
  <si>
    <t>Season 2 -- Week 1 --  Pistons vs. Vandals -- Regular Season Game</t>
  </si>
  <si>
    <t>CareerPerGame</t>
  </si>
  <si>
    <t>CAREER PER GAME</t>
  </si>
  <si>
    <t>PER GAME STATISTICS</t>
  </si>
  <si>
    <t>Kyle Holdridge</t>
  </si>
  <si>
    <t>PPG</t>
  </si>
  <si>
    <t>W - L</t>
  </si>
  <si>
    <t>3PT %</t>
  </si>
  <si>
    <t>FG %</t>
  </si>
  <si>
    <t>FT %</t>
  </si>
  <si>
    <t>Current Teams: (from "List" sheet)</t>
  </si>
  <si>
    <t>Matchups</t>
  </si>
  <si>
    <t>NOTES:</t>
  </si>
  <si>
    <t>Date:</t>
  </si>
  <si>
    <t>USED TO CREATE "MATCHUPS" SHEET</t>
  </si>
  <si>
    <t>League Avg</t>
  </si>
  <si>
    <t>Team Game Averages</t>
  </si>
  <si>
    <t>Sort the "IndividualsPerGame" sheet by Name, PTS, REB, AST and that is how the matchup sheet will sort player names</t>
  </si>
  <si>
    <t>3PT M</t>
  </si>
  <si>
    <t>3PT A</t>
  </si>
  <si>
    <t>FG M</t>
  </si>
  <si>
    <t>FT M</t>
  </si>
  <si>
    <t>FT A</t>
  </si>
  <si>
    <t>FG A</t>
  </si>
  <si>
    <t>SEASON PER GAME STATISTICS</t>
  </si>
  <si>
    <t>League Averages</t>
  </si>
  <si>
    <t>TEAM PER GAME STATISTICS</t>
  </si>
  <si>
    <r>
      <rPr>
        <b/>
        <i/>
        <sz val="8"/>
        <color theme="1"/>
        <rFont val="Calibri"/>
        <family val="2"/>
        <scheme val="minor"/>
      </rPr>
      <t>Bold Italics</t>
    </r>
    <r>
      <rPr>
        <sz val="8"/>
        <color theme="1"/>
        <rFont val="Calibri"/>
        <family val="2"/>
        <scheme val="minor"/>
      </rPr>
      <t xml:space="preserve"> = greater of two teams</t>
    </r>
  </si>
  <si>
    <r>
      <rPr>
        <u/>
        <sz val="8"/>
        <color theme="1"/>
        <rFont val="Calibri"/>
        <family val="2"/>
        <scheme val="minor"/>
      </rPr>
      <t>Underline</t>
    </r>
    <r>
      <rPr>
        <sz val="8"/>
        <color theme="1"/>
        <rFont val="Calibri"/>
        <family val="2"/>
        <scheme val="minor"/>
      </rPr>
      <t xml:space="preserve"> = greater than league average</t>
    </r>
  </si>
  <si>
    <r>
      <rPr>
        <b/>
        <i/>
        <sz val="8"/>
        <color theme="1"/>
        <rFont val="Calibri"/>
        <family val="2"/>
        <scheme val="minor"/>
      </rPr>
      <t>Bold italics</t>
    </r>
    <r>
      <rPr>
        <sz val="8"/>
        <color theme="1"/>
        <rFont val="Calibri"/>
        <family val="2"/>
        <scheme val="minor"/>
      </rPr>
      <t xml:space="preserve"> = greater than league average</t>
    </r>
  </si>
  <si>
    <t>Preview</t>
  </si>
  <si>
    <t>Statbook</t>
  </si>
  <si>
    <t>"Arnold" is also the password for the VBA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</si>
</sst>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[$-409]h:mm\ AM/PM;@"/>
    <numFmt numFmtId="166" formatCode="0.0%"/>
    <numFmt numFmtId="167" formatCode="0.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Impact"/>
      <family val="2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Franklin Gothic Medium"/>
      <family val="2"/>
    </font>
    <font>
      <sz val="24"/>
      <name val="Impact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4"/>
      <name val="Impact"/>
      <family val="2"/>
    </font>
    <font>
      <sz val="11"/>
      <color rgb="FF3F3F3F"/>
      <name val="Calibri"/>
      <family val="2"/>
      <scheme val="minor"/>
    </font>
    <font>
      <sz val="32"/>
      <color theme="1"/>
      <name val="Impact"/>
      <family val="2"/>
    </font>
    <font>
      <sz val="28"/>
      <color theme="1"/>
      <name val="Impact"/>
      <family val="2"/>
    </font>
    <font>
      <sz val="20"/>
      <color theme="1"/>
      <name val="Impact"/>
      <family val="2"/>
    </font>
    <font>
      <sz val="8"/>
      <color theme="1"/>
      <name val="Calibri"/>
      <family val="2"/>
      <scheme val="minor"/>
    </font>
    <font>
      <sz val="14"/>
      <color theme="1"/>
      <name val="Impact"/>
      <family val="2"/>
    </font>
    <font>
      <sz val="10"/>
      <color theme="0"/>
      <name val="Calibri Light"/>
      <family val="2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rgb="FF3F3F3F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</fills>
  <borders count="1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theme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thin">
        <color theme="1"/>
      </left>
      <right/>
      <top style="double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double">
        <color indexed="64"/>
      </bottom>
      <diagonal/>
    </border>
    <border>
      <left style="thin">
        <color theme="1"/>
      </left>
      <right/>
      <top style="thin">
        <color theme="1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theme="1"/>
      </top>
      <bottom style="double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indexed="64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theme="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auto="1"/>
      </bottom>
      <diagonal/>
    </border>
    <border>
      <left style="thin">
        <color theme="0"/>
      </left>
      <right/>
      <top style="thin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rgb="FF3F3F3F"/>
      </right>
      <top style="medium">
        <color auto="1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auto="1"/>
      </top>
      <bottom style="thin">
        <color rgb="FF3F3F3F"/>
      </bottom>
      <diagonal/>
    </border>
    <border>
      <left style="thin">
        <color rgb="FF3F3F3F"/>
      </left>
      <right style="thick">
        <color auto="1"/>
      </right>
      <top style="medium">
        <color indexed="64"/>
      </top>
      <bottom style="thin">
        <color rgb="FF3F3F3F"/>
      </bottom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ck">
        <color auto="1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3F3F3F"/>
      </left>
      <right style="thick">
        <color auto="1"/>
      </right>
      <top style="thin">
        <color rgb="FF3F3F3F"/>
      </top>
      <bottom style="thin">
        <color auto="1"/>
      </bottom>
      <diagonal/>
    </border>
    <border>
      <left style="thick">
        <color auto="1"/>
      </left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3F3F3F"/>
      </left>
      <right/>
      <top style="thin">
        <color rgb="FF3F3F3F"/>
      </top>
      <bottom style="thin">
        <color auto="1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indexed="64"/>
      </bottom>
      <diagonal/>
    </border>
    <border>
      <left style="thin">
        <color rgb="FF3F3F3F"/>
      </left>
      <right/>
      <top style="thin">
        <color indexed="64"/>
      </top>
      <bottom style="thin">
        <color rgb="FF3F3F3F"/>
      </bottom>
      <diagonal/>
    </border>
    <border>
      <left/>
      <right/>
      <top style="thin">
        <color indexed="64"/>
      </top>
      <bottom style="thin">
        <color rgb="FF3F3F3F"/>
      </bottom>
      <diagonal/>
    </border>
    <border>
      <left/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auto="1"/>
      </bottom>
      <diagonal/>
    </border>
    <border>
      <left/>
      <right style="thin">
        <color indexed="64"/>
      </right>
      <top style="thin">
        <color indexed="64"/>
      </top>
      <bottom style="dotted">
        <color auto="1"/>
      </bottom>
      <diagonal/>
    </border>
    <border>
      <left style="thin">
        <color indexed="64"/>
      </left>
      <right/>
      <top style="dotted">
        <color auto="1"/>
      </top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dotted">
        <color auto="1"/>
      </top>
      <bottom style="thin">
        <color indexed="64"/>
      </bottom>
      <diagonal/>
    </border>
    <border>
      <left/>
      <right style="thin">
        <color indexed="64"/>
      </right>
      <top style="dotted">
        <color auto="1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8" fillId="12" borderId="52" applyNumberFormat="0" applyAlignment="0" applyProtection="0"/>
    <xf numFmtId="0" fontId="1" fillId="16" borderId="70" applyNumberFormat="0" applyFont="0" applyAlignment="0" applyProtection="0"/>
    <xf numFmtId="0" fontId="1" fillId="20" borderId="0" applyNumberFormat="0" applyBorder="0" applyAlignment="0" applyProtection="0"/>
  </cellStyleXfs>
  <cellXfs count="469">
    <xf numFmtId="0" fontId="0" fillId="0" borderId="0" xfId="0"/>
    <xf numFmtId="0" fontId="0" fillId="0" borderId="0" xfId="0" applyAlignment="1">
      <alignment horizontal="center"/>
    </xf>
    <xf numFmtId="0" fontId="2" fillId="3" borderId="8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166" fontId="2" fillId="3" borderId="8" xfId="0" applyNumberFormat="1" applyFont="1" applyFill="1" applyBorder="1" applyAlignment="1">
      <alignment horizontal="left" vertical="center"/>
    </xf>
    <xf numFmtId="166" fontId="3" fillId="3" borderId="8" xfId="0" applyNumberFormat="1" applyFont="1" applyFill="1" applyBorder="1" applyAlignment="1">
      <alignment horizontal="left" vertical="center"/>
    </xf>
    <xf numFmtId="166" fontId="3" fillId="3" borderId="9" xfId="0" applyNumberFormat="1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0" fillId="6" borderId="10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166" fontId="0" fillId="6" borderId="12" xfId="0" applyNumberFormat="1" applyFont="1" applyFill="1" applyBorder="1" applyAlignment="1">
      <alignment horizontal="center" vertical="center"/>
    </xf>
    <xf numFmtId="166" fontId="0" fillId="0" borderId="12" xfId="0" applyNumberFormat="1" applyFont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166" fontId="0" fillId="6" borderId="10" xfId="0" applyNumberFormat="1" applyFont="1" applyFill="1" applyBorder="1" applyAlignment="1">
      <alignment horizontal="center" vertical="center"/>
    </xf>
    <xf numFmtId="0" fontId="0" fillId="4" borderId="12" xfId="0" applyFont="1" applyFill="1" applyBorder="1" applyAlignment="1" applyProtection="1">
      <alignment horizontal="center" vertical="center"/>
      <protection locked="0"/>
    </xf>
    <xf numFmtId="0" fontId="2" fillId="5" borderId="13" xfId="0" applyFont="1" applyFill="1" applyBorder="1" applyAlignment="1">
      <alignment horizontal="center" vertical="center" wrapText="1"/>
    </xf>
    <xf numFmtId="166" fontId="2" fillId="5" borderId="13" xfId="0" applyNumberFormat="1" applyFont="1" applyFill="1" applyBorder="1" applyAlignment="1">
      <alignment horizontal="center" vertical="center" wrapText="1"/>
    </xf>
    <xf numFmtId="0" fontId="0" fillId="8" borderId="3" xfId="0" applyFill="1" applyBorder="1" applyAlignment="1">
      <alignment vertical="center"/>
    </xf>
    <xf numFmtId="0" fontId="0" fillId="8" borderId="3" xfId="0" applyFill="1" applyBorder="1" applyAlignment="1">
      <alignment vertical="center" wrapText="1"/>
    </xf>
    <xf numFmtId="20" fontId="0" fillId="8" borderId="3" xfId="0" applyNumberFormat="1" applyFill="1" applyBorder="1" applyAlignment="1">
      <alignment vertical="center" wrapText="1"/>
    </xf>
    <xf numFmtId="0" fontId="0" fillId="7" borderId="0" xfId="0" applyFill="1"/>
    <xf numFmtId="0" fontId="3" fillId="7" borderId="0" xfId="0" applyFont="1" applyFill="1" applyAlignment="1">
      <alignment horizontal="left"/>
    </xf>
    <xf numFmtId="0" fontId="0" fillId="7" borderId="0" xfId="0" applyFill="1" applyAlignment="1">
      <alignment vertical="center" wrapText="1"/>
    </xf>
    <xf numFmtId="0" fontId="0" fillId="7" borderId="0" xfId="0" applyFill="1" applyAlignment="1">
      <alignment wrapText="1"/>
    </xf>
    <xf numFmtId="0" fontId="0" fillId="7" borderId="0" xfId="0" applyFill="1" applyAlignment="1">
      <alignment vertical="center"/>
    </xf>
    <xf numFmtId="0" fontId="0" fillId="7" borderId="16" xfId="0" applyFill="1" applyBorder="1" applyAlignment="1">
      <alignment horizontal="right"/>
    </xf>
    <xf numFmtId="0" fontId="0" fillId="7" borderId="17" xfId="0" applyFill="1" applyBorder="1" applyAlignment="1">
      <alignment horizontal="left"/>
    </xf>
    <xf numFmtId="0" fontId="0" fillId="7" borderId="17" xfId="0" applyFill="1" applyBorder="1"/>
    <xf numFmtId="0" fontId="0" fillId="7" borderId="18" xfId="0" applyFill="1" applyBorder="1"/>
    <xf numFmtId="20" fontId="0" fillId="7" borderId="16" xfId="0" applyNumberFormat="1" applyFill="1" applyBorder="1" applyAlignment="1">
      <alignment horizontal="right"/>
    </xf>
    <xf numFmtId="20" fontId="0" fillId="7" borderId="17" xfId="0" applyNumberFormat="1" applyFill="1" applyBorder="1" applyAlignment="1">
      <alignment horizontal="left"/>
    </xf>
    <xf numFmtId="0" fontId="3" fillId="7" borderId="16" xfId="0" applyFont="1" applyFill="1" applyBorder="1" applyAlignment="1">
      <alignment horizontal="right"/>
    </xf>
    <xf numFmtId="0" fontId="2" fillId="3" borderId="20" xfId="0" applyFont="1" applyFill="1" applyBorder="1" applyAlignment="1">
      <alignment horizontal="center" vertical="center"/>
    </xf>
    <xf numFmtId="166" fontId="2" fillId="3" borderId="20" xfId="0" applyNumberFormat="1" applyFont="1" applyFill="1" applyBorder="1" applyAlignment="1">
      <alignment horizontal="right" vertical="center"/>
    </xf>
    <xf numFmtId="0" fontId="4" fillId="3" borderId="20" xfId="0" applyFont="1" applyFill="1" applyBorder="1" applyAlignment="1">
      <alignment horizontal="center" vertical="center"/>
    </xf>
    <xf numFmtId="166" fontId="3" fillId="3" borderId="20" xfId="0" applyNumberFormat="1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166" fontId="3" fillId="3" borderId="21" xfId="0" applyNumberFormat="1" applyFont="1" applyFill="1" applyBorder="1" applyAlignment="1">
      <alignment horizontal="center" vertical="center"/>
    </xf>
    <xf numFmtId="166" fontId="2" fillId="5" borderId="22" xfId="0" applyNumberFormat="1" applyFont="1" applyFill="1" applyBorder="1" applyAlignment="1">
      <alignment horizontal="center" vertical="center" wrapText="1"/>
    </xf>
    <xf numFmtId="0" fontId="0" fillId="6" borderId="23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6" borderId="24" xfId="0" applyFont="1" applyFill="1" applyBorder="1" applyAlignment="1">
      <alignment horizontal="center" vertical="center"/>
    </xf>
    <xf numFmtId="166" fontId="0" fillId="6" borderId="25" xfId="0" applyNumberFormat="1" applyFont="1" applyFill="1" applyBorder="1" applyAlignment="1">
      <alignment horizontal="center" vertical="center"/>
    </xf>
    <xf numFmtId="166" fontId="0" fillId="0" borderId="25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66" fontId="0" fillId="6" borderId="27" xfId="0" applyNumberFormat="1" applyFont="1" applyFill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166" fontId="0" fillId="0" borderId="29" xfId="0" applyNumberFormat="1" applyFont="1" applyBorder="1" applyAlignment="1">
      <alignment horizontal="center" vertical="center"/>
    </xf>
    <xf numFmtId="166" fontId="0" fillId="0" borderId="30" xfId="0" applyNumberFormat="1" applyFont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166" fontId="2" fillId="5" borderId="33" xfId="0" applyNumberFormat="1" applyFont="1" applyFill="1" applyBorder="1" applyAlignment="1">
      <alignment horizontal="center" vertical="center"/>
    </xf>
    <xf numFmtId="166" fontId="2" fillId="5" borderId="34" xfId="0" applyNumberFormat="1" applyFont="1" applyFill="1" applyBorder="1" applyAlignment="1">
      <alignment horizontal="center" vertical="center"/>
    </xf>
    <xf numFmtId="0" fontId="0" fillId="6" borderId="32" xfId="0" applyFont="1" applyFill="1" applyBorder="1" applyAlignment="1">
      <alignment horizontal="center" vertical="center"/>
    </xf>
    <xf numFmtId="0" fontId="0" fillId="6" borderId="33" xfId="0" applyFont="1" applyFill="1" applyBorder="1" applyAlignment="1">
      <alignment horizontal="center" vertical="center"/>
    </xf>
    <xf numFmtId="166" fontId="0" fillId="6" borderId="33" xfId="0" applyNumberFormat="1" applyFont="1" applyFill="1" applyBorder="1" applyAlignment="1">
      <alignment horizontal="center" vertical="center"/>
    </xf>
    <xf numFmtId="166" fontId="0" fillId="6" borderId="34" xfId="0" applyNumberFormat="1" applyFont="1" applyFill="1" applyBorder="1" applyAlignment="1">
      <alignment horizontal="center" vertical="center"/>
    </xf>
    <xf numFmtId="0" fontId="0" fillId="0" borderId="28" xfId="0" applyFont="1" applyBorder="1" applyAlignment="1">
      <alignment vertical="center"/>
    </xf>
    <xf numFmtId="0" fontId="0" fillId="0" borderId="29" xfId="0" applyFont="1" applyBorder="1" applyAlignment="1">
      <alignment vertical="center"/>
    </xf>
    <xf numFmtId="0" fontId="0" fillId="4" borderId="7" xfId="0" applyFill="1" applyBorder="1"/>
    <xf numFmtId="0" fontId="7" fillId="8" borderId="11" xfId="0" applyFont="1" applyFill="1" applyBorder="1"/>
    <xf numFmtId="0" fontId="0" fillId="8" borderId="15" xfId="0" applyFill="1" applyBorder="1"/>
    <xf numFmtId="0" fontId="7" fillId="4" borderId="6" xfId="0" applyFont="1" applyFill="1" applyBorder="1" applyProtection="1">
      <protection locked="0"/>
    </xf>
    <xf numFmtId="0" fontId="0" fillId="4" borderId="33" xfId="0" applyFont="1" applyFill="1" applyBorder="1" applyAlignment="1" applyProtection="1">
      <alignment horizontal="center" vertical="center"/>
      <protection locked="0"/>
    </xf>
    <xf numFmtId="166" fontId="0" fillId="4" borderId="12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>
      <alignment vertical="center"/>
    </xf>
    <xf numFmtId="166" fontId="3" fillId="4" borderId="2" xfId="0" applyNumberFormat="1" applyFont="1" applyFill="1" applyBorder="1" applyAlignment="1">
      <alignment vertical="center"/>
    </xf>
    <xf numFmtId="166" fontId="0" fillId="4" borderId="31" xfId="0" applyNumberFormat="1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6" borderId="39" xfId="0" applyFont="1" applyFill="1" applyBorder="1" applyAlignment="1">
      <alignment horizontal="center" vertical="center"/>
    </xf>
    <xf numFmtId="166" fontId="0" fillId="6" borderId="14" xfId="0" applyNumberFormat="1" applyFont="1" applyFill="1" applyBorder="1" applyAlignment="1">
      <alignment horizontal="center" vertical="center"/>
    </xf>
    <xf numFmtId="166" fontId="0" fillId="0" borderId="39" xfId="0" applyNumberFormat="1" applyFont="1" applyBorder="1" applyAlignment="1">
      <alignment horizontal="center" vertical="center"/>
    </xf>
    <xf numFmtId="166" fontId="0" fillId="6" borderId="39" xfId="0" applyNumberFormat="1" applyFont="1" applyFill="1" applyBorder="1" applyAlignment="1">
      <alignment horizontal="center" vertical="center"/>
    </xf>
    <xf numFmtId="0" fontId="2" fillId="3" borderId="35" xfId="0" applyFont="1" applyFill="1" applyBorder="1" applyAlignment="1" applyProtection="1">
      <alignment horizontal="center"/>
    </xf>
    <xf numFmtId="0" fontId="4" fillId="3" borderId="19" xfId="0" applyFont="1" applyFill="1" applyBorder="1" applyAlignment="1" applyProtection="1">
      <alignment horizontal="center" vertical="center"/>
    </xf>
    <xf numFmtId="0" fontId="2" fillId="3" borderId="5" xfId="0" applyFont="1" applyFill="1" applyBorder="1" applyAlignment="1" applyProtection="1">
      <alignment horizontal="center"/>
    </xf>
    <xf numFmtId="0" fontId="2" fillId="3" borderId="20" xfId="0" applyFont="1" applyFill="1" applyBorder="1" applyAlignment="1" applyProtection="1">
      <alignment horizontal="center"/>
    </xf>
    <xf numFmtId="0" fontId="2" fillId="3" borderId="31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right" vertical="center"/>
    </xf>
    <xf numFmtId="0" fontId="2" fillId="3" borderId="5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20" fontId="2" fillId="3" borderId="5" xfId="0" applyNumberFormat="1" applyFont="1" applyFill="1" applyBorder="1" applyAlignment="1" applyProtection="1">
      <alignment horizontal="center" vertical="center"/>
    </xf>
    <xf numFmtId="20" fontId="2" fillId="3" borderId="20" xfId="0" applyNumberFormat="1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left" vertical="center"/>
    </xf>
    <xf numFmtId="166" fontId="0" fillId="6" borderId="36" xfId="0" applyNumberFormat="1" applyFont="1" applyFill="1" applyBorder="1" applyAlignment="1">
      <alignment horizontal="center" vertical="center"/>
    </xf>
    <xf numFmtId="166" fontId="0" fillId="0" borderId="43" xfId="0" applyNumberFormat="1" applyFont="1" applyBorder="1" applyAlignment="1">
      <alignment horizontal="center" vertical="center"/>
    </xf>
    <xf numFmtId="166" fontId="0" fillId="6" borderId="43" xfId="0" applyNumberFormat="1" applyFont="1" applyFill="1" applyBorder="1" applyAlignment="1">
      <alignment horizontal="center" vertical="center"/>
    </xf>
    <xf numFmtId="166" fontId="0" fillId="0" borderId="37" xfId="0" applyNumberFormat="1" applyFont="1" applyBorder="1" applyAlignment="1">
      <alignment horizontal="center" vertical="center"/>
    </xf>
    <xf numFmtId="166" fontId="0" fillId="0" borderId="44" xfId="0" applyNumberFormat="1" applyFont="1" applyBorder="1" applyAlignment="1">
      <alignment horizontal="center" vertical="center"/>
    </xf>
    <xf numFmtId="0" fontId="0" fillId="6" borderId="46" xfId="0" applyFont="1" applyFill="1" applyBorder="1" applyAlignment="1">
      <alignment horizontal="center" vertical="center"/>
    </xf>
    <xf numFmtId="0" fontId="0" fillId="6" borderId="47" xfId="0" applyFont="1" applyFill="1" applyBorder="1" applyAlignment="1">
      <alignment horizontal="center" vertical="center"/>
    </xf>
    <xf numFmtId="166" fontId="0" fillId="6" borderId="46" xfId="0" applyNumberFormat="1" applyFont="1" applyFill="1" applyBorder="1" applyAlignment="1">
      <alignment horizontal="center" vertical="center"/>
    </xf>
    <xf numFmtId="166" fontId="0" fillId="6" borderId="51" xfId="0" applyNumberFormat="1" applyFont="1" applyFill="1" applyBorder="1" applyAlignment="1">
      <alignment horizontal="center" vertical="center"/>
    </xf>
    <xf numFmtId="0" fontId="0" fillId="4" borderId="3" xfId="0" applyFill="1" applyBorder="1" applyAlignment="1" applyProtection="1">
      <alignment vertical="center"/>
      <protection locked="0"/>
    </xf>
    <xf numFmtId="0" fontId="0" fillId="4" borderId="45" xfId="0" applyFill="1" applyBorder="1" applyAlignment="1" applyProtection="1">
      <alignment vertical="center"/>
      <protection locked="0"/>
    </xf>
    <xf numFmtId="0" fontId="3" fillId="4" borderId="1" xfId="0" applyFont="1" applyFill="1" applyBorder="1" applyAlignment="1" applyProtection="1">
      <alignment vertical="center"/>
      <protection locked="0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Alignment="1">
      <alignment wrapText="1"/>
    </xf>
    <xf numFmtId="0" fontId="3" fillId="0" borderId="0" xfId="0" applyFont="1" applyFill="1" applyAlignment="1">
      <alignment horizontal="left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horizontal="center"/>
    </xf>
    <xf numFmtId="0" fontId="0" fillId="10" borderId="11" xfId="0" applyFont="1" applyFill="1" applyBorder="1" applyAlignment="1" applyProtection="1">
      <alignment horizontal="center"/>
      <protection locked="0"/>
    </xf>
    <xf numFmtId="0" fontId="0" fillId="10" borderId="4" xfId="0" applyFont="1" applyFill="1" applyBorder="1" applyAlignment="1" applyProtection="1">
      <alignment horizontal="center"/>
      <protection locked="0"/>
    </xf>
    <xf numFmtId="0" fontId="0" fillId="11" borderId="11" xfId="0" applyFont="1" applyFill="1" applyBorder="1" applyAlignment="1" applyProtection="1">
      <alignment horizontal="center"/>
      <protection locked="0"/>
    </xf>
    <xf numFmtId="0" fontId="0" fillId="11" borderId="4" xfId="0" applyFont="1" applyFill="1" applyBorder="1" applyAlignment="1" applyProtection="1">
      <alignment horizontal="center"/>
      <protection locked="0"/>
    </xf>
    <xf numFmtId="0" fontId="0" fillId="11" borderId="41" xfId="0" applyFont="1" applyFill="1" applyBorder="1" applyAlignment="1" applyProtection="1">
      <alignment horizontal="center"/>
      <protection locked="0"/>
    </xf>
    <xf numFmtId="0" fontId="0" fillId="10" borderId="41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3" fillId="9" borderId="11" xfId="2" applyFont="1" applyBorder="1" applyAlignment="1" applyProtection="1">
      <alignment horizontal="center"/>
    </xf>
    <xf numFmtId="0" fontId="3" fillId="9" borderId="41" xfId="2" applyFont="1" applyBorder="1" applyAlignment="1" applyProtection="1">
      <alignment horizontal="center"/>
    </xf>
    <xf numFmtId="0" fontId="0" fillId="10" borderId="11" xfId="0" applyFont="1" applyFill="1" applyBorder="1" applyAlignment="1" applyProtection="1">
      <alignment horizontal="center"/>
    </xf>
    <xf numFmtId="0" fontId="0" fillId="11" borderId="11" xfId="0" applyFont="1" applyFill="1" applyBorder="1" applyAlignment="1" applyProtection="1">
      <alignment horizontal="center"/>
    </xf>
    <xf numFmtId="0" fontId="0" fillId="11" borderId="41" xfId="0" applyFont="1" applyFill="1" applyBorder="1" applyAlignment="1" applyProtection="1">
      <alignment horizontal="center"/>
    </xf>
    <xf numFmtId="0" fontId="0" fillId="10" borderId="41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13" borderId="4" xfId="0" applyFill="1" applyBorder="1" applyAlignment="1">
      <alignment horizontal="center" vertical="center" wrapText="1"/>
    </xf>
    <xf numFmtId="20" fontId="0" fillId="13" borderId="4" xfId="0" applyNumberFormat="1" applyFill="1" applyBorder="1" applyAlignment="1">
      <alignment horizontal="center" vertical="center" wrapText="1"/>
    </xf>
    <xf numFmtId="0" fontId="0" fillId="13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20" fontId="0" fillId="0" borderId="3" xfId="0" applyNumberFormat="1" applyFill="1" applyBorder="1" applyAlignment="1">
      <alignment horizontal="center" vertical="center"/>
    </xf>
    <xf numFmtId="166" fontId="0" fillId="0" borderId="3" xfId="0" applyNumberFormat="1" applyFill="1" applyBorder="1" applyAlignment="1">
      <alignment horizontal="center" vertical="center"/>
    </xf>
    <xf numFmtId="0" fontId="9" fillId="0" borderId="3" xfId="1" applyFont="1" applyFill="1" applyBorder="1" applyAlignment="1">
      <alignment horizontal="center" vertical="center"/>
    </xf>
    <xf numFmtId="20" fontId="9" fillId="0" borderId="3" xfId="1" applyNumberFormat="1" applyFont="1" applyFill="1" applyBorder="1" applyAlignment="1">
      <alignment horizontal="center" vertical="center"/>
    </xf>
    <xf numFmtId="166" fontId="9" fillId="0" borderId="3" xfId="1" applyNumberFormat="1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/>
    </xf>
    <xf numFmtId="0" fontId="0" fillId="0" borderId="0" xfId="0" applyProtection="1">
      <protection locked="0"/>
    </xf>
    <xf numFmtId="0" fontId="0" fillId="4" borderId="41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41" xfId="0" applyBorder="1" applyProtection="1">
      <protection locked="0"/>
    </xf>
    <xf numFmtId="0" fontId="0" fillId="0" borderId="0" xfId="0" applyProtection="1"/>
    <xf numFmtId="0" fontId="0" fillId="0" borderId="41" xfId="0" applyBorder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0" borderId="41" xfId="0" applyBorder="1" applyProtection="1"/>
    <xf numFmtId="0" fontId="8" fillId="12" borderId="53" xfId="3" applyBorder="1" applyAlignment="1" applyProtection="1">
      <alignment horizontal="center"/>
    </xf>
    <xf numFmtId="0" fontId="3" fillId="8" borderId="54" xfId="0" applyFont="1" applyFill="1" applyBorder="1" applyAlignment="1">
      <alignment horizontal="center"/>
    </xf>
    <xf numFmtId="0" fontId="0" fillId="8" borderId="55" xfId="0" applyFill="1" applyBorder="1"/>
    <xf numFmtId="0" fontId="0" fillId="7" borderId="0" xfId="0" applyFill="1" applyAlignment="1" applyProtection="1">
      <alignment horizontal="left"/>
    </xf>
    <xf numFmtId="0" fontId="3" fillId="9" borderId="14" xfId="2" applyFont="1" applyBorder="1" applyProtection="1"/>
    <xf numFmtId="0" fontId="0" fillId="7" borderId="0" xfId="0" applyFill="1" applyAlignment="1" applyProtection="1">
      <alignment horizontal="left" vertical="top"/>
    </xf>
    <xf numFmtId="0" fontId="0" fillId="7" borderId="0" xfId="0" applyFill="1" applyAlignment="1" applyProtection="1">
      <alignment horizontal="center" vertical="top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Border="1" applyProtection="1"/>
    <xf numFmtId="0" fontId="3" fillId="9" borderId="14" xfId="2" applyFont="1" applyBorder="1" applyAlignment="1" applyProtection="1">
      <alignment horizontal="center"/>
    </xf>
    <xf numFmtId="0" fontId="3" fillId="9" borderId="15" xfId="2" applyFont="1" applyBorder="1" applyAlignment="1" applyProtection="1">
      <alignment horizontal="center"/>
    </xf>
    <xf numFmtId="0" fontId="0" fillId="7" borderId="0" xfId="0" applyFill="1" applyProtection="1"/>
    <xf numFmtId="0" fontId="0" fillId="0" borderId="0" xfId="0" applyFill="1" applyProtection="1"/>
    <xf numFmtId="0" fontId="0" fillId="7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3" fillId="9" borderId="4" xfId="2" applyFont="1" applyBorder="1" applyAlignment="1" applyProtection="1">
      <alignment horizontal="center"/>
    </xf>
    <xf numFmtId="165" fontId="0" fillId="4" borderId="3" xfId="0" applyNumberFormat="1" applyFill="1" applyBorder="1" applyProtection="1">
      <protection locked="0"/>
    </xf>
    <xf numFmtId="0" fontId="8" fillId="12" borderId="53" xfId="3" applyBorder="1" applyProtection="1"/>
    <xf numFmtId="0" fontId="0" fillId="4" borderId="38" xfId="0" applyFill="1" applyBorder="1" applyAlignment="1" applyProtection="1">
      <alignment horizontal="center" vertical="center"/>
      <protection locked="0"/>
    </xf>
    <xf numFmtId="0" fontId="0" fillId="4" borderId="40" xfId="0" applyFill="1" applyBorder="1" applyAlignment="1" applyProtection="1">
      <alignment horizontal="center" vertical="center"/>
      <protection locked="0"/>
    </xf>
    <xf numFmtId="0" fontId="0" fillId="4" borderId="41" xfId="0" applyFill="1" applyBorder="1" applyAlignment="1" applyProtection="1">
      <alignment horizontal="center" vertical="center"/>
      <protection locked="0"/>
    </xf>
    <xf numFmtId="0" fontId="0" fillId="4" borderId="48" xfId="0" applyFill="1" applyBorder="1" applyAlignment="1" applyProtection="1">
      <alignment horizontal="center" vertical="center"/>
      <protection locked="0"/>
    </xf>
    <xf numFmtId="0" fontId="0" fillId="4" borderId="49" xfId="0" applyFill="1" applyBorder="1" applyAlignment="1" applyProtection="1">
      <alignment horizontal="center" vertical="center"/>
      <protection locked="0"/>
    </xf>
    <xf numFmtId="0" fontId="0" fillId="4" borderId="50" xfId="0" applyFill="1" applyBorder="1" applyAlignment="1" applyProtection="1">
      <alignment horizontal="center" vertical="center"/>
      <protection locked="0"/>
    </xf>
    <xf numFmtId="20" fontId="6" fillId="3" borderId="8" xfId="0" applyNumberFormat="1" applyFont="1" applyFill="1" applyBorder="1" applyAlignment="1" applyProtection="1">
      <alignment horizontal="left" vertical="center"/>
    </xf>
    <xf numFmtId="0" fontId="0" fillId="13" borderId="57" xfId="0" applyFill="1" applyBorder="1" applyAlignment="1">
      <alignment horizontal="center" vertical="center" wrapText="1"/>
    </xf>
    <xf numFmtId="20" fontId="0" fillId="13" borderId="57" xfId="0" applyNumberFormat="1" applyFill="1" applyBorder="1" applyAlignment="1">
      <alignment horizontal="center" vertical="center" wrapText="1"/>
    </xf>
    <xf numFmtId="0" fontId="0" fillId="13" borderId="57" xfId="0" applyFill="1" applyBorder="1" applyAlignment="1">
      <alignment horizontal="center" vertical="center"/>
    </xf>
    <xf numFmtId="0" fontId="3" fillId="7" borderId="18" xfId="0" applyFont="1" applyFill="1" applyBorder="1"/>
    <xf numFmtId="0" fontId="2" fillId="3" borderId="42" xfId="0" applyFont="1" applyFill="1" applyBorder="1" applyAlignment="1" applyProtection="1">
      <alignment horizontal="center"/>
    </xf>
    <xf numFmtId="0" fontId="8" fillId="12" borderId="41" xfId="3" applyBorder="1" applyAlignment="1" applyProtection="1">
      <alignment horizontal="center"/>
    </xf>
    <xf numFmtId="0" fontId="0" fillId="0" borderId="41" xfId="0" applyBorder="1"/>
    <xf numFmtId="0" fontId="0" fillId="0" borderId="0" xfId="0" applyAlignment="1">
      <alignment horizontal="center" vertical="center" wrapText="1"/>
    </xf>
    <xf numFmtId="0" fontId="10" fillId="3" borderId="59" xfId="0" applyFont="1" applyFill="1" applyBorder="1" applyAlignment="1">
      <alignment horizontal="center" vertical="center" wrapText="1"/>
    </xf>
    <xf numFmtId="0" fontId="10" fillId="3" borderId="60" xfId="0" applyFont="1" applyFill="1" applyBorder="1" applyAlignment="1">
      <alignment horizontal="center" vertical="center" wrapText="1"/>
    </xf>
    <xf numFmtId="166" fontId="10" fillId="3" borderId="60" xfId="0" applyNumberFormat="1" applyFont="1" applyFill="1" applyBorder="1" applyAlignment="1">
      <alignment horizontal="center" vertical="center" wrapText="1"/>
    </xf>
    <xf numFmtId="166" fontId="10" fillId="3" borderId="61" xfId="0" applyNumberFormat="1" applyFont="1" applyFill="1" applyBorder="1" applyAlignment="1">
      <alignment horizontal="center" vertical="center" wrapText="1"/>
    </xf>
    <xf numFmtId="0" fontId="0" fillId="0" borderId="41" xfId="0" applyFill="1" applyBorder="1"/>
    <xf numFmtId="0" fontId="0" fillId="0" borderId="58" xfId="0" applyFill="1" applyBorder="1"/>
    <xf numFmtId="0" fontId="0" fillId="0" borderId="58" xfId="0" applyFill="1" applyBorder="1" applyAlignment="1">
      <alignment horizontal="center"/>
    </xf>
    <xf numFmtId="166" fontId="0" fillId="0" borderId="58" xfId="0" applyNumberFormat="1" applyFill="1" applyBorder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 vertical="center" wrapText="1"/>
    </xf>
    <xf numFmtId="0" fontId="0" fillId="11" borderId="0" xfId="0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11" fillId="11" borderId="0" xfId="0" applyFont="1" applyFill="1" applyAlignment="1">
      <alignment horizontal="center"/>
    </xf>
    <xf numFmtId="0" fontId="3" fillId="7" borderId="62" xfId="0" applyFont="1" applyFill="1" applyBorder="1" applyAlignment="1">
      <alignment horizontal="left"/>
    </xf>
    <xf numFmtId="0" fontId="2" fillId="3" borderId="63" xfId="0" applyFont="1" applyFill="1" applyBorder="1" applyAlignment="1">
      <alignment horizontal="center" vertical="center" wrapText="1"/>
    </xf>
    <xf numFmtId="167" fontId="0" fillId="0" borderId="58" xfId="0" applyNumberFormat="1" applyFill="1" applyBorder="1" applyAlignment="1">
      <alignment horizontal="center"/>
    </xf>
    <xf numFmtId="0" fontId="0" fillId="0" borderId="4" xfId="0" applyBorder="1" applyProtection="1"/>
    <xf numFmtId="0" fontId="0" fillId="0" borderId="57" xfId="0" applyFill="1" applyBorder="1" applyAlignment="1">
      <alignment horizontal="center"/>
    </xf>
    <xf numFmtId="166" fontId="0" fillId="0" borderId="57" xfId="0" applyNumberFormat="1" applyFill="1" applyBorder="1" applyAlignment="1">
      <alignment horizontal="center"/>
    </xf>
    <xf numFmtId="0" fontId="0" fillId="0" borderId="58" xfId="0" applyBorder="1" applyProtection="1"/>
    <xf numFmtId="0" fontId="0" fillId="14" borderId="58" xfId="0" applyFill="1" applyBorder="1" applyAlignment="1">
      <alignment horizontal="center"/>
    </xf>
    <xf numFmtId="166" fontId="0" fillId="14" borderId="58" xfId="0" applyNumberFormat="1" applyFill="1" applyBorder="1" applyAlignment="1">
      <alignment horizontal="center"/>
    </xf>
    <xf numFmtId="0" fontId="0" fillId="14" borderId="57" xfId="0" applyFill="1" applyBorder="1" applyAlignment="1">
      <alignment horizontal="center"/>
    </xf>
    <xf numFmtId="166" fontId="0" fillId="14" borderId="57" xfId="0" applyNumberFormat="1" applyFill="1" applyBorder="1" applyAlignment="1">
      <alignment horizontal="center"/>
    </xf>
    <xf numFmtId="0" fontId="0" fillId="14" borderId="67" xfId="0" applyFill="1" applyBorder="1" applyProtection="1"/>
    <xf numFmtId="0" fontId="0" fillId="14" borderId="67" xfId="0" applyFill="1" applyBorder="1" applyAlignment="1">
      <alignment horizontal="center"/>
    </xf>
    <xf numFmtId="166" fontId="0" fillId="14" borderId="67" xfId="0" applyNumberFormat="1" applyFill="1" applyBorder="1" applyAlignment="1">
      <alignment horizontal="center"/>
    </xf>
    <xf numFmtId="0" fontId="0" fillId="14" borderId="41" xfId="0" applyFill="1" applyBorder="1" applyProtection="1">
      <protection locked="0"/>
    </xf>
    <xf numFmtId="0" fontId="0" fillId="14" borderId="4" xfId="0" applyFill="1" applyBorder="1" applyProtection="1">
      <protection locked="0"/>
    </xf>
    <xf numFmtId="0" fontId="12" fillId="11" borderId="0" xfId="0" applyFont="1" applyFill="1"/>
    <xf numFmtId="0" fontId="12" fillId="0" borderId="58" xfId="0" applyFont="1" applyFill="1" applyBorder="1" applyAlignment="1">
      <alignment horizontal="center"/>
    </xf>
    <xf numFmtId="0" fontId="12" fillId="0" borderId="0" xfId="0" applyFont="1"/>
    <xf numFmtId="0" fontId="0" fillId="0" borderId="58" xfId="0" applyFill="1" applyBorder="1" applyAlignment="1">
      <alignment horizontal="left"/>
    </xf>
    <xf numFmtId="166" fontId="0" fillId="0" borderId="58" xfId="0" applyNumberFormat="1" applyFill="1" applyBorder="1" applyAlignment="1">
      <alignment horizontal="left"/>
    </xf>
    <xf numFmtId="0" fontId="0" fillId="11" borderId="0" xfId="0" applyFill="1" applyAlignment="1">
      <alignment horizontal="left"/>
    </xf>
    <xf numFmtId="166" fontId="0" fillId="11" borderId="0" xfId="0" applyNumberFormat="1" applyFill="1" applyAlignment="1">
      <alignment horizontal="left"/>
    </xf>
    <xf numFmtId="0" fontId="12" fillId="0" borderId="58" xfId="0" applyFont="1" applyFill="1" applyBorder="1" applyAlignment="1">
      <alignment horizontal="left" indent="1"/>
    </xf>
    <xf numFmtId="166" fontId="12" fillId="0" borderId="58" xfId="0" applyNumberFormat="1" applyFont="1" applyFill="1" applyBorder="1" applyAlignment="1">
      <alignment horizontal="left" indent="1"/>
    </xf>
    <xf numFmtId="0" fontId="0" fillId="0" borderId="58" xfId="0" applyFont="1" applyFill="1" applyBorder="1" applyAlignment="1">
      <alignment horizontal="center"/>
    </xf>
    <xf numFmtId="166" fontId="0" fillId="0" borderId="58" xfId="0" applyNumberFormat="1" applyFont="1" applyFill="1" applyBorder="1" applyAlignment="1">
      <alignment horizontal="center"/>
    </xf>
    <xf numFmtId="165" fontId="12" fillId="0" borderId="58" xfId="0" applyNumberFormat="1" applyFont="1" applyFill="1" applyBorder="1" applyAlignment="1">
      <alignment horizontal="left" indent="1"/>
    </xf>
    <xf numFmtId="0" fontId="13" fillId="15" borderId="58" xfId="0" applyFont="1" applyFill="1" applyBorder="1" applyAlignment="1">
      <alignment horizontal="center"/>
    </xf>
    <xf numFmtId="0" fontId="14" fillId="15" borderId="58" xfId="0" applyFont="1" applyFill="1" applyBorder="1" applyAlignment="1">
      <alignment horizontal="left" indent="1"/>
    </xf>
    <xf numFmtId="166" fontId="14" fillId="15" borderId="58" xfId="0" applyNumberFormat="1" applyFont="1" applyFill="1" applyBorder="1" applyAlignment="1">
      <alignment horizontal="left" inden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/>
    <xf numFmtId="0" fontId="15" fillId="11" borderId="0" xfId="0" applyFont="1" applyFill="1" applyAlignment="1">
      <alignment horizontal="right" wrapText="1"/>
    </xf>
    <xf numFmtId="0" fontId="0" fillId="0" borderId="0" xfId="0" applyAlignment="1">
      <alignment horizontal="right"/>
    </xf>
    <xf numFmtId="0" fontId="16" fillId="0" borderId="0" xfId="3" applyFont="1" applyFill="1" applyBorder="1" applyAlignment="1" applyProtection="1">
      <alignment horizontal="right"/>
    </xf>
    <xf numFmtId="0" fontId="0" fillId="0" borderId="0" xfId="0" applyBorder="1" applyProtection="1"/>
    <xf numFmtId="0" fontId="11" fillId="4" borderId="0" xfId="0" applyFont="1" applyFill="1" applyAlignment="1" applyProtection="1">
      <protection locked="0"/>
    </xf>
    <xf numFmtId="0" fontId="11" fillId="11" borderId="0" xfId="0" applyFont="1" applyFill="1" applyAlignment="1"/>
    <xf numFmtId="0" fontId="11" fillId="11" borderId="0" xfId="0" applyFont="1" applyFill="1" applyAlignment="1">
      <alignment horizontal="center"/>
    </xf>
    <xf numFmtId="0" fontId="0" fillId="0" borderId="58" xfId="0" applyBorder="1" applyAlignment="1" applyProtection="1">
      <alignment horizontal="center"/>
    </xf>
    <xf numFmtId="167" fontId="0" fillId="11" borderId="0" xfId="0" applyNumberFormat="1" applyFill="1" applyAlignment="1">
      <alignment horizontal="center"/>
    </xf>
    <xf numFmtId="167" fontId="10" fillId="3" borderId="60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" fontId="0" fillId="0" borderId="58" xfId="0" applyNumberFormat="1" applyFill="1" applyBorder="1" applyAlignment="1">
      <alignment horizontal="center"/>
    </xf>
    <xf numFmtId="0" fontId="11" fillId="11" borderId="0" xfId="0" applyFont="1" applyFill="1" applyAlignment="1" applyProtection="1">
      <alignment horizontal="center"/>
    </xf>
    <xf numFmtId="0" fontId="0" fillId="11" borderId="0" xfId="0" applyFill="1" applyProtection="1"/>
    <xf numFmtId="0" fontId="10" fillId="3" borderId="60" xfId="0" applyFont="1" applyFill="1" applyBorder="1" applyAlignment="1" applyProtection="1">
      <alignment horizontal="center" vertical="center" wrapText="1"/>
    </xf>
    <xf numFmtId="0" fontId="3" fillId="0" borderId="68" xfId="0" applyFont="1" applyBorder="1" applyAlignment="1" applyProtection="1">
      <alignment horizontal="center"/>
    </xf>
    <xf numFmtId="0" fontId="3" fillId="0" borderId="41" xfId="0" applyFont="1" applyBorder="1" applyProtection="1"/>
    <xf numFmtId="0" fontId="12" fillId="0" borderId="41" xfId="0" applyFont="1" applyBorder="1" applyAlignment="1" applyProtection="1">
      <alignment horizontal="left" indent="2"/>
    </xf>
    <xf numFmtId="0" fontId="3" fillId="0" borderId="41" xfId="0" applyFont="1" applyBorder="1" applyAlignment="1" applyProtection="1">
      <alignment horizontal="center"/>
    </xf>
    <xf numFmtId="0" fontId="14" fillId="15" borderId="41" xfId="0" applyFont="1" applyFill="1" applyBorder="1" applyAlignment="1" applyProtection="1">
      <alignment horizontal="left" indent="2"/>
    </xf>
    <xf numFmtId="0" fontId="0" fillId="4" borderId="3" xfId="0" applyFill="1" applyBorder="1" applyAlignment="1" applyProtection="1">
      <alignment horizontal="center"/>
      <protection locked="0"/>
    </xf>
    <xf numFmtId="0" fontId="0" fillId="4" borderId="11" xfId="0" applyFont="1" applyFill="1" applyBorder="1" applyAlignment="1" applyProtection="1">
      <protection locked="0"/>
    </xf>
    <xf numFmtId="0" fontId="0" fillId="4" borderId="11" xfId="0" applyFill="1" applyBorder="1" applyAlignment="1" applyProtection="1">
      <protection locked="0"/>
    </xf>
    <xf numFmtId="0" fontId="0" fillId="4" borderId="36" xfId="0" applyFont="1" applyFill="1" applyBorder="1" applyAlignment="1" applyProtection="1"/>
    <xf numFmtId="0" fontId="0" fillId="4" borderId="14" xfId="0" applyFont="1" applyFill="1" applyBorder="1" applyAlignment="1" applyProtection="1"/>
    <xf numFmtId="0" fontId="0" fillId="4" borderId="14" xfId="0" applyFill="1" applyBorder="1" applyAlignment="1" applyProtection="1"/>
    <xf numFmtId="0" fontId="0" fillId="14" borderId="0" xfId="0" applyFill="1"/>
    <xf numFmtId="0" fontId="17" fillId="7" borderId="0" xfId="0" applyFont="1" applyFill="1"/>
    <xf numFmtId="0" fontId="0" fillId="14" borderId="41" xfId="0" applyFill="1" applyBorder="1"/>
    <xf numFmtId="0" fontId="4" fillId="17" borderId="41" xfId="0" applyFont="1" applyFill="1" applyBorder="1"/>
    <xf numFmtId="0" fontId="0" fillId="18" borderId="41" xfId="0" applyFill="1" applyBorder="1"/>
    <xf numFmtId="0" fontId="3" fillId="19" borderId="41" xfId="0" applyFont="1" applyFill="1" applyBorder="1" applyAlignment="1">
      <alignment horizontal="center" textRotation="90"/>
    </xf>
    <xf numFmtId="0" fontId="0" fillId="7" borderId="0" xfId="0" applyFill="1" applyAlignment="1">
      <alignment horizontal="center"/>
    </xf>
    <xf numFmtId="0" fontId="0" fillId="19" borderId="41" xfId="0" applyFill="1" applyBorder="1"/>
    <xf numFmtId="0" fontId="0" fillId="16" borderId="71" xfId="4" applyFont="1" applyBorder="1" applyAlignment="1">
      <alignment horizontal="center"/>
    </xf>
    <xf numFmtId="0" fontId="0" fillId="16" borderId="72" xfId="4" applyFont="1" applyBorder="1" applyAlignment="1">
      <alignment horizontal="center"/>
    </xf>
    <xf numFmtId="0" fontId="0" fillId="16" borderId="73" xfId="4" applyFont="1" applyBorder="1" applyAlignment="1">
      <alignment horizontal="center"/>
    </xf>
    <xf numFmtId="0" fontId="0" fillId="16" borderId="74" xfId="4" applyFont="1" applyBorder="1" applyAlignment="1">
      <alignment horizontal="center"/>
    </xf>
    <xf numFmtId="0" fontId="0" fillId="16" borderId="70" xfId="4" applyFont="1" applyBorder="1" applyAlignment="1">
      <alignment horizontal="center"/>
    </xf>
    <xf numFmtId="0" fontId="0" fillId="16" borderId="75" xfId="4" applyFont="1" applyBorder="1" applyAlignment="1">
      <alignment horizontal="center"/>
    </xf>
    <xf numFmtId="0" fontId="0" fillId="16" borderId="76" xfId="4" applyFont="1" applyBorder="1" applyAlignment="1">
      <alignment horizontal="center"/>
    </xf>
    <xf numFmtId="0" fontId="0" fillId="16" borderId="77" xfId="4" applyFont="1" applyBorder="1" applyAlignment="1">
      <alignment horizontal="center"/>
    </xf>
    <xf numFmtId="0" fontId="0" fillId="16" borderId="78" xfId="4" applyFont="1" applyBorder="1" applyAlignment="1">
      <alignment horizontal="center"/>
    </xf>
    <xf numFmtId="0" fontId="0" fillId="14" borderId="41" xfId="0" applyFill="1" applyBorder="1" applyAlignment="1">
      <alignment horizontal="center"/>
    </xf>
    <xf numFmtId="0" fontId="0" fillId="0" borderId="41" xfId="0" applyFill="1" applyBorder="1" applyProtection="1">
      <protection locked="0"/>
    </xf>
    <xf numFmtId="0" fontId="0" fillId="0" borderId="0" xfId="0" applyFill="1" applyProtection="1">
      <protection locked="0"/>
    </xf>
    <xf numFmtId="165" fontId="0" fillId="0" borderId="41" xfId="0" applyNumberFormat="1" applyFill="1" applyBorder="1" applyProtection="1">
      <protection locked="0"/>
    </xf>
    <xf numFmtId="164" fontId="0" fillId="0" borderId="41" xfId="0" applyNumberFormat="1" applyFill="1" applyBorder="1" applyProtection="1">
      <protection locked="0"/>
    </xf>
    <xf numFmtId="0" fontId="18" fillId="14" borderId="0" xfId="0" applyFont="1" applyFill="1"/>
    <xf numFmtId="2" fontId="0" fillId="0" borderId="0" xfId="0" applyNumberFormat="1" applyFill="1"/>
    <xf numFmtId="166" fontId="7" fillId="11" borderId="0" xfId="0" applyNumberFormat="1" applyFont="1" applyFill="1" applyAlignment="1">
      <alignment horizontal="left"/>
    </xf>
    <xf numFmtId="0" fontId="0" fillId="11" borderId="0" xfId="0" applyFill="1" applyAlignment="1">
      <alignment vertical="center"/>
    </xf>
    <xf numFmtId="0" fontId="0" fillId="0" borderId="41" xfId="0" applyFill="1" applyBorder="1" applyAlignment="1">
      <alignment vertical="center"/>
    </xf>
    <xf numFmtId="0" fontId="0" fillId="0" borderId="58" xfId="0" applyFill="1" applyBorder="1" applyAlignment="1">
      <alignment vertical="center"/>
    </xf>
    <xf numFmtId="0" fontId="0" fillId="0" borderId="58" xfId="0" applyFill="1" applyBorder="1" applyAlignment="1">
      <alignment horizontal="center" vertical="center"/>
    </xf>
    <xf numFmtId="166" fontId="0" fillId="0" borderId="58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20" borderId="41" xfId="5" applyBorder="1" applyAlignment="1" applyProtection="1">
      <alignment vertical="center"/>
      <protection locked="0"/>
    </xf>
    <xf numFmtId="0" fontId="0" fillId="20" borderId="79" xfId="5" applyFont="1" applyBorder="1" applyAlignment="1" applyProtection="1">
      <alignment vertical="center"/>
      <protection locked="0"/>
    </xf>
    <xf numFmtId="0" fontId="0" fillId="20" borderId="41" xfId="5" applyFont="1" applyBorder="1" applyAlignment="1" applyProtection="1">
      <alignment vertical="center"/>
      <protection locked="0"/>
    </xf>
    <xf numFmtId="0" fontId="1" fillId="0" borderId="41" xfId="5" applyFill="1" applyBorder="1" applyAlignment="1" applyProtection="1">
      <alignment vertical="center"/>
    </xf>
    <xf numFmtId="167" fontId="0" fillId="0" borderId="58" xfId="0" applyNumberFormat="1" applyFill="1" applyBorder="1" applyAlignment="1">
      <alignment horizontal="center" vertical="center"/>
    </xf>
    <xf numFmtId="166" fontId="0" fillId="11" borderId="0" xfId="0" applyNumberFormat="1" applyFill="1"/>
    <xf numFmtId="167" fontId="0" fillId="11" borderId="0" xfId="0" applyNumberFormat="1" applyFill="1"/>
    <xf numFmtId="166" fontId="10" fillId="3" borderId="80" xfId="0" applyNumberFormat="1" applyFont="1" applyFill="1" applyBorder="1" applyAlignment="1">
      <alignment horizontal="center" vertical="center" wrapText="1"/>
    </xf>
    <xf numFmtId="166" fontId="0" fillId="3" borderId="58" xfId="0" applyNumberFormat="1" applyFill="1" applyBorder="1" applyAlignment="1">
      <alignment horizontal="center"/>
    </xf>
    <xf numFmtId="166" fontId="0" fillId="11" borderId="83" xfId="0" applyNumberFormat="1" applyFill="1" applyBorder="1" applyAlignment="1">
      <alignment horizontal="center"/>
    </xf>
    <xf numFmtId="167" fontId="0" fillId="21" borderId="58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8" fillId="12" borderId="84" xfId="3" applyBorder="1" applyAlignment="1">
      <alignment horizontal="right" vertical="center" indent="1"/>
    </xf>
    <xf numFmtId="0" fontId="8" fillId="12" borderId="85" xfId="3" applyBorder="1" applyAlignment="1">
      <alignment horizontal="right" vertical="center" indent="1"/>
    </xf>
    <xf numFmtId="0" fontId="8" fillId="12" borderId="42" xfId="3" applyBorder="1" applyAlignment="1">
      <alignment horizontal="right" vertical="center" indent="1"/>
    </xf>
    <xf numFmtId="0" fontId="8" fillId="12" borderId="86" xfId="3" applyBorder="1" applyAlignment="1">
      <alignment horizontal="right" vertical="center" indent="1"/>
    </xf>
    <xf numFmtId="0" fontId="8" fillId="12" borderId="87" xfId="3" applyBorder="1" applyAlignment="1">
      <alignment horizontal="left" vertical="center" indent="1"/>
    </xf>
    <xf numFmtId="0" fontId="8" fillId="12" borderId="88" xfId="3" applyBorder="1" applyAlignment="1">
      <alignment horizontal="left" vertical="center" indent="1"/>
    </xf>
    <xf numFmtId="0" fontId="8" fillId="12" borderId="89" xfId="3" applyBorder="1" applyAlignment="1">
      <alignment horizontal="left" vertical="center" indent="1"/>
    </xf>
    <xf numFmtId="0" fontId="8" fillId="12" borderId="90" xfId="3" applyBorder="1" applyAlignment="1">
      <alignment horizontal="left" vertical="center" indent="1"/>
    </xf>
    <xf numFmtId="0" fontId="0" fillId="0" borderId="9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95" xfId="0" applyBorder="1"/>
    <xf numFmtId="0" fontId="0" fillId="0" borderId="94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95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97" xfId="0" applyBorder="1" applyAlignment="1">
      <alignment vertical="center"/>
    </xf>
    <xf numFmtId="0" fontId="0" fillId="3" borderId="0" xfId="0" applyFill="1" applyBorder="1" applyAlignment="1">
      <alignment vertical="center"/>
    </xf>
    <xf numFmtId="0" fontId="8" fillId="12" borderId="98" xfId="3" applyBorder="1" applyAlignment="1">
      <alignment horizontal="center" vertical="center"/>
    </xf>
    <xf numFmtId="0" fontId="8" fillId="12" borderId="99" xfId="3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8" fillId="12" borderId="100" xfId="3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3" fillId="19" borderId="41" xfId="0" applyFont="1" applyFill="1" applyBorder="1"/>
    <xf numFmtId="0" fontId="20" fillId="0" borderId="0" xfId="0" applyFont="1"/>
    <xf numFmtId="0" fontId="20" fillId="0" borderId="41" xfId="0" applyFont="1" applyBorder="1" applyAlignment="1">
      <alignment horizontal="center"/>
    </xf>
    <xf numFmtId="0" fontId="20" fillId="0" borderId="41" xfId="0" applyFont="1" applyBorder="1"/>
    <xf numFmtId="0" fontId="20" fillId="0" borderId="0" xfId="0" applyFont="1" applyAlignment="1">
      <alignment horizontal="center"/>
    </xf>
    <xf numFmtId="0" fontId="0" fillId="7" borderId="41" xfId="0" applyFill="1" applyBorder="1"/>
    <xf numFmtId="0" fontId="0" fillId="0" borderId="41" xfId="0" applyBorder="1" applyAlignment="1">
      <alignment horizontal="center" wrapText="1"/>
    </xf>
    <xf numFmtId="0" fontId="22" fillId="0" borderId="92" xfId="0" applyFont="1" applyBorder="1" applyAlignment="1">
      <alignment vertical="center"/>
    </xf>
    <xf numFmtId="0" fontId="20" fillId="0" borderId="94" xfId="0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167" fontId="20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95" xfId="0" applyFont="1" applyBorder="1" applyAlignment="1">
      <alignment horizontal="center" vertical="center"/>
    </xf>
    <xf numFmtId="0" fontId="8" fillId="12" borderId="84" xfId="3" applyFont="1" applyBorder="1" applyAlignment="1">
      <alignment horizontal="right" vertical="center" indent="1"/>
    </xf>
    <xf numFmtId="0" fontId="8" fillId="12" borderId="87" xfId="3" applyFont="1" applyBorder="1" applyAlignment="1">
      <alignment horizontal="left" vertical="center" indent="1"/>
    </xf>
    <xf numFmtId="0" fontId="20" fillId="0" borderId="102" xfId="0" applyFont="1" applyBorder="1" applyAlignment="1">
      <alignment horizontal="left" vertical="center" indent="1"/>
    </xf>
    <xf numFmtId="167" fontId="20" fillId="0" borderId="52" xfId="0" applyNumberFormat="1" applyFont="1" applyBorder="1" applyAlignment="1">
      <alignment horizontal="center" vertical="center"/>
    </xf>
    <xf numFmtId="167" fontId="20" fillId="0" borderId="103" xfId="0" applyNumberFormat="1" applyFont="1" applyBorder="1" applyAlignment="1">
      <alignment horizontal="center" vertical="center"/>
    </xf>
    <xf numFmtId="0" fontId="20" fillId="0" borderId="104" xfId="0" applyFont="1" applyBorder="1" applyAlignment="1">
      <alignment horizontal="left" vertical="center" indent="1"/>
    </xf>
    <xf numFmtId="167" fontId="20" fillId="0" borderId="105" xfId="0" applyNumberFormat="1" applyFont="1" applyBorder="1" applyAlignment="1">
      <alignment horizontal="center" vertical="center"/>
    </xf>
    <xf numFmtId="167" fontId="20" fillId="0" borderId="107" xfId="0" applyNumberFormat="1" applyFont="1" applyBorder="1" applyAlignment="1">
      <alignment horizontal="center" vertical="center"/>
    </xf>
    <xf numFmtId="167" fontId="20" fillId="0" borderId="108" xfId="0" applyNumberFormat="1" applyFont="1" applyBorder="1" applyAlignment="1">
      <alignment horizontal="center" vertical="center"/>
    </xf>
    <xf numFmtId="167" fontId="20" fillId="0" borderId="110" xfId="0" applyNumberFormat="1" applyFont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Fill="1" applyBorder="1" applyAlignment="1">
      <alignment vertical="center"/>
    </xf>
    <xf numFmtId="0" fontId="0" fillId="0" borderId="101" xfId="0" applyFont="1" applyBorder="1" applyAlignment="1">
      <alignment horizontal="center" vertical="center"/>
    </xf>
    <xf numFmtId="0" fontId="0" fillId="0" borderId="114" xfId="0" applyFont="1" applyBorder="1" applyAlignment="1">
      <alignment horizontal="center" vertical="center"/>
    </xf>
    <xf numFmtId="0" fontId="3" fillId="0" borderId="101" xfId="0" applyFont="1" applyBorder="1" applyAlignment="1">
      <alignment horizontal="right"/>
    </xf>
    <xf numFmtId="0" fontId="3" fillId="0" borderId="113" xfId="0" applyFont="1" applyBorder="1" applyAlignment="1">
      <alignment horizontal="right" indent="1"/>
    </xf>
    <xf numFmtId="0" fontId="0" fillId="3" borderId="115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116" xfId="0" applyFill="1" applyBorder="1" applyAlignment="1">
      <alignment vertical="center"/>
    </xf>
    <xf numFmtId="0" fontId="17" fillId="0" borderId="0" xfId="0" applyFont="1" applyFill="1"/>
    <xf numFmtId="0" fontId="23" fillId="0" borderId="92" xfId="0" applyFont="1" applyFill="1" applyBorder="1" applyAlignment="1">
      <alignment horizontal="left"/>
    </xf>
    <xf numFmtId="0" fontId="0" fillId="0" borderId="101" xfId="0" applyFont="1" applyFill="1" applyBorder="1"/>
    <xf numFmtId="0" fontId="0" fillId="0" borderId="117" xfId="0" applyBorder="1" applyAlignment="1">
      <alignment vertical="center"/>
    </xf>
    <xf numFmtId="0" fontId="0" fillId="0" borderId="117" xfId="0" applyBorder="1" applyAlignment="1">
      <alignment horizontal="right" vertical="center"/>
    </xf>
    <xf numFmtId="0" fontId="0" fillId="0" borderId="117" xfId="0" applyFill="1" applyBorder="1" applyAlignment="1">
      <alignment vertical="center"/>
    </xf>
    <xf numFmtId="0" fontId="3" fillId="0" borderId="65" xfId="0" applyFont="1" applyBorder="1" applyAlignment="1">
      <alignment horizontal="right" vertical="center" indent="1"/>
    </xf>
    <xf numFmtId="167" fontId="0" fillId="0" borderId="16" xfId="0" applyNumberFormat="1" applyBorder="1" applyAlignment="1">
      <alignment horizontal="right" vertical="center" indent="1"/>
    </xf>
    <xf numFmtId="167" fontId="0" fillId="0" borderId="11" xfId="0" applyNumberFormat="1" applyBorder="1" applyAlignment="1">
      <alignment horizontal="right" vertical="center" indent="1"/>
    </xf>
    <xf numFmtId="167" fontId="0" fillId="0" borderId="65" xfId="0" applyNumberFormat="1" applyBorder="1" applyAlignment="1">
      <alignment horizontal="right" vertical="center" indent="1"/>
    </xf>
    <xf numFmtId="167" fontId="0" fillId="0" borderId="118" xfId="0" applyNumberFormat="1" applyBorder="1" applyAlignment="1">
      <alignment horizontal="right" vertical="center" indent="1"/>
    </xf>
    <xf numFmtId="166" fontId="0" fillId="0" borderId="65" xfId="0" applyNumberFormat="1" applyBorder="1" applyAlignment="1">
      <alignment horizontal="right" vertical="center" indent="1"/>
    </xf>
    <xf numFmtId="166" fontId="0" fillId="0" borderId="16" xfId="0" applyNumberFormat="1" applyBorder="1" applyAlignment="1">
      <alignment horizontal="right" vertical="center" indent="1"/>
    </xf>
    <xf numFmtId="166" fontId="0" fillId="0" borderId="11" xfId="0" applyNumberFormat="1" applyBorder="1" applyAlignment="1">
      <alignment horizontal="right" vertical="center" indent="1"/>
    </xf>
    <xf numFmtId="0" fontId="3" fillId="0" borderId="82" xfId="0" applyFont="1" applyBorder="1" applyAlignment="1">
      <alignment horizontal="left" vertical="center" indent="1"/>
    </xf>
    <xf numFmtId="167" fontId="0" fillId="0" borderId="119" xfId="0" applyNumberFormat="1" applyBorder="1" applyAlignment="1">
      <alignment horizontal="left" vertical="center" indent="1"/>
    </xf>
    <xf numFmtId="167" fontId="0" fillId="0" borderId="36" xfId="0" applyNumberFormat="1" applyBorder="1" applyAlignment="1">
      <alignment horizontal="left" vertical="center" indent="1"/>
    </xf>
    <xf numFmtId="167" fontId="0" fillId="0" borderId="82" xfId="0" applyNumberFormat="1" applyBorder="1" applyAlignment="1">
      <alignment horizontal="left" vertical="center" indent="1"/>
    </xf>
    <xf numFmtId="167" fontId="0" fillId="0" borderId="120" xfId="0" applyNumberFormat="1" applyBorder="1" applyAlignment="1">
      <alignment horizontal="left" vertical="center" indent="1"/>
    </xf>
    <xf numFmtId="166" fontId="0" fillId="0" borderId="82" xfId="0" applyNumberFormat="1" applyBorder="1" applyAlignment="1">
      <alignment horizontal="left" vertical="center" indent="1"/>
    </xf>
    <xf numFmtId="166" fontId="0" fillId="0" borderId="119" xfId="0" applyNumberFormat="1" applyBorder="1" applyAlignment="1">
      <alignment horizontal="left" vertical="center" indent="1"/>
    </xf>
    <xf numFmtId="166" fontId="0" fillId="0" borderId="36" xfId="0" applyNumberFormat="1" applyBorder="1" applyAlignment="1">
      <alignment horizontal="left" vertical="center" indent="1"/>
    </xf>
    <xf numFmtId="0" fontId="0" fillId="11" borderId="41" xfId="0" applyFill="1" applyBorder="1" applyProtection="1"/>
    <xf numFmtId="167" fontId="0" fillId="11" borderId="58" xfId="0" applyNumberFormat="1" applyFill="1" applyBorder="1" applyAlignment="1">
      <alignment horizontal="center"/>
    </xf>
    <xf numFmtId="166" fontId="0" fillId="11" borderId="58" xfId="0" applyNumberFormat="1" applyFill="1" applyBorder="1" applyAlignment="1">
      <alignment horizontal="center"/>
    </xf>
    <xf numFmtId="167" fontId="0" fillId="8" borderId="88" xfId="0" applyNumberFormat="1" applyFont="1" applyFill="1" applyBorder="1" applyAlignment="1">
      <alignment horizontal="center" vertical="center"/>
    </xf>
    <xf numFmtId="166" fontId="0" fillId="8" borderId="88" xfId="0" applyNumberFormat="1" applyFont="1" applyFill="1" applyBorder="1" applyAlignment="1">
      <alignment horizontal="center" vertical="center"/>
    </xf>
    <xf numFmtId="166" fontId="0" fillId="8" borderId="89" xfId="0" applyNumberFormat="1" applyFont="1" applyFill="1" applyBorder="1" applyAlignment="1">
      <alignment horizontal="center" vertical="center"/>
    </xf>
    <xf numFmtId="0" fontId="24" fillId="0" borderId="0" xfId="0" applyFont="1" applyFill="1"/>
    <xf numFmtId="167" fontId="25" fillId="12" borderId="52" xfId="3" applyNumberFormat="1" applyFont="1" applyAlignment="1">
      <alignment horizontal="center" vertical="center"/>
    </xf>
    <xf numFmtId="166" fontId="25" fillId="12" borderId="52" xfId="3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66" fontId="20" fillId="0" borderId="0" xfId="0" applyNumberFormat="1" applyFont="1"/>
    <xf numFmtId="0" fontId="25" fillId="12" borderId="41" xfId="3" applyFont="1" applyBorder="1" applyAlignment="1">
      <alignment horizontal="center" vertical="center"/>
    </xf>
    <xf numFmtId="167" fontId="25" fillId="12" borderId="41" xfId="3" applyNumberFormat="1" applyFont="1" applyBorder="1" applyAlignment="1">
      <alignment horizontal="center" vertical="center"/>
    </xf>
    <xf numFmtId="166" fontId="25" fillId="12" borderId="41" xfId="3" applyNumberFormat="1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4" xfId="0" applyFont="1" applyBorder="1" applyAlignment="1">
      <alignment horizontal="left" vertical="center"/>
    </xf>
    <xf numFmtId="167" fontId="20" fillId="0" borderId="14" xfId="0" applyNumberFormat="1" applyFont="1" applyBorder="1" applyAlignment="1">
      <alignment horizontal="center" vertical="center"/>
    </xf>
    <xf numFmtId="166" fontId="20" fillId="0" borderId="14" xfId="0" applyNumberFormat="1" applyFont="1" applyBorder="1" applyAlignment="1">
      <alignment horizontal="center" vertical="center"/>
    </xf>
    <xf numFmtId="0" fontId="20" fillId="0" borderId="122" xfId="0" applyFont="1" applyBorder="1" applyAlignment="1">
      <alignment vertical="center"/>
    </xf>
    <xf numFmtId="0" fontId="20" fillId="0" borderId="122" xfId="0" applyFont="1" applyBorder="1" applyAlignment="1">
      <alignment horizontal="center" vertical="center"/>
    </xf>
    <xf numFmtId="167" fontId="20" fillId="0" borderId="122" xfId="0" applyNumberFormat="1" applyFont="1" applyBorder="1" applyAlignment="1">
      <alignment horizontal="center" vertical="center"/>
    </xf>
    <xf numFmtId="166" fontId="20" fillId="0" borderId="122" xfId="0" applyNumberFormat="1" applyFont="1" applyBorder="1" applyAlignment="1">
      <alignment horizontal="center" vertical="center"/>
    </xf>
    <xf numFmtId="0" fontId="20" fillId="0" borderId="123" xfId="0" applyFont="1" applyBorder="1" applyAlignment="1">
      <alignment vertical="center"/>
    </xf>
    <xf numFmtId="0" fontId="20" fillId="0" borderId="123" xfId="0" applyFont="1" applyBorder="1" applyAlignment="1">
      <alignment horizontal="center" vertical="center"/>
    </xf>
    <xf numFmtId="167" fontId="20" fillId="0" borderId="123" xfId="0" applyNumberFormat="1" applyFont="1" applyBorder="1" applyAlignment="1">
      <alignment horizontal="center" vertical="center"/>
    </xf>
    <xf numFmtId="166" fontId="20" fillId="0" borderId="123" xfId="0" applyNumberFormat="1" applyFont="1" applyBorder="1" applyAlignment="1">
      <alignment horizontal="center" vertical="center"/>
    </xf>
    <xf numFmtId="0" fontId="20" fillId="0" borderId="124" xfId="0" applyFont="1" applyBorder="1" applyAlignment="1">
      <alignment vertical="center"/>
    </xf>
    <xf numFmtId="0" fontId="20" fillId="0" borderId="124" xfId="0" applyFont="1" applyBorder="1" applyAlignment="1">
      <alignment horizontal="center" vertical="center"/>
    </xf>
    <xf numFmtId="167" fontId="20" fillId="0" borderId="124" xfId="0" applyNumberFormat="1" applyFont="1" applyBorder="1" applyAlignment="1">
      <alignment horizontal="center" vertical="center"/>
    </xf>
    <xf numFmtId="166" fontId="20" fillId="0" borderId="124" xfId="0" applyNumberFormat="1" applyFont="1" applyBorder="1" applyAlignment="1">
      <alignment horizontal="center" vertical="center"/>
    </xf>
    <xf numFmtId="0" fontId="20" fillId="0" borderId="122" xfId="0" applyFont="1" applyBorder="1" applyAlignment="1">
      <alignment horizontal="left" vertical="center"/>
    </xf>
    <xf numFmtId="1" fontId="20" fillId="0" borderId="122" xfId="0" applyNumberFormat="1" applyFont="1" applyBorder="1" applyAlignment="1">
      <alignment horizontal="center" vertical="center"/>
    </xf>
    <xf numFmtId="0" fontId="20" fillId="0" borderId="123" xfId="0" applyFont="1" applyBorder="1" applyAlignment="1">
      <alignment horizontal="left" vertical="center"/>
    </xf>
    <xf numFmtId="0" fontId="20" fillId="0" borderId="124" xfId="0" applyFont="1" applyBorder="1" applyAlignment="1">
      <alignment horizontal="left" vertical="center"/>
    </xf>
    <xf numFmtId="0" fontId="19" fillId="0" borderId="0" xfId="0" applyFont="1" applyBorder="1" applyAlignment="1" applyProtection="1">
      <alignment horizontal="right" vertical="center" indent="3"/>
      <protection locked="0"/>
    </xf>
    <xf numFmtId="0" fontId="8" fillId="12" borderId="125" xfId="3" applyBorder="1" applyAlignment="1">
      <alignment vertical="center"/>
    </xf>
    <xf numFmtId="0" fontId="25" fillId="12" borderId="126" xfId="3" applyFont="1" applyBorder="1" applyAlignment="1">
      <alignment vertical="center"/>
    </xf>
    <xf numFmtId="167" fontId="0" fillId="8" borderId="90" xfId="0" applyNumberFormat="1" applyFont="1" applyFill="1" applyBorder="1" applyAlignment="1">
      <alignment horizontal="center" vertical="center"/>
    </xf>
    <xf numFmtId="166" fontId="0" fillId="8" borderId="121" xfId="0" applyNumberFormat="1" applyFont="1" applyFill="1" applyBorder="1" applyAlignment="1">
      <alignment horizontal="center" vertical="center"/>
    </xf>
    <xf numFmtId="167" fontId="0" fillId="8" borderId="87" xfId="0" applyNumberFormat="1" applyFont="1" applyFill="1" applyBorder="1" applyAlignment="1">
      <alignment horizontal="center" vertical="center"/>
    </xf>
    <xf numFmtId="167" fontId="0" fillId="8" borderId="89" xfId="0" applyNumberFormat="1" applyFont="1" applyFill="1" applyBorder="1" applyAlignment="1">
      <alignment horizontal="center" vertical="center"/>
    </xf>
    <xf numFmtId="0" fontId="20" fillId="0" borderId="94" xfId="0" applyFont="1" applyBorder="1" applyAlignment="1">
      <alignment vertical="center" wrapText="1"/>
    </xf>
    <xf numFmtId="0" fontId="20" fillId="0" borderId="96" xfId="0" applyFont="1" applyBorder="1" applyAlignment="1">
      <alignment vertical="center" wrapText="1"/>
    </xf>
    <xf numFmtId="0" fontId="20" fillId="0" borderId="94" xfId="0" applyFont="1" applyBorder="1" applyAlignment="1">
      <alignment horizontal="right" vertical="center" indent="2"/>
    </xf>
    <xf numFmtId="0" fontId="20" fillId="0" borderId="0" xfId="0" applyFont="1" applyBorder="1" applyAlignment="1">
      <alignment horizontal="left" vertical="center" indent="2"/>
    </xf>
    <xf numFmtId="0" fontId="24" fillId="0" borderId="94" xfId="0" applyFont="1" applyBorder="1" applyAlignment="1">
      <alignment horizontal="right" indent="1"/>
    </xf>
    <xf numFmtId="0" fontId="20" fillId="0" borderId="0" xfId="0" applyFont="1" applyAlignment="1">
      <alignment horizontal="left" vertical="center" indent="2"/>
    </xf>
    <xf numFmtId="167" fontId="20" fillId="0" borderId="128" xfId="0" applyNumberFormat="1" applyFont="1" applyBorder="1" applyAlignment="1">
      <alignment horizontal="center" vertical="center"/>
    </xf>
    <xf numFmtId="166" fontId="20" fillId="0" borderId="129" xfId="0" applyNumberFormat="1" applyFont="1" applyBorder="1" applyAlignment="1">
      <alignment horizontal="center" vertical="center"/>
    </xf>
    <xf numFmtId="167" fontId="20" fillId="0" borderId="130" xfId="0" applyNumberFormat="1" applyFont="1" applyBorder="1" applyAlignment="1">
      <alignment horizontal="center" vertical="center"/>
    </xf>
    <xf numFmtId="166" fontId="20" fillId="0" borderId="131" xfId="0" applyNumberFormat="1" applyFont="1" applyBorder="1" applyAlignment="1">
      <alignment horizontal="center" vertical="center"/>
    </xf>
    <xf numFmtId="167" fontId="20" fillId="0" borderId="132" xfId="0" applyNumberFormat="1" applyFont="1" applyBorder="1" applyAlignment="1">
      <alignment horizontal="center" vertical="center"/>
    </xf>
    <xf numFmtId="166" fontId="20" fillId="0" borderId="133" xfId="0" applyNumberFormat="1" applyFont="1" applyBorder="1" applyAlignment="1">
      <alignment horizontal="center" vertical="center"/>
    </xf>
    <xf numFmtId="0" fontId="20" fillId="0" borderId="106" xfId="0" applyFont="1" applyBorder="1" applyAlignment="1">
      <alignment horizontal="left" vertical="center" indent="1"/>
    </xf>
    <xf numFmtId="0" fontId="20" fillId="0" borderId="109" xfId="0" applyFont="1" applyBorder="1" applyAlignment="1">
      <alignment horizontal="left" vertical="center" indent="1"/>
    </xf>
    <xf numFmtId="0" fontId="0" fillId="7" borderId="0" xfId="0" applyFill="1" applyAlignment="1">
      <alignment horizontal="left"/>
    </xf>
    <xf numFmtId="0" fontId="0" fillId="21" borderId="81" xfId="0" applyFill="1" applyBorder="1" applyAlignment="1">
      <alignment horizontal="center"/>
    </xf>
    <xf numFmtId="0" fontId="0" fillId="21" borderId="64" xfId="0" applyFill="1" applyBorder="1" applyAlignment="1">
      <alignment horizontal="center"/>
    </xf>
    <xf numFmtId="0" fontId="0" fillId="21" borderId="82" xfId="0" applyFill="1" applyBorder="1" applyAlignment="1">
      <alignment horizontal="center"/>
    </xf>
    <xf numFmtId="0" fontId="3" fillId="14" borderId="65" xfId="0" applyFont="1" applyFill="1" applyBorder="1" applyAlignment="1">
      <alignment horizontal="center"/>
    </xf>
    <xf numFmtId="0" fontId="3" fillId="14" borderId="64" xfId="0" applyFont="1" applyFill="1" applyBorder="1" applyAlignment="1">
      <alignment horizontal="center"/>
    </xf>
    <xf numFmtId="0" fontId="3" fillId="14" borderId="66" xfId="0" applyFont="1" applyFill="1" applyBorder="1" applyAlignment="1">
      <alignment horizontal="center"/>
    </xf>
    <xf numFmtId="0" fontId="11" fillId="11" borderId="0" xfId="0" applyFont="1" applyFill="1" applyAlignment="1">
      <alignment horizontal="center"/>
    </xf>
    <xf numFmtId="0" fontId="2" fillId="3" borderId="16" xfId="5" quotePrefix="1" applyFont="1" applyFill="1" applyBorder="1" applyAlignment="1" applyProtection="1">
      <alignment horizontal="center" vertical="center"/>
      <protection locked="0"/>
    </xf>
    <xf numFmtId="0" fontId="2" fillId="3" borderId="17" xfId="5" applyFont="1" applyFill="1" applyBorder="1" applyAlignment="1" applyProtection="1">
      <alignment horizontal="center" vertical="center"/>
      <protection locked="0"/>
    </xf>
    <xf numFmtId="0" fontId="2" fillId="3" borderId="18" xfId="5" applyFont="1" applyFill="1" applyBorder="1" applyAlignment="1" applyProtection="1">
      <alignment horizontal="center" vertical="center"/>
      <protection locked="0"/>
    </xf>
    <xf numFmtId="0" fontId="4" fillId="3" borderId="16" xfId="0" quotePrefix="1" applyFont="1" applyFill="1" applyBorder="1" applyAlignment="1">
      <alignment horizontal="center" vertical="center"/>
    </xf>
    <xf numFmtId="0" fontId="4" fillId="3" borderId="17" xfId="0" quotePrefix="1" applyFont="1" applyFill="1" applyBorder="1" applyAlignment="1">
      <alignment horizontal="center" vertical="center"/>
    </xf>
    <xf numFmtId="0" fontId="4" fillId="3" borderId="18" xfId="0" quotePrefix="1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5" fillId="12" borderId="16" xfId="3" applyFont="1" applyBorder="1" applyAlignment="1">
      <alignment horizontal="center" vertical="center"/>
    </xf>
    <xf numFmtId="0" fontId="25" fillId="12" borderId="127" xfId="3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19" fillId="0" borderId="91" xfId="0" applyFont="1" applyBorder="1" applyAlignment="1" applyProtection="1">
      <alignment horizontal="left" vertical="center" indent="3"/>
      <protection locked="0"/>
    </xf>
    <xf numFmtId="0" fontId="19" fillId="0" borderId="92" xfId="0" applyFont="1" applyBorder="1" applyAlignment="1" applyProtection="1">
      <alignment horizontal="left" vertical="center" indent="3"/>
      <protection locked="0"/>
    </xf>
    <xf numFmtId="0" fontId="19" fillId="0" borderId="92" xfId="0" applyFont="1" applyBorder="1" applyAlignment="1" applyProtection="1">
      <alignment horizontal="right" vertical="center" indent="3"/>
      <protection locked="0"/>
    </xf>
    <xf numFmtId="0" fontId="19" fillId="0" borderId="93" xfId="0" applyFont="1" applyBorder="1" applyAlignment="1" applyProtection="1">
      <alignment horizontal="right" vertical="center" indent="3"/>
      <protection locked="0"/>
    </xf>
    <xf numFmtId="0" fontId="21" fillId="0" borderId="111" xfId="0" applyFont="1" applyBorder="1" applyAlignment="1">
      <alignment horizontal="right" vertical="center" indent="1"/>
    </xf>
    <xf numFmtId="0" fontId="21" fillId="0" borderId="92" xfId="0" applyFont="1" applyBorder="1" applyAlignment="1">
      <alignment horizontal="right" vertical="center" indent="1"/>
    </xf>
    <xf numFmtId="0" fontId="21" fillId="0" borderId="92" xfId="0" applyFont="1" applyBorder="1" applyAlignment="1" applyProtection="1">
      <alignment horizontal="left" vertical="center" indent="1"/>
      <protection locked="0"/>
    </xf>
    <xf numFmtId="0" fontId="21" fillId="0" borderId="112" xfId="0" applyFont="1" applyBorder="1" applyAlignment="1" applyProtection="1">
      <alignment horizontal="left" vertical="center" indent="1"/>
      <protection locked="0"/>
    </xf>
    <xf numFmtId="0" fontId="3" fillId="8" borderId="54" xfId="0" applyFont="1" applyFill="1" applyBorder="1" applyAlignment="1">
      <alignment horizontal="center" wrapText="1"/>
    </xf>
    <xf numFmtId="0" fontId="3" fillId="8" borderId="121" xfId="0" applyFont="1" applyFill="1" applyBorder="1" applyAlignment="1">
      <alignment horizontal="center" wrapText="1"/>
    </xf>
    <xf numFmtId="0" fontId="3" fillId="9" borderId="41" xfId="2" applyFont="1" applyBorder="1" applyAlignment="1" applyProtection="1">
      <alignment horizontal="center" vertical="center"/>
    </xf>
    <xf numFmtId="0" fontId="0" fillId="0" borderId="0" xfId="0" applyAlignment="1">
      <alignment horizontal="center" wrapText="1"/>
    </xf>
    <xf numFmtId="0" fontId="0" fillId="8" borderId="55" xfId="0" applyFill="1" applyBorder="1" applyAlignment="1">
      <alignment horizontal="left" vertical="center" wrapText="1"/>
    </xf>
    <xf numFmtId="0" fontId="0" fillId="8" borderId="56" xfId="0" applyFill="1" applyBorder="1" applyAlignment="1">
      <alignment horizontal="left" vertical="center" wrapText="1"/>
    </xf>
    <xf numFmtId="0" fontId="0" fillId="0" borderId="69" xfId="0" applyBorder="1" applyAlignment="1">
      <alignment horizontal="center" wrapText="1"/>
    </xf>
    <xf numFmtId="0" fontId="0" fillId="8" borderId="55" xfId="0" applyFill="1" applyBorder="1" applyAlignment="1">
      <alignment horizontal="left" vertic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3" fillId="19" borderId="41" xfId="0" applyFont="1" applyFill="1" applyBorder="1" applyAlignment="1">
      <alignment horizontal="center"/>
    </xf>
    <xf numFmtId="0" fontId="0" fillId="0" borderId="69" xfId="0" applyBorder="1" applyAlignment="1">
      <alignment horizontal="center"/>
    </xf>
  </cellXfs>
  <cellStyles count="6">
    <cellStyle name="20% - Accent1" xfId="1" builtinId="30"/>
    <cellStyle name="20% - Accent4" xfId="5" builtinId="42"/>
    <cellStyle name="40% - Accent1" xfId="2" builtinId="31"/>
    <cellStyle name="Normal" xfId="0" builtinId="0"/>
    <cellStyle name="Note" xfId="4" builtinId="10"/>
    <cellStyle name="Output" xfId="3" builtinId="21"/>
  </cellStyles>
  <dxfs count="31">
    <dxf>
      <font>
        <b/>
        <i/>
      </font>
    </dxf>
    <dxf>
      <fill>
        <patternFill>
          <bgColor rgb="FFFF66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theme="1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/>
      </font>
    </dxf>
    <dxf>
      <font>
        <u/>
      </font>
    </dxf>
    <dxf>
      <font>
        <u/>
      </font>
    </dxf>
    <dxf>
      <font>
        <b/>
        <i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9" tint="0.59996337778862885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114300</xdr:rowOff>
    </xdr:from>
    <xdr:to>
      <xdr:col>14</xdr:col>
      <xdr:colOff>405910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63E6D0-283A-462A-B8A6-7C09D8810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304800"/>
          <a:ext cx="8502160" cy="1219200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xdr:oneCellAnchor>
    <xdr:from>
      <xdr:col>1</xdr:col>
      <xdr:colOff>0</xdr:colOff>
      <xdr:row>10</xdr:row>
      <xdr:rowOff>98377</xdr:rowOff>
    </xdr:from>
    <xdr:ext cx="7977953" cy="530273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E1C2E51-5805-44E6-8674-1318213F0E5C}"/>
            </a:ext>
          </a:extLst>
        </xdr:cNvPr>
        <xdr:cNvSpPr/>
      </xdr:nvSpPr>
      <xdr:spPr>
        <a:xfrm>
          <a:off x="609600" y="2003377"/>
          <a:ext cx="7977953" cy="530273"/>
        </a:xfrm>
        <a:prstGeom prst="rect">
          <a:avLst/>
        </a:prstGeom>
        <a:noFill/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none" lIns="91440" tIns="45720" rIns="91440" bIns="45720">
          <a:spAutoFit/>
        </a:bodyPr>
        <a:lstStyle/>
        <a:p>
          <a:r>
            <a:rPr lang="en-US" sz="2800" b="1">
              <a:effectLst>
                <a:innerShdw blurRad="63500" dist="50800">
                  <a:prstClr val="black">
                    <a:alpha val="50000"/>
                  </a:prstClr>
                </a:innerShdw>
              </a:effectLst>
              <a:latin typeface="Impact" panose="020B0806030902050204" pitchFamily="34" charset="0"/>
              <a:ea typeface="+mn-ea"/>
              <a:cs typeface="+mn-cs"/>
            </a:rPr>
            <a:t>Bringing together local talent across all generations.</a:t>
          </a:r>
          <a:endParaRPr lang="en-US" sz="11500">
            <a:effectLst>
              <a:innerShdw blurRad="63500" dist="50800">
                <a:prstClr val="black">
                  <a:alpha val="50000"/>
                </a:prstClr>
              </a:innerShdw>
            </a:effectLst>
            <a:latin typeface="Impact" panose="020B0806030902050204" pitchFamily="34" charset="0"/>
          </a:endParaRPr>
        </a:p>
      </xdr:txBody>
    </xdr:sp>
    <xdr:clientData/>
  </xdr:oneCellAnchor>
  <xdr:oneCellAnchor>
    <xdr:from>
      <xdr:col>1</xdr:col>
      <xdr:colOff>0</xdr:colOff>
      <xdr:row>12</xdr:row>
      <xdr:rowOff>107902</xdr:rowOff>
    </xdr:from>
    <xdr:ext cx="8730210" cy="530273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0D97F8D-6FD4-4CC2-B054-5CCE29221E9B}"/>
            </a:ext>
          </a:extLst>
        </xdr:cNvPr>
        <xdr:cNvSpPr/>
      </xdr:nvSpPr>
      <xdr:spPr>
        <a:xfrm>
          <a:off x="609600" y="2641552"/>
          <a:ext cx="8730210" cy="530273"/>
        </a:xfrm>
        <a:prstGeom prst="rect">
          <a:avLst/>
        </a:prstGeom>
        <a:noFill/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none" lIns="91440" tIns="45720" rIns="91440" bIns="45720">
          <a:spAutoFit/>
        </a:bodyPr>
        <a:lstStyle/>
        <a:p>
          <a:r>
            <a:rPr lang="en-US" sz="2800" b="1">
              <a:effectLst>
                <a:innerShdw blurRad="63500" dist="50800">
                  <a:prstClr val="black">
                    <a:alpha val="50000"/>
                  </a:prstClr>
                </a:innerShdw>
              </a:effectLst>
              <a:latin typeface="Impact" panose="020B0806030902050204" pitchFamily="34" charset="0"/>
              <a:ea typeface="+mn-ea"/>
              <a:cs typeface="+mn-cs"/>
            </a:rPr>
            <a:t>Providing highly competitive basketball to the community.</a:t>
          </a:r>
          <a:endParaRPr lang="en-US" sz="11500">
            <a:effectLst>
              <a:innerShdw blurRad="63500" dist="50800">
                <a:prstClr val="black">
                  <a:alpha val="50000"/>
                </a:prstClr>
              </a:innerShdw>
            </a:effectLst>
            <a:latin typeface="Impact" panose="020B0806030902050204" pitchFamily="34" charset="0"/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10</xdr:col>
      <xdr:colOff>0</xdr:colOff>
      <xdr:row>17</xdr:row>
      <xdr:rowOff>95250</xdr:rowOff>
    </xdr:to>
    <xdr:sp macro="[0]!LoginButton" textlink="">
      <xdr:nvSpPr>
        <xdr:cNvPr id="7" name="Rectangle 6">
          <a:extLst>
            <a:ext uri="{FF2B5EF4-FFF2-40B4-BE49-F238E27FC236}">
              <a16:creationId xmlns:a16="http://schemas.microsoft.com/office/drawing/2014/main" id="{6318C356-2DC6-48D9-BFA9-8894CD593B12}"/>
            </a:ext>
          </a:extLst>
        </xdr:cNvPr>
        <xdr:cNvSpPr/>
      </xdr:nvSpPr>
      <xdr:spPr>
        <a:xfrm>
          <a:off x="3543300" y="3352800"/>
          <a:ext cx="2362200" cy="476250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latin typeface="Impact" panose="020B0806030902050204" pitchFamily="34" charset="0"/>
            </a:rPr>
            <a:t>LOGIN</a:t>
          </a:r>
          <a:endParaRPr lang="en-US" sz="1600" b="0">
            <a:latin typeface="Impact" panose="020B080603090205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6067CF-CA41-48E0-AB6E-240751079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IndividualsSortbyGP" textlink="">
      <xdr:nvSpPr>
        <xdr:cNvPr id="2" name="Rectangle 1">
          <a:extLst>
            <a:ext uri="{FF2B5EF4-FFF2-40B4-BE49-F238E27FC236}">
              <a16:creationId xmlns:a16="http://schemas.microsoft.com/office/drawing/2014/main" id="{5606E337-8DFA-404D-870A-A2F93536E7C0}"/>
            </a:ext>
          </a:extLst>
        </xdr:cNvPr>
        <xdr:cNvSpPr/>
      </xdr:nvSpPr>
      <xdr:spPr>
        <a:xfrm>
          <a:off x="2933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IndividualsSortbyPTS" textlink="">
      <xdr:nvSpPr>
        <xdr:cNvPr id="4" name="Rectangle 3">
          <a:extLst>
            <a:ext uri="{FF2B5EF4-FFF2-40B4-BE49-F238E27FC236}">
              <a16:creationId xmlns:a16="http://schemas.microsoft.com/office/drawing/2014/main" id="{BCA7451A-59ED-43F6-B636-82027FBA0758}"/>
            </a:ext>
          </a:extLst>
        </xdr:cNvPr>
        <xdr:cNvSpPr/>
      </xdr:nvSpPr>
      <xdr:spPr>
        <a:xfrm>
          <a:off x="3457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IndividualsSortbyREB" textlink="">
      <xdr:nvSpPr>
        <xdr:cNvPr id="5" name="Rectangle 4">
          <a:extLst>
            <a:ext uri="{FF2B5EF4-FFF2-40B4-BE49-F238E27FC236}">
              <a16:creationId xmlns:a16="http://schemas.microsoft.com/office/drawing/2014/main" id="{1FFB2A2E-BCA1-466B-8AEE-557AACC3DA64}"/>
            </a:ext>
          </a:extLst>
        </xdr:cNvPr>
        <xdr:cNvSpPr/>
      </xdr:nvSpPr>
      <xdr:spPr>
        <a:xfrm>
          <a:off x="3981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IndividualsSortbyAST" textlink="">
      <xdr:nvSpPr>
        <xdr:cNvPr id="6" name="Rectangle 5">
          <a:extLst>
            <a:ext uri="{FF2B5EF4-FFF2-40B4-BE49-F238E27FC236}">
              <a16:creationId xmlns:a16="http://schemas.microsoft.com/office/drawing/2014/main" id="{90D16749-F6E6-4C02-B503-87ECD83C17C4}"/>
            </a:ext>
          </a:extLst>
        </xdr:cNvPr>
        <xdr:cNvSpPr/>
      </xdr:nvSpPr>
      <xdr:spPr>
        <a:xfrm>
          <a:off x="4505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IndividualsSortbySTL" textlink="">
      <xdr:nvSpPr>
        <xdr:cNvPr id="7" name="Rectangle 6">
          <a:extLst>
            <a:ext uri="{FF2B5EF4-FFF2-40B4-BE49-F238E27FC236}">
              <a16:creationId xmlns:a16="http://schemas.microsoft.com/office/drawing/2014/main" id="{4A1BB070-23D0-4232-B76F-B0BB0E5CA3FD}"/>
            </a:ext>
          </a:extLst>
        </xdr:cNvPr>
        <xdr:cNvSpPr/>
      </xdr:nvSpPr>
      <xdr:spPr>
        <a:xfrm>
          <a:off x="5029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IndividualsSortbyBLK" textlink="">
      <xdr:nvSpPr>
        <xdr:cNvPr id="8" name="Rectangle 7">
          <a:extLst>
            <a:ext uri="{FF2B5EF4-FFF2-40B4-BE49-F238E27FC236}">
              <a16:creationId xmlns:a16="http://schemas.microsoft.com/office/drawing/2014/main" id="{B992B7F3-2E68-4D14-88B6-A28633E6B5E4}"/>
            </a:ext>
          </a:extLst>
        </xdr:cNvPr>
        <xdr:cNvSpPr/>
      </xdr:nvSpPr>
      <xdr:spPr>
        <a:xfrm>
          <a:off x="5553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IndividualsSortbyTO" textlink="">
      <xdr:nvSpPr>
        <xdr:cNvPr id="9" name="Rectangle 8">
          <a:extLst>
            <a:ext uri="{FF2B5EF4-FFF2-40B4-BE49-F238E27FC236}">
              <a16:creationId xmlns:a16="http://schemas.microsoft.com/office/drawing/2014/main" id="{B596E535-6BF3-4F5E-BEC8-524EC54C748D}"/>
            </a:ext>
          </a:extLst>
        </xdr:cNvPr>
        <xdr:cNvSpPr/>
      </xdr:nvSpPr>
      <xdr:spPr>
        <a:xfrm>
          <a:off x="6076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IndividualsSortbyOREB" textlink="">
      <xdr:nvSpPr>
        <xdr:cNvPr id="10" name="Rectangle 9">
          <a:extLst>
            <a:ext uri="{FF2B5EF4-FFF2-40B4-BE49-F238E27FC236}">
              <a16:creationId xmlns:a16="http://schemas.microsoft.com/office/drawing/2014/main" id="{8689D0FA-18B8-4857-8025-37AD89320A7D}"/>
            </a:ext>
          </a:extLst>
        </xdr:cNvPr>
        <xdr:cNvSpPr/>
      </xdr:nvSpPr>
      <xdr:spPr>
        <a:xfrm>
          <a:off x="6600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IndividualsSortbyDREB" textlink="">
      <xdr:nvSpPr>
        <xdr:cNvPr id="11" name="Rectangle 10">
          <a:extLst>
            <a:ext uri="{FF2B5EF4-FFF2-40B4-BE49-F238E27FC236}">
              <a16:creationId xmlns:a16="http://schemas.microsoft.com/office/drawing/2014/main" id="{3C0DA930-AECB-4914-BFB4-379B76918087}"/>
            </a:ext>
          </a:extLst>
        </xdr:cNvPr>
        <xdr:cNvSpPr/>
      </xdr:nvSpPr>
      <xdr:spPr>
        <a:xfrm>
          <a:off x="7124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IndividualsSortby3PTMADE" textlink="">
      <xdr:nvSpPr>
        <xdr:cNvPr id="12" name="Rectangle 11">
          <a:extLst>
            <a:ext uri="{FF2B5EF4-FFF2-40B4-BE49-F238E27FC236}">
              <a16:creationId xmlns:a16="http://schemas.microsoft.com/office/drawing/2014/main" id="{8E1CB648-2AA3-4B54-B351-E2C940FCDF4D}"/>
            </a:ext>
          </a:extLst>
        </xdr:cNvPr>
        <xdr:cNvSpPr/>
      </xdr:nvSpPr>
      <xdr:spPr>
        <a:xfrm>
          <a:off x="7648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IndividualsSortby3PTATT" textlink="">
      <xdr:nvSpPr>
        <xdr:cNvPr id="13" name="Rectangle 12">
          <a:extLst>
            <a:ext uri="{FF2B5EF4-FFF2-40B4-BE49-F238E27FC236}">
              <a16:creationId xmlns:a16="http://schemas.microsoft.com/office/drawing/2014/main" id="{FBEAEA1C-B163-4138-A117-17D893F617F5}"/>
            </a:ext>
          </a:extLst>
        </xdr:cNvPr>
        <xdr:cNvSpPr/>
      </xdr:nvSpPr>
      <xdr:spPr>
        <a:xfrm>
          <a:off x="8172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IndividualsSortby3PTper" textlink="">
      <xdr:nvSpPr>
        <xdr:cNvPr id="14" name="Rectangle 13">
          <a:extLst>
            <a:ext uri="{FF2B5EF4-FFF2-40B4-BE49-F238E27FC236}">
              <a16:creationId xmlns:a16="http://schemas.microsoft.com/office/drawing/2014/main" id="{6053312C-316F-40DF-94EF-87BB2AE4CD6E}"/>
            </a:ext>
          </a:extLst>
        </xdr:cNvPr>
        <xdr:cNvSpPr/>
      </xdr:nvSpPr>
      <xdr:spPr>
        <a:xfrm>
          <a:off x="8696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IndividualsSortbyFGMADE" textlink="">
      <xdr:nvSpPr>
        <xdr:cNvPr id="15" name="Rectangle 14">
          <a:extLst>
            <a:ext uri="{FF2B5EF4-FFF2-40B4-BE49-F238E27FC236}">
              <a16:creationId xmlns:a16="http://schemas.microsoft.com/office/drawing/2014/main" id="{77AA802B-800B-4853-8BA8-9135A69B60FA}"/>
            </a:ext>
          </a:extLst>
        </xdr:cNvPr>
        <xdr:cNvSpPr/>
      </xdr:nvSpPr>
      <xdr:spPr>
        <a:xfrm>
          <a:off x="9220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IndividualsSortbyFGATT" textlink="">
      <xdr:nvSpPr>
        <xdr:cNvPr id="16" name="Rectangle 15">
          <a:extLst>
            <a:ext uri="{FF2B5EF4-FFF2-40B4-BE49-F238E27FC236}">
              <a16:creationId xmlns:a16="http://schemas.microsoft.com/office/drawing/2014/main" id="{8361210C-F486-4290-B7C4-CA7175C3240E}"/>
            </a:ext>
          </a:extLst>
        </xdr:cNvPr>
        <xdr:cNvSpPr/>
      </xdr:nvSpPr>
      <xdr:spPr>
        <a:xfrm>
          <a:off x="9744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IndividualsSortbyFGper" textlink="">
      <xdr:nvSpPr>
        <xdr:cNvPr id="17" name="Rectangle 16">
          <a:extLst>
            <a:ext uri="{FF2B5EF4-FFF2-40B4-BE49-F238E27FC236}">
              <a16:creationId xmlns:a16="http://schemas.microsoft.com/office/drawing/2014/main" id="{BBE46097-E01B-4DB3-83AF-E5E001CD9787}"/>
            </a:ext>
          </a:extLst>
        </xdr:cNvPr>
        <xdr:cNvSpPr/>
      </xdr:nvSpPr>
      <xdr:spPr>
        <a:xfrm>
          <a:off x="10267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IndividualsSortbyFTMADE" textlink="">
      <xdr:nvSpPr>
        <xdr:cNvPr id="18" name="Rectangle 17">
          <a:extLst>
            <a:ext uri="{FF2B5EF4-FFF2-40B4-BE49-F238E27FC236}">
              <a16:creationId xmlns:a16="http://schemas.microsoft.com/office/drawing/2014/main" id="{B283E04E-FBA0-4D35-B3AD-D5D7CFCBAF60}"/>
            </a:ext>
          </a:extLst>
        </xdr:cNvPr>
        <xdr:cNvSpPr/>
      </xdr:nvSpPr>
      <xdr:spPr>
        <a:xfrm>
          <a:off x="10791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IndividualsSortbyFTATT" textlink="">
      <xdr:nvSpPr>
        <xdr:cNvPr id="19" name="Rectangle 18">
          <a:extLst>
            <a:ext uri="{FF2B5EF4-FFF2-40B4-BE49-F238E27FC236}">
              <a16:creationId xmlns:a16="http://schemas.microsoft.com/office/drawing/2014/main" id="{914E8661-26BD-46DB-8A12-CBC192E373BA}"/>
            </a:ext>
          </a:extLst>
        </xdr:cNvPr>
        <xdr:cNvSpPr/>
      </xdr:nvSpPr>
      <xdr:spPr>
        <a:xfrm>
          <a:off x="11315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IndividualsSortbyFTper" textlink="">
      <xdr:nvSpPr>
        <xdr:cNvPr id="20" name="Rectangle 19">
          <a:extLst>
            <a:ext uri="{FF2B5EF4-FFF2-40B4-BE49-F238E27FC236}">
              <a16:creationId xmlns:a16="http://schemas.microsoft.com/office/drawing/2014/main" id="{D73C8799-5B27-4203-8D4D-0906107D513D}"/>
            </a:ext>
          </a:extLst>
        </xdr:cNvPr>
        <xdr:cNvSpPr/>
      </xdr:nvSpPr>
      <xdr:spPr>
        <a:xfrm>
          <a:off x="11839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IndividualsSortbyTeam" textlink="">
      <xdr:nvSpPr>
        <xdr:cNvPr id="22" name="Rectangle 21">
          <a:extLst>
            <a:ext uri="{FF2B5EF4-FFF2-40B4-BE49-F238E27FC236}">
              <a16:creationId xmlns:a16="http://schemas.microsoft.com/office/drawing/2014/main" id="{AF06B850-D771-4979-B1EF-6F4D8B69434F}"/>
            </a:ext>
          </a:extLst>
        </xdr:cNvPr>
        <xdr:cNvSpPr/>
      </xdr:nvSpPr>
      <xdr:spPr>
        <a:xfrm>
          <a:off x="1638300" y="942975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IndividualsSortbyName" textlink="">
      <xdr:nvSpPr>
        <xdr:cNvPr id="23" name="Rectangle 22">
          <a:extLst>
            <a:ext uri="{FF2B5EF4-FFF2-40B4-BE49-F238E27FC236}">
              <a16:creationId xmlns:a16="http://schemas.microsoft.com/office/drawing/2014/main" id="{2D1F1A9F-D161-4AEB-886B-EF5663AF6D09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3E27CAA-EF85-44C0-9AA4-C8EAC3D85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IndividualsSortbyGP" textlink="">
      <xdr:nvSpPr>
        <xdr:cNvPr id="25" name="Rectangle 24">
          <a:extLst>
            <a:ext uri="{FF2B5EF4-FFF2-40B4-BE49-F238E27FC236}">
              <a16:creationId xmlns:a16="http://schemas.microsoft.com/office/drawing/2014/main" id="{1D32D047-E4A7-4542-A34E-8340E4BC8A51}"/>
            </a:ext>
          </a:extLst>
        </xdr:cNvPr>
        <xdr:cNvSpPr/>
      </xdr:nvSpPr>
      <xdr:spPr>
        <a:xfrm>
          <a:off x="2933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IndividualsSortbyPTS" textlink="">
      <xdr:nvSpPr>
        <xdr:cNvPr id="26" name="Rectangle 25">
          <a:extLst>
            <a:ext uri="{FF2B5EF4-FFF2-40B4-BE49-F238E27FC236}">
              <a16:creationId xmlns:a16="http://schemas.microsoft.com/office/drawing/2014/main" id="{61E3EC8D-B1E8-417A-853B-93C3463A3E79}"/>
            </a:ext>
          </a:extLst>
        </xdr:cNvPr>
        <xdr:cNvSpPr/>
      </xdr:nvSpPr>
      <xdr:spPr>
        <a:xfrm>
          <a:off x="3457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IndividualsSortbyREB" textlink="">
      <xdr:nvSpPr>
        <xdr:cNvPr id="27" name="Rectangle 26">
          <a:extLst>
            <a:ext uri="{FF2B5EF4-FFF2-40B4-BE49-F238E27FC236}">
              <a16:creationId xmlns:a16="http://schemas.microsoft.com/office/drawing/2014/main" id="{9C173BE7-D778-4D84-B335-9211F0A22286}"/>
            </a:ext>
          </a:extLst>
        </xdr:cNvPr>
        <xdr:cNvSpPr/>
      </xdr:nvSpPr>
      <xdr:spPr>
        <a:xfrm>
          <a:off x="3981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IndividualsSortbyAST" textlink="">
      <xdr:nvSpPr>
        <xdr:cNvPr id="28" name="Rectangle 27">
          <a:extLst>
            <a:ext uri="{FF2B5EF4-FFF2-40B4-BE49-F238E27FC236}">
              <a16:creationId xmlns:a16="http://schemas.microsoft.com/office/drawing/2014/main" id="{D7E05C14-761B-4D15-830C-5185640AFE83}"/>
            </a:ext>
          </a:extLst>
        </xdr:cNvPr>
        <xdr:cNvSpPr/>
      </xdr:nvSpPr>
      <xdr:spPr>
        <a:xfrm>
          <a:off x="4505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IndividualsSortbySTL" textlink="">
      <xdr:nvSpPr>
        <xdr:cNvPr id="29" name="Rectangle 28">
          <a:extLst>
            <a:ext uri="{FF2B5EF4-FFF2-40B4-BE49-F238E27FC236}">
              <a16:creationId xmlns:a16="http://schemas.microsoft.com/office/drawing/2014/main" id="{14CF64C6-3987-4EDD-9FD0-357D666B48D5}"/>
            </a:ext>
          </a:extLst>
        </xdr:cNvPr>
        <xdr:cNvSpPr/>
      </xdr:nvSpPr>
      <xdr:spPr>
        <a:xfrm>
          <a:off x="5029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IndividualsSortbyBLK" textlink="">
      <xdr:nvSpPr>
        <xdr:cNvPr id="30" name="Rectangle 29">
          <a:extLst>
            <a:ext uri="{FF2B5EF4-FFF2-40B4-BE49-F238E27FC236}">
              <a16:creationId xmlns:a16="http://schemas.microsoft.com/office/drawing/2014/main" id="{8F242E44-D3BD-4012-A457-5485646C1613}"/>
            </a:ext>
          </a:extLst>
        </xdr:cNvPr>
        <xdr:cNvSpPr/>
      </xdr:nvSpPr>
      <xdr:spPr>
        <a:xfrm>
          <a:off x="5553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IndividualsSortbyTO" textlink="">
      <xdr:nvSpPr>
        <xdr:cNvPr id="31" name="Rectangle 30">
          <a:extLst>
            <a:ext uri="{FF2B5EF4-FFF2-40B4-BE49-F238E27FC236}">
              <a16:creationId xmlns:a16="http://schemas.microsoft.com/office/drawing/2014/main" id="{05FBE1C9-F5F5-4D25-9F65-55590B403EE4}"/>
            </a:ext>
          </a:extLst>
        </xdr:cNvPr>
        <xdr:cNvSpPr/>
      </xdr:nvSpPr>
      <xdr:spPr>
        <a:xfrm>
          <a:off x="6076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IndividualsSortbyOREB" textlink="">
      <xdr:nvSpPr>
        <xdr:cNvPr id="32" name="Rectangle 31">
          <a:extLst>
            <a:ext uri="{FF2B5EF4-FFF2-40B4-BE49-F238E27FC236}">
              <a16:creationId xmlns:a16="http://schemas.microsoft.com/office/drawing/2014/main" id="{C7DE1F49-791C-4DB8-99F8-92D895FFC2EA}"/>
            </a:ext>
          </a:extLst>
        </xdr:cNvPr>
        <xdr:cNvSpPr/>
      </xdr:nvSpPr>
      <xdr:spPr>
        <a:xfrm>
          <a:off x="6600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IndividualsSortbyDREB" textlink="">
      <xdr:nvSpPr>
        <xdr:cNvPr id="33" name="Rectangle 32">
          <a:extLst>
            <a:ext uri="{FF2B5EF4-FFF2-40B4-BE49-F238E27FC236}">
              <a16:creationId xmlns:a16="http://schemas.microsoft.com/office/drawing/2014/main" id="{B434E4A2-0B31-4371-A3D3-63A683A80453}"/>
            </a:ext>
          </a:extLst>
        </xdr:cNvPr>
        <xdr:cNvSpPr/>
      </xdr:nvSpPr>
      <xdr:spPr>
        <a:xfrm>
          <a:off x="7124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IndividualsSortby3PTMADE" textlink="">
      <xdr:nvSpPr>
        <xdr:cNvPr id="34" name="Rectangle 33">
          <a:extLst>
            <a:ext uri="{FF2B5EF4-FFF2-40B4-BE49-F238E27FC236}">
              <a16:creationId xmlns:a16="http://schemas.microsoft.com/office/drawing/2014/main" id="{0E9FFA17-DF9B-4445-BE4B-BCF9B5351114}"/>
            </a:ext>
          </a:extLst>
        </xdr:cNvPr>
        <xdr:cNvSpPr/>
      </xdr:nvSpPr>
      <xdr:spPr>
        <a:xfrm>
          <a:off x="7648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IndividualsSortby3PTATT" textlink="">
      <xdr:nvSpPr>
        <xdr:cNvPr id="35" name="Rectangle 34">
          <a:extLst>
            <a:ext uri="{FF2B5EF4-FFF2-40B4-BE49-F238E27FC236}">
              <a16:creationId xmlns:a16="http://schemas.microsoft.com/office/drawing/2014/main" id="{52CAF8BD-119E-4DEE-8CAF-D2391F08CE52}"/>
            </a:ext>
          </a:extLst>
        </xdr:cNvPr>
        <xdr:cNvSpPr/>
      </xdr:nvSpPr>
      <xdr:spPr>
        <a:xfrm>
          <a:off x="8172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IndividualsSortby3PTper" textlink="">
      <xdr:nvSpPr>
        <xdr:cNvPr id="36" name="Rectangle 35">
          <a:extLst>
            <a:ext uri="{FF2B5EF4-FFF2-40B4-BE49-F238E27FC236}">
              <a16:creationId xmlns:a16="http://schemas.microsoft.com/office/drawing/2014/main" id="{48B7AEB2-9A9B-4981-B461-ED4DB9762B5B}"/>
            </a:ext>
          </a:extLst>
        </xdr:cNvPr>
        <xdr:cNvSpPr/>
      </xdr:nvSpPr>
      <xdr:spPr>
        <a:xfrm>
          <a:off x="8696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IndividualsSortbyFGMADE" textlink="">
      <xdr:nvSpPr>
        <xdr:cNvPr id="37" name="Rectangle 36">
          <a:extLst>
            <a:ext uri="{FF2B5EF4-FFF2-40B4-BE49-F238E27FC236}">
              <a16:creationId xmlns:a16="http://schemas.microsoft.com/office/drawing/2014/main" id="{5FE4EE28-795E-4C92-9CCC-82511E060D2E}"/>
            </a:ext>
          </a:extLst>
        </xdr:cNvPr>
        <xdr:cNvSpPr/>
      </xdr:nvSpPr>
      <xdr:spPr>
        <a:xfrm>
          <a:off x="9220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IndividualsSortbyFGATT" textlink="">
      <xdr:nvSpPr>
        <xdr:cNvPr id="38" name="Rectangle 37">
          <a:extLst>
            <a:ext uri="{FF2B5EF4-FFF2-40B4-BE49-F238E27FC236}">
              <a16:creationId xmlns:a16="http://schemas.microsoft.com/office/drawing/2014/main" id="{12210B39-C715-4585-BF1C-3042F3804B24}"/>
            </a:ext>
          </a:extLst>
        </xdr:cNvPr>
        <xdr:cNvSpPr/>
      </xdr:nvSpPr>
      <xdr:spPr>
        <a:xfrm>
          <a:off x="9744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IndividualsSortbyFGper" textlink="">
      <xdr:nvSpPr>
        <xdr:cNvPr id="39" name="Rectangle 38">
          <a:extLst>
            <a:ext uri="{FF2B5EF4-FFF2-40B4-BE49-F238E27FC236}">
              <a16:creationId xmlns:a16="http://schemas.microsoft.com/office/drawing/2014/main" id="{15A1505C-7F79-4485-98E4-C80408F7409A}"/>
            </a:ext>
          </a:extLst>
        </xdr:cNvPr>
        <xdr:cNvSpPr/>
      </xdr:nvSpPr>
      <xdr:spPr>
        <a:xfrm>
          <a:off x="10267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IndividualsSortbyFTMADE" textlink="">
      <xdr:nvSpPr>
        <xdr:cNvPr id="40" name="Rectangle 39">
          <a:extLst>
            <a:ext uri="{FF2B5EF4-FFF2-40B4-BE49-F238E27FC236}">
              <a16:creationId xmlns:a16="http://schemas.microsoft.com/office/drawing/2014/main" id="{21B8F3FC-46D7-4064-9ABD-9C69D2022DF6}"/>
            </a:ext>
          </a:extLst>
        </xdr:cNvPr>
        <xdr:cNvSpPr/>
      </xdr:nvSpPr>
      <xdr:spPr>
        <a:xfrm>
          <a:off x="10791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IndividualsSortbyFTATT" textlink="">
      <xdr:nvSpPr>
        <xdr:cNvPr id="41" name="Rectangle 40">
          <a:extLst>
            <a:ext uri="{FF2B5EF4-FFF2-40B4-BE49-F238E27FC236}">
              <a16:creationId xmlns:a16="http://schemas.microsoft.com/office/drawing/2014/main" id="{7FD19A24-CDE7-46FD-8AB2-AE1C8514EF19}"/>
            </a:ext>
          </a:extLst>
        </xdr:cNvPr>
        <xdr:cNvSpPr/>
      </xdr:nvSpPr>
      <xdr:spPr>
        <a:xfrm>
          <a:off x="11315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IndividualsSortbyFTper" textlink="">
      <xdr:nvSpPr>
        <xdr:cNvPr id="42" name="Rectangle 41">
          <a:extLst>
            <a:ext uri="{FF2B5EF4-FFF2-40B4-BE49-F238E27FC236}">
              <a16:creationId xmlns:a16="http://schemas.microsoft.com/office/drawing/2014/main" id="{B0CA6E32-79F5-4643-B21E-69EA269B6F9D}"/>
            </a:ext>
          </a:extLst>
        </xdr:cNvPr>
        <xdr:cNvSpPr/>
      </xdr:nvSpPr>
      <xdr:spPr>
        <a:xfrm>
          <a:off x="11839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IndividualsSortbyTeam" textlink="">
      <xdr:nvSpPr>
        <xdr:cNvPr id="43" name="Rectangle 42">
          <a:extLst>
            <a:ext uri="{FF2B5EF4-FFF2-40B4-BE49-F238E27FC236}">
              <a16:creationId xmlns:a16="http://schemas.microsoft.com/office/drawing/2014/main" id="{B40CDCA1-6A2B-4348-BC4C-D612DFCB8A0D}"/>
            </a:ext>
          </a:extLst>
        </xdr:cNvPr>
        <xdr:cNvSpPr/>
      </xdr:nvSpPr>
      <xdr:spPr>
        <a:xfrm>
          <a:off x="1638300" y="942975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IndividualsSortbyName" textlink="">
      <xdr:nvSpPr>
        <xdr:cNvPr id="44" name="Rectangle 43">
          <a:extLst>
            <a:ext uri="{FF2B5EF4-FFF2-40B4-BE49-F238E27FC236}">
              <a16:creationId xmlns:a16="http://schemas.microsoft.com/office/drawing/2014/main" id="{F671A1AD-01E4-43EF-8882-14116BC18DB5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361950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DC926380-E9B6-47C0-87E0-C33E49767122}"/>
            </a:ext>
          </a:extLst>
        </xdr:cNvPr>
        <xdr:cNvSpPr/>
      </xdr:nvSpPr>
      <xdr:spPr>
        <a:xfrm>
          <a:off x="1628775" y="0"/>
          <a:ext cx="1304925" cy="36195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C6677C-CF7D-44BF-BCDF-18D3DFB12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IndividualsSortbyGP" textlink="">
      <xdr:nvSpPr>
        <xdr:cNvPr id="3" name="Rectangle 2">
          <a:extLst>
            <a:ext uri="{FF2B5EF4-FFF2-40B4-BE49-F238E27FC236}">
              <a16:creationId xmlns:a16="http://schemas.microsoft.com/office/drawing/2014/main" id="{02179A36-6C2D-43C5-8679-36E7841AE8C9}"/>
            </a:ext>
          </a:extLst>
        </xdr:cNvPr>
        <xdr:cNvSpPr/>
      </xdr:nvSpPr>
      <xdr:spPr>
        <a:xfrm>
          <a:off x="2933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IndividualsSortbyPTS" textlink="">
      <xdr:nvSpPr>
        <xdr:cNvPr id="4" name="Rectangle 3">
          <a:extLst>
            <a:ext uri="{FF2B5EF4-FFF2-40B4-BE49-F238E27FC236}">
              <a16:creationId xmlns:a16="http://schemas.microsoft.com/office/drawing/2014/main" id="{BF48D60C-9DFB-457F-915A-CEC46846F226}"/>
            </a:ext>
          </a:extLst>
        </xdr:cNvPr>
        <xdr:cNvSpPr/>
      </xdr:nvSpPr>
      <xdr:spPr>
        <a:xfrm>
          <a:off x="3457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IndividualsSortbyREB" textlink="">
      <xdr:nvSpPr>
        <xdr:cNvPr id="5" name="Rectangle 4">
          <a:extLst>
            <a:ext uri="{FF2B5EF4-FFF2-40B4-BE49-F238E27FC236}">
              <a16:creationId xmlns:a16="http://schemas.microsoft.com/office/drawing/2014/main" id="{7359A697-7B32-4969-800C-6D738D61D744}"/>
            </a:ext>
          </a:extLst>
        </xdr:cNvPr>
        <xdr:cNvSpPr/>
      </xdr:nvSpPr>
      <xdr:spPr>
        <a:xfrm>
          <a:off x="3981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IndividualsSortbyAST" textlink="">
      <xdr:nvSpPr>
        <xdr:cNvPr id="6" name="Rectangle 5">
          <a:extLst>
            <a:ext uri="{FF2B5EF4-FFF2-40B4-BE49-F238E27FC236}">
              <a16:creationId xmlns:a16="http://schemas.microsoft.com/office/drawing/2014/main" id="{75804BF8-D4CC-43FB-AC66-5F4B5466DC3D}"/>
            </a:ext>
          </a:extLst>
        </xdr:cNvPr>
        <xdr:cNvSpPr/>
      </xdr:nvSpPr>
      <xdr:spPr>
        <a:xfrm>
          <a:off x="4505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IndividualsSortbySTL" textlink="">
      <xdr:nvSpPr>
        <xdr:cNvPr id="7" name="Rectangle 6">
          <a:extLst>
            <a:ext uri="{FF2B5EF4-FFF2-40B4-BE49-F238E27FC236}">
              <a16:creationId xmlns:a16="http://schemas.microsoft.com/office/drawing/2014/main" id="{31ECA928-FB95-4472-A9E3-DA1C4DC18E13}"/>
            </a:ext>
          </a:extLst>
        </xdr:cNvPr>
        <xdr:cNvSpPr/>
      </xdr:nvSpPr>
      <xdr:spPr>
        <a:xfrm>
          <a:off x="5029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IndividualsSortbyBLK" textlink="">
      <xdr:nvSpPr>
        <xdr:cNvPr id="8" name="Rectangle 7">
          <a:extLst>
            <a:ext uri="{FF2B5EF4-FFF2-40B4-BE49-F238E27FC236}">
              <a16:creationId xmlns:a16="http://schemas.microsoft.com/office/drawing/2014/main" id="{FCADFA28-54D9-496A-B696-FA411F7A54DF}"/>
            </a:ext>
          </a:extLst>
        </xdr:cNvPr>
        <xdr:cNvSpPr/>
      </xdr:nvSpPr>
      <xdr:spPr>
        <a:xfrm>
          <a:off x="5553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IndividualsSortbyTO" textlink="">
      <xdr:nvSpPr>
        <xdr:cNvPr id="9" name="Rectangle 8">
          <a:extLst>
            <a:ext uri="{FF2B5EF4-FFF2-40B4-BE49-F238E27FC236}">
              <a16:creationId xmlns:a16="http://schemas.microsoft.com/office/drawing/2014/main" id="{F06EE5BA-2986-4F75-97FF-A6592AB8A556}"/>
            </a:ext>
          </a:extLst>
        </xdr:cNvPr>
        <xdr:cNvSpPr/>
      </xdr:nvSpPr>
      <xdr:spPr>
        <a:xfrm>
          <a:off x="6076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IndividualsSortbyOREB" textlink="">
      <xdr:nvSpPr>
        <xdr:cNvPr id="10" name="Rectangle 9">
          <a:extLst>
            <a:ext uri="{FF2B5EF4-FFF2-40B4-BE49-F238E27FC236}">
              <a16:creationId xmlns:a16="http://schemas.microsoft.com/office/drawing/2014/main" id="{7B6A7170-A102-4D60-9531-33D5FECE9B28}"/>
            </a:ext>
          </a:extLst>
        </xdr:cNvPr>
        <xdr:cNvSpPr/>
      </xdr:nvSpPr>
      <xdr:spPr>
        <a:xfrm>
          <a:off x="6600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IndividualsSortbyDREB" textlink="">
      <xdr:nvSpPr>
        <xdr:cNvPr id="11" name="Rectangle 10">
          <a:extLst>
            <a:ext uri="{FF2B5EF4-FFF2-40B4-BE49-F238E27FC236}">
              <a16:creationId xmlns:a16="http://schemas.microsoft.com/office/drawing/2014/main" id="{9F21E9FA-F0E6-437E-803D-C7D0D09B41EC}"/>
            </a:ext>
          </a:extLst>
        </xdr:cNvPr>
        <xdr:cNvSpPr/>
      </xdr:nvSpPr>
      <xdr:spPr>
        <a:xfrm>
          <a:off x="7124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IndividualsSortby3PTMADE" textlink="">
      <xdr:nvSpPr>
        <xdr:cNvPr id="12" name="Rectangle 11">
          <a:extLst>
            <a:ext uri="{FF2B5EF4-FFF2-40B4-BE49-F238E27FC236}">
              <a16:creationId xmlns:a16="http://schemas.microsoft.com/office/drawing/2014/main" id="{F2A895EA-08B7-4850-836B-9A001AB1CCCA}"/>
            </a:ext>
          </a:extLst>
        </xdr:cNvPr>
        <xdr:cNvSpPr/>
      </xdr:nvSpPr>
      <xdr:spPr>
        <a:xfrm>
          <a:off x="7648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IndividualsSortby3PTATT" textlink="">
      <xdr:nvSpPr>
        <xdr:cNvPr id="13" name="Rectangle 12">
          <a:extLst>
            <a:ext uri="{FF2B5EF4-FFF2-40B4-BE49-F238E27FC236}">
              <a16:creationId xmlns:a16="http://schemas.microsoft.com/office/drawing/2014/main" id="{2C5D6265-CB66-4B57-A854-A725832B0B36}"/>
            </a:ext>
          </a:extLst>
        </xdr:cNvPr>
        <xdr:cNvSpPr/>
      </xdr:nvSpPr>
      <xdr:spPr>
        <a:xfrm>
          <a:off x="8172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IndividualsSortby3PTper" textlink="">
      <xdr:nvSpPr>
        <xdr:cNvPr id="14" name="Rectangle 13">
          <a:extLst>
            <a:ext uri="{FF2B5EF4-FFF2-40B4-BE49-F238E27FC236}">
              <a16:creationId xmlns:a16="http://schemas.microsoft.com/office/drawing/2014/main" id="{B68E7645-C15C-4265-A090-AE3CA9C86783}"/>
            </a:ext>
          </a:extLst>
        </xdr:cNvPr>
        <xdr:cNvSpPr/>
      </xdr:nvSpPr>
      <xdr:spPr>
        <a:xfrm>
          <a:off x="8696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IndividualsSortbyFGMADE" textlink="">
      <xdr:nvSpPr>
        <xdr:cNvPr id="15" name="Rectangle 14">
          <a:extLst>
            <a:ext uri="{FF2B5EF4-FFF2-40B4-BE49-F238E27FC236}">
              <a16:creationId xmlns:a16="http://schemas.microsoft.com/office/drawing/2014/main" id="{F9247FF3-8B90-40BC-9EA9-AB2842765272}"/>
            </a:ext>
          </a:extLst>
        </xdr:cNvPr>
        <xdr:cNvSpPr/>
      </xdr:nvSpPr>
      <xdr:spPr>
        <a:xfrm>
          <a:off x="9220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IndividualsSortbyFGATT" textlink="">
      <xdr:nvSpPr>
        <xdr:cNvPr id="16" name="Rectangle 15">
          <a:extLst>
            <a:ext uri="{FF2B5EF4-FFF2-40B4-BE49-F238E27FC236}">
              <a16:creationId xmlns:a16="http://schemas.microsoft.com/office/drawing/2014/main" id="{26173655-086D-4EEA-B469-31DA37D58A7D}"/>
            </a:ext>
          </a:extLst>
        </xdr:cNvPr>
        <xdr:cNvSpPr/>
      </xdr:nvSpPr>
      <xdr:spPr>
        <a:xfrm>
          <a:off x="9744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IndividualsSortbyFGper" textlink="">
      <xdr:nvSpPr>
        <xdr:cNvPr id="17" name="Rectangle 16">
          <a:extLst>
            <a:ext uri="{FF2B5EF4-FFF2-40B4-BE49-F238E27FC236}">
              <a16:creationId xmlns:a16="http://schemas.microsoft.com/office/drawing/2014/main" id="{2B649C3B-640B-43F8-8C22-9A42A084BBDE}"/>
            </a:ext>
          </a:extLst>
        </xdr:cNvPr>
        <xdr:cNvSpPr/>
      </xdr:nvSpPr>
      <xdr:spPr>
        <a:xfrm>
          <a:off x="10267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IndividualsSortbyFTMADE" textlink="">
      <xdr:nvSpPr>
        <xdr:cNvPr id="18" name="Rectangle 17">
          <a:extLst>
            <a:ext uri="{FF2B5EF4-FFF2-40B4-BE49-F238E27FC236}">
              <a16:creationId xmlns:a16="http://schemas.microsoft.com/office/drawing/2014/main" id="{B551128E-065E-44B0-B6F9-1AC337993515}"/>
            </a:ext>
          </a:extLst>
        </xdr:cNvPr>
        <xdr:cNvSpPr/>
      </xdr:nvSpPr>
      <xdr:spPr>
        <a:xfrm>
          <a:off x="10791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IndividualsSortbyFTATT" textlink="">
      <xdr:nvSpPr>
        <xdr:cNvPr id="19" name="Rectangle 18">
          <a:extLst>
            <a:ext uri="{FF2B5EF4-FFF2-40B4-BE49-F238E27FC236}">
              <a16:creationId xmlns:a16="http://schemas.microsoft.com/office/drawing/2014/main" id="{9ED1866E-A653-482C-ADC4-C162B6E1F4B6}"/>
            </a:ext>
          </a:extLst>
        </xdr:cNvPr>
        <xdr:cNvSpPr/>
      </xdr:nvSpPr>
      <xdr:spPr>
        <a:xfrm>
          <a:off x="11315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IndividualsSortbyFTper" textlink="">
      <xdr:nvSpPr>
        <xdr:cNvPr id="20" name="Rectangle 19">
          <a:extLst>
            <a:ext uri="{FF2B5EF4-FFF2-40B4-BE49-F238E27FC236}">
              <a16:creationId xmlns:a16="http://schemas.microsoft.com/office/drawing/2014/main" id="{60727510-1548-42B7-9450-67698E102D5A}"/>
            </a:ext>
          </a:extLst>
        </xdr:cNvPr>
        <xdr:cNvSpPr/>
      </xdr:nvSpPr>
      <xdr:spPr>
        <a:xfrm>
          <a:off x="11839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IndividualsSortbyTeam" textlink="">
      <xdr:nvSpPr>
        <xdr:cNvPr id="21" name="Rectangle 20">
          <a:extLst>
            <a:ext uri="{FF2B5EF4-FFF2-40B4-BE49-F238E27FC236}">
              <a16:creationId xmlns:a16="http://schemas.microsoft.com/office/drawing/2014/main" id="{6939A092-CD45-4DFA-BD38-79ED830ABE4D}"/>
            </a:ext>
          </a:extLst>
        </xdr:cNvPr>
        <xdr:cNvSpPr/>
      </xdr:nvSpPr>
      <xdr:spPr>
        <a:xfrm>
          <a:off x="1638300" y="942975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IndividualsSortbyName" textlink="">
      <xdr:nvSpPr>
        <xdr:cNvPr id="22" name="Rectangle 21">
          <a:extLst>
            <a:ext uri="{FF2B5EF4-FFF2-40B4-BE49-F238E27FC236}">
              <a16:creationId xmlns:a16="http://schemas.microsoft.com/office/drawing/2014/main" id="{28409C20-A44D-4357-BCC2-4E3B802CB882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1C206314-EBC8-4579-83C8-672DE6BBC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PerGameSortbyGP" textlink="">
      <xdr:nvSpPr>
        <xdr:cNvPr id="24" name="Rectangle 23">
          <a:extLst>
            <a:ext uri="{FF2B5EF4-FFF2-40B4-BE49-F238E27FC236}">
              <a16:creationId xmlns:a16="http://schemas.microsoft.com/office/drawing/2014/main" id="{4E24BEF5-0BAD-4FAF-868D-B13F5A8F6E0D}"/>
            </a:ext>
          </a:extLst>
        </xdr:cNvPr>
        <xdr:cNvSpPr/>
      </xdr:nvSpPr>
      <xdr:spPr>
        <a:xfrm>
          <a:off x="2933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PerGameSortbyPTS" textlink="">
      <xdr:nvSpPr>
        <xdr:cNvPr id="25" name="Rectangle 24">
          <a:extLst>
            <a:ext uri="{FF2B5EF4-FFF2-40B4-BE49-F238E27FC236}">
              <a16:creationId xmlns:a16="http://schemas.microsoft.com/office/drawing/2014/main" id="{E7142A27-1094-4D3F-AA90-90EDA84838B2}"/>
            </a:ext>
          </a:extLst>
        </xdr:cNvPr>
        <xdr:cNvSpPr/>
      </xdr:nvSpPr>
      <xdr:spPr>
        <a:xfrm>
          <a:off x="3457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PerGameSortbyREB" textlink="">
      <xdr:nvSpPr>
        <xdr:cNvPr id="26" name="Rectangle 25">
          <a:extLst>
            <a:ext uri="{FF2B5EF4-FFF2-40B4-BE49-F238E27FC236}">
              <a16:creationId xmlns:a16="http://schemas.microsoft.com/office/drawing/2014/main" id="{1537E576-AF6A-4FB0-A1BE-DF9CC5923AF5}"/>
            </a:ext>
          </a:extLst>
        </xdr:cNvPr>
        <xdr:cNvSpPr/>
      </xdr:nvSpPr>
      <xdr:spPr>
        <a:xfrm>
          <a:off x="3981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PerGameSortbyAST" textlink="">
      <xdr:nvSpPr>
        <xdr:cNvPr id="27" name="Rectangle 26">
          <a:extLst>
            <a:ext uri="{FF2B5EF4-FFF2-40B4-BE49-F238E27FC236}">
              <a16:creationId xmlns:a16="http://schemas.microsoft.com/office/drawing/2014/main" id="{1582F77B-660D-41B2-B7AD-BF75F3DFD245}"/>
            </a:ext>
          </a:extLst>
        </xdr:cNvPr>
        <xdr:cNvSpPr/>
      </xdr:nvSpPr>
      <xdr:spPr>
        <a:xfrm>
          <a:off x="4505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PerGameSortbySTL" textlink="">
      <xdr:nvSpPr>
        <xdr:cNvPr id="28" name="Rectangle 27">
          <a:extLst>
            <a:ext uri="{FF2B5EF4-FFF2-40B4-BE49-F238E27FC236}">
              <a16:creationId xmlns:a16="http://schemas.microsoft.com/office/drawing/2014/main" id="{22E2E87B-499A-4BBA-AF16-8283A689AE31}"/>
            </a:ext>
          </a:extLst>
        </xdr:cNvPr>
        <xdr:cNvSpPr/>
      </xdr:nvSpPr>
      <xdr:spPr>
        <a:xfrm>
          <a:off x="5029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PerGameSortbyBLK" textlink="">
      <xdr:nvSpPr>
        <xdr:cNvPr id="29" name="Rectangle 28">
          <a:extLst>
            <a:ext uri="{FF2B5EF4-FFF2-40B4-BE49-F238E27FC236}">
              <a16:creationId xmlns:a16="http://schemas.microsoft.com/office/drawing/2014/main" id="{2FED46EB-9151-467F-88F3-33B9997AC002}"/>
            </a:ext>
          </a:extLst>
        </xdr:cNvPr>
        <xdr:cNvSpPr/>
      </xdr:nvSpPr>
      <xdr:spPr>
        <a:xfrm>
          <a:off x="5553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PerGameSortbyTO" textlink="">
      <xdr:nvSpPr>
        <xdr:cNvPr id="30" name="Rectangle 29">
          <a:extLst>
            <a:ext uri="{FF2B5EF4-FFF2-40B4-BE49-F238E27FC236}">
              <a16:creationId xmlns:a16="http://schemas.microsoft.com/office/drawing/2014/main" id="{2F6FA28F-D1ED-4490-A2F8-E2505C0D6E9D}"/>
            </a:ext>
          </a:extLst>
        </xdr:cNvPr>
        <xdr:cNvSpPr/>
      </xdr:nvSpPr>
      <xdr:spPr>
        <a:xfrm>
          <a:off x="6076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PerGameSortbyOREB" textlink="">
      <xdr:nvSpPr>
        <xdr:cNvPr id="31" name="Rectangle 30">
          <a:extLst>
            <a:ext uri="{FF2B5EF4-FFF2-40B4-BE49-F238E27FC236}">
              <a16:creationId xmlns:a16="http://schemas.microsoft.com/office/drawing/2014/main" id="{77E5FED2-3D60-42E5-B52D-8E4E29945396}"/>
            </a:ext>
          </a:extLst>
        </xdr:cNvPr>
        <xdr:cNvSpPr/>
      </xdr:nvSpPr>
      <xdr:spPr>
        <a:xfrm>
          <a:off x="6600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PerGameSortbyDREB" textlink="">
      <xdr:nvSpPr>
        <xdr:cNvPr id="32" name="Rectangle 31">
          <a:extLst>
            <a:ext uri="{FF2B5EF4-FFF2-40B4-BE49-F238E27FC236}">
              <a16:creationId xmlns:a16="http://schemas.microsoft.com/office/drawing/2014/main" id="{EF341E56-C976-47B0-A815-1224024F72E0}"/>
            </a:ext>
          </a:extLst>
        </xdr:cNvPr>
        <xdr:cNvSpPr/>
      </xdr:nvSpPr>
      <xdr:spPr>
        <a:xfrm>
          <a:off x="7124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PerGameSortby3PTMADE" textlink="">
      <xdr:nvSpPr>
        <xdr:cNvPr id="33" name="Rectangle 32">
          <a:extLst>
            <a:ext uri="{FF2B5EF4-FFF2-40B4-BE49-F238E27FC236}">
              <a16:creationId xmlns:a16="http://schemas.microsoft.com/office/drawing/2014/main" id="{C93FF959-4B01-4F1C-BAAF-095453BD7D6B}"/>
            </a:ext>
          </a:extLst>
        </xdr:cNvPr>
        <xdr:cNvSpPr/>
      </xdr:nvSpPr>
      <xdr:spPr>
        <a:xfrm>
          <a:off x="7648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PerGameSortby3PTATT" textlink="">
      <xdr:nvSpPr>
        <xdr:cNvPr id="34" name="Rectangle 33">
          <a:extLst>
            <a:ext uri="{FF2B5EF4-FFF2-40B4-BE49-F238E27FC236}">
              <a16:creationId xmlns:a16="http://schemas.microsoft.com/office/drawing/2014/main" id="{E5B975DA-4804-4667-9297-64C9E2E49DC5}"/>
            </a:ext>
          </a:extLst>
        </xdr:cNvPr>
        <xdr:cNvSpPr/>
      </xdr:nvSpPr>
      <xdr:spPr>
        <a:xfrm>
          <a:off x="8172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IndividualsSortby3PTper" textlink="">
      <xdr:nvSpPr>
        <xdr:cNvPr id="35" name="Rectangle 34">
          <a:extLst>
            <a:ext uri="{FF2B5EF4-FFF2-40B4-BE49-F238E27FC236}">
              <a16:creationId xmlns:a16="http://schemas.microsoft.com/office/drawing/2014/main" id="{AEC1585B-57A9-476D-8CBC-780CED7C6273}"/>
            </a:ext>
          </a:extLst>
        </xdr:cNvPr>
        <xdr:cNvSpPr/>
      </xdr:nvSpPr>
      <xdr:spPr>
        <a:xfrm>
          <a:off x="8696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PerGameSortbyFGMADE" textlink="">
      <xdr:nvSpPr>
        <xdr:cNvPr id="36" name="Rectangle 35">
          <a:extLst>
            <a:ext uri="{FF2B5EF4-FFF2-40B4-BE49-F238E27FC236}">
              <a16:creationId xmlns:a16="http://schemas.microsoft.com/office/drawing/2014/main" id="{CBABA3DE-2B55-486A-AACE-4DB122DE3114}"/>
            </a:ext>
          </a:extLst>
        </xdr:cNvPr>
        <xdr:cNvSpPr/>
      </xdr:nvSpPr>
      <xdr:spPr>
        <a:xfrm>
          <a:off x="9220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PerGameSortbyFGATT" textlink="">
      <xdr:nvSpPr>
        <xdr:cNvPr id="37" name="Rectangle 36">
          <a:extLst>
            <a:ext uri="{FF2B5EF4-FFF2-40B4-BE49-F238E27FC236}">
              <a16:creationId xmlns:a16="http://schemas.microsoft.com/office/drawing/2014/main" id="{9D951D2F-8F43-416E-B5F5-91B1DF326AC4}"/>
            </a:ext>
          </a:extLst>
        </xdr:cNvPr>
        <xdr:cNvSpPr/>
      </xdr:nvSpPr>
      <xdr:spPr>
        <a:xfrm>
          <a:off x="9744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IndividualsSortbyFGper" textlink="">
      <xdr:nvSpPr>
        <xdr:cNvPr id="38" name="Rectangle 37">
          <a:extLst>
            <a:ext uri="{FF2B5EF4-FFF2-40B4-BE49-F238E27FC236}">
              <a16:creationId xmlns:a16="http://schemas.microsoft.com/office/drawing/2014/main" id="{CAE53678-0A65-4802-9C72-CBC499864A0A}"/>
            </a:ext>
          </a:extLst>
        </xdr:cNvPr>
        <xdr:cNvSpPr/>
      </xdr:nvSpPr>
      <xdr:spPr>
        <a:xfrm>
          <a:off x="10267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PerGameSortbyFTMADE" textlink="">
      <xdr:nvSpPr>
        <xdr:cNvPr id="39" name="Rectangle 38">
          <a:extLst>
            <a:ext uri="{FF2B5EF4-FFF2-40B4-BE49-F238E27FC236}">
              <a16:creationId xmlns:a16="http://schemas.microsoft.com/office/drawing/2014/main" id="{F0BE18B2-5B06-455D-8700-69249FA74AAB}"/>
            </a:ext>
          </a:extLst>
        </xdr:cNvPr>
        <xdr:cNvSpPr/>
      </xdr:nvSpPr>
      <xdr:spPr>
        <a:xfrm>
          <a:off x="10791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PerGameSortbyFTATT" textlink="">
      <xdr:nvSpPr>
        <xdr:cNvPr id="40" name="Rectangle 39">
          <a:extLst>
            <a:ext uri="{FF2B5EF4-FFF2-40B4-BE49-F238E27FC236}">
              <a16:creationId xmlns:a16="http://schemas.microsoft.com/office/drawing/2014/main" id="{525AB191-71E0-4114-9CB4-75E607BFFD1F}"/>
            </a:ext>
          </a:extLst>
        </xdr:cNvPr>
        <xdr:cNvSpPr/>
      </xdr:nvSpPr>
      <xdr:spPr>
        <a:xfrm>
          <a:off x="11315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IndividualsSortbyFTper" textlink="">
      <xdr:nvSpPr>
        <xdr:cNvPr id="41" name="Rectangle 40">
          <a:extLst>
            <a:ext uri="{FF2B5EF4-FFF2-40B4-BE49-F238E27FC236}">
              <a16:creationId xmlns:a16="http://schemas.microsoft.com/office/drawing/2014/main" id="{76B16028-BCFC-4DED-87C9-D2034E49B15F}"/>
            </a:ext>
          </a:extLst>
        </xdr:cNvPr>
        <xdr:cNvSpPr/>
      </xdr:nvSpPr>
      <xdr:spPr>
        <a:xfrm>
          <a:off x="11839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PerGameSortbyTeam" textlink="">
      <xdr:nvSpPr>
        <xdr:cNvPr id="42" name="Rectangle 41">
          <a:extLst>
            <a:ext uri="{FF2B5EF4-FFF2-40B4-BE49-F238E27FC236}">
              <a16:creationId xmlns:a16="http://schemas.microsoft.com/office/drawing/2014/main" id="{9E9B6DA3-F302-413C-B2A2-7BE53463CFFC}"/>
            </a:ext>
          </a:extLst>
        </xdr:cNvPr>
        <xdr:cNvSpPr/>
      </xdr:nvSpPr>
      <xdr:spPr>
        <a:xfrm>
          <a:off x="1638300" y="942975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PerGameSortbyName" textlink="">
      <xdr:nvSpPr>
        <xdr:cNvPr id="43" name="Rectangle 42">
          <a:extLst>
            <a:ext uri="{FF2B5EF4-FFF2-40B4-BE49-F238E27FC236}">
              <a16:creationId xmlns:a16="http://schemas.microsoft.com/office/drawing/2014/main" id="{16B8F02B-87F5-4A1A-BC20-48AF1423E284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361950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8611FEE7-BD17-4FE7-B555-D1F8FC232F5B}"/>
            </a:ext>
          </a:extLst>
        </xdr:cNvPr>
        <xdr:cNvSpPr/>
      </xdr:nvSpPr>
      <xdr:spPr>
        <a:xfrm>
          <a:off x="1628775" y="0"/>
          <a:ext cx="1304925" cy="36195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213581</xdr:colOff>
      <xdr:row>0</xdr:row>
      <xdr:rowOff>180975</xdr:rowOff>
    </xdr:from>
    <xdr:to>
      <xdr:col>16</xdr:col>
      <xdr:colOff>466725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B48063-6E5C-4875-BB0B-5C41E5417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TeamsSortbyGP" textlink="">
      <xdr:nvSpPr>
        <xdr:cNvPr id="22" name="Rectangle 21">
          <a:extLst>
            <a:ext uri="{FF2B5EF4-FFF2-40B4-BE49-F238E27FC236}">
              <a16:creationId xmlns:a16="http://schemas.microsoft.com/office/drawing/2014/main" id="{477CD4E5-E5F7-4F76-B664-1EA63C92B3BA}"/>
            </a:ext>
          </a:extLst>
        </xdr:cNvPr>
        <xdr:cNvSpPr/>
      </xdr:nvSpPr>
      <xdr:spPr>
        <a:xfrm>
          <a:off x="1685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sp macro="[0]!TeamsSortbyPTS" textlink="">
      <xdr:nvSpPr>
        <xdr:cNvPr id="23" name="Rectangle 22">
          <a:extLst>
            <a:ext uri="{FF2B5EF4-FFF2-40B4-BE49-F238E27FC236}">
              <a16:creationId xmlns:a16="http://schemas.microsoft.com/office/drawing/2014/main" id="{FC79B48A-009D-4B9C-8922-CF1712316E53}"/>
            </a:ext>
          </a:extLst>
        </xdr:cNvPr>
        <xdr:cNvSpPr/>
      </xdr:nvSpPr>
      <xdr:spPr>
        <a:xfrm>
          <a:off x="2209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sp macro="[0]!TeamsSortbyREB" textlink="">
      <xdr:nvSpPr>
        <xdr:cNvPr id="24" name="Rectangle 23">
          <a:extLst>
            <a:ext uri="{FF2B5EF4-FFF2-40B4-BE49-F238E27FC236}">
              <a16:creationId xmlns:a16="http://schemas.microsoft.com/office/drawing/2014/main" id="{5AF1452E-5866-4F2B-9E74-4A45FB44BC79}"/>
            </a:ext>
          </a:extLst>
        </xdr:cNvPr>
        <xdr:cNvSpPr/>
      </xdr:nvSpPr>
      <xdr:spPr>
        <a:xfrm>
          <a:off x="27336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[0]!TeamsSortbyAST" textlink="">
      <xdr:nvSpPr>
        <xdr:cNvPr id="25" name="Rectangle 24">
          <a:extLst>
            <a:ext uri="{FF2B5EF4-FFF2-40B4-BE49-F238E27FC236}">
              <a16:creationId xmlns:a16="http://schemas.microsoft.com/office/drawing/2014/main" id="{FF483FCC-78AA-451B-9EA2-132704C24D32}"/>
            </a:ext>
          </a:extLst>
        </xdr:cNvPr>
        <xdr:cNvSpPr/>
      </xdr:nvSpPr>
      <xdr:spPr>
        <a:xfrm>
          <a:off x="32575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TeamsSortbySTL" textlink="">
      <xdr:nvSpPr>
        <xdr:cNvPr id="26" name="Rectangle 25">
          <a:extLst>
            <a:ext uri="{FF2B5EF4-FFF2-40B4-BE49-F238E27FC236}">
              <a16:creationId xmlns:a16="http://schemas.microsoft.com/office/drawing/2014/main" id="{DE29253E-974A-4ABF-BC5A-D4D1956125A7}"/>
            </a:ext>
          </a:extLst>
        </xdr:cNvPr>
        <xdr:cNvSpPr/>
      </xdr:nvSpPr>
      <xdr:spPr>
        <a:xfrm>
          <a:off x="37814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[0]!TeamsSortbyBLK" textlink="">
      <xdr:nvSpPr>
        <xdr:cNvPr id="27" name="Rectangle 26">
          <a:extLst>
            <a:ext uri="{FF2B5EF4-FFF2-40B4-BE49-F238E27FC236}">
              <a16:creationId xmlns:a16="http://schemas.microsoft.com/office/drawing/2014/main" id="{C70A83ED-262B-47FF-BE8F-6EB9F58FC364}"/>
            </a:ext>
          </a:extLst>
        </xdr:cNvPr>
        <xdr:cNvSpPr/>
      </xdr:nvSpPr>
      <xdr:spPr>
        <a:xfrm>
          <a:off x="43053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TeamsSortbyTO" textlink="">
      <xdr:nvSpPr>
        <xdr:cNvPr id="28" name="Rectangle 27">
          <a:extLst>
            <a:ext uri="{FF2B5EF4-FFF2-40B4-BE49-F238E27FC236}">
              <a16:creationId xmlns:a16="http://schemas.microsoft.com/office/drawing/2014/main" id="{177C4E22-7BD2-459E-94CB-4945AA6AB7EE}"/>
            </a:ext>
          </a:extLst>
        </xdr:cNvPr>
        <xdr:cNvSpPr/>
      </xdr:nvSpPr>
      <xdr:spPr>
        <a:xfrm>
          <a:off x="48291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3</xdr:row>
      <xdr:rowOff>0</xdr:rowOff>
    </xdr:to>
    <xdr:sp macro="[0]!TeamsSortbyOREB" textlink="">
      <xdr:nvSpPr>
        <xdr:cNvPr id="29" name="Rectangle 28">
          <a:extLst>
            <a:ext uri="{FF2B5EF4-FFF2-40B4-BE49-F238E27FC236}">
              <a16:creationId xmlns:a16="http://schemas.microsoft.com/office/drawing/2014/main" id="{61212591-2D8F-4087-B865-3508D684FBCE}"/>
            </a:ext>
          </a:extLst>
        </xdr:cNvPr>
        <xdr:cNvSpPr/>
      </xdr:nvSpPr>
      <xdr:spPr>
        <a:xfrm>
          <a:off x="53530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14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TeamsSortbyDREB" textlink="">
      <xdr:nvSpPr>
        <xdr:cNvPr id="30" name="Rectangle 29">
          <a:extLst>
            <a:ext uri="{FF2B5EF4-FFF2-40B4-BE49-F238E27FC236}">
              <a16:creationId xmlns:a16="http://schemas.microsoft.com/office/drawing/2014/main" id="{C9C74A46-A0DE-4EE9-B020-D4447108B64A}"/>
            </a:ext>
          </a:extLst>
        </xdr:cNvPr>
        <xdr:cNvSpPr/>
      </xdr:nvSpPr>
      <xdr:spPr>
        <a:xfrm>
          <a:off x="5876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16</xdr:col>
      <xdr:colOff>0</xdr:colOff>
      <xdr:row>3</xdr:row>
      <xdr:rowOff>0</xdr:rowOff>
    </xdr:to>
    <xdr:sp macro="[0]!TeamsSortby3PTMADE" textlink="">
      <xdr:nvSpPr>
        <xdr:cNvPr id="31" name="Rectangle 30">
          <a:extLst>
            <a:ext uri="{FF2B5EF4-FFF2-40B4-BE49-F238E27FC236}">
              <a16:creationId xmlns:a16="http://schemas.microsoft.com/office/drawing/2014/main" id="{FCBDD125-3AD8-4058-B419-F1632D7D6858}"/>
            </a:ext>
          </a:extLst>
        </xdr:cNvPr>
        <xdr:cNvSpPr/>
      </xdr:nvSpPr>
      <xdr:spPr>
        <a:xfrm>
          <a:off x="6400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0</xdr:colOff>
      <xdr:row>3</xdr:row>
      <xdr:rowOff>0</xdr:rowOff>
    </xdr:to>
    <xdr:sp macro="[0]!TeamsSortby3PTATT" textlink="">
      <xdr:nvSpPr>
        <xdr:cNvPr id="32" name="Rectangle 31">
          <a:extLst>
            <a:ext uri="{FF2B5EF4-FFF2-40B4-BE49-F238E27FC236}">
              <a16:creationId xmlns:a16="http://schemas.microsoft.com/office/drawing/2014/main" id="{8B68593A-BB71-4347-9B55-5815751D6FC9}"/>
            </a:ext>
          </a:extLst>
        </xdr:cNvPr>
        <xdr:cNvSpPr/>
      </xdr:nvSpPr>
      <xdr:spPr>
        <a:xfrm>
          <a:off x="69246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TeamsSortby3PTper" textlink="">
      <xdr:nvSpPr>
        <xdr:cNvPr id="33" name="Rectangle 32">
          <a:extLst>
            <a:ext uri="{FF2B5EF4-FFF2-40B4-BE49-F238E27FC236}">
              <a16:creationId xmlns:a16="http://schemas.microsoft.com/office/drawing/2014/main" id="{7B1D7108-2ACC-4268-B5D0-6634A44506A5}"/>
            </a:ext>
          </a:extLst>
        </xdr:cNvPr>
        <xdr:cNvSpPr/>
      </xdr:nvSpPr>
      <xdr:spPr>
        <a:xfrm>
          <a:off x="74485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3</xdr:row>
      <xdr:rowOff>0</xdr:rowOff>
    </xdr:to>
    <xdr:sp macro="[0]!TeamsSortbyFGMADE" textlink="">
      <xdr:nvSpPr>
        <xdr:cNvPr id="34" name="Rectangle 33">
          <a:extLst>
            <a:ext uri="{FF2B5EF4-FFF2-40B4-BE49-F238E27FC236}">
              <a16:creationId xmlns:a16="http://schemas.microsoft.com/office/drawing/2014/main" id="{3F52CC00-9682-4433-87CB-726C77980145}"/>
            </a:ext>
          </a:extLst>
        </xdr:cNvPr>
        <xdr:cNvSpPr/>
      </xdr:nvSpPr>
      <xdr:spPr>
        <a:xfrm>
          <a:off x="79724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sp macro="[0]!TeamsSortbyFGATT" textlink="">
      <xdr:nvSpPr>
        <xdr:cNvPr id="35" name="Rectangle 34">
          <a:extLst>
            <a:ext uri="{FF2B5EF4-FFF2-40B4-BE49-F238E27FC236}">
              <a16:creationId xmlns:a16="http://schemas.microsoft.com/office/drawing/2014/main" id="{B42F0F23-53A0-464E-9BDF-C07CF38DD8FB}"/>
            </a:ext>
          </a:extLst>
        </xdr:cNvPr>
        <xdr:cNvSpPr/>
      </xdr:nvSpPr>
      <xdr:spPr>
        <a:xfrm>
          <a:off x="84963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3</xdr:row>
      <xdr:rowOff>0</xdr:rowOff>
    </xdr:to>
    <xdr:sp macro="[0]!TeamsSortbyFGper" textlink="">
      <xdr:nvSpPr>
        <xdr:cNvPr id="36" name="Rectangle 35">
          <a:extLst>
            <a:ext uri="{FF2B5EF4-FFF2-40B4-BE49-F238E27FC236}">
              <a16:creationId xmlns:a16="http://schemas.microsoft.com/office/drawing/2014/main" id="{88DFCE8F-AD65-4C69-B3EA-03BEDB213BF8}"/>
            </a:ext>
          </a:extLst>
        </xdr:cNvPr>
        <xdr:cNvSpPr/>
      </xdr:nvSpPr>
      <xdr:spPr>
        <a:xfrm>
          <a:off x="90201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21</xdr:col>
      <xdr:colOff>0</xdr:colOff>
      <xdr:row>2</xdr:row>
      <xdr:rowOff>0</xdr:rowOff>
    </xdr:from>
    <xdr:to>
      <xdr:col>22</xdr:col>
      <xdr:colOff>0</xdr:colOff>
      <xdr:row>3</xdr:row>
      <xdr:rowOff>0</xdr:rowOff>
    </xdr:to>
    <xdr:sp macro="[0]!TeamsSortbyFTMADE" textlink="">
      <xdr:nvSpPr>
        <xdr:cNvPr id="37" name="Rectangle 36">
          <a:extLst>
            <a:ext uri="{FF2B5EF4-FFF2-40B4-BE49-F238E27FC236}">
              <a16:creationId xmlns:a16="http://schemas.microsoft.com/office/drawing/2014/main" id="{B9E25357-A624-41C2-82FB-B5262126AC87}"/>
            </a:ext>
          </a:extLst>
        </xdr:cNvPr>
        <xdr:cNvSpPr/>
      </xdr:nvSpPr>
      <xdr:spPr>
        <a:xfrm>
          <a:off x="95440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22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[0]!TeamsSortbyFTATT" textlink="">
      <xdr:nvSpPr>
        <xdr:cNvPr id="38" name="Rectangle 37">
          <a:extLst>
            <a:ext uri="{FF2B5EF4-FFF2-40B4-BE49-F238E27FC236}">
              <a16:creationId xmlns:a16="http://schemas.microsoft.com/office/drawing/2014/main" id="{0A2F369A-DC18-4E62-81BC-3163E4162261}"/>
            </a:ext>
          </a:extLst>
        </xdr:cNvPr>
        <xdr:cNvSpPr/>
      </xdr:nvSpPr>
      <xdr:spPr>
        <a:xfrm>
          <a:off x="10067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23</xdr:col>
      <xdr:colOff>0</xdr:colOff>
      <xdr:row>2</xdr:row>
      <xdr:rowOff>0</xdr:rowOff>
    </xdr:from>
    <xdr:to>
      <xdr:col>24</xdr:col>
      <xdr:colOff>0</xdr:colOff>
      <xdr:row>3</xdr:row>
      <xdr:rowOff>0</xdr:rowOff>
    </xdr:to>
    <xdr:sp macro="[0]!TeamsSortbyFTper" textlink="">
      <xdr:nvSpPr>
        <xdr:cNvPr id="39" name="Rectangle 38">
          <a:extLst>
            <a:ext uri="{FF2B5EF4-FFF2-40B4-BE49-F238E27FC236}">
              <a16:creationId xmlns:a16="http://schemas.microsoft.com/office/drawing/2014/main" id="{7EC54184-848A-4108-8A8B-2DD6CCDA6D0E}"/>
            </a:ext>
          </a:extLst>
        </xdr:cNvPr>
        <xdr:cNvSpPr/>
      </xdr:nvSpPr>
      <xdr:spPr>
        <a:xfrm>
          <a:off x="10591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TeamsSortbyTeam" textlink="">
      <xdr:nvSpPr>
        <xdr:cNvPr id="41" name="Rectangle 40">
          <a:extLst>
            <a:ext uri="{FF2B5EF4-FFF2-40B4-BE49-F238E27FC236}">
              <a16:creationId xmlns:a16="http://schemas.microsoft.com/office/drawing/2014/main" id="{11A41606-B05F-4525-9C79-571FF63D5CC6}"/>
            </a:ext>
          </a:extLst>
        </xdr:cNvPr>
        <xdr:cNvSpPr/>
      </xdr:nvSpPr>
      <xdr:spPr>
        <a:xfrm>
          <a:off x="381000" y="952500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6</xdr:col>
      <xdr:colOff>28575</xdr:colOff>
      <xdr:row>0</xdr:row>
      <xdr:rowOff>381000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34FC061-A7CF-4B1F-99D6-C60B04B5C2DE}"/>
            </a:ext>
          </a:extLst>
        </xdr:cNvPr>
        <xdr:cNvSpPr/>
      </xdr:nvSpPr>
      <xdr:spPr>
        <a:xfrm>
          <a:off x="381000" y="0"/>
          <a:ext cx="1333500" cy="381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endParaRPr lang="en-US" sz="1400">
            <a:solidFill>
              <a:sysClr val="windowText" lastClr="000000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5</xdr:col>
      <xdr:colOff>419100</xdr:colOff>
      <xdr:row>3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6DA05228-715A-488B-B08F-A528F69BA96D}"/>
            </a:ext>
          </a:extLst>
        </xdr:cNvPr>
        <xdr:cNvSpPr/>
      </xdr:nvSpPr>
      <xdr:spPr>
        <a:xfrm>
          <a:off x="2543175" y="952500"/>
          <a:ext cx="419100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GB</a:t>
          </a:r>
        </a:p>
      </xdr:txBody>
    </xdr:sp>
    <xdr:clientData/>
  </xdr:twoCellAnchor>
  <xdr:twoCellAnchor>
    <xdr:from>
      <xdr:col>4</xdr:col>
      <xdr:colOff>9525</xdr:colOff>
      <xdr:row>2</xdr:row>
      <xdr:rowOff>0</xdr:rowOff>
    </xdr:from>
    <xdr:to>
      <xdr:col>5</xdr:col>
      <xdr:colOff>0</xdr:colOff>
      <xdr:row>3</xdr:row>
      <xdr:rowOff>0</xdr:rowOff>
    </xdr:to>
    <xdr:sp macro="[0]!TeamsSortbyLosses" textlink="">
      <xdr:nvSpPr>
        <xdr:cNvPr id="44" name="Rectangle 43">
          <a:extLst>
            <a:ext uri="{FF2B5EF4-FFF2-40B4-BE49-F238E27FC236}">
              <a16:creationId xmlns:a16="http://schemas.microsoft.com/office/drawing/2014/main" id="{302F3B27-13A7-4ACD-BA74-DE3A432F2028}"/>
            </a:ext>
          </a:extLst>
        </xdr:cNvPr>
        <xdr:cNvSpPr/>
      </xdr:nvSpPr>
      <xdr:spPr>
        <a:xfrm>
          <a:off x="2124075" y="952500"/>
          <a:ext cx="419100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L</a:t>
          </a:r>
        </a:p>
      </xdr:txBody>
    </xdr:sp>
    <xdr:clientData/>
  </xdr:twoCellAnchor>
  <xdr:twoCellAnchor>
    <xdr:from>
      <xdr:col>3</xdr:col>
      <xdr:colOff>9525</xdr:colOff>
      <xdr:row>2</xdr:row>
      <xdr:rowOff>0</xdr:rowOff>
    </xdr:from>
    <xdr:to>
      <xdr:col>4</xdr:col>
      <xdr:colOff>0</xdr:colOff>
      <xdr:row>3</xdr:row>
      <xdr:rowOff>0</xdr:rowOff>
    </xdr:to>
    <xdr:sp macro="[0]!TeamsSortbyWins" textlink="">
      <xdr:nvSpPr>
        <xdr:cNvPr id="45" name="Rectangle 44">
          <a:extLst>
            <a:ext uri="{FF2B5EF4-FFF2-40B4-BE49-F238E27FC236}">
              <a16:creationId xmlns:a16="http://schemas.microsoft.com/office/drawing/2014/main" id="{DE7A6948-F1AD-4F8D-AD83-5E2F8E9ED291}"/>
            </a:ext>
          </a:extLst>
        </xdr:cNvPr>
        <xdr:cNvSpPr/>
      </xdr:nvSpPr>
      <xdr:spPr>
        <a:xfrm>
          <a:off x="1695450" y="952500"/>
          <a:ext cx="419100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W</a:t>
          </a:r>
        </a:p>
      </xdr:txBody>
    </xdr:sp>
    <xdr:clientData/>
  </xdr:twoCellAnchor>
  <xdr:twoCellAnchor>
    <xdr:from>
      <xdr:col>25</xdr:col>
      <xdr:colOff>0</xdr:colOff>
      <xdr:row>2</xdr:row>
      <xdr:rowOff>0</xdr:rowOff>
    </xdr:from>
    <xdr:to>
      <xdr:col>26</xdr:col>
      <xdr:colOff>0</xdr:colOff>
      <xdr:row>3</xdr:row>
      <xdr:rowOff>0</xdr:rowOff>
    </xdr:to>
    <xdr:sp macro="[0]!TeamsSortbyPTS" textlink="">
      <xdr:nvSpPr>
        <xdr:cNvPr id="47" name="Rectangle 46">
          <a:extLst>
            <a:ext uri="{FF2B5EF4-FFF2-40B4-BE49-F238E27FC236}">
              <a16:creationId xmlns:a16="http://schemas.microsoft.com/office/drawing/2014/main" id="{DCD626BA-2981-4E04-B08C-DB29677B4B48}"/>
            </a:ext>
          </a:extLst>
        </xdr:cNvPr>
        <xdr:cNvSpPr/>
      </xdr:nvSpPr>
      <xdr:spPr>
        <a:xfrm>
          <a:off x="35433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0</xdr:colOff>
      <xdr:row>3</xdr:row>
      <xdr:rowOff>0</xdr:rowOff>
    </xdr:to>
    <xdr:sp macro="[0]!TeamsSortbyREB" textlink="">
      <xdr:nvSpPr>
        <xdr:cNvPr id="48" name="Rectangle 47">
          <a:extLst>
            <a:ext uri="{FF2B5EF4-FFF2-40B4-BE49-F238E27FC236}">
              <a16:creationId xmlns:a16="http://schemas.microsoft.com/office/drawing/2014/main" id="{1474DA30-DE9E-4186-84E2-69103C58E0C9}"/>
            </a:ext>
          </a:extLst>
        </xdr:cNvPr>
        <xdr:cNvSpPr/>
      </xdr:nvSpPr>
      <xdr:spPr>
        <a:xfrm>
          <a:off x="40671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0</xdr:colOff>
      <xdr:row>3</xdr:row>
      <xdr:rowOff>0</xdr:rowOff>
    </xdr:to>
    <xdr:sp macro="[0]!TeamsSortbyAST" textlink="">
      <xdr:nvSpPr>
        <xdr:cNvPr id="49" name="Rectangle 48">
          <a:extLst>
            <a:ext uri="{FF2B5EF4-FFF2-40B4-BE49-F238E27FC236}">
              <a16:creationId xmlns:a16="http://schemas.microsoft.com/office/drawing/2014/main" id="{11BAC188-2F31-4C0E-ABE1-64B298AF56C0}"/>
            </a:ext>
          </a:extLst>
        </xdr:cNvPr>
        <xdr:cNvSpPr/>
      </xdr:nvSpPr>
      <xdr:spPr>
        <a:xfrm>
          <a:off x="45910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28</xdr:col>
      <xdr:colOff>0</xdr:colOff>
      <xdr:row>2</xdr:row>
      <xdr:rowOff>0</xdr:rowOff>
    </xdr:from>
    <xdr:to>
      <xdr:col>29</xdr:col>
      <xdr:colOff>0</xdr:colOff>
      <xdr:row>3</xdr:row>
      <xdr:rowOff>0</xdr:rowOff>
    </xdr:to>
    <xdr:sp macro="[0]!TeamsSortbySTL" textlink="">
      <xdr:nvSpPr>
        <xdr:cNvPr id="50" name="Rectangle 49">
          <a:extLst>
            <a:ext uri="{FF2B5EF4-FFF2-40B4-BE49-F238E27FC236}">
              <a16:creationId xmlns:a16="http://schemas.microsoft.com/office/drawing/2014/main" id="{58672764-6F69-4CED-A42D-F5E26380E34B}"/>
            </a:ext>
          </a:extLst>
        </xdr:cNvPr>
        <xdr:cNvSpPr/>
      </xdr:nvSpPr>
      <xdr:spPr>
        <a:xfrm>
          <a:off x="5114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29</xdr:col>
      <xdr:colOff>0</xdr:colOff>
      <xdr:row>2</xdr:row>
      <xdr:rowOff>0</xdr:rowOff>
    </xdr:from>
    <xdr:to>
      <xdr:col>30</xdr:col>
      <xdr:colOff>0</xdr:colOff>
      <xdr:row>3</xdr:row>
      <xdr:rowOff>0</xdr:rowOff>
    </xdr:to>
    <xdr:sp macro="[0]!TeamsSortbyBLK" textlink="">
      <xdr:nvSpPr>
        <xdr:cNvPr id="51" name="Rectangle 50">
          <a:extLst>
            <a:ext uri="{FF2B5EF4-FFF2-40B4-BE49-F238E27FC236}">
              <a16:creationId xmlns:a16="http://schemas.microsoft.com/office/drawing/2014/main" id="{4F2DA3FF-5005-493E-834E-A72B79FC7C75}"/>
            </a:ext>
          </a:extLst>
        </xdr:cNvPr>
        <xdr:cNvSpPr/>
      </xdr:nvSpPr>
      <xdr:spPr>
        <a:xfrm>
          <a:off x="5638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30</xdr:col>
      <xdr:colOff>0</xdr:colOff>
      <xdr:row>2</xdr:row>
      <xdr:rowOff>0</xdr:rowOff>
    </xdr:from>
    <xdr:to>
      <xdr:col>31</xdr:col>
      <xdr:colOff>0</xdr:colOff>
      <xdr:row>3</xdr:row>
      <xdr:rowOff>0</xdr:rowOff>
    </xdr:to>
    <xdr:sp macro="[0]!TeamsSortbyTO" textlink="">
      <xdr:nvSpPr>
        <xdr:cNvPr id="52" name="Rectangle 51">
          <a:extLst>
            <a:ext uri="{FF2B5EF4-FFF2-40B4-BE49-F238E27FC236}">
              <a16:creationId xmlns:a16="http://schemas.microsoft.com/office/drawing/2014/main" id="{1B5D8EA8-6FDD-4272-A1F2-34C43F2BFFFD}"/>
            </a:ext>
          </a:extLst>
        </xdr:cNvPr>
        <xdr:cNvSpPr/>
      </xdr:nvSpPr>
      <xdr:spPr>
        <a:xfrm>
          <a:off x="61626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31</xdr:col>
      <xdr:colOff>0</xdr:colOff>
      <xdr:row>2</xdr:row>
      <xdr:rowOff>0</xdr:rowOff>
    </xdr:from>
    <xdr:to>
      <xdr:col>32</xdr:col>
      <xdr:colOff>0</xdr:colOff>
      <xdr:row>3</xdr:row>
      <xdr:rowOff>0</xdr:rowOff>
    </xdr:to>
    <xdr:sp macro="[0]!TeamsSortbyOREB" textlink="">
      <xdr:nvSpPr>
        <xdr:cNvPr id="53" name="Rectangle 52">
          <a:extLst>
            <a:ext uri="{FF2B5EF4-FFF2-40B4-BE49-F238E27FC236}">
              <a16:creationId xmlns:a16="http://schemas.microsoft.com/office/drawing/2014/main" id="{AB168412-50BA-45D6-99BE-B6EABAEFFB0D}"/>
            </a:ext>
          </a:extLst>
        </xdr:cNvPr>
        <xdr:cNvSpPr/>
      </xdr:nvSpPr>
      <xdr:spPr>
        <a:xfrm>
          <a:off x="66865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32</xdr:col>
      <xdr:colOff>0</xdr:colOff>
      <xdr:row>2</xdr:row>
      <xdr:rowOff>0</xdr:rowOff>
    </xdr:from>
    <xdr:to>
      <xdr:col>33</xdr:col>
      <xdr:colOff>0</xdr:colOff>
      <xdr:row>3</xdr:row>
      <xdr:rowOff>0</xdr:rowOff>
    </xdr:to>
    <xdr:sp macro="[0]!TeamsSortbyDREB" textlink="">
      <xdr:nvSpPr>
        <xdr:cNvPr id="54" name="Rectangle 53">
          <a:extLst>
            <a:ext uri="{FF2B5EF4-FFF2-40B4-BE49-F238E27FC236}">
              <a16:creationId xmlns:a16="http://schemas.microsoft.com/office/drawing/2014/main" id="{04C41FA2-A182-4B72-A7AA-91E857DEDA7E}"/>
            </a:ext>
          </a:extLst>
        </xdr:cNvPr>
        <xdr:cNvSpPr/>
      </xdr:nvSpPr>
      <xdr:spPr>
        <a:xfrm>
          <a:off x="72104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33</xdr:col>
      <xdr:colOff>0</xdr:colOff>
      <xdr:row>2</xdr:row>
      <xdr:rowOff>0</xdr:rowOff>
    </xdr:from>
    <xdr:to>
      <xdr:col>34</xdr:col>
      <xdr:colOff>0</xdr:colOff>
      <xdr:row>3</xdr:row>
      <xdr:rowOff>0</xdr:rowOff>
    </xdr:to>
    <xdr:sp macro="[0]!TeamsSortby3PTMADE" textlink="">
      <xdr:nvSpPr>
        <xdr:cNvPr id="55" name="Rectangle 54">
          <a:extLst>
            <a:ext uri="{FF2B5EF4-FFF2-40B4-BE49-F238E27FC236}">
              <a16:creationId xmlns:a16="http://schemas.microsoft.com/office/drawing/2014/main" id="{22540B5B-0D9B-4506-A720-0EC56915D82A}"/>
            </a:ext>
          </a:extLst>
        </xdr:cNvPr>
        <xdr:cNvSpPr/>
      </xdr:nvSpPr>
      <xdr:spPr>
        <a:xfrm>
          <a:off x="77343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34</xdr:col>
      <xdr:colOff>0</xdr:colOff>
      <xdr:row>2</xdr:row>
      <xdr:rowOff>0</xdr:rowOff>
    </xdr:from>
    <xdr:to>
      <xdr:col>35</xdr:col>
      <xdr:colOff>0</xdr:colOff>
      <xdr:row>3</xdr:row>
      <xdr:rowOff>0</xdr:rowOff>
    </xdr:to>
    <xdr:sp macro="[0]!TeamsSortby3PTATT" textlink="">
      <xdr:nvSpPr>
        <xdr:cNvPr id="56" name="Rectangle 55">
          <a:extLst>
            <a:ext uri="{FF2B5EF4-FFF2-40B4-BE49-F238E27FC236}">
              <a16:creationId xmlns:a16="http://schemas.microsoft.com/office/drawing/2014/main" id="{90015819-52DB-4381-81E4-ADE5A0233BC0}"/>
            </a:ext>
          </a:extLst>
        </xdr:cNvPr>
        <xdr:cNvSpPr/>
      </xdr:nvSpPr>
      <xdr:spPr>
        <a:xfrm>
          <a:off x="82581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35</xdr:col>
      <xdr:colOff>0</xdr:colOff>
      <xdr:row>2</xdr:row>
      <xdr:rowOff>0</xdr:rowOff>
    </xdr:from>
    <xdr:to>
      <xdr:col>36</xdr:col>
      <xdr:colOff>0</xdr:colOff>
      <xdr:row>3</xdr:row>
      <xdr:rowOff>0</xdr:rowOff>
    </xdr:to>
    <xdr:sp macro="[0]!TeamsSortbyFGMADE" textlink="">
      <xdr:nvSpPr>
        <xdr:cNvPr id="58" name="Rectangle 57">
          <a:extLst>
            <a:ext uri="{FF2B5EF4-FFF2-40B4-BE49-F238E27FC236}">
              <a16:creationId xmlns:a16="http://schemas.microsoft.com/office/drawing/2014/main" id="{A215998B-FCCE-4258-B876-0CD38483B095}"/>
            </a:ext>
          </a:extLst>
        </xdr:cNvPr>
        <xdr:cNvSpPr/>
      </xdr:nvSpPr>
      <xdr:spPr>
        <a:xfrm>
          <a:off x="9305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36</xdr:col>
      <xdr:colOff>0</xdr:colOff>
      <xdr:row>2</xdr:row>
      <xdr:rowOff>0</xdr:rowOff>
    </xdr:from>
    <xdr:to>
      <xdr:col>37</xdr:col>
      <xdr:colOff>0</xdr:colOff>
      <xdr:row>3</xdr:row>
      <xdr:rowOff>0</xdr:rowOff>
    </xdr:to>
    <xdr:sp macro="[0]!TeamsSortbyFGATT" textlink="">
      <xdr:nvSpPr>
        <xdr:cNvPr id="59" name="Rectangle 58">
          <a:extLst>
            <a:ext uri="{FF2B5EF4-FFF2-40B4-BE49-F238E27FC236}">
              <a16:creationId xmlns:a16="http://schemas.microsoft.com/office/drawing/2014/main" id="{DC4DA39B-8D2D-457F-9F74-382079DF0E7F}"/>
            </a:ext>
          </a:extLst>
        </xdr:cNvPr>
        <xdr:cNvSpPr/>
      </xdr:nvSpPr>
      <xdr:spPr>
        <a:xfrm>
          <a:off x="9829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37</xdr:col>
      <xdr:colOff>0</xdr:colOff>
      <xdr:row>2</xdr:row>
      <xdr:rowOff>0</xdr:rowOff>
    </xdr:from>
    <xdr:to>
      <xdr:col>38</xdr:col>
      <xdr:colOff>0</xdr:colOff>
      <xdr:row>3</xdr:row>
      <xdr:rowOff>0</xdr:rowOff>
    </xdr:to>
    <xdr:sp macro="[0]!TeamsSortbyFTMADE" textlink="">
      <xdr:nvSpPr>
        <xdr:cNvPr id="61" name="Rectangle 60">
          <a:extLst>
            <a:ext uri="{FF2B5EF4-FFF2-40B4-BE49-F238E27FC236}">
              <a16:creationId xmlns:a16="http://schemas.microsoft.com/office/drawing/2014/main" id="{E06FDA88-E22F-469F-BF3D-CBF2A96CC0D5}"/>
            </a:ext>
          </a:extLst>
        </xdr:cNvPr>
        <xdr:cNvSpPr/>
      </xdr:nvSpPr>
      <xdr:spPr>
        <a:xfrm>
          <a:off x="108775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38</xdr:col>
      <xdr:colOff>0</xdr:colOff>
      <xdr:row>2</xdr:row>
      <xdr:rowOff>0</xdr:rowOff>
    </xdr:from>
    <xdr:to>
      <xdr:col>39</xdr:col>
      <xdr:colOff>0</xdr:colOff>
      <xdr:row>3</xdr:row>
      <xdr:rowOff>0</xdr:rowOff>
    </xdr:to>
    <xdr:sp macro="[0]!TeamsSortbyFTATT" textlink="">
      <xdr:nvSpPr>
        <xdr:cNvPr id="62" name="Rectangle 61">
          <a:extLst>
            <a:ext uri="{FF2B5EF4-FFF2-40B4-BE49-F238E27FC236}">
              <a16:creationId xmlns:a16="http://schemas.microsoft.com/office/drawing/2014/main" id="{18E418E7-3837-4AB2-A788-3CD8B390FB06}"/>
            </a:ext>
          </a:extLst>
        </xdr:cNvPr>
        <xdr:cNvSpPr/>
      </xdr:nvSpPr>
      <xdr:spPr>
        <a:xfrm>
          <a:off x="114014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213581</xdr:colOff>
      <xdr:row>0</xdr:row>
      <xdr:rowOff>180975</xdr:rowOff>
    </xdr:from>
    <xdr:to>
      <xdr:col>14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80237A-697A-46E2-A510-44FFC65D4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9506" y="180975"/>
          <a:ext cx="5549044" cy="771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82924</xdr:rowOff>
    </xdr:from>
    <xdr:to>
      <xdr:col>13</xdr:col>
      <xdr:colOff>76200</xdr:colOff>
      <xdr:row>6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23D4AE-6FCE-4236-8DAF-9973125C9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73424"/>
          <a:ext cx="6391275" cy="888626"/>
        </a:xfrm>
        <a:prstGeom prst="rect">
          <a:avLst/>
        </a:prstGeom>
      </xdr:spPr>
    </xdr:pic>
    <xdr:clientData/>
  </xdr:twoCellAnchor>
  <xdr:twoCellAnchor>
    <xdr:from>
      <xdr:col>4</xdr:col>
      <xdr:colOff>9525</xdr:colOff>
      <xdr:row>7</xdr:row>
      <xdr:rowOff>38101</xdr:rowOff>
    </xdr:from>
    <xdr:to>
      <xdr:col>5</xdr:col>
      <xdr:colOff>1257300</xdr:colOff>
      <xdr:row>7</xdr:row>
      <xdr:rowOff>152401</xdr:rowOff>
    </xdr:to>
    <xdr:sp macro="" textlink="">
      <xdr:nvSpPr>
        <xdr:cNvPr id="6" name="Arrow: Left 5">
          <a:extLst>
            <a:ext uri="{FF2B5EF4-FFF2-40B4-BE49-F238E27FC236}">
              <a16:creationId xmlns:a16="http://schemas.microsoft.com/office/drawing/2014/main" id="{78843C85-59CA-426C-AB5E-0A03CE52F26C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20</xdr:row>
      <xdr:rowOff>38101</xdr:rowOff>
    </xdr:from>
    <xdr:to>
      <xdr:col>5</xdr:col>
      <xdr:colOff>1257300</xdr:colOff>
      <xdr:row>20</xdr:row>
      <xdr:rowOff>152401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E50E9269-F6B9-4756-8A68-F9635AF4ABB5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33</xdr:row>
      <xdr:rowOff>38101</xdr:rowOff>
    </xdr:from>
    <xdr:to>
      <xdr:col>5</xdr:col>
      <xdr:colOff>1257300</xdr:colOff>
      <xdr:row>33</xdr:row>
      <xdr:rowOff>152401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94A50898-651E-485B-A3C4-1BD569466E24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46</xdr:row>
      <xdr:rowOff>38101</xdr:rowOff>
    </xdr:from>
    <xdr:to>
      <xdr:col>5</xdr:col>
      <xdr:colOff>1257300</xdr:colOff>
      <xdr:row>46</xdr:row>
      <xdr:rowOff>152401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BF676548-13E5-4C3A-A753-E2E16E9C19B1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59</xdr:row>
      <xdr:rowOff>38101</xdr:rowOff>
    </xdr:from>
    <xdr:to>
      <xdr:col>5</xdr:col>
      <xdr:colOff>1257300</xdr:colOff>
      <xdr:row>59</xdr:row>
      <xdr:rowOff>152401</xdr:rowOff>
    </xdr:to>
    <xdr:sp macro="" textlink="">
      <xdr:nvSpPr>
        <xdr:cNvPr id="8" name="Arrow: Left 7">
          <a:extLst>
            <a:ext uri="{FF2B5EF4-FFF2-40B4-BE49-F238E27FC236}">
              <a16:creationId xmlns:a16="http://schemas.microsoft.com/office/drawing/2014/main" id="{EF1C5495-124C-474F-8846-487D12D62503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72</xdr:row>
      <xdr:rowOff>38101</xdr:rowOff>
    </xdr:from>
    <xdr:to>
      <xdr:col>5</xdr:col>
      <xdr:colOff>1257300</xdr:colOff>
      <xdr:row>72</xdr:row>
      <xdr:rowOff>152401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303AC2C6-24B8-4021-9857-5BF27C540400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20</xdr:row>
      <xdr:rowOff>38101</xdr:rowOff>
    </xdr:from>
    <xdr:to>
      <xdr:col>5</xdr:col>
      <xdr:colOff>1257300</xdr:colOff>
      <xdr:row>20</xdr:row>
      <xdr:rowOff>152401</xdr:rowOff>
    </xdr:to>
    <xdr:sp macro="" textlink="">
      <xdr:nvSpPr>
        <xdr:cNvPr id="10" name="Arrow: Left 9">
          <a:extLst>
            <a:ext uri="{FF2B5EF4-FFF2-40B4-BE49-F238E27FC236}">
              <a16:creationId xmlns:a16="http://schemas.microsoft.com/office/drawing/2014/main" id="{0FBCAE55-A52C-4890-A337-AC16F0608E0F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33</xdr:row>
      <xdr:rowOff>38101</xdr:rowOff>
    </xdr:from>
    <xdr:to>
      <xdr:col>5</xdr:col>
      <xdr:colOff>1257300</xdr:colOff>
      <xdr:row>33</xdr:row>
      <xdr:rowOff>152401</xdr:rowOff>
    </xdr:to>
    <xdr:sp macro="" textlink="">
      <xdr:nvSpPr>
        <xdr:cNvPr id="11" name="Arrow: Left 10">
          <a:extLst>
            <a:ext uri="{FF2B5EF4-FFF2-40B4-BE49-F238E27FC236}">
              <a16:creationId xmlns:a16="http://schemas.microsoft.com/office/drawing/2014/main" id="{A7BDF264-E1C3-4CBF-891E-8746C6BFF753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46</xdr:row>
      <xdr:rowOff>38101</xdr:rowOff>
    </xdr:from>
    <xdr:to>
      <xdr:col>5</xdr:col>
      <xdr:colOff>1257300</xdr:colOff>
      <xdr:row>46</xdr:row>
      <xdr:rowOff>152401</xdr:rowOff>
    </xdr:to>
    <xdr:sp macro="" textlink="">
      <xdr:nvSpPr>
        <xdr:cNvPr id="12" name="Arrow: Left 11">
          <a:extLst>
            <a:ext uri="{FF2B5EF4-FFF2-40B4-BE49-F238E27FC236}">
              <a16:creationId xmlns:a16="http://schemas.microsoft.com/office/drawing/2014/main" id="{DB8ED9A6-4AB4-467E-A6BC-C0DA37D63B5A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59</xdr:row>
      <xdr:rowOff>38101</xdr:rowOff>
    </xdr:from>
    <xdr:to>
      <xdr:col>5</xdr:col>
      <xdr:colOff>1257300</xdr:colOff>
      <xdr:row>59</xdr:row>
      <xdr:rowOff>152401</xdr:rowOff>
    </xdr:to>
    <xdr:sp macro="" textlink="">
      <xdr:nvSpPr>
        <xdr:cNvPr id="13" name="Arrow: Left 12">
          <a:extLst>
            <a:ext uri="{FF2B5EF4-FFF2-40B4-BE49-F238E27FC236}">
              <a16:creationId xmlns:a16="http://schemas.microsoft.com/office/drawing/2014/main" id="{E65100D4-B876-4481-9A66-7A5B4A8841D2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72</xdr:row>
      <xdr:rowOff>38101</xdr:rowOff>
    </xdr:from>
    <xdr:to>
      <xdr:col>5</xdr:col>
      <xdr:colOff>1257300</xdr:colOff>
      <xdr:row>72</xdr:row>
      <xdr:rowOff>152401</xdr:rowOff>
    </xdr:to>
    <xdr:sp macro="" textlink="">
      <xdr:nvSpPr>
        <xdr:cNvPr id="14" name="Arrow: Left 13">
          <a:extLst>
            <a:ext uri="{FF2B5EF4-FFF2-40B4-BE49-F238E27FC236}">
              <a16:creationId xmlns:a16="http://schemas.microsoft.com/office/drawing/2014/main" id="{B1AC8560-D761-425D-9DCF-7ABE12F185F9}"/>
            </a:ext>
          </a:extLst>
        </xdr:cNvPr>
        <xdr:cNvSpPr/>
      </xdr:nvSpPr>
      <xdr:spPr>
        <a:xfrm>
          <a:off x="2019300" y="1390651"/>
          <a:ext cx="1628775" cy="114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11</xdr:col>
      <xdr:colOff>409575</xdr:colOff>
      <xdr:row>6</xdr:row>
      <xdr:rowOff>126626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3456A0-F12D-495B-9419-77EDEF9BB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381000"/>
          <a:ext cx="6391275" cy="88862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213581</xdr:colOff>
      <xdr:row>0</xdr:row>
      <xdr:rowOff>180975</xdr:rowOff>
    </xdr:from>
    <xdr:to>
      <xdr:col>12</xdr:col>
      <xdr:colOff>314325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A6FE65-6D24-4EBF-85C6-EFB7AE29A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9506" y="180975"/>
          <a:ext cx="5549044" cy="771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16EC65E-7F77-4A47-9883-C8945DF7CB26}"/>
            </a:ext>
          </a:extLst>
        </xdr:cNvPr>
        <xdr:cNvSpPr/>
      </xdr:nvSpPr>
      <xdr:spPr>
        <a:xfrm>
          <a:off x="1685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A23315D-9099-4108-AA76-806C5FF22326}"/>
            </a:ext>
          </a:extLst>
        </xdr:cNvPr>
        <xdr:cNvSpPr/>
      </xdr:nvSpPr>
      <xdr:spPr>
        <a:xfrm>
          <a:off x="2209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E9B69B2-1EB5-4313-B6A6-3A43AFF21252}"/>
            </a:ext>
          </a:extLst>
        </xdr:cNvPr>
        <xdr:cNvSpPr/>
      </xdr:nvSpPr>
      <xdr:spPr>
        <a:xfrm>
          <a:off x="27336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D2F4D03-5406-4F52-BAF2-5292B1847E4D}"/>
            </a:ext>
          </a:extLst>
        </xdr:cNvPr>
        <xdr:cNvSpPr/>
      </xdr:nvSpPr>
      <xdr:spPr>
        <a:xfrm>
          <a:off x="32575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BE456-180B-414E-9299-A443D9289924}"/>
            </a:ext>
          </a:extLst>
        </xdr:cNvPr>
        <xdr:cNvSpPr/>
      </xdr:nvSpPr>
      <xdr:spPr>
        <a:xfrm>
          <a:off x="37814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D4E4433-C6E9-4330-B562-1498329462DC}"/>
            </a:ext>
          </a:extLst>
        </xdr:cNvPr>
        <xdr:cNvSpPr/>
      </xdr:nvSpPr>
      <xdr:spPr>
        <a:xfrm>
          <a:off x="43053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394F6D3-D8CA-490A-AF66-7B16A5794494}"/>
            </a:ext>
          </a:extLst>
        </xdr:cNvPr>
        <xdr:cNvSpPr/>
      </xdr:nvSpPr>
      <xdr:spPr>
        <a:xfrm>
          <a:off x="48291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B0560B52-1A5E-4962-B858-AEC1994158C7}"/>
            </a:ext>
          </a:extLst>
        </xdr:cNvPr>
        <xdr:cNvSpPr/>
      </xdr:nvSpPr>
      <xdr:spPr>
        <a:xfrm>
          <a:off x="53530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DAB2C073-BAAB-4B9A-9F1C-AE560DDAE751}"/>
            </a:ext>
          </a:extLst>
        </xdr:cNvPr>
        <xdr:cNvSpPr/>
      </xdr:nvSpPr>
      <xdr:spPr>
        <a:xfrm>
          <a:off x="5876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F8F5AFD-D46B-47C3-AAFE-6CB7A86DD76E}"/>
            </a:ext>
          </a:extLst>
        </xdr:cNvPr>
        <xdr:cNvSpPr/>
      </xdr:nvSpPr>
      <xdr:spPr>
        <a:xfrm>
          <a:off x="6400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Franklin Gothic Medium" panose="020B0603020102020204" pitchFamily="34" charset="0"/>
            </a:rPr>
            <a:t>3PT </a:t>
          </a:r>
          <a:r>
            <a:rPr lang="en-US" sz="1000">
              <a:latin typeface="Franklin Gothic Medium" panose="020B0603020102020204" pitchFamily="34" charset="0"/>
            </a:rPr>
            <a:t>MADE</a:t>
          </a:r>
          <a:endParaRPr lang="en-US" sz="11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F6A945F4-98D4-41C4-89AF-E7938C6AF3DF}"/>
            </a:ext>
          </a:extLst>
        </xdr:cNvPr>
        <xdr:cNvSpPr/>
      </xdr:nvSpPr>
      <xdr:spPr>
        <a:xfrm>
          <a:off x="69246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14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97BF9D5-E121-40E6-9432-CA407FFA1553}"/>
            </a:ext>
          </a:extLst>
        </xdr:cNvPr>
        <xdr:cNvSpPr/>
      </xdr:nvSpPr>
      <xdr:spPr>
        <a:xfrm>
          <a:off x="74485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16</xdr:col>
      <xdr:colOff>0</xdr:colOff>
      <xdr:row>3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A58655-1351-49F5-B8B7-3ADBDEB6BFCB}"/>
            </a:ext>
          </a:extLst>
        </xdr:cNvPr>
        <xdr:cNvSpPr/>
      </xdr:nvSpPr>
      <xdr:spPr>
        <a:xfrm>
          <a:off x="79724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0</xdr:colOff>
      <xdr:row>3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A880FEF-7C6C-4221-9422-AE7BE04EC769}"/>
            </a:ext>
          </a:extLst>
        </xdr:cNvPr>
        <xdr:cNvSpPr/>
      </xdr:nvSpPr>
      <xdr:spPr>
        <a:xfrm>
          <a:off x="84963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3527FD5F-2BAB-4453-81D6-0DACC14FD740}"/>
            </a:ext>
          </a:extLst>
        </xdr:cNvPr>
        <xdr:cNvSpPr/>
      </xdr:nvSpPr>
      <xdr:spPr>
        <a:xfrm>
          <a:off x="902017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3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C319F79-AC31-4675-9479-49BEE5D45B54}"/>
            </a:ext>
          </a:extLst>
        </xdr:cNvPr>
        <xdr:cNvSpPr/>
      </xdr:nvSpPr>
      <xdr:spPr>
        <a:xfrm>
          <a:off x="954405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B239828-594E-4F15-8271-AB9909C6D205}"/>
            </a:ext>
          </a:extLst>
        </xdr:cNvPr>
        <xdr:cNvSpPr/>
      </xdr:nvSpPr>
      <xdr:spPr>
        <a:xfrm>
          <a:off x="10067925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3</xdr:row>
      <xdr:rowOff>0</xdr:rowOff>
    </xdr:to>
    <xdr:sp macro="[0]!TeamsSortbyFTper" textlink="">
      <xdr:nvSpPr>
        <xdr:cNvPr id="20" name="Rectangle 19">
          <a:extLst>
            <a:ext uri="{FF2B5EF4-FFF2-40B4-BE49-F238E27FC236}">
              <a16:creationId xmlns:a16="http://schemas.microsoft.com/office/drawing/2014/main" id="{046F270F-B1D5-4F87-870A-DA3127C36A42}"/>
            </a:ext>
          </a:extLst>
        </xdr:cNvPr>
        <xdr:cNvSpPr/>
      </xdr:nvSpPr>
      <xdr:spPr>
        <a:xfrm>
          <a:off x="10591800" y="952500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EDD99C54-1EA1-4CD0-B0B7-6BD995EACA96}"/>
            </a:ext>
          </a:extLst>
        </xdr:cNvPr>
        <xdr:cNvSpPr/>
      </xdr:nvSpPr>
      <xdr:spPr>
        <a:xfrm>
          <a:off x="381000" y="952500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 editAs="oneCell">
    <xdr:from>
      <xdr:col>3</xdr:col>
      <xdr:colOff>213581</xdr:colOff>
      <xdr:row>0</xdr:row>
      <xdr:rowOff>180975</xdr:rowOff>
    </xdr:from>
    <xdr:to>
      <xdr:col>8</xdr:col>
      <xdr:colOff>285750</xdr:colOff>
      <xdr:row>2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6840B43-B395-4D8F-B7AE-04554B12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9506" y="180975"/>
          <a:ext cx="5549044" cy="7715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DE2984-BD09-41D0-8D5E-155006447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SeasonStatsSortbyGP" textlink="">
      <xdr:nvSpPr>
        <xdr:cNvPr id="3" name="Rectangle 2">
          <a:extLst>
            <a:ext uri="{FF2B5EF4-FFF2-40B4-BE49-F238E27FC236}">
              <a16:creationId xmlns:a16="http://schemas.microsoft.com/office/drawing/2014/main" id="{664CBCCF-BCFC-4819-AF99-946DB9BD107B}"/>
            </a:ext>
          </a:extLst>
        </xdr:cNvPr>
        <xdr:cNvSpPr/>
      </xdr:nvSpPr>
      <xdr:spPr>
        <a:xfrm>
          <a:off x="2933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SeasonStatsSortbyPTS" textlink="">
      <xdr:nvSpPr>
        <xdr:cNvPr id="4" name="Rectangle 3">
          <a:extLst>
            <a:ext uri="{FF2B5EF4-FFF2-40B4-BE49-F238E27FC236}">
              <a16:creationId xmlns:a16="http://schemas.microsoft.com/office/drawing/2014/main" id="{DC36624A-AD28-4766-B4FD-C8353B5DD2E4}"/>
            </a:ext>
          </a:extLst>
        </xdr:cNvPr>
        <xdr:cNvSpPr/>
      </xdr:nvSpPr>
      <xdr:spPr>
        <a:xfrm>
          <a:off x="3457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SeasonStatsSortbyREB" textlink="">
      <xdr:nvSpPr>
        <xdr:cNvPr id="5" name="Rectangle 4">
          <a:extLst>
            <a:ext uri="{FF2B5EF4-FFF2-40B4-BE49-F238E27FC236}">
              <a16:creationId xmlns:a16="http://schemas.microsoft.com/office/drawing/2014/main" id="{D2FE6215-6374-4F65-AF68-172B9AF0DD17}"/>
            </a:ext>
          </a:extLst>
        </xdr:cNvPr>
        <xdr:cNvSpPr/>
      </xdr:nvSpPr>
      <xdr:spPr>
        <a:xfrm>
          <a:off x="3981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SeasonStatsSortbyAST" textlink="">
      <xdr:nvSpPr>
        <xdr:cNvPr id="6" name="Rectangle 5">
          <a:extLst>
            <a:ext uri="{FF2B5EF4-FFF2-40B4-BE49-F238E27FC236}">
              <a16:creationId xmlns:a16="http://schemas.microsoft.com/office/drawing/2014/main" id="{790BF3AF-4EBA-4F5D-B34B-0457B29FC59F}"/>
            </a:ext>
          </a:extLst>
        </xdr:cNvPr>
        <xdr:cNvSpPr/>
      </xdr:nvSpPr>
      <xdr:spPr>
        <a:xfrm>
          <a:off x="4505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SeasonStatsSortbySTL" textlink="">
      <xdr:nvSpPr>
        <xdr:cNvPr id="7" name="Rectangle 6">
          <a:extLst>
            <a:ext uri="{FF2B5EF4-FFF2-40B4-BE49-F238E27FC236}">
              <a16:creationId xmlns:a16="http://schemas.microsoft.com/office/drawing/2014/main" id="{BBF571C5-1961-423F-A8D3-DF16895B778F}"/>
            </a:ext>
          </a:extLst>
        </xdr:cNvPr>
        <xdr:cNvSpPr/>
      </xdr:nvSpPr>
      <xdr:spPr>
        <a:xfrm>
          <a:off x="5029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SeasonStatsSortbyBLK" textlink="">
      <xdr:nvSpPr>
        <xdr:cNvPr id="8" name="Rectangle 7">
          <a:extLst>
            <a:ext uri="{FF2B5EF4-FFF2-40B4-BE49-F238E27FC236}">
              <a16:creationId xmlns:a16="http://schemas.microsoft.com/office/drawing/2014/main" id="{4618D202-8E92-4261-B601-993A1E9E7A2A}"/>
            </a:ext>
          </a:extLst>
        </xdr:cNvPr>
        <xdr:cNvSpPr/>
      </xdr:nvSpPr>
      <xdr:spPr>
        <a:xfrm>
          <a:off x="5553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SeasonStatsSortbyTO" textlink="">
      <xdr:nvSpPr>
        <xdr:cNvPr id="9" name="Rectangle 8">
          <a:extLst>
            <a:ext uri="{FF2B5EF4-FFF2-40B4-BE49-F238E27FC236}">
              <a16:creationId xmlns:a16="http://schemas.microsoft.com/office/drawing/2014/main" id="{8963B3C1-8D56-4C6A-AB6C-EC705D7860A4}"/>
            </a:ext>
          </a:extLst>
        </xdr:cNvPr>
        <xdr:cNvSpPr/>
      </xdr:nvSpPr>
      <xdr:spPr>
        <a:xfrm>
          <a:off x="6076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SeasonStatsSortbyOREB" textlink="">
      <xdr:nvSpPr>
        <xdr:cNvPr id="10" name="Rectangle 9">
          <a:extLst>
            <a:ext uri="{FF2B5EF4-FFF2-40B4-BE49-F238E27FC236}">
              <a16:creationId xmlns:a16="http://schemas.microsoft.com/office/drawing/2014/main" id="{83D2B176-7D78-4847-A22E-92A45C6F77A8}"/>
            </a:ext>
          </a:extLst>
        </xdr:cNvPr>
        <xdr:cNvSpPr/>
      </xdr:nvSpPr>
      <xdr:spPr>
        <a:xfrm>
          <a:off x="6600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SeasonStatsSortbyDREB" textlink="">
      <xdr:nvSpPr>
        <xdr:cNvPr id="11" name="Rectangle 10">
          <a:extLst>
            <a:ext uri="{FF2B5EF4-FFF2-40B4-BE49-F238E27FC236}">
              <a16:creationId xmlns:a16="http://schemas.microsoft.com/office/drawing/2014/main" id="{A9CE89AF-42A4-4CE2-B1A0-675C1F822833}"/>
            </a:ext>
          </a:extLst>
        </xdr:cNvPr>
        <xdr:cNvSpPr/>
      </xdr:nvSpPr>
      <xdr:spPr>
        <a:xfrm>
          <a:off x="7124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SeasonStatsSortby3PTMADE" textlink="">
      <xdr:nvSpPr>
        <xdr:cNvPr id="12" name="Rectangle 11">
          <a:extLst>
            <a:ext uri="{FF2B5EF4-FFF2-40B4-BE49-F238E27FC236}">
              <a16:creationId xmlns:a16="http://schemas.microsoft.com/office/drawing/2014/main" id="{8929CA4D-505F-4AD4-89F1-0E43BEF82106}"/>
            </a:ext>
          </a:extLst>
        </xdr:cNvPr>
        <xdr:cNvSpPr/>
      </xdr:nvSpPr>
      <xdr:spPr>
        <a:xfrm>
          <a:off x="7648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SeasonStatsSortby3PTATT" textlink="">
      <xdr:nvSpPr>
        <xdr:cNvPr id="13" name="Rectangle 12">
          <a:extLst>
            <a:ext uri="{FF2B5EF4-FFF2-40B4-BE49-F238E27FC236}">
              <a16:creationId xmlns:a16="http://schemas.microsoft.com/office/drawing/2014/main" id="{E1A304B4-0A50-4F96-9EEF-4FC23E48DABF}"/>
            </a:ext>
          </a:extLst>
        </xdr:cNvPr>
        <xdr:cNvSpPr/>
      </xdr:nvSpPr>
      <xdr:spPr>
        <a:xfrm>
          <a:off x="8172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SeasonStatsSortby3PTper" textlink="">
      <xdr:nvSpPr>
        <xdr:cNvPr id="14" name="Rectangle 13">
          <a:extLst>
            <a:ext uri="{FF2B5EF4-FFF2-40B4-BE49-F238E27FC236}">
              <a16:creationId xmlns:a16="http://schemas.microsoft.com/office/drawing/2014/main" id="{A2B6017C-6A44-47FD-8079-C0913996A2AF}"/>
            </a:ext>
          </a:extLst>
        </xdr:cNvPr>
        <xdr:cNvSpPr/>
      </xdr:nvSpPr>
      <xdr:spPr>
        <a:xfrm>
          <a:off x="8696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SeasonStatsSortbyFGMADE" textlink="">
      <xdr:nvSpPr>
        <xdr:cNvPr id="15" name="Rectangle 14">
          <a:extLst>
            <a:ext uri="{FF2B5EF4-FFF2-40B4-BE49-F238E27FC236}">
              <a16:creationId xmlns:a16="http://schemas.microsoft.com/office/drawing/2014/main" id="{119F6216-BED6-40F7-A2A7-C6F0072D3451}"/>
            </a:ext>
          </a:extLst>
        </xdr:cNvPr>
        <xdr:cNvSpPr/>
      </xdr:nvSpPr>
      <xdr:spPr>
        <a:xfrm>
          <a:off x="9220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SeasonStatsSortbyFGATT" textlink="">
      <xdr:nvSpPr>
        <xdr:cNvPr id="16" name="Rectangle 15">
          <a:extLst>
            <a:ext uri="{FF2B5EF4-FFF2-40B4-BE49-F238E27FC236}">
              <a16:creationId xmlns:a16="http://schemas.microsoft.com/office/drawing/2014/main" id="{7B853E34-9ABF-4D61-854E-F30F452730AB}"/>
            </a:ext>
          </a:extLst>
        </xdr:cNvPr>
        <xdr:cNvSpPr/>
      </xdr:nvSpPr>
      <xdr:spPr>
        <a:xfrm>
          <a:off x="9744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SeasonStatsSortbyFGper" textlink="">
      <xdr:nvSpPr>
        <xdr:cNvPr id="17" name="Rectangle 16">
          <a:extLst>
            <a:ext uri="{FF2B5EF4-FFF2-40B4-BE49-F238E27FC236}">
              <a16:creationId xmlns:a16="http://schemas.microsoft.com/office/drawing/2014/main" id="{5412AC30-0414-449E-8196-7BFAD6C54AEE}"/>
            </a:ext>
          </a:extLst>
        </xdr:cNvPr>
        <xdr:cNvSpPr/>
      </xdr:nvSpPr>
      <xdr:spPr>
        <a:xfrm>
          <a:off x="10267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SeasonStatsSortbyFTMADE" textlink="">
      <xdr:nvSpPr>
        <xdr:cNvPr id="18" name="Rectangle 17">
          <a:extLst>
            <a:ext uri="{FF2B5EF4-FFF2-40B4-BE49-F238E27FC236}">
              <a16:creationId xmlns:a16="http://schemas.microsoft.com/office/drawing/2014/main" id="{545945C0-0529-4847-B393-E121F05DCE05}"/>
            </a:ext>
          </a:extLst>
        </xdr:cNvPr>
        <xdr:cNvSpPr/>
      </xdr:nvSpPr>
      <xdr:spPr>
        <a:xfrm>
          <a:off x="10791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SeasonStatsSortbyFTATT" textlink="">
      <xdr:nvSpPr>
        <xdr:cNvPr id="19" name="Rectangle 18">
          <a:extLst>
            <a:ext uri="{FF2B5EF4-FFF2-40B4-BE49-F238E27FC236}">
              <a16:creationId xmlns:a16="http://schemas.microsoft.com/office/drawing/2014/main" id="{82ACD20D-29C5-43BD-B953-169C90A553EC}"/>
            </a:ext>
          </a:extLst>
        </xdr:cNvPr>
        <xdr:cNvSpPr/>
      </xdr:nvSpPr>
      <xdr:spPr>
        <a:xfrm>
          <a:off x="11315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SeasonStatsSortbyFTper" textlink="">
      <xdr:nvSpPr>
        <xdr:cNvPr id="20" name="Rectangle 19">
          <a:extLst>
            <a:ext uri="{FF2B5EF4-FFF2-40B4-BE49-F238E27FC236}">
              <a16:creationId xmlns:a16="http://schemas.microsoft.com/office/drawing/2014/main" id="{5F930466-0361-4FBA-850B-CEEECAEE1DF2}"/>
            </a:ext>
          </a:extLst>
        </xdr:cNvPr>
        <xdr:cNvSpPr/>
      </xdr:nvSpPr>
      <xdr:spPr>
        <a:xfrm>
          <a:off x="11839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SeasonStatsSortbyTeam" textlink="">
      <xdr:nvSpPr>
        <xdr:cNvPr id="21" name="Rectangle 20">
          <a:extLst>
            <a:ext uri="{FF2B5EF4-FFF2-40B4-BE49-F238E27FC236}">
              <a16:creationId xmlns:a16="http://schemas.microsoft.com/office/drawing/2014/main" id="{50640B22-B67C-4143-9998-32A668419C50}"/>
            </a:ext>
          </a:extLst>
        </xdr:cNvPr>
        <xdr:cNvSpPr/>
      </xdr:nvSpPr>
      <xdr:spPr>
        <a:xfrm>
          <a:off x="1638300" y="942975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SeasonStatsSortbyName" textlink="">
      <xdr:nvSpPr>
        <xdr:cNvPr id="22" name="Rectangle 21">
          <a:extLst>
            <a:ext uri="{FF2B5EF4-FFF2-40B4-BE49-F238E27FC236}">
              <a16:creationId xmlns:a16="http://schemas.microsoft.com/office/drawing/2014/main" id="{2299C96B-5BF6-47D0-AABD-DD798BA9FA95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361950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81F8A1E3-8A94-46C7-9DD2-D046C9865A1E}"/>
            </a:ext>
          </a:extLst>
        </xdr:cNvPr>
        <xdr:cNvSpPr/>
      </xdr:nvSpPr>
      <xdr:spPr>
        <a:xfrm>
          <a:off x="1628775" y="0"/>
          <a:ext cx="1304925" cy="36195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0</xdr:row>
      <xdr:rowOff>733424</xdr:rowOff>
    </xdr:from>
    <xdr:to>
      <xdr:col>4</xdr:col>
      <xdr:colOff>0</xdr:colOff>
      <xdr:row>1</xdr:row>
      <xdr:rowOff>190499</xdr:rowOff>
    </xdr:to>
    <xdr:sp macro="[0]!UpdateSeasonStatsPlayers" textlink="">
      <xdr:nvSpPr>
        <xdr:cNvPr id="23" name="Rectangle 22">
          <a:extLst>
            <a:ext uri="{FF2B5EF4-FFF2-40B4-BE49-F238E27FC236}">
              <a16:creationId xmlns:a16="http://schemas.microsoft.com/office/drawing/2014/main" id="{7A8ABC3B-AC39-4B0B-BC2C-D92BE034259E}"/>
            </a:ext>
          </a:extLst>
        </xdr:cNvPr>
        <xdr:cNvSpPr/>
      </xdr:nvSpPr>
      <xdr:spPr>
        <a:xfrm>
          <a:off x="1628775" y="733424"/>
          <a:ext cx="1304925" cy="219075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Update Season Players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IndividualsSortbyGP" textlink="">
      <xdr:nvSpPr>
        <xdr:cNvPr id="3" name="Rectangle 2">
          <a:extLst>
            <a:ext uri="{FF2B5EF4-FFF2-40B4-BE49-F238E27FC236}">
              <a16:creationId xmlns:a16="http://schemas.microsoft.com/office/drawing/2014/main" id="{23443F72-17FB-428D-BC22-8B4C12BA0381}"/>
            </a:ext>
          </a:extLst>
        </xdr:cNvPr>
        <xdr:cNvSpPr/>
      </xdr:nvSpPr>
      <xdr:spPr>
        <a:xfrm>
          <a:off x="2933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IndividualsSortbyPTS" textlink="">
      <xdr:nvSpPr>
        <xdr:cNvPr id="4" name="Rectangle 3">
          <a:extLst>
            <a:ext uri="{FF2B5EF4-FFF2-40B4-BE49-F238E27FC236}">
              <a16:creationId xmlns:a16="http://schemas.microsoft.com/office/drawing/2014/main" id="{94C18241-8562-49A9-B961-2E122210C698}"/>
            </a:ext>
          </a:extLst>
        </xdr:cNvPr>
        <xdr:cNvSpPr/>
      </xdr:nvSpPr>
      <xdr:spPr>
        <a:xfrm>
          <a:off x="3457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IndividualsSortbyREB" textlink="">
      <xdr:nvSpPr>
        <xdr:cNvPr id="5" name="Rectangle 4">
          <a:extLst>
            <a:ext uri="{FF2B5EF4-FFF2-40B4-BE49-F238E27FC236}">
              <a16:creationId xmlns:a16="http://schemas.microsoft.com/office/drawing/2014/main" id="{1ABE9A8E-A3C0-4A67-BA77-6447914C29DD}"/>
            </a:ext>
          </a:extLst>
        </xdr:cNvPr>
        <xdr:cNvSpPr/>
      </xdr:nvSpPr>
      <xdr:spPr>
        <a:xfrm>
          <a:off x="3981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IndividualsSortbyAST" textlink="">
      <xdr:nvSpPr>
        <xdr:cNvPr id="6" name="Rectangle 5">
          <a:extLst>
            <a:ext uri="{FF2B5EF4-FFF2-40B4-BE49-F238E27FC236}">
              <a16:creationId xmlns:a16="http://schemas.microsoft.com/office/drawing/2014/main" id="{16BA7A60-2D84-48D7-9878-3294B7141BF5}"/>
            </a:ext>
          </a:extLst>
        </xdr:cNvPr>
        <xdr:cNvSpPr/>
      </xdr:nvSpPr>
      <xdr:spPr>
        <a:xfrm>
          <a:off x="4505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IndividualsSortbySTL" textlink="">
      <xdr:nvSpPr>
        <xdr:cNvPr id="7" name="Rectangle 6">
          <a:extLst>
            <a:ext uri="{FF2B5EF4-FFF2-40B4-BE49-F238E27FC236}">
              <a16:creationId xmlns:a16="http://schemas.microsoft.com/office/drawing/2014/main" id="{201702CE-6E7B-4E04-B595-D48F761E8BFF}"/>
            </a:ext>
          </a:extLst>
        </xdr:cNvPr>
        <xdr:cNvSpPr/>
      </xdr:nvSpPr>
      <xdr:spPr>
        <a:xfrm>
          <a:off x="5029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IndividualsSortbyBLK" textlink="">
      <xdr:nvSpPr>
        <xdr:cNvPr id="8" name="Rectangle 7">
          <a:extLst>
            <a:ext uri="{FF2B5EF4-FFF2-40B4-BE49-F238E27FC236}">
              <a16:creationId xmlns:a16="http://schemas.microsoft.com/office/drawing/2014/main" id="{391B674B-C48A-4CBE-8D69-5D7B3DC361CD}"/>
            </a:ext>
          </a:extLst>
        </xdr:cNvPr>
        <xdr:cNvSpPr/>
      </xdr:nvSpPr>
      <xdr:spPr>
        <a:xfrm>
          <a:off x="5553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IndividualsSortbyTO" textlink="">
      <xdr:nvSpPr>
        <xdr:cNvPr id="9" name="Rectangle 8">
          <a:extLst>
            <a:ext uri="{FF2B5EF4-FFF2-40B4-BE49-F238E27FC236}">
              <a16:creationId xmlns:a16="http://schemas.microsoft.com/office/drawing/2014/main" id="{1A62A580-5DE0-43E3-828C-BF7F6B051A11}"/>
            </a:ext>
          </a:extLst>
        </xdr:cNvPr>
        <xdr:cNvSpPr/>
      </xdr:nvSpPr>
      <xdr:spPr>
        <a:xfrm>
          <a:off x="6076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IndividualsSortbyOREB" textlink="">
      <xdr:nvSpPr>
        <xdr:cNvPr id="10" name="Rectangle 9">
          <a:extLst>
            <a:ext uri="{FF2B5EF4-FFF2-40B4-BE49-F238E27FC236}">
              <a16:creationId xmlns:a16="http://schemas.microsoft.com/office/drawing/2014/main" id="{2E6E9F2C-F9C9-4355-96EE-8527A6B16D8F}"/>
            </a:ext>
          </a:extLst>
        </xdr:cNvPr>
        <xdr:cNvSpPr/>
      </xdr:nvSpPr>
      <xdr:spPr>
        <a:xfrm>
          <a:off x="6600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IndividualsSortbyDREB" textlink="">
      <xdr:nvSpPr>
        <xdr:cNvPr id="11" name="Rectangle 10">
          <a:extLst>
            <a:ext uri="{FF2B5EF4-FFF2-40B4-BE49-F238E27FC236}">
              <a16:creationId xmlns:a16="http://schemas.microsoft.com/office/drawing/2014/main" id="{F540A88A-D613-4E62-B540-27A658EED3D6}"/>
            </a:ext>
          </a:extLst>
        </xdr:cNvPr>
        <xdr:cNvSpPr/>
      </xdr:nvSpPr>
      <xdr:spPr>
        <a:xfrm>
          <a:off x="7124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IndividualsSortby3PTMADE" textlink="">
      <xdr:nvSpPr>
        <xdr:cNvPr id="12" name="Rectangle 11">
          <a:extLst>
            <a:ext uri="{FF2B5EF4-FFF2-40B4-BE49-F238E27FC236}">
              <a16:creationId xmlns:a16="http://schemas.microsoft.com/office/drawing/2014/main" id="{5D9683EA-953E-4A0C-A022-24E9BABD2417}"/>
            </a:ext>
          </a:extLst>
        </xdr:cNvPr>
        <xdr:cNvSpPr/>
      </xdr:nvSpPr>
      <xdr:spPr>
        <a:xfrm>
          <a:off x="7648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IndividualsSortby3PTATT" textlink="">
      <xdr:nvSpPr>
        <xdr:cNvPr id="13" name="Rectangle 12">
          <a:extLst>
            <a:ext uri="{FF2B5EF4-FFF2-40B4-BE49-F238E27FC236}">
              <a16:creationId xmlns:a16="http://schemas.microsoft.com/office/drawing/2014/main" id="{40532916-87C7-4321-B7BB-C89542FFAB25}"/>
            </a:ext>
          </a:extLst>
        </xdr:cNvPr>
        <xdr:cNvSpPr/>
      </xdr:nvSpPr>
      <xdr:spPr>
        <a:xfrm>
          <a:off x="8172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IndividualsSortby3PTper" textlink="">
      <xdr:nvSpPr>
        <xdr:cNvPr id="14" name="Rectangle 13">
          <a:extLst>
            <a:ext uri="{FF2B5EF4-FFF2-40B4-BE49-F238E27FC236}">
              <a16:creationId xmlns:a16="http://schemas.microsoft.com/office/drawing/2014/main" id="{68642429-EDD0-4AE1-92E3-FD09C2956C35}"/>
            </a:ext>
          </a:extLst>
        </xdr:cNvPr>
        <xdr:cNvSpPr/>
      </xdr:nvSpPr>
      <xdr:spPr>
        <a:xfrm>
          <a:off x="8696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IndividualsSortbyFGMADE" textlink="">
      <xdr:nvSpPr>
        <xdr:cNvPr id="15" name="Rectangle 14">
          <a:extLst>
            <a:ext uri="{FF2B5EF4-FFF2-40B4-BE49-F238E27FC236}">
              <a16:creationId xmlns:a16="http://schemas.microsoft.com/office/drawing/2014/main" id="{5CC2ABFC-88AA-4EEF-AEBC-CFA9BD1CA5BF}"/>
            </a:ext>
          </a:extLst>
        </xdr:cNvPr>
        <xdr:cNvSpPr/>
      </xdr:nvSpPr>
      <xdr:spPr>
        <a:xfrm>
          <a:off x="9220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IndividualsSortbyFGATT" textlink="">
      <xdr:nvSpPr>
        <xdr:cNvPr id="16" name="Rectangle 15">
          <a:extLst>
            <a:ext uri="{FF2B5EF4-FFF2-40B4-BE49-F238E27FC236}">
              <a16:creationId xmlns:a16="http://schemas.microsoft.com/office/drawing/2014/main" id="{41462D1E-DFAF-4350-A8DE-4E2953C7034A}"/>
            </a:ext>
          </a:extLst>
        </xdr:cNvPr>
        <xdr:cNvSpPr/>
      </xdr:nvSpPr>
      <xdr:spPr>
        <a:xfrm>
          <a:off x="9744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IndividualsSortbyFGper" textlink="">
      <xdr:nvSpPr>
        <xdr:cNvPr id="17" name="Rectangle 16">
          <a:extLst>
            <a:ext uri="{FF2B5EF4-FFF2-40B4-BE49-F238E27FC236}">
              <a16:creationId xmlns:a16="http://schemas.microsoft.com/office/drawing/2014/main" id="{6C65D38C-32CF-4916-AE69-F832E8AEAE5B}"/>
            </a:ext>
          </a:extLst>
        </xdr:cNvPr>
        <xdr:cNvSpPr/>
      </xdr:nvSpPr>
      <xdr:spPr>
        <a:xfrm>
          <a:off x="10267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IndividualsSortbyFTMADE" textlink="">
      <xdr:nvSpPr>
        <xdr:cNvPr id="18" name="Rectangle 17">
          <a:extLst>
            <a:ext uri="{FF2B5EF4-FFF2-40B4-BE49-F238E27FC236}">
              <a16:creationId xmlns:a16="http://schemas.microsoft.com/office/drawing/2014/main" id="{405A9A2B-9ADA-4EEB-95E1-B07BECEF1D3B}"/>
            </a:ext>
          </a:extLst>
        </xdr:cNvPr>
        <xdr:cNvSpPr/>
      </xdr:nvSpPr>
      <xdr:spPr>
        <a:xfrm>
          <a:off x="10791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IndividualsSortbyFTATT" textlink="">
      <xdr:nvSpPr>
        <xdr:cNvPr id="19" name="Rectangle 18">
          <a:extLst>
            <a:ext uri="{FF2B5EF4-FFF2-40B4-BE49-F238E27FC236}">
              <a16:creationId xmlns:a16="http://schemas.microsoft.com/office/drawing/2014/main" id="{C09EA0F7-A685-4685-B45B-873EB814A2BF}"/>
            </a:ext>
          </a:extLst>
        </xdr:cNvPr>
        <xdr:cNvSpPr/>
      </xdr:nvSpPr>
      <xdr:spPr>
        <a:xfrm>
          <a:off x="11315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IndividualsSortbyFTper" textlink="">
      <xdr:nvSpPr>
        <xdr:cNvPr id="20" name="Rectangle 19">
          <a:extLst>
            <a:ext uri="{FF2B5EF4-FFF2-40B4-BE49-F238E27FC236}">
              <a16:creationId xmlns:a16="http://schemas.microsoft.com/office/drawing/2014/main" id="{4DCD9EED-3F9A-470B-A678-D002922F420D}"/>
            </a:ext>
          </a:extLst>
        </xdr:cNvPr>
        <xdr:cNvSpPr/>
      </xdr:nvSpPr>
      <xdr:spPr>
        <a:xfrm>
          <a:off x="11839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IndividualsSortbyTeam" textlink="">
      <xdr:nvSpPr>
        <xdr:cNvPr id="21" name="Rectangle 20">
          <a:extLst>
            <a:ext uri="{FF2B5EF4-FFF2-40B4-BE49-F238E27FC236}">
              <a16:creationId xmlns:a16="http://schemas.microsoft.com/office/drawing/2014/main" id="{E0D017E4-9FA2-4E87-A973-4339D94C99FC}"/>
            </a:ext>
          </a:extLst>
        </xdr:cNvPr>
        <xdr:cNvSpPr/>
      </xdr:nvSpPr>
      <xdr:spPr>
        <a:xfrm>
          <a:off x="1638300" y="942975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IndividualsSortbyName" textlink="">
      <xdr:nvSpPr>
        <xdr:cNvPr id="22" name="Rectangle 21">
          <a:extLst>
            <a:ext uri="{FF2B5EF4-FFF2-40B4-BE49-F238E27FC236}">
              <a16:creationId xmlns:a16="http://schemas.microsoft.com/office/drawing/2014/main" id="{6D3F75C8-1EA5-4298-A5D5-7CA81180D47F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B2CA103-C003-4F14-A3D3-0BC43BA7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0AECA5-2F1F-46BD-B236-05C658B96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281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CareerRecordsSortbyGP" textlink="">
      <xdr:nvSpPr>
        <xdr:cNvPr id="3" name="Rectangle 2">
          <a:extLst>
            <a:ext uri="{FF2B5EF4-FFF2-40B4-BE49-F238E27FC236}">
              <a16:creationId xmlns:a16="http://schemas.microsoft.com/office/drawing/2014/main" id="{3CC64009-9AE0-400F-8EF5-85E1A0896E54}"/>
            </a:ext>
          </a:extLst>
        </xdr:cNvPr>
        <xdr:cNvSpPr/>
      </xdr:nvSpPr>
      <xdr:spPr>
        <a:xfrm>
          <a:off x="2933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CareerRecordsSortbyPTS" textlink="">
      <xdr:nvSpPr>
        <xdr:cNvPr id="4" name="Rectangle 3">
          <a:extLst>
            <a:ext uri="{FF2B5EF4-FFF2-40B4-BE49-F238E27FC236}">
              <a16:creationId xmlns:a16="http://schemas.microsoft.com/office/drawing/2014/main" id="{98C9C0C6-164C-492F-AB84-D42E7EF76827}"/>
            </a:ext>
          </a:extLst>
        </xdr:cNvPr>
        <xdr:cNvSpPr/>
      </xdr:nvSpPr>
      <xdr:spPr>
        <a:xfrm>
          <a:off x="3457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CareerRecordsSortbyREB" textlink="">
      <xdr:nvSpPr>
        <xdr:cNvPr id="5" name="Rectangle 4">
          <a:extLst>
            <a:ext uri="{FF2B5EF4-FFF2-40B4-BE49-F238E27FC236}">
              <a16:creationId xmlns:a16="http://schemas.microsoft.com/office/drawing/2014/main" id="{B767D869-3E5B-4FBD-B241-2A6AB51A7CDB}"/>
            </a:ext>
          </a:extLst>
        </xdr:cNvPr>
        <xdr:cNvSpPr/>
      </xdr:nvSpPr>
      <xdr:spPr>
        <a:xfrm>
          <a:off x="3981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CareerRecordsSortbyAST" textlink="">
      <xdr:nvSpPr>
        <xdr:cNvPr id="6" name="Rectangle 5">
          <a:extLst>
            <a:ext uri="{FF2B5EF4-FFF2-40B4-BE49-F238E27FC236}">
              <a16:creationId xmlns:a16="http://schemas.microsoft.com/office/drawing/2014/main" id="{382BEF07-3F75-4992-AF98-7C891EE6A630}"/>
            </a:ext>
          </a:extLst>
        </xdr:cNvPr>
        <xdr:cNvSpPr/>
      </xdr:nvSpPr>
      <xdr:spPr>
        <a:xfrm>
          <a:off x="4505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CareerRecordsSortbySTL" textlink="">
      <xdr:nvSpPr>
        <xdr:cNvPr id="7" name="Rectangle 6">
          <a:extLst>
            <a:ext uri="{FF2B5EF4-FFF2-40B4-BE49-F238E27FC236}">
              <a16:creationId xmlns:a16="http://schemas.microsoft.com/office/drawing/2014/main" id="{D63641CE-9398-45CB-851B-D91669796C08}"/>
            </a:ext>
          </a:extLst>
        </xdr:cNvPr>
        <xdr:cNvSpPr/>
      </xdr:nvSpPr>
      <xdr:spPr>
        <a:xfrm>
          <a:off x="5029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CareerRecordsSortbyBLK" textlink="">
      <xdr:nvSpPr>
        <xdr:cNvPr id="8" name="Rectangle 7">
          <a:extLst>
            <a:ext uri="{FF2B5EF4-FFF2-40B4-BE49-F238E27FC236}">
              <a16:creationId xmlns:a16="http://schemas.microsoft.com/office/drawing/2014/main" id="{784CBBE9-DB9F-4139-A9F3-96297DE68866}"/>
            </a:ext>
          </a:extLst>
        </xdr:cNvPr>
        <xdr:cNvSpPr/>
      </xdr:nvSpPr>
      <xdr:spPr>
        <a:xfrm>
          <a:off x="5553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CareerRecordsSortbyTO" textlink="">
      <xdr:nvSpPr>
        <xdr:cNvPr id="9" name="Rectangle 8">
          <a:extLst>
            <a:ext uri="{FF2B5EF4-FFF2-40B4-BE49-F238E27FC236}">
              <a16:creationId xmlns:a16="http://schemas.microsoft.com/office/drawing/2014/main" id="{7F7E5ABC-C967-465E-A932-3CB14232A7B2}"/>
            </a:ext>
          </a:extLst>
        </xdr:cNvPr>
        <xdr:cNvSpPr/>
      </xdr:nvSpPr>
      <xdr:spPr>
        <a:xfrm>
          <a:off x="6076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CareerRecordsSortbyOREB" textlink="">
      <xdr:nvSpPr>
        <xdr:cNvPr id="10" name="Rectangle 9">
          <a:extLst>
            <a:ext uri="{FF2B5EF4-FFF2-40B4-BE49-F238E27FC236}">
              <a16:creationId xmlns:a16="http://schemas.microsoft.com/office/drawing/2014/main" id="{FB8CAE8B-46D3-49CE-9958-D1DBE0F94920}"/>
            </a:ext>
          </a:extLst>
        </xdr:cNvPr>
        <xdr:cNvSpPr/>
      </xdr:nvSpPr>
      <xdr:spPr>
        <a:xfrm>
          <a:off x="6600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CareerRecordsSortbyDREB" textlink="">
      <xdr:nvSpPr>
        <xdr:cNvPr id="11" name="Rectangle 10">
          <a:extLst>
            <a:ext uri="{FF2B5EF4-FFF2-40B4-BE49-F238E27FC236}">
              <a16:creationId xmlns:a16="http://schemas.microsoft.com/office/drawing/2014/main" id="{26596CD7-9D70-4918-8475-5B721BF5DEDC}"/>
            </a:ext>
          </a:extLst>
        </xdr:cNvPr>
        <xdr:cNvSpPr/>
      </xdr:nvSpPr>
      <xdr:spPr>
        <a:xfrm>
          <a:off x="7124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CareerRecordsSortby3PTMADE" textlink="">
      <xdr:nvSpPr>
        <xdr:cNvPr id="12" name="Rectangle 11">
          <a:extLst>
            <a:ext uri="{FF2B5EF4-FFF2-40B4-BE49-F238E27FC236}">
              <a16:creationId xmlns:a16="http://schemas.microsoft.com/office/drawing/2014/main" id="{B81221D4-25AE-408A-8DF8-C2565B60CB11}"/>
            </a:ext>
          </a:extLst>
        </xdr:cNvPr>
        <xdr:cNvSpPr/>
      </xdr:nvSpPr>
      <xdr:spPr>
        <a:xfrm>
          <a:off x="7648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CareerRecordsSortby3PTATT" textlink="">
      <xdr:nvSpPr>
        <xdr:cNvPr id="13" name="Rectangle 12">
          <a:extLst>
            <a:ext uri="{FF2B5EF4-FFF2-40B4-BE49-F238E27FC236}">
              <a16:creationId xmlns:a16="http://schemas.microsoft.com/office/drawing/2014/main" id="{58FCF9D6-6797-4D7D-8011-C1FD41F2FC54}"/>
            </a:ext>
          </a:extLst>
        </xdr:cNvPr>
        <xdr:cNvSpPr/>
      </xdr:nvSpPr>
      <xdr:spPr>
        <a:xfrm>
          <a:off x="81724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CareerRecordsSortby3PTper" textlink="">
      <xdr:nvSpPr>
        <xdr:cNvPr id="14" name="Rectangle 13">
          <a:extLst>
            <a:ext uri="{FF2B5EF4-FFF2-40B4-BE49-F238E27FC236}">
              <a16:creationId xmlns:a16="http://schemas.microsoft.com/office/drawing/2014/main" id="{3CC73701-4C11-40D3-AE87-EBAE1DEAA75B}"/>
            </a:ext>
          </a:extLst>
        </xdr:cNvPr>
        <xdr:cNvSpPr/>
      </xdr:nvSpPr>
      <xdr:spPr>
        <a:xfrm>
          <a:off x="86963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CareerRecordsSortbyFGMADE" textlink="">
      <xdr:nvSpPr>
        <xdr:cNvPr id="15" name="Rectangle 14">
          <a:extLst>
            <a:ext uri="{FF2B5EF4-FFF2-40B4-BE49-F238E27FC236}">
              <a16:creationId xmlns:a16="http://schemas.microsoft.com/office/drawing/2014/main" id="{B8431795-DCB6-436D-AC72-5D81DE101658}"/>
            </a:ext>
          </a:extLst>
        </xdr:cNvPr>
        <xdr:cNvSpPr/>
      </xdr:nvSpPr>
      <xdr:spPr>
        <a:xfrm>
          <a:off x="92202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CareerRecordsSortbyFGATT" textlink="">
      <xdr:nvSpPr>
        <xdr:cNvPr id="16" name="Rectangle 15">
          <a:extLst>
            <a:ext uri="{FF2B5EF4-FFF2-40B4-BE49-F238E27FC236}">
              <a16:creationId xmlns:a16="http://schemas.microsoft.com/office/drawing/2014/main" id="{613731EC-21F1-4DAB-85F7-07045F494530}"/>
            </a:ext>
          </a:extLst>
        </xdr:cNvPr>
        <xdr:cNvSpPr/>
      </xdr:nvSpPr>
      <xdr:spPr>
        <a:xfrm>
          <a:off x="97440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CareerRecordsSortbyFGper" textlink="">
      <xdr:nvSpPr>
        <xdr:cNvPr id="17" name="Rectangle 16">
          <a:extLst>
            <a:ext uri="{FF2B5EF4-FFF2-40B4-BE49-F238E27FC236}">
              <a16:creationId xmlns:a16="http://schemas.microsoft.com/office/drawing/2014/main" id="{7524E176-CE4D-4642-A225-AFA7B9E242A4}"/>
            </a:ext>
          </a:extLst>
        </xdr:cNvPr>
        <xdr:cNvSpPr/>
      </xdr:nvSpPr>
      <xdr:spPr>
        <a:xfrm>
          <a:off x="102679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CareerRecordsSortbyFTMADE" textlink="">
      <xdr:nvSpPr>
        <xdr:cNvPr id="18" name="Rectangle 17">
          <a:extLst>
            <a:ext uri="{FF2B5EF4-FFF2-40B4-BE49-F238E27FC236}">
              <a16:creationId xmlns:a16="http://schemas.microsoft.com/office/drawing/2014/main" id="{CBD6136C-A361-485B-B498-F362CEC51A80}"/>
            </a:ext>
          </a:extLst>
        </xdr:cNvPr>
        <xdr:cNvSpPr/>
      </xdr:nvSpPr>
      <xdr:spPr>
        <a:xfrm>
          <a:off x="107918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CareerRecordsSortbyFTATT" textlink="">
      <xdr:nvSpPr>
        <xdr:cNvPr id="19" name="Rectangle 18">
          <a:extLst>
            <a:ext uri="{FF2B5EF4-FFF2-40B4-BE49-F238E27FC236}">
              <a16:creationId xmlns:a16="http://schemas.microsoft.com/office/drawing/2014/main" id="{82D0864C-5A6A-4125-BDA6-257A4974DBD1}"/>
            </a:ext>
          </a:extLst>
        </xdr:cNvPr>
        <xdr:cNvSpPr/>
      </xdr:nvSpPr>
      <xdr:spPr>
        <a:xfrm>
          <a:off x="113157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CareerRecordsSortbyFTper" textlink="">
      <xdr:nvSpPr>
        <xdr:cNvPr id="20" name="Rectangle 19">
          <a:extLst>
            <a:ext uri="{FF2B5EF4-FFF2-40B4-BE49-F238E27FC236}">
              <a16:creationId xmlns:a16="http://schemas.microsoft.com/office/drawing/2014/main" id="{00615E92-3FE2-4FF0-AC21-51B808C3903D}"/>
            </a:ext>
          </a:extLst>
        </xdr:cNvPr>
        <xdr:cNvSpPr/>
      </xdr:nvSpPr>
      <xdr:spPr>
        <a:xfrm>
          <a:off x="118395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CareerRecordsSortbyTeam" textlink="">
      <xdr:nvSpPr>
        <xdr:cNvPr id="21" name="Rectangle 20">
          <a:extLst>
            <a:ext uri="{FF2B5EF4-FFF2-40B4-BE49-F238E27FC236}">
              <a16:creationId xmlns:a16="http://schemas.microsoft.com/office/drawing/2014/main" id="{9B0F6739-4A42-40E9-AC77-E650BBC66DAE}"/>
            </a:ext>
          </a:extLst>
        </xdr:cNvPr>
        <xdr:cNvSpPr/>
      </xdr:nvSpPr>
      <xdr:spPr>
        <a:xfrm>
          <a:off x="1638300" y="942975"/>
          <a:ext cx="13049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CareerRecordsSortbyName" textlink="">
      <xdr:nvSpPr>
        <xdr:cNvPr id="22" name="Rectangle 21">
          <a:extLst>
            <a:ext uri="{FF2B5EF4-FFF2-40B4-BE49-F238E27FC236}">
              <a16:creationId xmlns:a16="http://schemas.microsoft.com/office/drawing/2014/main" id="{6708FF70-3596-48D6-992C-B374E8BB2793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213581</xdr:colOff>
      <xdr:row>0</xdr:row>
      <xdr:rowOff>180975</xdr:rowOff>
    </xdr:from>
    <xdr:to>
      <xdr:col>15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A7B861-CAE4-49AA-9494-544D5AFDB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756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180975</xdr:rowOff>
    </xdr:from>
    <xdr:to>
      <xdr:col>5</xdr:col>
      <xdr:colOff>0</xdr:colOff>
      <xdr:row>2</xdr:row>
      <xdr:rowOff>400050</xdr:rowOff>
    </xdr:to>
    <xdr:sp macro="[0]!CareerPerGameSortbyGP" textlink="">
      <xdr:nvSpPr>
        <xdr:cNvPr id="3" name="Rectangle 2">
          <a:extLst>
            <a:ext uri="{FF2B5EF4-FFF2-40B4-BE49-F238E27FC236}">
              <a16:creationId xmlns:a16="http://schemas.microsoft.com/office/drawing/2014/main" id="{9935B0FF-67D0-4D7B-B3DC-D25DF42FBE34}"/>
            </a:ext>
          </a:extLst>
        </xdr:cNvPr>
        <xdr:cNvSpPr/>
      </xdr:nvSpPr>
      <xdr:spPr>
        <a:xfrm>
          <a:off x="29241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[0]!CareerPerGameSortbyPTS" textlink="">
      <xdr:nvSpPr>
        <xdr:cNvPr id="4" name="Rectangle 3">
          <a:extLst>
            <a:ext uri="{FF2B5EF4-FFF2-40B4-BE49-F238E27FC236}">
              <a16:creationId xmlns:a16="http://schemas.microsoft.com/office/drawing/2014/main" id="{02F494D6-62DE-4F85-983A-98D7374FF6EA}"/>
            </a:ext>
          </a:extLst>
        </xdr:cNvPr>
        <xdr:cNvSpPr/>
      </xdr:nvSpPr>
      <xdr:spPr>
        <a:xfrm>
          <a:off x="34480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[0]!CareerPerGameSortbyREB" textlink="">
      <xdr:nvSpPr>
        <xdr:cNvPr id="5" name="Rectangle 4">
          <a:extLst>
            <a:ext uri="{FF2B5EF4-FFF2-40B4-BE49-F238E27FC236}">
              <a16:creationId xmlns:a16="http://schemas.microsoft.com/office/drawing/2014/main" id="{38FC0DA4-F44D-4A5A-B057-F0D5FBD57701}"/>
            </a:ext>
          </a:extLst>
        </xdr:cNvPr>
        <xdr:cNvSpPr/>
      </xdr:nvSpPr>
      <xdr:spPr>
        <a:xfrm>
          <a:off x="39719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[0]!CareerPerGameSortbyAST" textlink="">
      <xdr:nvSpPr>
        <xdr:cNvPr id="6" name="Rectangle 5">
          <a:extLst>
            <a:ext uri="{FF2B5EF4-FFF2-40B4-BE49-F238E27FC236}">
              <a16:creationId xmlns:a16="http://schemas.microsoft.com/office/drawing/2014/main" id="{17610739-1C85-42C1-A669-6B2625A12B5E}"/>
            </a:ext>
          </a:extLst>
        </xdr:cNvPr>
        <xdr:cNvSpPr/>
      </xdr:nvSpPr>
      <xdr:spPr>
        <a:xfrm>
          <a:off x="44958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[0]!CareerPerGameSortbySTL" textlink="">
      <xdr:nvSpPr>
        <xdr:cNvPr id="7" name="Rectangle 6">
          <a:extLst>
            <a:ext uri="{FF2B5EF4-FFF2-40B4-BE49-F238E27FC236}">
              <a16:creationId xmlns:a16="http://schemas.microsoft.com/office/drawing/2014/main" id="{521BF27D-B539-4634-B326-3B3F50B483D9}"/>
            </a:ext>
          </a:extLst>
        </xdr:cNvPr>
        <xdr:cNvSpPr/>
      </xdr:nvSpPr>
      <xdr:spPr>
        <a:xfrm>
          <a:off x="50196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[0]!CareerPerGameSortbyBLK" textlink="">
      <xdr:nvSpPr>
        <xdr:cNvPr id="8" name="Rectangle 7">
          <a:extLst>
            <a:ext uri="{FF2B5EF4-FFF2-40B4-BE49-F238E27FC236}">
              <a16:creationId xmlns:a16="http://schemas.microsoft.com/office/drawing/2014/main" id="{66B313C5-39B6-463D-BFC9-C84BD6DF01C6}"/>
            </a:ext>
          </a:extLst>
        </xdr:cNvPr>
        <xdr:cNvSpPr/>
      </xdr:nvSpPr>
      <xdr:spPr>
        <a:xfrm>
          <a:off x="55435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[0]!CareerPerGameSortbyTO" textlink="">
      <xdr:nvSpPr>
        <xdr:cNvPr id="9" name="Rectangle 8">
          <a:extLst>
            <a:ext uri="{FF2B5EF4-FFF2-40B4-BE49-F238E27FC236}">
              <a16:creationId xmlns:a16="http://schemas.microsoft.com/office/drawing/2014/main" id="{AAB22C36-DB97-4963-B89D-E977C78D9601}"/>
            </a:ext>
          </a:extLst>
        </xdr:cNvPr>
        <xdr:cNvSpPr/>
      </xdr:nvSpPr>
      <xdr:spPr>
        <a:xfrm>
          <a:off x="60674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[0]!CareerPerGameSortbyOREB" textlink="">
      <xdr:nvSpPr>
        <xdr:cNvPr id="10" name="Rectangle 9">
          <a:extLst>
            <a:ext uri="{FF2B5EF4-FFF2-40B4-BE49-F238E27FC236}">
              <a16:creationId xmlns:a16="http://schemas.microsoft.com/office/drawing/2014/main" id="{BE5B4830-1A40-421F-A62A-AF42CB43D933}"/>
            </a:ext>
          </a:extLst>
        </xdr:cNvPr>
        <xdr:cNvSpPr/>
      </xdr:nvSpPr>
      <xdr:spPr>
        <a:xfrm>
          <a:off x="65913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[0]!CareerPerGameSortbyDREB" textlink="">
      <xdr:nvSpPr>
        <xdr:cNvPr id="11" name="Rectangle 10">
          <a:extLst>
            <a:ext uri="{FF2B5EF4-FFF2-40B4-BE49-F238E27FC236}">
              <a16:creationId xmlns:a16="http://schemas.microsoft.com/office/drawing/2014/main" id="{DC02ABE9-0F18-4768-B5D6-31401C0CFAAA}"/>
            </a:ext>
          </a:extLst>
        </xdr:cNvPr>
        <xdr:cNvSpPr/>
      </xdr:nvSpPr>
      <xdr:spPr>
        <a:xfrm>
          <a:off x="71151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[0]!CareerPerGameSortby3PTMADE" textlink="">
      <xdr:nvSpPr>
        <xdr:cNvPr id="12" name="Rectangle 11">
          <a:extLst>
            <a:ext uri="{FF2B5EF4-FFF2-40B4-BE49-F238E27FC236}">
              <a16:creationId xmlns:a16="http://schemas.microsoft.com/office/drawing/2014/main" id="{4783765C-EEA5-4DD7-9FC0-FF6C6C794CD9}"/>
            </a:ext>
          </a:extLst>
        </xdr:cNvPr>
        <xdr:cNvSpPr/>
      </xdr:nvSpPr>
      <xdr:spPr>
        <a:xfrm>
          <a:off x="76390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[0]!CareerPerGameSortby3PTATT" textlink="">
      <xdr:nvSpPr>
        <xdr:cNvPr id="13" name="Rectangle 12">
          <a:extLst>
            <a:ext uri="{FF2B5EF4-FFF2-40B4-BE49-F238E27FC236}">
              <a16:creationId xmlns:a16="http://schemas.microsoft.com/office/drawing/2014/main" id="{E30F2F1C-7926-4EA9-9FC5-C82F358BEE69}"/>
            </a:ext>
          </a:extLst>
        </xdr:cNvPr>
        <xdr:cNvSpPr/>
      </xdr:nvSpPr>
      <xdr:spPr>
        <a:xfrm>
          <a:off x="81629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[0]!CareerPerGameSortby3PTper" textlink="">
      <xdr:nvSpPr>
        <xdr:cNvPr id="14" name="Rectangle 13">
          <a:extLst>
            <a:ext uri="{FF2B5EF4-FFF2-40B4-BE49-F238E27FC236}">
              <a16:creationId xmlns:a16="http://schemas.microsoft.com/office/drawing/2014/main" id="{75B2F7B0-ED69-4BF5-AF7E-F36E52F622CC}"/>
            </a:ext>
          </a:extLst>
        </xdr:cNvPr>
        <xdr:cNvSpPr/>
      </xdr:nvSpPr>
      <xdr:spPr>
        <a:xfrm>
          <a:off x="86868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[0]!CareerPerGameSortbyFGMADE" textlink="">
      <xdr:nvSpPr>
        <xdr:cNvPr id="15" name="Rectangle 14">
          <a:extLst>
            <a:ext uri="{FF2B5EF4-FFF2-40B4-BE49-F238E27FC236}">
              <a16:creationId xmlns:a16="http://schemas.microsoft.com/office/drawing/2014/main" id="{225938F5-8A41-473A-8840-00D54462B15D}"/>
            </a:ext>
          </a:extLst>
        </xdr:cNvPr>
        <xdr:cNvSpPr/>
      </xdr:nvSpPr>
      <xdr:spPr>
        <a:xfrm>
          <a:off x="92106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[0]!CareerPerGameSortbyFGATT" textlink="">
      <xdr:nvSpPr>
        <xdr:cNvPr id="16" name="Rectangle 15">
          <a:extLst>
            <a:ext uri="{FF2B5EF4-FFF2-40B4-BE49-F238E27FC236}">
              <a16:creationId xmlns:a16="http://schemas.microsoft.com/office/drawing/2014/main" id="{2ABB4732-E2DD-4BE9-A1A8-0A8D789F23DE}"/>
            </a:ext>
          </a:extLst>
        </xdr:cNvPr>
        <xdr:cNvSpPr/>
      </xdr:nvSpPr>
      <xdr:spPr>
        <a:xfrm>
          <a:off x="97345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[0]!CareerPerGameSortbyFGper" textlink="">
      <xdr:nvSpPr>
        <xdr:cNvPr id="17" name="Rectangle 16">
          <a:extLst>
            <a:ext uri="{FF2B5EF4-FFF2-40B4-BE49-F238E27FC236}">
              <a16:creationId xmlns:a16="http://schemas.microsoft.com/office/drawing/2014/main" id="{65959AD7-C7A4-4056-B8DF-26343E93852E}"/>
            </a:ext>
          </a:extLst>
        </xdr:cNvPr>
        <xdr:cNvSpPr/>
      </xdr:nvSpPr>
      <xdr:spPr>
        <a:xfrm>
          <a:off x="102584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[0]!CareerPerGameSortbyFTMADE" textlink="">
      <xdr:nvSpPr>
        <xdr:cNvPr id="18" name="Rectangle 17">
          <a:extLst>
            <a:ext uri="{FF2B5EF4-FFF2-40B4-BE49-F238E27FC236}">
              <a16:creationId xmlns:a16="http://schemas.microsoft.com/office/drawing/2014/main" id="{646FC03D-F1BD-4D0A-AE36-E2BB9259EAAA}"/>
            </a:ext>
          </a:extLst>
        </xdr:cNvPr>
        <xdr:cNvSpPr/>
      </xdr:nvSpPr>
      <xdr:spPr>
        <a:xfrm>
          <a:off x="107823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[0]!CareerPerGameSortbyFTATT" textlink="">
      <xdr:nvSpPr>
        <xdr:cNvPr id="19" name="Rectangle 18">
          <a:extLst>
            <a:ext uri="{FF2B5EF4-FFF2-40B4-BE49-F238E27FC236}">
              <a16:creationId xmlns:a16="http://schemas.microsoft.com/office/drawing/2014/main" id="{88FE65A2-18F2-4DDC-AED2-FB0BFF74BAB7}"/>
            </a:ext>
          </a:extLst>
        </xdr:cNvPr>
        <xdr:cNvSpPr/>
      </xdr:nvSpPr>
      <xdr:spPr>
        <a:xfrm>
          <a:off x="113061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[0]!CareerPerGameSortbyFTper" textlink="">
      <xdr:nvSpPr>
        <xdr:cNvPr id="20" name="Rectangle 19">
          <a:extLst>
            <a:ext uri="{FF2B5EF4-FFF2-40B4-BE49-F238E27FC236}">
              <a16:creationId xmlns:a16="http://schemas.microsoft.com/office/drawing/2014/main" id="{7321242D-BEF7-440B-9AE1-16B8DA698D3A}"/>
            </a:ext>
          </a:extLst>
        </xdr:cNvPr>
        <xdr:cNvSpPr/>
      </xdr:nvSpPr>
      <xdr:spPr>
        <a:xfrm>
          <a:off x="118300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3</xdr:col>
      <xdr:colOff>9525</xdr:colOff>
      <xdr:row>1</xdr:row>
      <xdr:rowOff>180975</xdr:rowOff>
    </xdr:from>
    <xdr:to>
      <xdr:col>4</xdr:col>
      <xdr:colOff>9525</xdr:colOff>
      <xdr:row>2</xdr:row>
      <xdr:rowOff>400050</xdr:rowOff>
    </xdr:to>
    <xdr:sp macro="[0]!CareerPerGameSortbyTeam" textlink="">
      <xdr:nvSpPr>
        <xdr:cNvPr id="21" name="Rectangle 20">
          <a:extLst>
            <a:ext uri="{FF2B5EF4-FFF2-40B4-BE49-F238E27FC236}">
              <a16:creationId xmlns:a16="http://schemas.microsoft.com/office/drawing/2014/main" id="{577DE95A-A63C-440D-808C-9367159835F3}"/>
            </a:ext>
          </a:extLst>
        </xdr:cNvPr>
        <xdr:cNvSpPr/>
      </xdr:nvSpPr>
      <xdr:spPr>
        <a:xfrm>
          <a:off x="1638300" y="942975"/>
          <a:ext cx="1295400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[0]!CareerPerGameSortbyName" textlink="">
      <xdr:nvSpPr>
        <xdr:cNvPr id="22" name="Rectangle 21">
          <a:extLst>
            <a:ext uri="{FF2B5EF4-FFF2-40B4-BE49-F238E27FC236}">
              <a16:creationId xmlns:a16="http://schemas.microsoft.com/office/drawing/2014/main" id="{27445507-577D-4641-BCA8-6058CA993602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213581</xdr:colOff>
      <xdr:row>0</xdr:row>
      <xdr:rowOff>180975</xdr:rowOff>
    </xdr:from>
    <xdr:to>
      <xdr:col>16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D17C12-3204-4A9E-82BB-51A75B516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756" y="180975"/>
          <a:ext cx="5549044" cy="77152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180975</xdr:rowOff>
    </xdr:from>
    <xdr:to>
      <xdr:col>6</xdr:col>
      <xdr:colOff>0</xdr:colOff>
      <xdr:row>2</xdr:row>
      <xdr:rowOff>400050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DED38DA-ACD6-4A07-B4EB-287A15854973}"/>
            </a:ext>
          </a:extLst>
        </xdr:cNvPr>
        <xdr:cNvSpPr/>
      </xdr:nvSpPr>
      <xdr:spPr>
        <a:xfrm>
          <a:off x="29241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GP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6</xdr:col>
      <xdr:colOff>0</xdr:colOff>
      <xdr:row>1</xdr:row>
      <xdr:rowOff>180975</xdr:rowOff>
    </xdr:from>
    <xdr:to>
      <xdr:col>7</xdr:col>
      <xdr:colOff>0</xdr:colOff>
      <xdr:row>2</xdr:row>
      <xdr:rowOff>400050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5D0999-C9AE-4700-B630-C4B76445F693}"/>
            </a:ext>
          </a:extLst>
        </xdr:cNvPr>
        <xdr:cNvSpPr/>
      </xdr:nvSpPr>
      <xdr:spPr>
        <a:xfrm>
          <a:off x="34480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PTS</a:t>
          </a:r>
        </a:p>
      </xdr:txBody>
    </xdr:sp>
    <xdr:clientData/>
  </xdr:twoCellAnchor>
  <xdr:twoCellAnchor>
    <xdr:from>
      <xdr:col>7</xdr:col>
      <xdr:colOff>0</xdr:colOff>
      <xdr:row>1</xdr:row>
      <xdr:rowOff>180975</xdr:rowOff>
    </xdr:from>
    <xdr:to>
      <xdr:col>8</xdr:col>
      <xdr:colOff>0</xdr:colOff>
      <xdr:row>2</xdr:row>
      <xdr:rowOff>400050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5C0BE5A-B32E-4026-B5C2-30517852628C}"/>
            </a:ext>
          </a:extLst>
        </xdr:cNvPr>
        <xdr:cNvSpPr/>
      </xdr:nvSpPr>
      <xdr:spPr>
        <a:xfrm>
          <a:off x="39719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REB</a:t>
          </a:r>
        </a:p>
      </xdr:txBody>
    </xdr:sp>
    <xdr:clientData/>
  </xdr:twoCellAnchor>
  <xdr:twoCellAnchor>
    <xdr:from>
      <xdr:col>8</xdr:col>
      <xdr:colOff>0</xdr:colOff>
      <xdr:row>1</xdr:row>
      <xdr:rowOff>180975</xdr:rowOff>
    </xdr:from>
    <xdr:to>
      <xdr:col>9</xdr:col>
      <xdr:colOff>0</xdr:colOff>
      <xdr:row>2</xdr:row>
      <xdr:rowOff>400050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BDFE8F0-3550-416A-B19D-D178B85B1FBE}"/>
            </a:ext>
          </a:extLst>
        </xdr:cNvPr>
        <xdr:cNvSpPr/>
      </xdr:nvSpPr>
      <xdr:spPr>
        <a:xfrm>
          <a:off x="44958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AST</a:t>
          </a:r>
        </a:p>
      </xdr:txBody>
    </xdr:sp>
    <xdr:clientData/>
  </xdr:twoCellAnchor>
  <xdr:twoCellAnchor>
    <xdr:from>
      <xdr:col>9</xdr:col>
      <xdr:colOff>0</xdr:colOff>
      <xdr:row>1</xdr:row>
      <xdr:rowOff>180975</xdr:rowOff>
    </xdr:from>
    <xdr:to>
      <xdr:col>10</xdr:col>
      <xdr:colOff>0</xdr:colOff>
      <xdr:row>2</xdr:row>
      <xdr:rowOff>400050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9B5D2AC-F0F2-472A-98FB-12B6A01A53AC}"/>
            </a:ext>
          </a:extLst>
        </xdr:cNvPr>
        <xdr:cNvSpPr/>
      </xdr:nvSpPr>
      <xdr:spPr>
        <a:xfrm>
          <a:off x="50196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STL</a:t>
          </a:r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11</xdr:col>
      <xdr:colOff>0</xdr:colOff>
      <xdr:row>2</xdr:row>
      <xdr:rowOff>400050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DC09BC6-29FD-40CD-BD95-2F90CC175BA6}"/>
            </a:ext>
          </a:extLst>
        </xdr:cNvPr>
        <xdr:cNvSpPr/>
      </xdr:nvSpPr>
      <xdr:spPr>
        <a:xfrm>
          <a:off x="55435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BLK</a:t>
          </a:r>
        </a:p>
      </xdr:txBody>
    </xdr:sp>
    <xdr:clientData/>
  </xdr:twoCellAnchor>
  <xdr:twoCellAnchor>
    <xdr:from>
      <xdr:col>11</xdr:col>
      <xdr:colOff>0</xdr:colOff>
      <xdr:row>1</xdr:row>
      <xdr:rowOff>180975</xdr:rowOff>
    </xdr:from>
    <xdr:to>
      <xdr:col>12</xdr:col>
      <xdr:colOff>0</xdr:colOff>
      <xdr:row>2</xdr:row>
      <xdr:rowOff>400050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92C21DF-E65C-4804-B0DB-B7C6D3963572}"/>
            </a:ext>
          </a:extLst>
        </xdr:cNvPr>
        <xdr:cNvSpPr/>
      </xdr:nvSpPr>
      <xdr:spPr>
        <a:xfrm>
          <a:off x="60674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TO</a:t>
          </a:r>
        </a:p>
      </xdr:txBody>
    </xdr:sp>
    <xdr:clientData/>
  </xdr:twoCellAnchor>
  <xdr:twoCellAnchor>
    <xdr:from>
      <xdr:col>12</xdr:col>
      <xdr:colOff>0</xdr:colOff>
      <xdr:row>1</xdr:row>
      <xdr:rowOff>180975</xdr:rowOff>
    </xdr:from>
    <xdr:to>
      <xdr:col>13</xdr:col>
      <xdr:colOff>0</xdr:colOff>
      <xdr:row>2</xdr:row>
      <xdr:rowOff>400050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B3652667-21B8-4704-9DE3-92C3DBB9EFAD}"/>
            </a:ext>
          </a:extLst>
        </xdr:cNvPr>
        <xdr:cNvSpPr/>
      </xdr:nvSpPr>
      <xdr:spPr>
        <a:xfrm>
          <a:off x="65913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OREB</a:t>
          </a:r>
        </a:p>
      </xdr:txBody>
    </xdr:sp>
    <xdr:clientData/>
  </xdr:twoCellAnchor>
  <xdr:twoCellAnchor>
    <xdr:from>
      <xdr:col>13</xdr:col>
      <xdr:colOff>0</xdr:colOff>
      <xdr:row>1</xdr:row>
      <xdr:rowOff>180975</xdr:rowOff>
    </xdr:from>
    <xdr:to>
      <xdr:col>14</xdr:col>
      <xdr:colOff>0</xdr:colOff>
      <xdr:row>2</xdr:row>
      <xdr:rowOff>400050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355F93A-A686-4456-A3ED-4A1D3222A881}"/>
            </a:ext>
          </a:extLst>
        </xdr:cNvPr>
        <xdr:cNvSpPr/>
      </xdr:nvSpPr>
      <xdr:spPr>
        <a:xfrm>
          <a:off x="71151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DREB</a:t>
          </a:r>
        </a:p>
      </xdr:txBody>
    </xdr:sp>
    <xdr:clientData/>
  </xdr:twoCellAnchor>
  <xdr:twoCellAnchor>
    <xdr:from>
      <xdr:col>14</xdr:col>
      <xdr:colOff>0</xdr:colOff>
      <xdr:row>1</xdr:row>
      <xdr:rowOff>180975</xdr:rowOff>
    </xdr:from>
    <xdr:to>
      <xdr:col>15</xdr:col>
      <xdr:colOff>0</xdr:colOff>
      <xdr:row>2</xdr:row>
      <xdr:rowOff>400050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A1742497-A50D-436A-87A9-52AF41C52F17}"/>
            </a:ext>
          </a:extLst>
        </xdr:cNvPr>
        <xdr:cNvSpPr/>
      </xdr:nvSpPr>
      <xdr:spPr>
        <a:xfrm>
          <a:off x="76390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Franklin Gothic Medium" panose="020B0603020102020204" pitchFamily="34" charset="0"/>
            </a:rPr>
            <a:t>3PT </a:t>
          </a:r>
          <a:r>
            <a:rPr lang="en-US" sz="800">
              <a:latin typeface="Franklin Gothic Medium" panose="020B0603020102020204" pitchFamily="34" charset="0"/>
            </a:rPr>
            <a:t>MADE</a:t>
          </a:r>
          <a:endParaRPr lang="en-US" sz="100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15</xdr:col>
      <xdr:colOff>0</xdr:colOff>
      <xdr:row>1</xdr:row>
      <xdr:rowOff>180975</xdr:rowOff>
    </xdr:from>
    <xdr:to>
      <xdr:col>16</xdr:col>
      <xdr:colOff>0</xdr:colOff>
      <xdr:row>2</xdr:row>
      <xdr:rowOff>400050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6585625-D102-49C4-8189-DB5322F9C9E1}"/>
            </a:ext>
          </a:extLst>
        </xdr:cNvPr>
        <xdr:cNvSpPr/>
      </xdr:nvSpPr>
      <xdr:spPr>
        <a:xfrm>
          <a:off x="81629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 ATT</a:t>
          </a:r>
        </a:p>
      </xdr:txBody>
    </xdr:sp>
    <xdr:clientData/>
  </xdr:twoCellAnchor>
  <xdr:twoCellAnchor>
    <xdr:from>
      <xdr:col>16</xdr:col>
      <xdr:colOff>0</xdr:colOff>
      <xdr:row>1</xdr:row>
      <xdr:rowOff>180975</xdr:rowOff>
    </xdr:from>
    <xdr:to>
      <xdr:col>17</xdr:col>
      <xdr:colOff>0</xdr:colOff>
      <xdr:row>2</xdr:row>
      <xdr:rowOff>400050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29414B69-D1C6-4B3E-9D65-96AC94F55B38}"/>
            </a:ext>
          </a:extLst>
        </xdr:cNvPr>
        <xdr:cNvSpPr/>
      </xdr:nvSpPr>
      <xdr:spPr>
        <a:xfrm>
          <a:off x="86868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3PT%</a:t>
          </a:r>
        </a:p>
      </xdr:txBody>
    </xdr:sp>
    <xdr:clientData/>
  </xdr:twoCellAnchor>
  <xdr:twoCellAnchor>
    <xdr:from>
      <xdr:col>17</xdr:col>
      <xdr:colOff>0</xdr:colOff>
      <xdr:row>1</xdr:row>
      <xdr:rowOff>180975</xdr:rowOff>
    </xdr:from>
    <xdr:to>
      <xdr:col>18</xdr:col>
      <xdr:colOff>0</xdr:colOff>
      <xdr:row>2</xdr:row>
      <xdr:rowOff>400050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BC52C54-B5C9-4B0E-9C83-02255B529652}"/>
            </a:ext>
          </a:extLst>
        </xdr:cNvPr>
        <xdr:cNvSpPr/>
      </xdr:nvSpPr>
      <xdr:spPr>
        <a:xfrm>
          <a:off x="92106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MADE</a:t>
          </a:r>
        </a:p>
      </xdr:txBody>
    </xdr:sp>
    <xdr:clientData/>
  </xdr:twoCellAnchor>
  <xdr:twoCellAnchor>
    <xdr:from>
      <xdr:col>18</xdr:col>
      <xdr:colOff>0</xdr:colOff>
      <xdr:row>1</xdr:row>
      <xdr:rowOff>180975</xdr:rowOff>
    </xdr:from>
    <xdr:to>
      <xdr:col>19</xdr:col>
      <xdr:colOff>0</xdr:colOff>
      <xdr:row>2</xdr:row>
      <xdr:rowOff>400050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5ABBAFE-840B-470D-A008-06B3E41BBD92}"/>
            </a:ext>
          </a:extLst>
        </xdr:cNvPr>
        <xdr:cNvSpPr/>
      </xdr:nvSpPr>
      <xdr:spPr>
        <a:xfrm>
          <a:off x="97345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 ATT</a:t>
          </a:r>
        </a:p>
      </xdr:txBody>
    </xdr:sp>
    <xdr:clientData/>
  </xdr:twoCellAnchor>
  <xdr:twoCellAnchor>
    <xdr:from>
      <xdr:col>19</xdr:col>
      <xdr:colOff>0</xdr:colOff>
      <xdr:row>1</xdr:row>
      <xdr:rowOff>180975</xdr:rowOff>
    </xdr:from>
    <xdr:to>
      <xdr:col>20</xdr:col>
      <xdr:colOff>0</xdr:colOff>
      <xdr:row>2</xdr:row>
      <xdr:rowOff>400050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8A07F43-5D41-47A1-BAFA-D5068785764E}"/>
            </a:ext>
          </a:extLst>
        </xdr:cNvPr>
        <xdr:cNvSpPr/>
      </xdr:nvSpPr>
      <xdr:spPr>
        <a:xfrm>
          <a:off x="1025842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FG%</a:t>
          </a:r>
        </a:p>
      </xdr:txBody>
    </xdr:sp>
    <xdr:clientData/>
  </xdr:twoCellAnchor>
  <xdr:twoCellAnchor>
    <xdr:from>
      <xdr:col>20</xdr:col>
      <xdr:colOff>0</xdr:colOff>
      <xdr:row>1</xdr:row>
      <xdr:rowOff>180975</xdr:rowOff>
    </xdr:from>
    <xdr:to>
      <xdr:col>21</xdr:col>
      <xdr:colOff>0</xdr:colOff>
      <xdr:row>2</xdr:row>
      <xdr:rowOff>400050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6099359-BADD-42D7-B0AA-1F456B479DB6}"/>
            </a:ext>
          </a:extLst>
        </xdr:cNvPr>
        <xdr:cNvSpPr/>
      </xdr:nvSpPr>
      <xdr:spPr>
        <a:xfrm>
          <a:off x="1078230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MADE</a:t>
          </a:r>
        </a:p>
      </xdr:txBody>
    </xdr:sp>
    <xdr:clientData/>
  </xdr:twoCellAnchor>
  <xdr:twoCellAnchor>
    <xdr:from>
      <xdr:col>21</xdr:col>
      <xdr:colOff>0</xdr:colOff>
      <xdr:row>1</xdr:row>
      <xdr:rowOff>180975</xdr:rowOff>
    </xdr:from>
    <xdr:to>
      <xdr:col>22</xdr:col>
      <xdr:colOff>0</xdr:colOff>
      <xdr:row>2</xdr:row>
      <xdr:rowOff>400050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84E5372-A7A0-4923-B33C-5B6F6F8E4DE4}"/>
            </a:ext>
          </a:extLst>
        </xdr:cNvPr>
        <xdr:cNvSpPr/>
      </xdr:nvSpPr>
      <xdr:spPr>
        <a:xfrm>
          <a:off x="11306175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 ATT</a:t>
          </a:r>
        </a:p>
      </xdr:txBody>
    </xdr:sp>
    <xdr:clientData/>
  </xdr:twoCellAnchor>
  <xdr:twoCellAnchor>
    <xdr:from>
      <xdr:col>22</xdr:col>
      <xdr:colOff>0</xdr:colOff>
      <xdr:row>1</xdr:row>
      <xdr:rowOff>180975</xdr:rowOff>
    </xdr:from>
    <xdr:to>
      <xdr:col>23</xdr:col>
      <xdr:colOff>0</xdr:colOff>
      <xdr:row>2</xdr:row>
      <xdr:rowOff>400050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40C5CC82-C208-4739-9302-685EC00FDE11}"/>
            </a:ext>
          </a:extLst>
        </xdr:cNvPr>
        <xdr:cNvSpPr/>
      </xdr:nvSpPr>
      <xdr:spPr>
        <a:xfrm>
          <a:off x="11830050" y="942975"/>
          <a:ext cx="5238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Franklin Gothic Medium" panose="020B0603020102020204" pitchFamily="34" charset="0"/>
            </a:rPr>
            <a:t>FT%</a:t>
          </a:r>
        </a:p>
      </xdr:txBody>
    </xdr:sp>
    <xdr:clientData/>
  </xdr:twoCellAnchor>
  <xdr:twoCellAnchor>
    <xdr:from>
      <xdr:col>4</xdr:col>
      <xdr:colOff>9525</xdr:colOff>
      <xdr:row>1</xdr:row>
      <xdr:rowOff>180975</xdr:rowOff>
    </xdr:from>
    <xdr:to>
      <xdr:col>5</xdr:col>
      <xdr:colOff>9525</xdr:colOff>
      <xdr:row>2</xdr:row>
      <xdr:rowOff>400050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0EB090C-C34C-404D-9A91-01E9F085EF7C}"/>
            </a:ext>
          </a:extLst>
        </xdr:cNvPr>
        <xdr:cNvSpPr/>
      </xdr:nvSpPr>
      <xdr:spPr>
        <a:xfrm>
          <a:off x="1638300" y="942975"/>
          <a:ext cx="1295400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Team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3</xdr:col>
      <xdr:colOff>0</xdr:colOff>
      <xdr:row>1</xdr:row>
      <xdr:rowOff>180975</xdr:rowOff>
    </xdr:from>
    <xdr:to>
      <xdr:col>4</xdr:col>
      <xdr:colOff>0</xdr:colOff>
      <xdr:row>2</xdr:row>
      <xdr:rowOff>400050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9A89463E-16D2-4170-ABE8-7EA49702E8BE}"/>
            </a:ext>
          </a:extLst>
        </xdr:cNvPr>
        <xdr:cNvSpPr/>
      </xdr:nvSpPr>
      <xdr:spPr>
        <a:xfrm>
          <a:off x="381000" y="942975"/>
          <a:ext cx="124777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Name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  <xdr:twoCellAnchor>
    <xdr:from>
      <xdr:col>2</xdr:col>
      <xdr:colOff>0</xdr:colOff>
      <xdr:row>1</xdr:row>
      <xdr:rowOff>180975</xdr:rowOff>
    </xdr:from>
    <xdr:to>
      <xdr:col>3</xdr:col>
      <xdr:colOff>0</xdr:colOff>
      <xdr:row>2</xdr:row>
      <xdr:rowOff>400050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37389EC-6B58-4E46-9CBC-E0ADAD5BA538}"/>
            </a:ext>
          </a:extLst>
        </xdr:cNvPr>
        <xdr:cNvSpPr/>
      </xdr:nvSpPr>
      <xdr:spPr>
        <a:xfrm>
          <a:off x="381000" y="942975"/>
          <a:ext cx="809625" cy="409575"/>
        </a:xfrm>
        <a:prstGeom prst="rect">
          <a:avLst/>
        </a:prstGeom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latin typeface="Franklin Gothic Medium" panose="020B0603020102020204" pitchFamily="34" charset="0"/>
            </a:rPr>
            <a:t>Season</a:t>
          </a:r>
          <a:endParaRPr lang="en-US" sz="900" b="0">
            <a:latin typeface="Franklin Gothic Medium" panose="020B06030201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66676</xdr:colOff>
      <xdr:row>1</xdr:row>
      <xdr:rowOff>0</xdr:rowOff>
    </xdr:from>
    <xdr:to>
      <xdr:col>2</xdr:col>
      <xdr:colOff>1190626</xdr:colOff>
      <xdr:row>2</xdr:row>
      <xdr:rowOff>0</xdr:rowOff>
    </xdr:to>
    <xdr:sp macro="[0]!RosterSortByName" textlink="">
      <xdr:nvSpPr>
        <xdr:cNvPr id="6" name="Rectangle 5">
          <a:extLst>
            <a:ext uri="{FF2B5EF4-FFF2-40B4-BE49-F238E27FC236}">
              <a16:creationId xmlns:a16="http://schemas.microsoft.com/office/drawing/2014/main" id="{E65096EB-7D1B-451C-B387-6B986C27FD88}"/>
            </a:ext>
          </a:extLst>
        </xdr:cNvPr>
        <xdr:cNvSpPr/>
      </xdr:nvSpPr>
      <xdr:spPr>
        <a:xfrm>
          <a:off x="628651" y="190500"/>
          <a:ext cx="1123950" cy="285750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Sort By Name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PlayerListToRosters" textlink="">
      <xdr:nvSpPr>
        <xdr:cNvPr id="2" name="Rectangle 1">
          <a:extLst>
            <a:ext uri="{FF2B5EF4-FFF2-40B4-BE49-F238E27FC236}">
              <a16:creationId xmlns:a16="http://schemas.microsoft.com/office/drawing/2014/main" id="{CBB5E382-D298-4EA1-89C9-C76696B8D144}"/>
            </a:ext>
          </a:extLst>
        </xdr:cNvPr>
        <xdr:cNvSpPr/>
      </xdr:nvSpPr>
      <xdr:spPr>
        <a:xfrm>
          <a:off x="381000" y="190500"/>
          <a:ext cx="1247775" cy="381000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Player</a:t>
          </a:r>
          <a:r>
            <a:rPr lang="en-US" sz="1100" baseline="0"/>
            <a:t> List</a:t>
          </a:r>
          <a:endParaRPr lang="en-US" sz="1100"/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[0]!ExportTeamList" textlink="">
      <xdr:nvSpPr>
        <xdr:cNvPr id="3" name="Rectangle 2">
          <a:extLst>
            <a:ext uri="{FF2B5EF4-FFF2-40B4-BE49-F238E27FC236}">
              <a16:creationId xmlns:a16="http://schemas.microsoft.com/office/drawing/2014/main" id="{E5600090-726C-4299-B6B6-66D5330BB0BF}"/>
            </a:ext>
          </a:extLst>
        </xdr:cNvPr>
        <xdr:cNvSpPr/>
      </xdr:nvSpPr>
      <xdr:spPr>
        <a:xfrm>
          <a:off x="1628775" y="190500"/>
          <a:ext cx="1390650" cy="381000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Team</a:t>
          </a:r>
          <a:r>
            <a:rPr lang="en-US" sz="1100" baseline="0"/>
            <a:t> List</a:t>
          </a:r>
          <a:endParaRPr lang="en-US" sz="1100"/>
        </a:p>
      </xdr:txBody>
    </xdr:sp>
    <xdr:clientData/>
  </xdr:twoCellAnchor>
  <xdr:twoCellAnchor>
    <xdr:from>
      <xdr:col>9</xdr:col>
      <xdr:colOff>171451</xdr:colOff>
      <xdr:row>1</xdr:row>
      <xdr:rowOff>76200</xdr:rowOff>
    </xdr:from>
    <xdr:to>
      <xdr:col>9</xdr:col>
      <xdr:colOff>3257551</xdr:colOff>
      <xdr:row>2</xdr:row>
      <xdr:rowOff>123825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7F5C220-D5C0-4A71-8D0F-CFC37BB6A9DA}"/>
            </a:ext>
          </a:extLst>
        </xdr:cNvPr>
        <xdr:cNvGrpSpPr/>
      </xdr:nvGrpSpPr>
      <xdr:grpSpPr>
        <a:xfrm>
          <a:off x="6124576" y="266700"/>
          <a:ext cx="3086100" cy="238125"/>
          <a:chOff x="6048376" y="266700"/>
          <a:chExt cx="3086100" cy="238125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FAAE9CEE-A4AC-47B4-93F8-A654525ED953}"/>
              </a:ext>
            </a:extLst>
          </xdr:cNvPr>
          <xdr:cNvGrpSpPr/>
        </xdr:nvGrpSpPr>
        <xdr:grpSpPr>
          <a:xfrm>
            <a:off x="6048376" y="266700"/>
            <a:ext cx="1704975" cy="238125"/>
            <a:chOff x="6048376" y="266700"/>
            <a:chExt cx="1704975" cy="238125"/>
          </a:xfrm>
        </xdr:grpSpPr>
        <xdr:sp macro="" textlink="">
          <xdr:nvSpPr>
            <xdr:cNvPr id="4" name="Arrow: Down 3">
              <a:extLst>
                <a:ext uri="{FF2B5EF4-FFF2-40B4-BE49-F238E27FC236}">
                  <a16:creationId xmlns:a16="http://schemas.microsoft.com/office/drawing/2014/main" id="{4D250CE7-B0DB-4914-8997-0D60C9090B76}"/>
                </a:ext>
              </a:extLst>
            </xdr:cNvPr>
            <xdr:cNvSpPr/>
          </xdr:nvSpPr>
          <xdr:spPr>
            <a:xfrm>
              <a:off x="6048376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" name="Arrow: Down 4">
              <a:extLst>
                <a:ext uri="{FF2B5EF4-FFF2-40B4-BE49-F238E27FC236}">
                  <a16:creationId xmlns:a16="http://schemas.microsoft.com/office/drawing/2014/main" id="{3FACC28F-FF3C-442F-B1BF-DB46B49E916B}"/>
                </a:ext>
              </a:extLst>
            </xdr:cNvPr>
            <xdr:cNvSpPr/>
          </xdr:nvSpPr>
          <xdr:spPr>
            <a:xfrm>
              <a:off x="6524626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Arrow: Down 5">
              <a:extLst>
                <a:ext uri="{FF2B5EF4-FFF2-40B4-BE49-F238E27FC236}">
                  <a16:creationId xmlns:a16="http://schemas.microsoft.com/office/drawing/2014/main" id="{DF2276F4-8862-4B52-B70B-307EFECB4A01}"/>
                </a:ext>
              </a:extLst>
            </xdr:cNvPr>
            <xdr:cNvSpPr/>
          </xdr:nvSpPr>
          <xdr:spPr>
            <a:xfrm>
              <a:off x="6991351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Arrow: Down 6">
              <a:extLst>
                <a:ext uri="{FF2B5EF4-FFF2-40B4-BE49-F238E27FC236}">
                  <a16:creationId xmlns:a16="http://schemas.microsoft.com/office/drawing/2014/main" id="{20E5AAA3-B968-42AD-A31A-E1C9B330498F}"/>
                </a:ext>
              </a:extLst>
            </xdr:cNvPr>
            <xdr:cNvSpPr/>
          </xdr:nvSpPr>
          <xdr:spPr>
            <a:xfrm>
              <a:off x="7429501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93370DBD-D889-45E3-BC88-8A3BD97131D0}"/>
              </a:ext>
            </a:extLst>
          </xdr:cNvPr>
          <xdr:cNvGrpSpPr/>
        </xdr:nvGrpSpPr>
        <xdr:grpSpPr>
          <a:xfrm>
            <a:off x="7429501" y="266700"/>
            <a:ext cx="1704975" cy="238125"/>
            <a:chOff x="6048376" y="266700"/>
            <a:chExt cx="1704975" cy="238125"/>
          </a:xfrm>
        </xdr:grpSpPr>
        <xdr:sp macro="" textlink="">
          <xdr:nvSpPr>
            <xdr:cNvPr id="10" name="Arrow: Down 9">
              <a:extLst>
                <a:ext uri="{FF2B5EF4-FFF2-40B4-BE49-F238E27FC236}">
                  <a16:creationId xmlns:a16="http://schemas.microsoft.com/office/drawing/2014/main" id="{C8F030E9-6AF9-4440-A000-DDBBFA68888E}"/>
                </a:ext>
              </a:extLst>
            </xdr:cNvPr>
            <xdr:cNvSpPr/>
          </xdr:nvSpPr>
          <xdr:spPr>
            <a:xfrm>
              <a:off x="6048376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" name="Arrow: Down 10">
              <a:extLst>
                <a:ext uri="{FF2B5EF4-FFF2-40B4-BE49-F238E27FC236}">
                  <a16:creationId xmlns:a16="http://schemas.microsoft.com/office/drawing/2014/main" id="{618B9721-6614-4E91-BEDE-FF783E14A465}"/>
                </a:ext>
              </a:extLst>
            </xdr:cNvPr>
            <xdr:cNvSpPr/>
          </xdr:nvSpPr>
          <xdr:spPr>
            <a:xfrm>
              <a:off x="6524626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" name="Arrow: Down 11">
              <a:extLst>
                <a:ext uri="{FF2B5EF4-FFF2-40B4-BE49-F238E27FC236}">
                  <a16:creationId xmlns:a16="http://schemas.microsoft.com/office/drawing/2014/main" id="{FC9B33C2-6007-46F3-B484-99153A66F784}"/>
                </a:ext>
              </a:extLst>
            </xdr:cNvPr>
            <xdr:cNvSpPr/>
          </xdr:nvSpPr>
          <xdr:spPr>
            <a:xfrm>
              <a:off x="6991351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" name="Arrow: Down 12">
              <a:extLst>
                <a:ext uri="{FF2B5EF4-FFF2-40B4-BE49-F238E27FC236}">
                  <a16:creationId xmlns:a16="http://schemas.microsoft.com/office/drawing/2014/main" id="{11333BB4-03A5-465B-9DFB-97D3B80EEBE0}"/>
                </a:ext>
              </a:extLst>
            </xdr:cNvPr>
            <xdr:cNvSpPr/>
          </xdr:nvSpPr>
          <xdr:spPr>
            <a:xfrm>
              <a:off x="7429501" y="266700"/>
              <a:ext cx="323850" cy="238125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4</xdr:col>
      <xdr:colOff>9525</xdr:colOff>
      <xdr:row>1</xdr:row>
      <xdr:rowOff>0</xdr:rowOff>
    </xdr:from>
    <xdr:to>
      <xdr:col>6</xdr:col>
      <xdr:colOff>0</xdr:colOff>
      <xdr:row>3</xdr:row>
      <xdr:rowOff>0</xdr:rowOff>
    </xdr:to>
    <xdr:sp macro="[0]!SeasonPlayerList" textlink="">
      <xdr:nvSpPr>
        <xdr:cNvPr id="16" name="Rectangle 15">
          <a:extLst>
            <a:ext uri="{FF2B5EF4-FFF2-40B4-BE49-F238E27FC236}">
              <a16:creationId xmlns:a16="http://schemas.microsoft.com/office/drawing/2014/main" id="{48EE5D36-3930-4FF1-8EBD-C3E49E60AFFC}"/>
            </a:ext>
          </a:extLst>
        </xdr:cNvPr>
        <xdr:cNvSpPr/>
      </xdr:nvSpPr>
      <xdr:spPr>
        <a:xfrm>
          <a:off x="3028950" y="190500"/>
          <a:ext cx="1247775" cy="381000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Update</a:t>
          </a:r>
          <a:r>
            <a:rPr lang="en-US" sz="900" baseline="0"/>
            <a:t> Season Player Engine List</a:t>
          </a:r>
          <a:endParaRPr lang="en-US" sz="9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</xdr:rowOff>
    </xdr:from>
    <xdr:to>
      <xdr:col>19</xdr:col>
      <xdr:colOff>0</xdr:colOff>
      <xdr:row>3</xdr:row>
      <xdr:rowOff>133350</xdr:rowOff>
    </xdr:to>
    <xdr:sp macro="[0]!ExportSingleGame" textlink="">
      <xdr:nvSpPr>
        <xdr:cNvPr id="2" name="Rectangle 1">
          <a:extLst>
            <a:ext uri="{FF2B5EF4-FFF2-40B4-BE49-F238E27FC236}">
              <a16:creationId xmlns:a16="http://schemas.microsoft.com/office/drawing/2014/main" id="{DA165640-5F1F-4349-8BA2-7C511A5515DF}"/>
            </a:ext>
          </a:extLst>
        </xdr:cNvPr>
        <xdr:cNvSpPr/>
      </xdr:nvSpPr>
      <xdr:spPr>
        <a:xfrm>
          <a:off x="10220325" y="419100"/>
          <a:ext cx="1219200" cy="285750"/>
        </a:xfrm>
        <a:prstGeom prst="rect">
          <a:avLst/>
        </a:prstGeom>
        <a:solidFill>
          <a:srgbClr val="FF0000"/>
        </a:solidFill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EXPORT</a:t>
          </a:r>
          <a:r>
            <a:rPr lang="en-US" sz="1200" b="1" baseline="0">
              <a:solidFill>
                <a:sysClr val="windowText" lastClr="000000"/>
              </a:solidFill>
            </a:rPr>
            <a:t> GAME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47625</xdr:rowOff>
    </xdr:from>
    <xdr:to>
      <xdr:col>22</xdr:col>
      <xdr:colOff>0</xdr:colOff>
      <xdr:row>3</xdr:row>
      <xdr:rowOff>142875</xdr:rowOff>
    </xdr:to>
    <xdr:sp macro="[0]!ClearSingleGameForm" textlink="">
      <xdr:nvSpPr>
        <xdr:cNvPr id="3" name="Rectangle 2">
          <a:extLst>
            <a:ext uri="{FF2B5EF4-FFF2-40B4-BE49-F238E27FC236}">
              <a16:creationId xmlns:a16="http://schemas.microsoft.com/office/drawing/2014/main" id="{8AD27CEF-BD96-42EC-BA3F-B74D522B0661}"/>
            </a:ext>
          </a:extLst>
        </xdr:cNvPr>
        <xdr:cNvSpPr/>
      </xdr:nvSpPr>
      <xdr:spPr>
        <a:xfrm>
          <a:off x="12744450" y="438150"/>
          <a:ext cx="1219200" cy="285750"/>
        </a:xfrm>
        <a:prstGeom prst="rect">
          <a:avLst/>
        </a:prstGeom>
        <a:solidFill>
          <a:srgbClr val="FF0000"/>
        </a:solidFill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CLEAR</a:t>
          </a:r>
          <a:r>
            <a:rPr lang="en-US" sz="1200" b="1" baseline="0">
              <a:solidFill>
                <a:sysClr val="windowText" lastClr="000000"/>
              </a:solidFill>
            </a:rPr>
            <a:t> FORM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thh933/Documents/Local%20Basketball%20League/D:/Documents/Season%202%20Stats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PerGam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1FA5D-A8C7-4E82-A9DF-0FC2E8325670}">
  <sheetPr codeName="Sheet19"/>
  <dimension ref="A1:AJ50"/>
  <sheetViews>
    <sheetView showGridLines="0" showRowColHeaders="0" tabSelected="1" workbookViewId="0">
      <selection activeCell="V14" sqref="V14"/>
    </sheetView>
  </sheetViews>
  <sheetFormatPr defaultColWidth="8.85546875" defaultRowHeight="15" x14ac:dyDescent="0.25"/>
  <sheetData>
    <row r="1" spans="1:36" x14ac:dyDescent="0.25">
      <c r="A1" s="252"/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  <c r="AE1" s="252"/>
      <c r="AF1" s="252"/>
      <c r="AG1" s="252"/>
      <c r="AH1" s="252"/>
      <c r="AI1" s="252"/>
      <c r="AJ1" s="252"/>
    </row>
    <row r="2" spans="1:36" x14ac:dyDescent="0.25">
      <c r="A2" s="252"/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2"/>
      <c r="AF2" s="252"/>
      <c r="AG2" s="252"/>
      <c r="AH2" s="252"/>
      <c r="AI2" s="252"/>
      <c r="AJ2" s="252"/>
    </row>
    <row r="3" spans="1:36" x14ac:dyDescent="0.25">
      <c r="A3" s="252"/>
      <c r="B3" s="252"/>
      <c r="C3" s="252"/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2"/>
      <c r="X3" s="252"/>
      <c r="Y3" s="252"/>
      <c r="Z3" s="252"/>
      <c r="AA3" s="252"/>
      <c r="AB3" s="252"/>
      <c r="AC3" s="252"/>
      <c r="AD3" s="252"/>
      <c r="AE3" s="252"/>
      <c r="AF3" s="252"/>
      <c r="AG3" s="252"/>
      <c r="AH3" s="252"/>
      <c r="AI3" s="252"/>
      <c r="AJ3" s="252"/>
    </row>
    <row r="4" spans="1:36" x14ac:dyDescent="0.25">
      <c r="A4" s="252"/>
      <c r="B4" s="252"/>
      <c r="C4" s="252"/>
      <c r="D4" s="252"/>
      <c r="E4" s="252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  <c r="X4" s="252"/>
      <c r="Y4" s="252"/>
      <c r="Z4" s="252"/>
      <c r="AA4" s="252"/>
      <c r="AB4" s="252"/>
      <c r="AC4" s="252"/>
      <c r="AD4" s="252"/>
      <c r="AE4" s="252"/>
      <c r="AF4" s="252"/>
      <c r="AG4" s="252"/>
      <c r="AH4" s="252"/>
      <c r="AI4" s="252"/>
      <c r="AJ4" s="252"/>
    </row>
    <row r="5" spans="1:36" x14ac:dyDescent="0.25">
      <c r="A5" s="252"/>
      <c r="B5" s="252"/>
      <c r="C5" s="252"/>
      <c r="D5" s="252"/>
      <c r="E5" s="252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  <c r="X5" s="252"/>
      <c r="Y5" s="252"/>
      <c r="Z5" s="252"/>
      <c r="AA5" s="252"/>
      <c r="AB5" s="252"/>
      <c r="AC5" s="252"/>
      <c r="AD5" s="252"/>
      <c r="AE5" s="252"/>
      <c r="AF5" s="252"/>
      <c r="AG5" s="252"/>
      <c r="AH5" s="252"/>
      <c r="AI5" s="252"/>
      <c r="AJ5" s="252"/>
    </row>
    <row r="6" spans="1:36" x14ac:dyDescent="0.25">
      <c r="A6" s="252"/>
      <c r="B6" s="252"/>
      <c r="C6" s="252"/>
      <c r="D6" s="252"/>
      <c r="E6" s="252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252"/>
      <c r="Z6" s="252"/>
      <c r="AA6" s="252"/>
      <c r="AB6" s="252"/>
      <c r="AC6" s="252"/>
      <c r="AD6" s="252"/>
      <c r="AE6" s="252"/>
      <c r="AF6" s="252"/>
      <c r="AG6" s="252"/>
      <c r="AH6" s="252"/>
      <c r="AI6" s="252"/>
      <c r="AJ6" s="252"/>
    </row>
    <row r="7" spans="1:36" x14ac:dyDescent="0.25">
      <c r="A7" s="252"/>
      <c r="B7" s="252"/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  <c r="X7" s="252"/>
      <c r="Y7" s="252"/>
      <c r="Z7" s="252"/>
      <c r="AA7" s="252"/>
      <c r="AB7" s="252"/>
      <c r="AC7" s="252"/>
      <c r="AD7" s="252"/>
      <c r="AE7" s="252"/>
      <c r="AF7" s="252"/>
      <c r="AG7" s="252"/>
      <c r="AH7" s="252"/>
      <c r="AI7" s="252"/>
      <c r="AJ7" s="252"/>
    </row>
    <row r="8" spans="1:36" x14ac:dyDescent="0.25">
      <c r="A8" s="252"/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  <c r="X8" s="252"/>
      <c r="Y8" s="252"/>
      <c r="Z8" s="252"/>
      <c r="AA8" s="252"/>
      <c r="AB8" s="252"/>
      <c r="AC8" s="252"/>
      <c r="AD8" s="252"/>
      <c r="AE8" s="252"/>
      <c r="AF8" s="252"/>
      <c r="AG8" s="252"/>
      <c r="AH8" s="252"/>
      <c r="AI8" s="252"/>
      <c r="AJ8" s="252"/>
    </row>
    <row r="9" spans="1:36" x14ac:dyDescent="0.25">
      <c r="A9" s="252"/>
      <c r="B9" s="252"/>
      <c r="C9" s="252"/>
      <c r="D9" s="252"/>
      <c r="E9" s="252"/>
      <c r="F9" s="252"/>
      <c r="G9" s="252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  <c r="X9" s="252"/>
      <c r="Y9" s="252"/>
      <c r="Z9" s="252"/>
      <c r="AA9" s="252"/>
      <c r="AB9" s="252"/>
      <c r="AC9" s="252"/>
      <c r="AD9" s="252"/>
      <c r="AE9" s="252"/>
      <c r="AF9" s="252"/>
      <c r="AG9" s="252"/>
      <c r="AH9" s="252"/>
      <c r="AI9" s="252"/>
      <c r="AJ9" s="252"/>
    </row>
    <row r="10" spans="1:36" x14ac:dyDescent="0.25">
      <c r="A10" s="252"/>
      <c r="B10" s="252"/>
      <c r="C10" s="252"/>
      <c r="D10" s="252"/>
      <c r="E10" s="252"/>
      <c r="F10" s="252"/>
      <c r="G10" s="252"/>
      <c r="H10" s="252"/>
      <c r="I10" s="252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  <c r="X10" s="252"/>
      <c r="Y10" s="252"/>
      <c r="Z10" s="252"/>
      <c r="AA10" s="252"/>
      <c r="AB10" s="252"/>
      <c r="AC10" s="252"/>
      <c r="AD10" s="252"/>
      <c r="AE10" s="252"/>
      <c r="AF10" s="252"/>
      <c r="AG10" s="252"/>
      <c r="AH10" s="252"/>
      <c r="AI10" s="252"/>
      <c r="AJ10" s="252"/>
    </row>
    <row r="11" spans="1:36" ht="34.5" x14ac:dyDescent="0.45">
      <c r="A11" s="252"/>
      <c r="B11" s="252"/>
      <c r="C11" s="274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  <c r="X11" s="252"/>
      <c r="Y11" s="252"/>
      <c r="Z11" s="252"/>
      <c r="AA11" s="252"/>
      <c r="AB11" s="252"/>
      <c r="AC11" s="252"/>
      <c r="AD11" s="252"/>
      <c r="AE11" s="252"/>
      <c r="AF11" s="252"/>
      <c r="AG11" s="252"/>
      <c r="AH11" s="252"/>
      <c r="AI11" s="252"/>
      <c r="AJ11" s="252"/>
    </row>
    <row r="12" spans="1:36" x14ac:dyDescent="0.25">
      <c r="A12" s="252"/>
      <c r="B12" s="252"/>
      <c r="C12" s="252"/>
      <c r="D12" s="252"/>
      <c r="E12" s="252"/>
      <c r="F12" s="252"/>
      <c r="G12" s="252"/>
      <c r="H12" s="252"/>
      <c r="I12" s="252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  <c r="X12" s="252"/>
      <c r="Y12" s="252"/>
      <c r="Z12" s="252"/>
      <c r="AA12" s="252"/>
      <c r="AB12" s="252"/>
      <c r="AC12" s="252"/>
      <c r="AD12" s="252"/>
      <c r="AE12" s="252"/>
      <c r="AF12" s="252"/>
      <c r="AG12" s="252"/>
      <c r="AH12" s="252"/>
      <c r="AI12" s="252"/>
      <c r="AJ12" s="252"/>
    </row>
    <row r="13" spans="1:36" ht="34.5" x14ac:dyDescent="0.45">
      <c r="A13" s="252"/>
      <c r="B13" s="252"/>
      <c r="C13" s="274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  <c r="X13" s="252"/>
      <c r="Y13" s="252"/>
      <c r="Z13" s="252"/>
      <c r="AA13" s="252"/>
      <c r="AB13" s="252"/>
      <c r="AC13" s="252"/>
      <c r="AD13" s="252"/>
      <c r="AE13" s="252"/>
      <c r="AF13" s="252"/>
      <c r="AG13" s="252"/>
      <c r="AH13" s="252"/>
      <c r="AI13" s="252"/>
      <c r="AJ13" s="252"/>
    </row>
    <row r="14" spans="1:36" x14ac:dyDescent="0.25">
      <c r="A14" s="252"/>
      <c r="B14" s="252"/>
      <c r="C14" s="252"/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  <c r="AF14" s="252"/>
      <c r="AG14" s="252"/>
      <c r="AH14" s="252"/>
      <c r="AI14" s="252"/>
      <c r="AJ14" s="252"/>
    </row>
    <row r="15" spans="1:36" x14ac:dyDescent="0.25">
      <c r="A15" s="252"/>
      <c r="B15" s="252"/>
      <c r="C15" s="252"/>
      <c r="D15" s="252"/>
      <c r="E15" s="252"/>
      <c r="F15" s="252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  <c r="AF15" s="252"/>
      <c r="AG15" s="252"/>
      <c r="AH15" s="252"/>
      <c r="AI15" s="252"/>
      <c r="AJ15" s="252"/>
    </row>
    <row r="16" spans="1:36" x14ac:dyDescent="0.25">
      <c r="A16" s="252"/>
      <c r="B16" s="252"/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  <c r="AF16" s="252"/>
      <c r="AG16" s="252"/>
      <c r="AH16" s="252"/>
      <c r="AI16" s="252"/>
      <c r="AJ16" s="252"/>
    </row>
    <row r="17" spans="1:36" x14ac:dyDescent="0.25">
      <c r="A17" s="252"/>
      <c r="B17" s="252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  <c r="AF17" s="252"/>
      <c r="AG17" s="252"/>
      <c r="AH17" s="252"/>
      <c r="AI17" s="252"/>
      <c r="AJ17" s="252"/>
    </row>
    <row r="18" spans="1:36" x14ac:dyDescent="0.25">
      <c r="A18" s="252"/>
      <c r="B18" s="252"/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2"/>
      <c r="AH18" s="252"/>
      <c r="AI18" s="252"/>
      <c r="AJ18" s="252"/>
    </row>
    <row r="19" spans="1:36" x14ac:dyDescent="0.25">
      <c r="A19" s="252"/>
      <c r="B19" s="252"/>
      <c r="C19" s="252"/>
      <c r="D19" s="252"/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2"/>
      <c r="Z19" s="252"/>
      <c r="AA19" s="252"/>
      <c r="AB19" s="252"/>
      <c r="AC19" s="252"/>
      <c r="AD19" s="252"/>
      <c r="AE19" s="252"/>
      <c r="AF19" s="252"/>
      <c r="AG19" s="252"/>
      <c r="AH19" s="252"/>
      <c r="AI19" s="252"/>
      <c r="AJ19" s="252"/>
    </row>
    <row r="20" spans="1:36" x14ac:dyDescent="0.25">
      <c r="A20" s="252"/>
      <c r="B20" s="252"/>
      <c r="C20" s="252"/>
      <c r="D20" s="252"/>
      <c r="E20" s="252"/>
      <c r="F20" s="252"/>
      <c r="G20" s="252"/>
      <c r="H20" s="252"/>
      <c r="I20" s="252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2"/>
      <c r="Z20" s="252"/>
      <c r="AA20" s="252"/>
      <c r="AB20" s="252"/>
      <c r="AC20" s="252"/>
      <c r="AD20" s="252"/>
      <c r="AE20" s="252"/>
      <c r="AF20" s="252"/>
      <c r="AG20" s="252"/>
      <c r="AH20" s="252"/>
      <c r="AI20" s="252"/>
      <c r="AJ20" s="252"/>
    </row>
    <row r="21" spans="1:36" x14ac:dyDescent="0.25">
      <c r="A21" s="252"/>
      <c r="B21" s="252"/>
      <c r="C21" s="252"/>
      <c r="D21" s="252"/>
      <c r="E21" s="252"/>
      <c r="F21" s="252"/>
      <c r="G21" s="252"/>
      <c r="H21" s="252"/>
      <c r="I21" s="252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2"/>
      <c r="Z21" s="252"/>
      <c r="AA21" s="252"/>
      <c r="AB21" s="252"/>
      <c r="AC21" s="252"/>
      <c r="AD21" s="252"/>
      <c r="AE21" s="252"/>
      <c r="AF21" s="252"/>
      <c r="AG21" s="252"/>
      <c r="AH21" s="252"/>
      <c r="AI21" s="252"/>
      <c r="AJ21" s="252"/>
    </row>
    <row r="22" spans="1:36" x14ac:dyDescent="0.25">
      <c r="A22" s="252"/>
      <c r="B22" s="252"/>
      <c r="C22" s="252"/>
      <c r="D22" s="252"/>
      <c r="E22" s="252"/>
      <c r="F22" s="252"/>
      <c r="G22" s="252"/>
      <c r="H22" s="252"/>
      <c r="I22" s="252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  <c r="X22" s="252"/>
      <c r="Y22" s="252"/>
      <c r="Z22" s="252"/>
      <c r="AA22" s="252"/>
      <c r="AB22" s="252"/>
      <c r="AC22" s="252"/>
      <c r="AD22" s="252"/>
      <c r="AE22" s="252"/>
      <c r="AF22" s="252"/>
      <c r="AG22" s="252"/>
      <c r="AH22" s="252"/>
      <c r="AI22" s="252"/>
      <c r="AJ22" s="252"/>
    </row>
    <row r="23" spans="1:36" x14ac:dyDescent="0.25">
      <c r="A23" s="252"/>
      <c r="B23" s="252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Z23" s="252"/>
      <c r="AA23" s="252"/>
      <c r="AB23" s="252"/>
      <c r="AC23" s="252"/>
      <c r="AD23" s="252"/>
      <c r="AE23" s="252"/>
      <c r="AF23" s="252"/>
      <c r="AG23" s="252"/>
      <c r="AH23" s="252"/>
      <c r="AI23" s="252"/>
      <c r="AJ23" s="252"/>
    </row>
    <row r="24" spans="1:36" x14ac:dyDescent="0.25">
      <c r="A24" s="252"/>
      <c r="B24" s="252"/>
      <c r="C24" s="252"/>
      <c r="D24" s="252"/>
      <c r="E24" s="252"/>
      <c r="F24" s="252"/>
      <c r="G24" s="252"/>
      <c r="H24" s="252"/>
      <c r="I24" s="252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  <c r="Z24" s="252"/>
      <c r="AA24" s="252"/>
      <c r="AB24" s="252"/>
      <c r="AC24" s="252"/>
      <c r="AD24" s="252"/>
      <c r="AE24" s="252"/>
      <c r="AF24" s="252"/>
      <c r="AG24" s="252"/>
      <c r="AH24" s="252"/>
      <c r="AI24" s="252"/>
      <c r="AJ24" s="252"/>
    </row>
    <row r="25" spans="1:36" x14ac:dyDescent="0.25">
      <c r="A25" s="252"/>
      <c r="B25" s="252"/>
      <c r="C25" s="252"/>
      <c r="D25" s="252"/>
      <c r="E25" s="252"/>
      <c r="F25" s="252"/>
      <c r="G25" s="252"/>
      <c r="H25" s="252"/>
      <c r="I25" s="252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  <c r="Z25" s="252"/>
      <c r="AA25" s="252"/>
      <c r="AB25" s="252"/>
      <c r="AC25" s="252"/>
      <c r="AD25" s="252"/>
      <c r="AE25" s="252"/>
      <c r="AF25" s="252"/>
      <c r="AG25" s="252"/>
      <c r="AH25" s="252"/>
      <c r="AI25" s="252"/>
      <c r="AJ25" s="252"/>
    </row>
    <row r="26" spans="1:36" x14ac:dyDescent="0.25">
      <c r="A26" s="252"/>
      <c r="B26" s="252"/>
      <c r="C26" s="252"/>
      <c r="D26" s="252"/>
      <c r="E26" s="252"/>
      <c r="F26" s="252"/>
      <c r="G26" s="252"/>
      <c r="H26" s="252"/>
      <c r="I26" s="252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Z26" s="252"/>
      <c r="AA26" s="252"/>
      <c r="AB26" s="252"/>
      <c r="AC26" s="252"/>
      <c r="AD26" s="252"/>
      <c r="AE26" s="252"/>
      <c r="AF26" s="252"/>
      <c r="AG26" s="252"/>
      <c r="AH26" s="252"/>
      <c r="AI26" s="252"/>
      <c r="AJ26" s="252"/>
    </row>
    <row r="27" spans="1:36" x14ac:dyDescent="0.25">
      <c r="A27" s="252"/>
      <c r="B27" s="252"/>
      <c r="C27" s="252"/>
      <c r="D27" s="252"/>
      <c r="E27" s="252"/>
      <c r="F27" s="252"/>
      <c r="G27" s="252"/>
      <c r="H27" s="252"/>
      <c r="I27" s="252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</row>
    <row r="28" spans="1:36" x14ac:dyDescent="0.25">
      <c r="A28" s="252"/>
      <c r="B28" s="252"/>
      <c r="C28" s="252"/>
      <c r="D28" s="252"/>
      <c r="E28" s="252"/>
      <c r="F28" s="252"/>
      <c r="G28" s="252"/>
      <c r="H28" s="252"/>
      <c r="I28" s="252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  <c r="X28" s="252"/>
      <c r="Y28" s="252"/>
      <c r="Z28" s="252"/>
      <c r="AA28" s="252"/>
      <c r="AB28" s="252"/>
      <c r="AC28" s="252"/>
      <c r="AD28" s="252"/>
      <c r="AE28" s="252"/>
      <c r="AF28" s="252"/>
      <c r="AG28" s="252"/>
      <c r="AH28" s="252"/>
      <c r="AI28" s="252"/>
      <c r="AJ28" s="252"/>
    </row>
    <row r="29" spans="1:36" x14ac:dyDescent="0.25">
      <c r="A29" s="252"/>
      <c r="B29" s="252"/>
      <c r="C29" s="252"/>
      <c r="D29" s="252"/>
      <c r="E29" s="252"/>
      <c r="F29" s="252"/>
      <c r="G29" s="252"/>
      <c r="H29" s="252"/>
      <c r="I29" s="252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</row>
    <row r="30" spans="1:36" x14ac:dyDescent="0.25">
      <c r="A30" s="252"/>
      <c r="B30" s="252"/>
      <c r="C30" s="252"/>
      <c r="D30" s="252"/>
      <c r="E30" s="252"/>
      <c r="F30" s="252"/>
      <c r="G30" s="252"/>
      <c r="H30" s="252"/>
      <c r="I30" s="252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</row>
    <row r="31" spans="1:36" x14ac:dyDescent="0.25">
      <c r="A31" s="252"/>
      <c r="B31" s="252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</row>
    <row r="32" spans="1:36" x14ac:dyDescent="0.25">
      <c r="A32" s="252"/>
      <c r="B32" s="252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</row>
    <row r="33" spans="1:36" x14ac:dyDescent="0.25">
      <c r="A33" s="252"/>
      <c r="B33" s="252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</row>
    <row r="34" spans="1:36" x14ac:dyDescent="0.25">
      <c r="A34" s="252"/>
      <c r="B34" s="252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</row>
    <row r="35" spans="1:36" x14ac:dyDescent="0.25">
      <c r="A35" s="252"/>
      <c r="B35" s="252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</row>
    <row r="36" spans="1:36" x14ac:dyDescent="0.25">
      <c r="A36" s="252"/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</row>
    <row r="37" spans="1:36" x14ac:dyDescent="0.25">
      <c r="A37" s="252"/>
      <c r="B37" s="252"/>
      <c r="C37" s="252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  <c r="Z37" s="252"/>
      <c r="AA37" s="252"/>
      <c r="AB37" s="252"/>
      <c r="AC37" s="252"/>
      <c r="AD37" s="252"/>
      <c r="AE37" s="252"/>
      <c r="AF37" s="252"/>
      <c r="AG37" s="252"/>
      <c r="AH37" s="252"/>
      <c r="AI37" s="252"/>
      <c r="AJ37" s="252"/>
    </row>
    <row r="38" spans="1:36" x14ac:dyDescent="0.25">
      <c r="A38" s="252"/>
      <c r="B38" s="252"/>
      <c r="C38" s="252"/>
      <c r="D38" s="252"/>
      <c r="E38" s="252"/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  <c r="Z38" s="252"/>
      <c r="AA38" s="252"/>
      <c r="AB38" s="252"/>
      <c r="AC38" s="252"/>
      <c r="AD38" s="252"/>
      <c r="AE38" s="252"/>
      <c r="AF38" s="252"/>
      <c r="AG38" s="252"/>
      <c r="AH38" s="252"/>
      <c r="AI38" s="252"/>
      <c r="AJ38" s="252"/>
    </row>
    <row r="39" spans="1:36" x14ac:dyDescent="0.25">
      <c r="A39" s="252"/>
      <c r="B39" s="252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</row>
    <row r="40" spans="1:36" x14ac:dyDescent="0.25">
      <c r="A40" s="252"/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</row>
    <row r="41" spans="1:36" x14ac:dyDescent="0.25">
      <c r="A41" s="252"/>
      <c r="B41" s="252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</row>
    <row r="42" spans="1:36" x14ac:dyDescent="0.25">
      <c r="A42" s="252"/>
      <c r="B42" s="252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</row>
    <row r="43" spans="1:36" x14ac:dyDescent="0.25">
      <c r="A43" s="252"/>
      <c r="B43" s="252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</row>
    <row r="44" spans="1:36" x14ac:dyDescent="0.25">
      <c r="A44" s="252"/>
      <c r="B44" s="252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</row>
    <row r="45" spans="1:36" x14ac:dyDescent="0.25">
      <c r="A45" s="252"/>
      <c r="B45" s="252"/>
      <c r="C45" s="252"/>
      <c r="D45" s="252"/>
      <c r="E45" s="252"/>
      <c r="F45" s="252"/>
      <c r="G45" s="252"/>
      <c r="H45" s="252"/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Z45" s="252"/>
      <c r="AA45" s="252"/>
      <c r="AB45" s="252"/>
      <c r="AC45" s="252"/>
      <c r="AD45" s="252"/>
      <c r="AE45" s="252"/>
      <c r="AF45" s="252"/>
      <c r="AG45" s="252"/>
      <c r="AH45" s="252"/>
      <c r="AI45" s="252"/>
      <c r="AJ45" s="252"/>
    </row>
    <row r="46" spans="1:36" x14ac:dyDescent="0.25">
      <c r="A46" s="252"/>
      <c r="B46" s="252"/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Z46" s="252"/>
      <c r="AA46" s="252"/>
      <c r="AB46" s="252"/>
      <c r="AC46" s="252"/>
      <c r="AD46" s="252"/>
      <c r="AE46" s="252"/>
      <c r="AF46" s="252"/>
      <c r="AG46" s="252"/>
      <c r="AH46" s="252"/>
      <c r="AI46" s="252"/>
      <c r="AJ46" s="252"/>
    </row>
    <row r="47" spans="1:36" x14ac:dyDescent="0.25">
      <c r="A47" s="252"/>
      <c r="B47" s="252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</row>
    <row r="48" spans="1:36" x14ac:dyDescent="0.25">
      <c r="A48" s="252"/>
      <c r="B48" s="252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</row>
    <row r="49" spans="1:36" x14ac:dyDescent="0.25">
      <c r="A49" s="252"/>
      <c r="B49" s="252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</row>
    <row r="50" spans="1:36" x14ac:dyDescent="0.25">
      <c r="A50" s="252"/>
      <c r="B50" s="252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</row>
  </sheetData>
  <sheetProtection algorithmName="SHA-512" hashValue="zGENAMl9c21xH1WnBxnedgEkJ5cKdyH72FIo9zDm3EaO7PCQBbHl55rts8UPIY78/PJ5/rosM1Wv+9CKdWnRQg==" saltValue="C2LLBEd8uuDpADxwYzWNvg==" spinCount="100000" sheet="1" objects="1" scenarios="1" selectLockedCells="1"/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92D050"/>
  </sheetPr>
  <dimension ref="A1:AE82"/>
  <sheetViews>
    <sheetView showGridLines="0" showRowColHeaders="0" workbookViewId="0">
      <pane xSplit="4" ySplit="3" topLeftCell="E4" activePane="bottomRight" state="frozen"/>
      <selection activeCell="D4" sqref="D4"/>
      <selection pane="topRight" activeCell="D4" sqref="D4"/>
      <selection pane="bottomLeft" activeCell="D4" sqref="D4"/>
      <selection pane="bottomRight"/>
    </sheetView>
  </sheetViews>
  <sheetFormatPr defaultColWidth="8.85546875" defaultRowHeight="15" x14ac:dyDescent="0.25"/>
  <cols>
    <col min="1" max="2" width="2.85546875" customWidth="1"/>
    <col min="3" max="3" width="18.7109375" bestFit="1" customWidth="1"/>
    <col min="4" max="4" width="19.42578125" bestFit="1" customWidth="1"/>
    <col min="5" max="15" width="7.85546875" style="1" customWidth="1"/>
    <col min="16" max="16" width="7.85546875" style="105" customWidth="1"/>
    <col min="17" max="18" width="7.85546875" style="1" customWidth="1"/>
    <col min="19" max="19" width="7.85546875" style="105" customWidth="1"/>
    <col min="20" max="21" width="7.85546875" style="1" customWidth="1"/>
    <col min="22" max="22" width="7.85546875" style="105" customWidth="1"/>
  </cols>
  <sheetData>
    <row r="1" spans="1:31" ht="60" customHeight="1" x14ac:dyDescent="0.4">
      <c r="A1" s="187"/>
      <c r="B1" s="187"/>
      <c r="C1" s="226"/>
      <c r="D1" s="231" t="str">
        <f>Lists!$E$5</f>
        <v>Season 2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90"/>
      <c r="Q1" s="189"/>
      <c r="R1" s="189"/>
      <c r="S1" s="190"/>
      <c r="T1" s="189"/>
      <c r="U1" s="189"/>
      <c r="V1" s="190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 x14ac:dyDescent="0.25">
      <c r="A2" s="187"/>
      <c r="B2" s="187"/>
      <c r="C2" s="187"/>
      <c r="D2" s="187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90"/>
      <c r="Q2" s="189"/>
      <c r="R2" s="189"/>
      <c r="S2" s="190"/>
      <c r="T2" s="189"/>
      <c r="U2" s="189"/>
      <c r="V2" s="190"/>
      <c r="W2" s="187"/>
      <c r="X2" s="187"/>
      <c r="Y2" s="187"/>
      <c r="Z2" s="187"/>
      <c r="AA2" s="187"/>
      <c r="AB2" s="187"/>
      <c r="AC2" s="187"/>
      <c r="AD2" s="187"/>
      <c r="AE2" s="187"/>
    </row>
    <row r="3" spans="1:31" s="178" customFormat="1" ht="32.25" thickBot="1" x14ac:dyDescent="0.3">
      <c r="A3" s="188"/>
      <c r="B3" s="188"/>
      <c r="C3" s="179" t="s">
        <v>0</v>
      </c>
      <c r="D3" s="180" t="s">
        <v>70</v>
      </c>
      <c r="E3" s="180" t="s">
        <v>71</v>
      </c>
      <c r="F3" s="180" t="s">
        <v>72</v>
      </c>
      <c r="G3" s="180" t="s">
        <v>73</v>
      </c>
      <c r="H3" s="180" t="s">
        <v>74</v>
      </c>
      <c r="I3" s="180" t="s">
        <v>75</v>
      </c>
      <c r="J3" s="180" t="s">
        <v>76</v>
      </c>
      <c r="K3" s="180" t="s">
        <v>77</v>
      </c>
      <c r="L3" s="180" t="s">
        <v>78</v>
      </c>
      <c r="M3" s="180" t="s">
        <v>79</v>
      </c>
      <c r="N3" s="180" t="s">
        <v>80</v>
      </c>
      <c r="O3" s="180" t="s">
        <v>124</v>
      </c>
      <c r="P3" s="181" t="s">
        <v>82</v>
      </c>
      <c r="Q3" s="180" t="s">
        <v>125</v>
      </c>
      <c r="R3" s="180" t="s">
        <v>126</v>
      </c>
      <c r="S3" s="181" t="s">
        <v>85</v>
      </c>
      <c r="T3" s="180" t="s">
        <v>127</v>
      </c>
      <c r="U3" s="180" t="s">
        <v>128</v>
      </c>
      <c r="V3" s="182" t="s">
        <v>88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7"/>
      <c r="B4" s="187">
        <v>1</v>
      </c>
      <c r="C4" s="145" t="s">
        <v>2</v>
      </c>
      <c r="D4" s="184" t="str">
        <f>IFERROR(VLOOKUP($C4,Rosters!$C$4:$M$239,INDEX(Lists!$N$5:$O$80,MATCH($C4,Lists!$N$5:$N$80,FALSE),2)),"")</f>
        <v>Mustangs</v>
      </c>
      <c r="E4" s="185">
        <f>IF($C4="",-0.00001,COUNTIFS(Database!E:E,$C4,Database!A:A,$D$1))</f>
        <v>4</v>
      </c>
      <c r="F4" s="185">
        <f>IFERROR(IF($C4="",-0.00001,SUMIFS(Database!H:H,Database!$E:$E,$C4,Database!$A:$A,$D$1)),-0.00001)</f>
        <v>100</v>
      </c>
      <c r="G4" s="185">
        <f>IFERROR(IF($C4="",-0.00001,SUMIFS(Database!I:I,Database!$E:$E,$C4,Database!$A:$A,$D$1)),-0.00001)</f>
        <v>23</v>
      </c>
      <c r="H4" s="185">
        <f>IFERROR(IF($C4="",-0.00001,SUMIFS(Database!J:J,Database!$E:$E,$C4,Database!$A:$A,$D$1)),-0.00001)</f>
        <v>14</v>
      </c>
      <c r="I4" s="185">
        <f>IFERROR(IF($C4="",-0.00001,SUMIFS(Database!K:K,Database!$E:$E,$C4,Database!$A:$A,$D$1)),-0.00001)</f>
        <v>14</v>
      </c>
      <c r="J4" s="185">
        <f>IFERROR(IF($C4="",-0.00001,SUMIFS(Database!L:L,Database!$E:$E,$C4,Database!$A:$A,$D$1)),-0.00001)</f>
        <v>0</v>
      </c>
      <c r="K4" s="185">
        <f>IFERROR(IF($C4="",-0.00001,SUMIFS(Database!M:M,Database!$E:$E,$C4,Database!$A:$A,$D$1)),-0.00001)</f>
        <v>15</v>
      </c>
      <c r="L4" s="185">
        <f>IFERROR(IF($C4="",-0.00001,SUMIFS(Database!N:N,Database!$E:$E,$C4,Database!$A:$A,$D$1)),-0.00001)</f>
        <v>7</v>
      </c>
      <c r="M4" s="185">
        <f>IFERROR(IF($C4="",-0.00001,SUMIFS(Database!O:O,Database!$E:$E,$C4,Database!$A:$A,$D$1)),-0.00001)</f>
        <v>13</v>
      </c>
      <c r="N4" s="185">
        <f>IFERROR(IF($C4="",-0.00001,SUMIFS(Database!P:P,Database!$E:$E,$C4,Database!$A:$A,$D$1)),-0.00001)</f>
        <v>19</v>
      </c>
      <c r="O4" s="185">
        <f>IFERROR(IF($C4="",-0.00001,SUMIFS(Database!Q:Q,Database!$E:$E,$C4,Database!$A:$A,$D$1)),-0.00001)</f>
        <v>45</v>
      </c>
      <c r="P4" s="186">
        <f t="shared" ref="P4:P35" si="0">IFERROR(IF($C4="",-0.00001,$N4/$O4),-0.00001)</f>
        <v>0.42222222222222222</v>
      </c>
      <c r="Q4" s="185">
        <f>IFERROR(IF($C4="",-0.00001,SUMIFS(Database!S:S,Database!$E:$E,$C4,Database!$A:$A,$D$1)),-0.00001)</f>
        <v>38</v>
      </c>
      <c r="R4" s="185">
        <f>IFERROR(IF($C4="",-0.00001,SUMIFS(Database!T:T,Database!$E:$E,$C4,Database!$A:$A,$D$1)),-0.00001)</f>
        <v>82</v>
      </c>
      <c r="S4" s="186">
        <f t="shared" ref="S4:S35" si="1">IFERROR(IF($C4="",-0.00001,$Q4/$R4),-0.00001)</f>
        <v>0.46341463414634149</v>
      </c>
      <c r="T4" s="185">
        <f>IFERROR(IF($C4="",-0.00001,SUMIFS(Database!V:V,Database!$E:$E,$C4,Database!$A:$A,$D$1)),-0.00001)</f>
        <v>5</v>
      </c>
      <c r="U4" s="185">
        <f>IFERROR(IF($C4="",-0.00001,SUMIFS(Database!W:W,Database!$E:$E,$C4,Database!$A:$A,$D$1)),-0.00001)</f>
        <v>5</v>
      </c>
      <c r="V4" s="186">
        <f t="shared" ref="V4:V35" si="2">IFERROR(IF($C4="",-0.00001,$T4/$U4),-0.00001)</f>
        <v>1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187"/>
      <c r="B5" s="187">
        <f>IF($C5="","",MAX($B$4:$B4)+1)</f>
        <v>2</v>
      </c>
      <c r="C5" s="145" t="s">
        <v>8</v>
      </c>
      <c r="D5" s="183" t="str">
        <f>IFERROR(VLOOKUP($C5,Rosters!$C$4:$M$239,INDEX(Lists!$N$5:$O$80,MATCH($C5,Lists!$N$5:$N$80,FALSE),2)),"")</f>
        <v>Wombats</v>
      </c>
      <c r="E5" s="185">
        <f>IF($C5="",-0.00001,COUNTIFS(Database!E:E,$C5,Database!A:A,$D$1))</f>
        <v>4</v>
      </c>
      <c r="F5" s="185">
        <f>IFERROR(IF($C5="",-0.00001,SUMIFS(Database!H:H,Database!$E:$E,$C5,Database!$A:$A,$D$1)),-0.00001)</f>
        <v>95</v>
      </c>
      <c r="G5" s="185">
        <f>IFERROR(IF($C5="",-0.00001,SUMIFS(Database!I:I,Database!$E:$E,$C5,Database!$A:$A,$D$1)),-0.00001)</f>
        <v>22</v>
      </c>
      <c r="H5" s="185">
        <f>IFERROR(IF($C5="",-0.00001,SUMIFS(Database!J:J,Database!$E:$E,$C5,Database!$A:$A,$D$1)),-0.00001)</f>
        <v>14</v>
      </c>
      <c r="I5" s="185">
        <f>IFERROR(IF($C5="",-0.00001,SUMIFS(Database!K:K,Database!$E:$E,$C5,Database!$A:$A,$D$1)),-0.00001)</f>
        <v>2</v>
      </c>
      <c r="J5" s="185">
        <f>IFERROR(IF($C5="",-0.00001,SUMIFS(Database!L:L,Database!$E:$E,$C5,Database!$A:$A,$D$1)),-0.00001)</f>
        <v>0</v>
      </c>
      <c r="K5" s="185">
        <f>IFERROR(IF($C5="",-0.00001,SUMIFS(Database!M:M,Database!$E:$E,$C5,Database!$A:$A,$D$1)),-0.00001)</f>
        <v>15</v>
      </c>
      <c r="L5" s="185">
        <f>IFERROR(IF($C5="",-0.00001,SUMIFS(Database!N:N,Database!$E:$E,$C5,Database!$A:$A,$D$1)),-0.00001)</f>
        <v>10</v>
      </c>
      <c r="M5" s="185">
        <f>IFERROR(IF($C5="",-0.00001,SUMIFS(Database!O:O,Database!$E:$E,$C5,Database!$A:$A,$D$1)),-0.00001)</f>
        <v>12</v>
      </c>
      <c r="N5" s="185">
        <f>IFERROR(IF($C5="",-0.00001,SUMIFS(Database!P:P,Database!$E:$E,$C5,Database!$A:$A,$D$1)),-0.00001)</f>
        <v>12</v>
      </c>
      <c r="O5" s="185">
        <f>IFERROR(IF($C5="",-0.00001,SUMIFS(Database!Q:Q,Database!$E:$E,$C5,Database!$A:$A,$D$1)),-0.00001)</f>
        <v>39</v>
      </c>
      <c r="P5" s="186">
        <f t="shared" si="0"/>
        <v>0.30769230769230771</v>
      </c>
      <c r="Q5" s="185">
        <f>IFERROR(IF($C5="",-0.00001,SUMIFS(Database!S:S,Database!$E:$E,$C5,Database!$A:$A,$D$1)),-0.00001)</f>
        <v>36</v>
      </c>
      <c r="R5" s="185">
        <f>IFERROR(IF($C5="",-0.00001,SUMIFS(Database!T:T,Database!$E:$E,$C5,Database!$A:$A,$D$1)),-0.00001)</f>
        <v>95</v>
      </c>
      <c r="S5" s="186">
        <f t="shared" si="1"/>
        <v>0.37894736842105264</v>
      </c>
      <c r="T5" s="185">
        <f>IFERROR(IF($C5="",-0.00001,SUMIFS(Database!V:V,Database!$E:$E,$C5,Database!$A:$A,$D$1)),-0.00001)</f>
        <v>11</v>
      </c>
      <c r="U5" s="185">
        <f>IFERROR(IF($C5="",-0.00001,SUMIFS(Database!W:W,Database!$E:$E,$C5,Database!$A:$A,$D$1)),-0.00001)</f>
        <v>21</v>
      </c>
      <c r="V5" s="186">
        <f t="shared" si="2"/>
        <v>0.52380952380952384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187"/>
      <c r="B6" s="187">
        <f>IF($C6="","",MAX($B$4:$B5)+1)</f>
        <v>3</v>
      </c>
      <c r="C6" s="145" t="s">
        <v>31</v>
      </c>
      <c r="D6" s="183" t="str">
        <f>IFERROR(VLOOKUP($C6,Rosters!$C$4:$M$239,INDEX(Lists!$N$5:$O$80,MATCH($C6,Lists!$N$5:$N$80,FALSE),2)),"")</f>
        <v>Vandals</v>
      </c>
      <c r="E6" s="185">
        <f>IF($C6="",-0.00001,COUNTIFS(Database!E:E,$C6,Database!A:A,$D$1))</f>
        <v>4</v>
      </c>
      <c r="F6" s="185">
        <f>IFERROR(IF($C6="",-0.00001,SUMIFS(Database!H:H,Database!$E:$E,$C6,Database!$A:$A,$D$1)),-0.00001)</f>
        <v>82</v>
      </c>
      <c r="G6" s="185">
        <f>IFERROR(IF($C6="",-0.00001,SUMIFS(Database!I:I,Database!$E:$E,$C6,Database!$A:$A,$D$1)),-0.00001)</f>
        <v>20</v>
      </c>
      <c r="H6" s="185">
        <f>IFERROR(IF($C6="",-0.00001,SUMIFS(Database!J:J,Database!$E:$E,$C6,Database!$A:$A,$D$1)),-0.00001)</f>
        <v>9</v>
      </c>
      <c r="I6" s="185">
        <f>IFERROR(IF($C6="",-0.00001,SUMIFS(Database!K:K,Database!$E:$E,$C6,Database!$A:$A,$D$1)),-0.00001)</f>
        <v>2</v>
      </c>
      <c r="J6" s="185">
        <f>IFERROR(IF($C6="",-0.00001,SUMIFS(Database!L:L,Database!$E:$E,$C6,Database!$A:$A,$D$1)),-0.00001)</f>
        <v>3</v>
      </c>
      <c r="K6" s="185">
        <f>IFERROR(IF($C6="",-0.00001,SUMIFS(Database!M:M,Database!$E:$E,$C6,Database!$A:$A,$D$1)),-0.00001)</f>
        <v>16</v>
      </c>
      <c r="L6" s="185">
        <f>IFERROR(IF($C6="",-0.00001,SUMIFS(Database!N:N,Database!$E:$E,$C6,Database!$A:$A,$D$1)),-0.00001)</f>
        <v>3</v>
      </c>
      <c r="M6" s="185">
        <f>IFERROR(IF($C6="",-0.00001,SUMIFS(Database!O:O,Database!$E:$E,$C6,Database!$A:$A,$D$1)),-0.00001)</f>
        <v>13</v>
      </c>
      <c r="N6" s="185">
        <f>IFERROR(IF($C6="",-0.00001,SUMIFS(Database!P:P,Database!$E:$E,$C6,Database!$A:$A,$D$1)),-0.00001)</f>
        <v>7</v>
      </c>
      <c r="O6" s="185">
        <f>IFERROR(IF($C6="",-0.00001,SUMIFS(Database!Q:Q,Database!$E:$E,$C6,Database!$A:$A,$D$1)),-0.00001)</f>
        <v>23</v>
      </c>
      <c r="P6" s="186">
        <f t="shared" si="0"/>
        <v>0.30434782608695654</v>
      </c>
      <c r="Q6" s="185">
        <f>IFERROR(IF($C6="",-0.00001,SUMIFS(Database!S:S,Database!$E:$E,$C6,Database!$A:$A,$D$1)),-0.00001)</f>
        <v>32</v>
      </c>
      <c r="R6" s="185">
        <f>IFERROR(IF($C6="",-0.00001,SUMIFS(Database!T:T,Database!$E:$E,$C6,Database!$A:$A,$D$1)),-0.00001)</f>
        <v>79</v>
      </c>
      <c r="S6" s="186">
        <f t="shared" si="1"/>
        <v>0.4050632911392405</v>
      </c>
      <c r="T6" s="185">
        <f>IFERROR(IF($C6="",-0.00001,SUMIFS(Database!V:V,Database!$E:$E,$C6,Database!$A:$A,$D$1)),-0.00001)</f>
        <v>11</v>
      </c>
      <c r="U6" s="185">
        <f>IFERROR(IF($C6="",-0.00001,SUMIFS(Database!W:W,Database!$E:$E,$C6,Database!$A:$A,$D$1)),-0.00001)</f>
        <v>14</v>
      </c>
      <c r="V6" s="186">
        <f t="shared" si="2"/>
        <v>0.7857142857142857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187"/>
      <c r="B7" s="187">
        <f>IF($C7="","",MAX($B$4:$B6)+1)</f>
        <v>4</v>
      </c>
      <c r="C7" s="145" t="s">
        <v>26</v>
      </c>
      <c r="D7" s="183" t="str">
        <f>IFERROR(VLOOKUP($C7,Rosters!$C$4:$M$239,INDEX(Lists!$N$5:$O$80,MATCH($C7,Lists!$N$5:$N$80,FALSE),2)),"")</f>
        <v>Hoopers</v>
      </c>
      <c r="E7" s="185">
        <f>IF($C7="",-0.00001,COUNTIFS(Database!E:E,$C7,Database!A:A,$D$1))</f>
        <v>4</v>
      </c>
      <c r="F7" s="185">
        <f>IFERROR(IF($C7="",-0.00001,SUMIFS(Database!H:H,Database!$E:$E,$C7,Database!$A:$A,$D$1)),-0.00001)</f>
        <v>78</v>
      </c>
      <c r="G7" s="185">
        <f>IFERROR(IF($C7="",-0.00001,SUMIFS(Database!I:I,Database!$E:$E,$C7,Database!$A:$A,$D$1)),-0.00001)</f>
        <v>27</v>
      </c>
      <c r="H7" s="185">
        <f>IFERROR(IF($C7="",-0.00001,SUMIFS(Database!J:J,Database!$E:$E,$C7,Database!$A:$A,$D$1)),-0.00001)</f>
        <v>8</v>
      </c>
      <c r="I7" s="185">
        <f>IFERROR(IF($C7="",-0.00001,SUMIFS(Database!K:K,Database!$E:$E,$C7,Database!$A:$A,$D$1)),-0.00001)</f>
        <v>2</v>
      </c>
      <c r="J7" s="185">
        <f>IFERROR(IF($C7="",-0.00001,SUMIFS(Database!L:L,Database!$E:$E,$C7,Database!$A:$A,$D$1)),-0.00001)</f>
        <v>0</v>
      </c>
      <c r="K7" s="185">
        <f>IFERROR(IF($C7="",-0.00001,SUMIFS(Database!M:M,Database!$E:$E,$C7,Database!$A:$A,$D$1)),-0.00001)</f>
        <v>4</v>
      </c>
      <c r="L7" s="185">
        <f>IFERROR(IF($C7="",-0.00001,SUMIFS(Database!N:N,Database!$E:$E,$C7,Database!$A:$A,$D$1)),-0.00001)</f>
        <v>13</v>
      </c>
      <c r="M7" s="185">
        <f>IFERROR(IF($C7="",-0.00001,SUMIFS(Database!O:O,Database!$E:$E,$C7,Database!$A:$A,$D$1)),-0.00001)</f>
        <v>14</v>
      </c>
      <c r="N7" s="185">
        <f>IFERROR(IF($C7="",-0.00001,SUMIFS(Database!P:P,Database!$E:$E,$C7,Database!$A:$A,$D$1)),-0.00001)</f>
        <v>15</v>
      </c>
      <c r="O7" s="185">
        <f>IFERROR(IF($C7="",-0.00001,SUMIFS(Database!Q:Q,Database!$E:$E,$C7,Database!$A:$A,$D$1)),-0.00001)</f>
        <v>42</v>
      </c>
      <c r="P7" s="186">
        <f t="shared" si="0"/>
        <v>0.35714285714285715</v>
      </c>
      <c r="Q7" s="185">
        <f>IFERROR(IF($C7="",-0.00001,SUMIFS(Database!S:S,Database!$E:$E,$C7,Database!$A:$A,$D$1)),-0.00001)</f>
        <v>30</v>
      </c>
      <c r="R7" s="185">
        <f>IFERROR(IF($C7="",-0.00001,SUMIFS(Database!T:T,Database!$E:$E,$C7,Database!$A:$A,$D$1)),-0.00001)</f>
        <v>88</v>
      </c>
      <c r="S7" s="186">
        <f t="shared" si="1"/>
        <v>0.34090909090909088</v>
      </c>
      <c r="T7" s="185">
        <f>IFERROR(IF($C7="",-0.00001,SUMIFS(Database!V:V,Database!$E:$E,$C7,Database!$A:$A,$D$1)),-0.00001)</f>
        <v>3</v>
      </c>
      <c r="U7" s="185">
        <f>IFERROR(IF($C7="",-0.00001,SUMIFS(Database!W:W,Database!$E:$E,$C7,Database!$A:$A,$D$1)),-0.00001)</f>
        <v>4</v>
      </c>
      <c r="V7" s="186">
        <f t="shared" si="2"/>
        <v>0.75</v>
      </c>
      <c r="W7" s="187"/>
      <c r="X7" s="187"/>
      <c r="Y7" s="187"/>
      <c r="Z7" s="187"/>
      <c r="AA7" s="187"/>
      <c r="AB7" s="187"/>
      <c r="AC7" s="187"/>
      <c r="AD7" s="187"/>
      <c r="AE7" s="187"/>
    </row>
    <row r="8" spans="1:31" x14ac:dyDescent="0.25">
      <c r="A8" s="187"/>
      <c r="B8" s="187">
        <f>IF($C8="","",MAX($B$4:$B7)+1)</f>
        <v>5</v>
      </c>
      <c r="C8" s="145" t="s">
        <v>1</v>
      </c>
      <c r="D8" s="183" t="str">
        <f>IFERROR(VLOOKUP($C8,Rosters!$C$4:$M$239,INDEX(Lists!$N$5:$O$80,MATCH($C8,Lists!$N$5:$N$80,FALSE),2)),"")</f>
        <v>Mustangs</v>
      </c>
      <c r="E8" s="185">
        <f>IF($C8="",-0.00001,COUNTIFS(Database!E:E,$C8,Database!A:A,$D$1))</f>
        <v>4</v>
      </c>
      <c r="F8" s="185">
        <f>IFERROR(IF($C8="",-0.00001,SUMIFS(Database!H:H,Database!$E:$E,$C8,Database!$A:$A,$D$1)),-0.00001)</f>
        <v>70</v>
      </c>
      <c r="G8" s="185">
        <f>IFERROR(IF($C8="",-0.00001,SUMIFS(Database!I:I,Database!$E:$E,$C8,Database!$A:$A,$D$1)),-0.00001)</f>
        <v>41</v>
      </c>
      <c r="H8" s="185">
        <f>IFERROR(IF($C8="",-0.00001,SUMIFS(Database!J:J,Database!$E:$E,$C8,Database!$A:$A,$D$1)),-0.00001)</f>
        <v>17</v>
      </c>
      <c r="I8" s="185">
        <f>IFERROR(IF($C8="",-0.00001,SUMIFS(Database!K:K,Database!$E:$E,$C8,Database!$A:$A,$D$1)),-0.00001)</f>
        <v>9</v>
      </c>
      <c r="J8" s="185">
        <f>IFERROR(IF($C8="",-0.00001,SUMIFS(Database!L:L,Database!$E:$E,$C8,Database!$A:$A,$D$1)),-0.00001)</f>
        <v>1</v>
      </c>
      <c r="K8" s="185">
        <f>IFERROR(IF($C8="",-0.00001,SUMIFS(Database!M:M,Database!$E:$E,$C8,Database!$A:$A,$D$1)),-0.00001)</f>
        <v>12</v>
      </c>
      <c r="L8" s="185">
        <f>IFERROR(IF($C8="",-0.00001,SUMIFS(Database!N:N,Database!$E:$E,$C8,Database!$A:$A,$D$1)),-0.00001)</f>
        <v>11</v>
      </c>
      <c r="M8" s="185">
        <f>IFERROR(IF($C8="",-0.00001,SUMIFS(Database!O:O,Database!$E:$E,$C8,Database!$A:$A,$D$1)),-0.00001)</f>
        <v>13</v>
      </c>
      <c r="N8" s="185">
        <f>IFERROR(IF($C8="",-0.00001,SUMIFS(Database!P:P,Database!$E:$E,$C8,Database!$A:$A,$D$1)),-0.00001)</f>
        <v>12</v>
      </c>
      <c r="O8" s="185">
        <f>IFERROR(IF($C8="",-0.00001,SUMIFS(Database!Q:Q,Database!$E:$E,$C8,Database!$A:$A,$D$1)),-0.00001)</f>
        <v>36</v>
      </c>
      <c r="P8" s="186">
        <f t="shared" si="0"/>
        <v>0.33333333333333331</v>
      </c>
      <c r="Q8" s="185">
        <f>IFERROR(IF($C8="",-0.00001,SUMIFS(Database!S:S,Database!$E:$E,$C8,Database!$A:$A,$D$1)),-0.00001)</f>
        <v>28</v>
      </c>
      <c r="R8" s="185">
        <f>IFERROR(IF($C8="",-0.00001,SUMIFS(Database!T:T,Database!$E:$E,$C8,Database!$A:$A,$D$1)),-0.00001)</f>
        <v>65</v>
      </c>
      <c r="S8" s="186">
        <f t="shared" si="1"/>
        <v>0.43076923076923079</v>
      </c>
      <c r="T8" s="185">
        <f>IFERROR(IF($C8="",-0.00001,SUMIFS(Database!V:V,Database!$E:$E,$C8,Database!$A:$A,$D$1)),-0.00001)</f>
        <v>2</v>
      </c>
      <c r="U8" s="185">
        <f>IFERROR(IF($C8="",-0.00001,SUMIFS(Database!W:W,Database!$E:$E,$C8,Database!$A:$A,$D$1)),-0.00001)</f>
        <v>4</v>
      </c>
      <c r="V8" s="186">
        <f t="shared" si="2"/>
        <v>0.5</v>
      </c>
      <c r="W8" s="187"/>
      <c r="X8" s="187"/>
      <c r="Y8" s="187"/>
      <c r="Z8" s="187"/>
      <c r="AA8" s="187"/>
      <c r="AB8" s="187"/>
      <c r="AC8" s="187"/>
      <c r="AD8" s="187"/>
      <c r="AE8" s="187"/>
    </row>
    <row r="9" spans="1:31" x14ac:dyDescent="0.25">
      <c r="A9" s="187"/>
      <c r="B9" s="187">
        <f>IF($C9="","",MAX($B$4:$B8)+1)</f>
        <v>6</v>
      </c>
      <c r="C9" s="145" t="s">
        <v>19</v>
      </c>
      <c r="D9" s="183" t="str">
        <f>IFERROR(VLOOKUP($C9,Rosters!$C$4:$M$239,INDEX(Lists!$N$5:$O$80,MATCH($C9,Lists!$N$5:$N$80,FALSE),2)),"")</f>
        <v>Lightning</v>
      </c>
      <c r="E9" s="185">
        <f>IF($C9="",-0.00001,COUNTIFS(Database!E:E,$C9,Database!A:A,$D$1))</f>
        <v>4</v>
      </c>
      <c r="F9" s="185">
        <f>IFERROR(IF($C9="",-0.00001,SUMIFS(Database!H:H,Database!$E:$E,$C9,Database!$A:$A,$D$1)),-0.00001)</f>
        <v>67</v>
      </c>
      <c r="G9" s="185">
        <f>IFERROR(IF($C9="",-0.00001,SUMIFS(Database!I:I,Database!$E:$E,$C9,Database!$A:$A,$D$1)),-0.00001)</f>
        <v>49</v>
      </c>
      <c r="H9" s="185">
        <f>IFERROR(IF($C9="",-0.00001,SUMIFS(Database!J:J,Database!$E:$E,$C9,Database!$A:$A,$D$1)),-0.00001)</f>
        <v>23</v>
      </c>
      <c r="I9" s="185">
        <f>IFERROR(IF($C9="",-0.00001,SUMIFS(Database!K:K,Database!$E:$E,$C9,Database!$A:$A,$D$1)),-0.00001)</f>
        <v>13</v>
      </c>
      <c r="J9" s="185">
        <f>IFERROR(IF($C9="",-0.00001,SUMIFS(Database!L:L,Database!$E:$E,$C9,Database!$A:$A,$D$1)),-0.00001)</f>
        <v>14</v>
      </c>
      <c r="K9" s="185">
        <f>IFERROR(IF($C9="",-0.00001,SUMIFS(Database!M:M,Database!$E:$E,$C9,Database!$A:$A,$D$1)),-0.00001)</f>
        <v>8</v>
      </c>
      <c r="L9" s="185">
        <f>IFERROR(IF($C9="",-0.00001,SUMIFS(Database!N:N,Database!$E:$E,$C9,Database!$A:$A,$D$1)),-0.00001)</f>
        <v>11</v>
      </c>
      <c r="M9" s="185">
        <f>IFERROR(IF($C9="",-0.00001,SUMIFS(Database!O:O,Database!$E:$E,$C9,Database!$A:$A,$D$1)),-0.00001)</f>
        <v>38</v>
      </c>
      <c r="N9" s="185">
        <f>IFERROR(IF($C9="",-0.00001,SUMIFS(Database!P:P,Database!$E:$E,$C9,Database!$A:$A,$D$1)),-0.00001)</f>
        <v>2</v>
      </c>
      <c r="O9" s="185">
        <f>IFERROR(IF($C9="",-0.00001,SUMIFS(Database!Q:Q,Database!$E:$E,$C9,Database!$A:$A,$D$1)),-0.00001)</f>
        <v>4</v>
      </c>
      <c r="P9" s="186">
        <f t="shared" si="0"/>
        <v>0.5</v>
      </c>
      <c r="Q9" s="185">
        <f>IFERROR(IF($C9="",-0.00001,SUMIFS(Database!S:S,Database!$E:$E,$C9,Database!$A:$A,$D$1)),-0.00001)</f>
        <v>28</v>
      </c>
      <c r="R9" s="185">
        <f>IFERROR(IF($C9="",-0.00001,SUMIFS(Database!T:T,Database!$E:$E,$C9,Database!$A:$A,$D$1)),-0.00001)</f>
        <v>49</v>
      </c>
      <c r="S9" s="186">
        <f t="shared" si="1"/>
        <v>0.5714285714285714</v>
      </c>
      <c r="T9" s="185">
        <f>IFERROR(IF($C9="",-0.00001,SUMIFS(Database!V:V,Database!$E:$E,$C9,Database!$A:$A,$D$1)),-0.00001)</f>
        <v>9</v>
      </c>
      <c r="U9" s="185">
        <f>IFERROR(IF($C9="",-0.00001,SUMIFS(Database!W:W,Database!$E:$E,$C9,Database!$A:$A,$D$1)),-0.00001)</f>
        <v>20</v>
      </c>
      <c r="V9" s="186">
        <f t="shared" si="2"/>
        <v>0.45</v>
      </c>
      <c r="W9" s="187"/>
      <c r="X9" s="187"/>
      <c r="Y9" s="187"/>
      <c r="Z9" s="187"/>
      <c r="AA9" s="187"/>
      <c r="AB9" s="187"/>
      <c r="AC9" s="187"/>
      <c r="AD9" s="187"/>
      <c r="AE9" s="187"/>
    </row>
    <row r="10" spans="1:31" x14ac:dyDescent="0.25">
      <c r="A10" s="187"/>
      <c r="B10" s="187">
        <f>IF($C10="","",MAX($B$4:$B9)+1)</f>
        <v>7</v>
      </c>
      <c r="C10" s="145" t="s">
        <v>20</v>
      </c>
      <c r="D10" s="183" t="str">
        <f>IFERROR(VLOOKUP($C10,Rosters!$C$4:$M$239,INDEX(Lists!$N$5:$O$80,MATCH($C10,Lists!$N$5:$N$80,FALSE),2)),"")</f>
        <v>Lightning</v>
      </c>
      <c r="E10" s="185">
        <f>IF($C10="",-0.00001,COUNTIFS(Database!E:E,$C10,Database!A:A,$D$1))</f>
        <v>4</v>
      </c>
      <c r="F10" s="185">
        <f>IFERROR(IF($C10="",-0.00001,SUMIFS(Database!H:H,Database!$E:$E,$C10,Database!$A:$A,$D$1)),-0.00001)</f>
        <v>62</v>
      </c>
      <c r="G10" s="185">
        <f>IFERROR(IF($C10="",-0.00001,SUMIFS(Database!I:I,Database!$E:$E,$C10,Database!$A:$A,$D$1)),-0.00001)</f>
        <v>21</v>
      </c>
      <c r="H10" s="185">
        <f>IFERROR(IF($C10="",-0.00001,SUMIFS(Database!J:J,Database!$E:$E,$C10,Database!$A:$A,$D$1)),-0.00001)</f>
        <v>8</v>
      </c>
      <c r="I10" s="185">
        <f>IFERROR(IF($C10="",-0.00001,SUMIFS(Database!K:K,Database!$E:$E,$C10,Database!$A:$A,$D$1)),-0.00001)</f>
        <v>8</v>
      </c>
      <c r="J10" s="185">
        <f>IFERROR(IF($C10="",-0.00001,SUMIFS(Database!L:L,Database!$E:$E,$C10,Database!$A:$A,$D$1)),-0.00001)</f>
        <v>1</v>
      </c>
      <c r="K10" s="185">
        <f>IFERROR(IF($C10="",-0.00001,SUMIFS(Database!M:M,Database!$E:$E,$C10,Database!$A:$A,$D$1)),-0.00001)</f>
        <v>3</v>
      </c>
      <c r="L10" s="185">
        <f>IFERROR(IF($C10="",-0.00001,SUMIFS(Database!N:N,Database!$E:$E,$C10,Database!$A:$A,$D$1)),-0.00001)</f>
        <v>8</v>
      </c>
      <c r="M10" s="185">
        <f>IFERROR(IF($C10="",-0.00001,SUMIFS(Database!O:O,Database!$E:$E,$C10,Database!$A:$A,$D$1)),-0.00001)</f>
        <v>13</v>
      </c>
      <c r="N10" s="185">
        <f>IFERROR(IF($C10="",-0.00001,SUMIFS(Database!P:P,Database!$E:$E,$C10,Database!$A:$A,$D$1)),-0.00001)</f>
        <v>7</v>
      </c>
      <c r="O10" s="185">
        <f>IFERROR(IF($C10="",-0.00001,SUMIFS(Database!Q:Q,Database!$E:$E,$C10,Database!$A:$A,$D$1)),-0.00001)</f>
        <v>25</v>
      </c>
      <c r="P10" s="186">
        <f t="shared" si="0"/>
        <v>0.28000000000000003</v>
      </c>
      <c r="Q10" s="185">
        <f>IFERROR(IF($C10="",-0.00001,SUMIFS(Database!S:S,Database!$E:$E,$C10,Database!$A:$A,$D$1)),-0.00001)</f>
        <v>27</v>
      </c>
      <c r="R10" s="185">
        <f>IFERROR(IF($C10="",-0.00001,SUMIFS(Database!T:T,Database!$E:$E,$C10,Database!$A:$A,$D$1)),-0.00001)</f>
        <v>70</v>
      </c>
      <c r="S10" s="186">
        <f t="shared" si="1"/>
        <v>0.38571428571428573</v>
      </c>
      <c r="T10" s="185">
        <f>IFERROR(IF($C10="",-0.00001,SUMIFS(Database!V:V,Database!$E:$E,$C10,Database!$A:$A,$D$1)),-0.00001)</f>
        <v>1</v>
      </c>
      <c r="U10" s="185">
        <f>IFERROR(IF($C10="",-0.00001,SUMIFS(Database!W:W,Database!$E:$E,$C10,Database!$A:$A,$D$1)),-0.00001)</f>
        <v>1</v>
      </c>
      <c r="V10" s="186">
        <f t="shared" si="2"/>
        <v>1</v>
      </c>
      <c r="W10" s="187"/>
      <c r="X10" s="187"/>
      <c r="Y10" s="187"/>
      <c r="Z10" s="187"/>
      <c r="AA10" s="187"/>
      <c r="AB10" s="187"/>
      <c r="AC10" s="187"/>
      <c r="AD10" s="187"/>
      <c r="AE10" s="187"/>
    </row>
    <row r="11" spans="1:31" x14ac:dyDescent="0.25">
      <c r="A11" s="187"/>
      <c r="B11" s="187">
        <f>IF($C11="","",MAX($B$4:$B10)+1)</f>
        <v>8</v>
      </c>
      <c r="C11" s="145" t="s">
        <v>27</v>
      </c>
      <c r="D11" s="183" t="str">
        <f>IFERROR(VLOOKUP($C11,Rosters!$C$4:$M$239,INDEX(Lists!$N$5:$O$80,MATCH($C11,Lists!$N$5:$N$80,FALSE),2)),"")</f>
        <v>Hoopers</v>
      </c>
      <c r="E11" s="185">
        <f>IF($C11="",-0.00001,COUNTIFS(Database!E:E,$C11,Database!A:A,$D$1))</f>
        <v>4</v>
      </c>
      <c r="F11" s="185">
        <f>IFERROR(IF($C11="",-0.00001,SUMIFS(Database!H:H,Database!$E:$E,$C11,Database!$A:$A,$D$1)),-0.00001)</f>
        <v>61</v>
      </c>
      <c r="G11" s="185">
        <f>IFERROR(IF($C11="",-0.00001,SUMIFS(Database!I:I,Database!$E:$E,$C11,Database!$A:$A,$D$1)),-0.00001)</f>
        <v>25</v>
      </c>
      <c r="H11" s="185">
        <f>IFERROR(IF($C11="",-0.00001,SUMIFS(Database!J:J,Database!$E:$E,$C11,Database!$A:$A,$D$1)),-0.00001)</f>
        <v>1</v>
      </c>
      <c r="I11" s="185">
        <f>IFERROR(IF($C11="",-0.00001,SUMIFS(Database!K:K,Database!$E:$E,$C11,Database!$A:$A,$D$1)),-0.00001)</f>
        <v>5</v>
      </c>
      <c r="J11" s="185">
        <f>IFERROR(IF($C11="",-0.00001,SUMIFS(Database!L:L,Database!$E:$E,$C11,Database!$A:$A,$D$1)),-0.00001)</f>
        <v>0</v>
      </c>
      <c r="K11" s="185">
        <f>IFERROR(IF($C11="",-0.00001,SUMIFS(Database!M:M,Database!$E:$E,$C11,Database!$A:$A,$D$1)),-0.00001)</f>
        <v>6</v>
      </c>
      <c r="L11" s="185">
        <f>IFERROR(IF($C11="",-0.00001,SUMIFS(Database!N:N,Database!$E:$E,$C11,Database!$A:$A,$D$1)),-0.00001)</f>
        <v>9</v>
      </c>
      <c r="M11" s="185">
        <f>IFERROR(IF($C11="",-0.00001,SUMIFS(Database!O:O,Database!$E:$E,$C11,Database!$A:$A,$D$1)),-0.00001)</f>
        <v>16</v>
      </c>
      <c r="N11" s="185">
        <f>IFERROR(IF($C11="",-0.00001,SUMIFS(Database!P:P,Database!$E:$E,$C11,Database!$A:$A,$D$1)),-0.00001)</f>
        <v>4</v>
      </c>
      <c r="O11" s="185">
        <f>IFERROR(IF($C11="",-0.00001,SUMIFS(Database!Q:Q,Database!$E:$E,$C11,Database!$A:$A,$D$1)),-0.00001)</f>
        <v>22</v>
      </c>
      <c r="P11" s="186">
        <f t="shared" si="0"/>
        <v>0.18181818181818182</v>
      </c>
      <c r="Q11" s="185">
        <f>IFERROR(IF($C11="",-0.00001,SUMIFS(Database!S:S,Database!$E:$E,$C11,Database!$A:$A,$D$1)),-0.00001)</f>
        <v>28</v>
      </c>
      <c r="R11" s="185">
        <f>IFERROR(IF($C11="",-0.00001,SUMIFS(Database!T:T,Database!$E:$E,$C11,Database!$A:$A,$D$1)),-0.00001)</f>
        <v>80</v>
      </c>
      <c r="S11" s="186">
        <f t="shared" si="1"/>
        <v>0.35</v>
      </c>
      <c r="T11" s="185">
        <f>IFERROR(IF($C11="",-0.00001,SUMIFS(Database!V:V,Database!$E:$E,$C11,Database!$A:$A,$D$1)),-0.00001)</f>
        <v>1</v>
      </c>
      <c r="U11" s="185">
        <f>IFERROR(IF($C11="",-0.00001,SUMIFS(Database!W:W,Database!$E:$E,$C11,Database!$A:$A,$D$1)),-0.00001)</f>
        <v>7</v>
      </c>
      <c r="V11" s="186">
        <f t="shared" si="2"/>
        <v>0.14285714285714285</v>
      </c>
      <c r="W11" s="187"/>
      <c r="X11" s="187"/>
      <c r="Y11" s="187"/>
      <c r="Z11" s="187"/>
      <c r="AA11" s="187"/>
      <c r="AB11" s="187"/>
      <c r="AC11" s="187"/>
      <c r="AD11" s="187"/>
      <c r="AE11" s="187"/>
    </row>
    <row r="12" spans="1:31" x14ac:dyDescent="0.25">
      <c r="A12" s="187"/>
      <c r="B12" s="187">
        <f>IF($C12="","",MAX($B$4:$B11)+1)</f>
        <v>9</v>
      </c>
      <c r="C12" s="145" t="s">
        <v>9</v>
      </c>
      <c r="D12" s="183" t="str">
        <f>IFERROR(VLOOKUP($C12,Rosters!$C$4:$M$239,INDEX(Lists!$N$5:$O$80,MATCH($C12,Lists!$N$5:$N$80,FALSE),2)),"")</f>
        <v>Wombats</v>
      </c>
      <c r="E12" s="185">
        <f>IF($C12="",-0.00001,COUNTIFS(Database!E:E,$C12,Database!A:A,$D$1))</f>
        <v>4</v>
      </c>
      <c r="F12" s="185">
        <f>IFERROR(IF($C12="",-0.00001,SUMIFS(Database!H:H,Database!$E:$E,$C12,Database!$A:$A,$D$1)),-0.00001)</f>
        <v>52</v>
      </c>
      <c r="G12" s="185">
        <f>IFERROR(IF($C12="",-0.00001,SUMIFS(Database!I:I,Database!$E:$E,$C12,Database!$A:$A,$D$1)),-0.00001)</f>
        <v>26</v>
      </c>
      <c r="H12" s="185">
        <f>IFERROR(IF($C12="",-0.00001,SUMIFS(Database!J:J,Database!$E:$E,$C12,Database!$A:$A,$D$1)),-0.00001)</f>
        <v>8</v>
      </c>
      <c r="I12" s="185">
        <f>IFERROR(IF($C12="",-0.00001,SUMIFS(Database!K:K,Database!$E:$E,$C12,Database!$A:$A,$D$1)),-0.00001)</f>
        <v>4</v>
      </c>
      <c r="J12" s="185">
        <f>IFERROR(IF($C12="",-0.00001,SUMIFS(Database!L:L,Database!$E:$E,$C12,Database!$A:$A,$D$1)),-0.00001)</f>
        <v>0</v>
      </c>
      <c r="K12" s="185">
        <f>IFERROR(IF($C12="",-0.00001,SUMIFS(Database!M:M,Database!$E:$E,$C12,Database!$A:$A,$D$1)),-0.00001)</f>
        <v>5</v>
      </c>
      <c r="L12" s="185">
        <f>IFERROR(IF($C12="",-0.00001,SUMIFS(Database!N:N,Database!$E:$E,$C12,Database!$A:$A,$D$1)),-0.00001)</f>
        <v>7</v>
      </c>
      <c r="M12" s="185">
        <f>IFERROR(IF($C12="",-0.00001,SUMIFS(Database!O:O,Database!$E:$E,$C12,Database!$A:$A,$D$1)),-0.00001)</f>
        <v>19</v>
      </c>
      <c r="N12" s="185">
        <f>IFERROR(IF($C12="",-0.00001,SUMIFS(Database!P:P,Database!$E:$E,$C12,Database!$A:$A,$D$1)),-0.00001)</f>
        <v>10</v>
      </c>
      <c r="O12" s="185">
        <f>IFERROR(IF($C12="",-0.00001,SUMIFS(Database!Q:Q,Database!$E:$E,$C12,Database!$A:$A,$D$1)),-0.00001)</f>
        <v>34</v>
      </c>
      <c r="P12" s="186">
        <f t="shared" si="0"/>
        <v>0.29411764705882354</v>
      </c>
      <c r="Q12" s="185">
        <f>IFERROR(IF($C12="",-0.00001,SUMIFS(Database!S:S,Database!$E:$E,$C12,Database!$A:$A,$D$1)),-0.00001)</f>
        <v>21</v>
      </c>
      <c r="R12" s="185">
        <f>IFERROR(IF($C12="",-0.00001,SUMIFS(Database!T:T,Database!$E:$E,$C12,Database!$A:$A,$D$1)),-0.00001)</f>
        <v>54</v>
      </c>
      <c r="S12" s="186">
        <f t="shared" si="1"/>
        <v>0.3888888888888889</v>
      </c>
      <c r="T12" s="185">
        <f>IFERROR(IF($C12="",-0.00001,SUMIFS(Database!V:V,Database!$E:$E,$C12,Database!$A:$A,$D$1)),-0.00001)</f>
        <v>0</v>
      </c>
      <c r="U12" s="185">
        <f>IFERROR(IF($C12="",-0.00001,SUMIFS(Database!W:W,Database!$E:$E,$C12,Database!$A:$A,$D$1)),-0.00001)</f>
        <v>1</v>
      </c>
      <c r="V12" s="186">
        <f t="shared" si="2"/>
        <v>0</v>
      </c>
      <c r="W12" s="187"/>
      <c r="X12" s="187"/>
      <c r="Y12" s="187"/>
      <c r="Z12" s="187"/>
      <c r="AA12" s="187"/>
      <c r="AB12" s="187"/>
      <c r="AC12" s="187"/>
      <c r="AD12" s="187"/>
      <c r="AE12" s="187"/>
    </row>
    <row r="13" spans="1:31" x14ac:dyDescent="0.25">
      <c r="A13" s="187"/>
      <c r="B13" s="187">
        <f>IF($C13="","",MAX($B$4:$B12)+1)</f>
        <v>10</v>
      </c>
      <c r="C13" s="145" t="s">
        <v>33</v>
      </c>
      <c r="D13" s="183" t="str">
        <f>IFERROR(VLOOKUP($C13,Rosters!$C$4:$M$239,INDEX(Lists!$N$5:$O$80,MATCH($C13,Lists!$N$5:$N$80,FALSE),2)),"")</f>
        <v>Vandals</v>
      </c>
      <c r="E13" s="185">
        <f>IF($C13="",-0.00001,COUNTIFS(Database!E:E,$C13,Database!A:A,$D$1))</f>
        <v>4</v>
      </c>
      <c r="F13" s="185">
        <f>IFERROR(IF($C13="",-0.00001,SUMIFS(Database!H:H,Database!$E:$E,$C13,Database!$A:$A,$D$1)),-0.00001)</f>
        <v>51</v>
      </c>
      <c r="G13" s="185">
        <f>IFERROR(IF($C13="",-0.00001,SUMIFS(Database!I:I,Database!$E:$E,$C13,Database!$A:$A,$D$1)),-0.00001)</f>
        <v>59</v>
      </c>
      <c r="H13" s="185">
        <f>IFERROR(IF($C13="",-0.00001,SUMIFS(Database!J:J,Database!$E:$E,$C13,Database!$A:$A,$D$1)),-0.00001)</f>
        <v>10</v>
      </c>
      <c r="I13" s="185">
        <f>IFERROR(IF($C13="",-0.00001,SUMIFS(Database!K:K,Database!$E:$E,$C13,Database!$A:$A,$D$1)),-0.00001)</f>
        <v>19</v>
      </c>
      <c r="J13" s="185">
        <f>IFERROR(IF($C13="",-0.00001,SUMIFS(Database!L:L,Database!$E:$E,$C13,Database!$A:$A,$D$1)),-0.00001)</f>
        <v>4</v>
      </c>
      <c r="K13" s="185">
        <f>IFERROR(IF($C13="",-0.00001,SUMIFS(Database!M:M,Database!$E:$E,$C13,Database!$A:$A,$D$1)),-0.00001)</f>
        <v>14</v>
      </c>
      <c r="L13" s="185">
        <f>IFERROR(IF($C13="",-0.00001,SUMIFS(Database!N:N,Database!$E:$E,$C13,Database!$A:$A,$D$1)),-0.00001)</f>
        <v>7</v>
      </c>
      <c r="M13" s="185">
        <f>IFERROR(IF($C13="",-0.00001,SUMIFS(Database!O:O,Database!$E:$E,$C13,Database!$A:$A,$D$1)),-0.00001)</f>
        <v>41</v>
      </c>
      <c r="N13" s="185">
        <f>IFERROR(IF($C13="",-0.00001,SUMIFS(Database!P:P,Database!$E:$E,$C13,Database!$A:$A,$D$1)),-0.00001)</f>
        <v>6</v>
      </c>
      <c r="O13" s="185">
        <f>IFERROR(IF($C13="",-0.00001,SUMIFS(Database!Q:Q,Database!$E:$E,$C13,Database!$A:$A,$D$1)),-0.00001)</f>
        <v>24</v>
      </c>
      <c r="P13" s="186">
        <f t="shared" si="0"/>
        <v>0.25</v>
      </c>
      <c r="Q13" s="185">
        <f>IFERROR(IF($C13="",-0.00001,SUMIFS(Database!S:S,Database!$E:$E,$C13,Database!$A:$A,$D$1)),-0.00001)</f>
        <v>22</v>
      </c>
      <c r="R13" s="185">
        <f>IFERROR(IF($C13="",-0.00001,SUMIFS(Database!T:T,Database!$E:$E,$C13,Database!$A:$A,$D$1)),-0.00001)</f>
        <v>63</v>
      </c>
      <c r="S13" s="186">
        <f t="shared" si="1"/>
        <v>0.34920634920634919</v>
      </c>
      <c r="T13" s="185">
        <f>IFERROR(IF($C13="",-0.00001,SUMIFS(Database!V:V,Database!$E:$E,$C13,Database!$A:$A,$D$1)),-0.00001)</f>
        <v>1</v>
      </c>
      <c r="U13" s="185">
        <f>IFERROR(IF($C13="",-0.00001,SUMIFS(Database!W:W,Database!$E:$E,$C13,Database!$A:$A,$D$1)),-0.00001)</f>
        <v>2</v>
      </c>
      <c r="V13" s="186">
        <f t="shared" si="2"/>
        <v>0.5</v>
      </c>
      <c r="W13" s="187"/>
      <c r="X13" s="187"/>
      <c r="Y13" s="187"/>
      <c r="Z13" s="187"/>
      <c r="AA13" s="187"/>
      <c r="AB13" s="187"/>
      <c r="AC13" s="187"/>
      <c r="AD13" s="187"/>
      <c r="AE13" s="187"/>
    </row>
    <row r="14" spans="1:31" x14ac:dyDescent="0.25">
      <c r="A14" s="187"/>
      <c r="B14" s="187">
        <f>IF($C14="","",MAX($B$4:$B13)+1)</f>
        <v>11</v>
      </c>
      <c r="C14" s="145" t="s">
        <v>15</v>
      </c>
      <c r="D14" s="183" t="str">
        <f>IFERROR(VLOOKUP($C14,Rosters!$C$4:$M$239,INDEX(Lists!$N$5:$O$80,MATCH($C14,Lists!$N$5:$N$80,FALSE),2)),"")</f>
        <v>Pistons</v>
      </c>
      <c r="E14" s="185">
        <f>IF($C14="",-0.00001,COUNTIFS(Database!E:E,$C14,Database!A:A,$D$1))</f>
        <v>4</v>
      </c>
      <c r="F14" s="185">
        <f>IFERROR(IF($C14="",-0.00001,SUMIFS(Database!H:H,Database!$E:$E,$C14,Database!$A:$A,$D$1)),-0.00001)</f>
        <v>50</v>
      </c>
      <c r="G14" s="185">
        <f>IFERROR(IF($C14="",-0.00001,SUMIFS(Database!I:I,Database!$E:$E,$C14,Database!$A:$A,$D$1)),-0.00001)</f>
        <v>22</v>
      </c>
      <c r="H14" s="185">
        <f>IFERROR(IF($C14="",-0.00001,SUMIFS(Database!J:J,Database!$E:$E,$C14,Database!$A:$A,$D$1)),-0.00001)</f>
        <v>7</v>
      </c>
      <c r="I14" s="185">
        <f>IFERROR(IF($C14="",-0.00001,SUMIFS(Database!K:K,Database!$E:$E,$C14,Database!$A:$A,$D$1)),-0.00001)</f>
        <v>5</v>
      </c>
      <c r="J14" s="185">
        <f>IFERROR(IF($C14="",-0.00001,SUMIFS(Database!L:L,Database!$E:$E,$C14,Database!$A:$A,$D$1)),-0.00001)</f>
        <v>1</v>
      </c>
      <c r="K14" s="185">
        <f>IFERROR(IF($C14="",-0.00001,SUMIFS(Database!M:M,Database!$E:$E,$C14,Database!$A:$A,$D$1)),-0.00001)</f>
        <v>7</v>
      </c>
      <c r="L14" s="185">
        <f>IFERROR(IF($C14="",-0.00001,SUMIFS(Database!N:N,Database!$E:$E,$C14,Database!$A:$A,$D$1)),-0.00001)</f>
        <v>4</v>
      </c>
      <c r="M14" s="185">
        <f>IFERROR(IF($C14="",-0.00001,SUMIFS(Database!O:O,Database!$E:$E,$C14,Database!$A:$A,$D$1)),-0.00001)</f>
        <v>18</v>
      </c>
      <c r="N14" s="185">
        <f>IFERROR(IF($C14="",-0.00001,SUMIFS(Database!P:P,Database!$E:$E,$C14,Database!$A:$A,$D$1)),-0.00001)</f>
        <v>6</v>
      </c>
      <c r="O14" s="185">
        <f>IFERROR(IF($C14="",-0.00001,SUMIFS(Database!Q:Q,Database!$E:$E,$C14,Database!$A:$A,$D$1)),-0.00001)</f>
        <v>31</v>
      </c>
      <c r="P14" s="186">
        <f t="shared" si="0"/>
        <v>0.19354838709677419</v>
      </c>
      <c r="Q14" s="185">
        <f>IFERROR(IF($C14="",-0.00001,SUMIFS(Database!S:S,Database!$E:$E,$C14,Database!$A:$A,$D$1)),-0.00001)</f>
        <v>20</v>
      </c>
      <c r="R14" s="185">
        <f>IFERROR(IF($C14="",-0.00001,SUMIFS(Database!T:T,Database!$E:$E,$C14,Database!$A:$A,$D$1)),-0.00001)</f>
        <v>60</v>
      </c>
      <c r="S14" s="186">
        <f t="shared" si="1"/>
        <v>0.33333333333333331</v>
      </c>
      <c r="T14" s="185">
        <f>IFERROR(IF($C14="",-0.00001,SUMIFS(Database!V:V,Database!$E:$E,$C14,Database!$A:$A,$D$1)),-0.00001)</f>
        <v>2</v>
      </c>
      <c r="U14" s="185">
        <f>IFERROR(IF($C14="",-0.00001,SUMIFS(Database!W:W,Database!$E:$E,$C14,Database!$A:$A,$D$1)),-0.00001)</f>
        <v>4</v>
      </c>
      <c r="V14" s="186">
        <f t="shared" si="2"/>
        <v>0.5</v>
      </c>
      <c r="W14" s="187"/>
      <c r="X14" s="187"/>
      <c r="Y14" s="187"/>
      <c r="Z14" s="187"/>
      <c r="AA14" s="187"/>
      <c r="AB14" s="187"/>
      <c r="AC14" s="187"/>
      <c r="AD14" s="187"/>
      <c r="AE14" s="187"/>
    </row>
    <row r="15" spans="1:31" x14ac:dyDescent="0.25">
      <c r="A15" s="187"/>
      <c r="B15" s="187">
        <f>IF($C15="","",MAX($B$4:$B14)+1)</f>
        <v>12</v>
      </c>
      <c r="C15" s="145" t="s">
        <v>7</v>
      </c>
      <c r="D15" s="183" t="str">
        <f>IFERROR(VLOOKUP($C15,Rosters!$C$4:$M$239,INDEX(Lists!$N$5:$O$80,MATCH($C15,Lists!$N$5:$N$80,FALSE),2)),"")</f>
        <v>Wombats</v>
      </c>
      <c r="E15" s="185">
        <f>IF($C15="",-0.00001,COUNTIFS(Database!E:E,$C15,Database!A:A,$D$1))</f>
        <v>4</v>
      </c>
      <c r="F15" s="185">
        <f>IFERROR(IF($C15="",-0.00001,SUMIFS(Database!H:H,Database!$E:$E,$C15,Database!$A:$A,$D$1)),-0.00001)</f>
        <v>46</v>
      </c>
      <c r="G15" s="185">
        <f>IFERROR(IF($C15="",-0.00001,SUMIFS(Database!I:I,Database!$E:$E,$C15,Database!$A:$A,$D$1)),-0.00001)</f>
        <v>31</v>
      </c>
      <c r="H15" s="185">
        <f>IFERROR(IF($C15="",-0.00001,SUMIFS(Database!J:J,Database!$E:$E,$C15,Database!$A:$A,$D$1)),-0.00001)</f>
        <v>12</v>
      </c>
      <c r="I15" s="185">
        <f>IFERROR(IF($C15="",-0.00001,SUMIFS(Database!K:K,Database!$E:$E,$C15,Database!$A:$A,$D$1)),-0.00001)</f>
        <v>1</v>
      </c>
      <c r="J15" s="185">
        <f>IFERROR(IF($C15="",-0.00001,SUMIFS(Database!L:L,Database!$E:$E,$C15,Database!$A:$A,$D$1)),-0.00001)</f>
        <v>1</v>
      </c>
      <c r="K15" s="185">
        <f>IFERROR(IF($C15="",-0.00001,SUMIFS(Database!M:M,Database!$E:$E,$C15,Database!$A:$A,$D$1)),-0.00001)</f>
        <v>9</v>
      </c>
      <c r="L15" s="185">
        <f>IFERROR(IF($C15="",-0.00001,SUMIFS(Database!N:N,Database!$E:$E,$C15,Database!$A:$A,$D$1)),-0.00001)</f>
        <v>9</v>
      </c>
      <c r="M15" s="185">
        <f>IFERROR(IF($C15="",-0.00001,SUMIFS(Database!O:O,Database!$E:$E,$C15,Database!$A:$A,$D$1)),-0.00001)</f>
        <v>22</v>
      </c>
      <c r="N15" s="185">
        <f>IFERROR(IF($C15="",-0.00001,SUMIFS(Database!P:P,Database!$E:$E,$C15,Database!$A:$A,$D$1)),-0.00001)</f>
        <v>7</v>
      </c>
      <c r="O15" s="185">
        <f>IFERROR(IF($C15="",-0.00001,SUMIFS(Database!Q:Q,Database!$E:$E,$C15,Database!$A:$A,$D$1)),-0.00001)</f>
        <v>18</v>
      </c>
      <c r="P15" s="186">
        <f t="shared" si="0"/>
        <v>0.3888888888888889</v>
      </c>
      <c r="Q15" s="185">
        <f>IFERROR(IF($C15="",-0.00001,SUMIFS(Database!S:S,Database!$E:$E,$C15,Database!$A:$A,$D$1)),-0.00001)</f>
        <v>17</v>
      </c>
      <c r="R15" s="185">
        <f>IFERROR(IF($C15="",-0.00001,SUMIFS(Database!T:T,Database!$E:$E,$C15,Database!$A:$A,$D$1)),-0.00001)</f>
        <v>48</v>
      </c>
      <c r="S15" s="186">
        <f t="shared" si="1"/>
        <v>0.35416666666666669</v>
      </c>
      <c r="T15" s="185">
        <f>IFERROR(IF($C15="",-0.00001,SUMIFS(Database!V:V,Database!$E:$E,$C15,Database!$A:$A,$D$1)),-0.00001)</f>
        <v>5</v>
      </c>
      <c r="U15" s="185">
        <f>IFERROR(IF($C15="",-0.00001,SUMIFS(Database!W:W,Database!$E:$E,$C15,Database!$A:$A,$D$1)),-0.00001)</f>
        <v>9</v>
      </c>
      <c r="V15" s="186">
        <f t="shared" si="2"/>
        <v>0.55555555555555558</v>
      </c>
      <c r="W15" s="187"/>
      <c r="X15" s="187"/>
      <c r="Y15" s="187"/>
      <c r="Z15" s="187"/>
      <c r="AA15" s="187"/>
      <c r="AB15" s="187"/>
      <c r="AC15" s="187"/>
      <c r="AD15" s="187"/>
      <c r="AE15" s="187"/>
    </row>
    <row r="16" spans="1:31" x14ac:dyDescent="0.25">
      <c r="A16" s="187"/>
      <c r="B16" s="187">
        <f>IF($C16="","",MAX($B$4:$B15)+1)</f>
        <v>13</v>
      </c>
      <c r="C16" s="145" t="s">
        <v>34</v>
      </c>
      <c r="D16" s="183" t="str">
        <f>IFERROR(VLOOKUP($C16,Rosters!$C$4:$M$239,INDEX(Lists!$N$5:$O$80,MATCH($C16,Lists!$N$5:$N$80,FALSE),2)),"")</f>
        <v>Vandals</v>
      </c>
      <c r="E16" s="185">
        <f>IF($C16="",-0.00001,COUNTIFS(Database!E:E,$C16,Database!A:A,$D$1))</f>
        <v>3</v>
      </c>
      <c r="F16" s="185">
        <f>IFERROR(IF($C16="",-0.00001,SUMIFS(Database!H:H,Database!$E:$E,$C16,Database!$A:$A,$D$1)),-0.00001)</f>
        <v>42</v>
      </c>
      <c r="G16" s="185">
        <f>IFERROR(IF($C16="",-0.00001,SUMIFS(Database!I:I,Database!$E:$E,$C16,Database!$A:$A,$D$1)),-0.00001)</f>
        <v>30</v>
      </c>
      <c r="H16" s="185">
        <f>IFERROR(IF($C16="",-0.00001,SUMIFS(Database!J:J,Database!$E:$E,$C16,Database!$A:$A,$D$1)),-0.00001)</f>
        <v>6</v>
      </c>
      <c r="I16" s="185">
        <f>IFERROR(IF($C16="",-0.00001,SUMIFS(Database!K:K,Database!$E:$E,$C16,Database!$A:$A,$D$1)),-0.00001)</f>
        <v>8</v>
      </c>
      <c r="J16" s="185">
        <f>IFERROR(IF($C16="",-0.00001,SUMIFS(Database!L:L,Database!$E:$E,$C16,Database!$A:$A,$D$1)),-0.00001)</f>
        <v>0</v>
      </c>
      <c r="K16" s="185">
        <f>IFERROR(IF($C16="",-0.00001,SUMIFS(Database!M:M,Database!$E:$E,$C16,Database!$A:$A,$D$1)),-0.00001)</f>
        <v>13</v>
      </c>
      <c r="L16" s="185">
        <f>IFERROR(IF($C16="",-0.00001,SUMIFS(Database!N:N,Database!$E:$E,$C16,Database!$A:$A,$D$1)),-0.00001)</f>
        <v>7</v>
      </c>
      <c r="M16" s="185">
        <f>IFERROR(IF($C16="",-0.00001,SUMIFS(Database!O:O,Database!$E:$E,$C16,Database!$A:$A,$D$1)),-0.00001)</f>
        <v>12</v>
      </c>
      <c r="N16" s="185">
        <f>IFERROR(IF($C16="",-0.00001,SUMIFS(Database!P:P,Database!$E:$E,$C16,Database!$A:$A,$D$1)),-0.00001)</f>
        <v>2</v>
      </c>
      <c r="O16" s="185">
        <f>IFERROR(IF($C16="",-0.00001,SUMIFS(Database!Q:Q,Database!$E:$E,$C16,Database!$A:$A,$D$1)),-0.00001)</f>
        <v>8</v>
      </c>
      <c r="P16" s="186">
        <f t="shared" si="0"/>
        <v>0.25</v>
      </c>
      <c r="Q16" s="185">
        <f>IFERROR(IF($C16="",-0.00001,SUMIFS(Database!S:S,Database!$E:$E,$C16,Database!$A:$A,$D$1)),-0.00001)</f>
        <v>17</v>
      </c>
      <c r="R16" s="185">
        <f>IFERROR(IF($C16="",-0.00001,SUMIFS(Database!T:T,Database!$E:$E,$C16,Database!$A:$A,$D$1)),-0.00001)</f>
        <v>42</v>
      </c>
      <c r="S16" s="186">
        <f t="shared" si="1"/>
        <v>0.40476190476190477</v>
      </c>
      <c r="T16" s="185">
        <f>IFERROR(IF($C16="",-0.00001,SUMIFS(Database!V:V,Database!$E:$E,$C16,Database!$A:$A,$D$1)),-0.00001)</f>
        <v>6</v>
      </c>
      <c r="U16" s="185">
        <f>IFERROR(IF($C16="",-0.00001,SUMIFS(Database!W:W,Database!$E:$E,$C16,Database!$A:$A,$D$1)),-0.00001)</f>
        <v>7</v>
      </c>
      <c r="V16" s="186">
        <f t="shared" si="2"/>
        <v>0.8571428571428571</v>
      </c>
      <c r="W16" s="187"/>
      <c r="X16" s="187"/>
      <c r="Y16" s="187"/>
      <c r="Z16" s="187"/>
      <c r="AA16" s="187"/>
      <c r="AB16" s="187"/>
      <c r="AC16" s="187"/>
      <c r="AD16" s="187"/>
      <c r="AE16" s="187"/>
    </row>
    <row r="17" spans="1:31" x14ac:dyDescent="0.25">
      <c r="A17" s="187"/>
      <c r="B17" s="187">
        <f>IF($C17="","",MAX($B$4:$B16)+1)</f>
        <v>14</v>
      </c>
      <c r="C17" s="145" t="s">
        <v>14</v>
      </c>
      <c r="D17" s="183" t="str">
        <f>IFERROR(VLOOKUP($C17,Rosters!$C$4:$M$239,INDEX(Lists!$N$5:$O$80,MATCH($C17,Lists!$N$5:$N$80,FALSE),2)),"")</f>
        <v>Pistons</v>
      </c>
      <c r="E17" s="185">
        <f>IF($C17="",-0.00001,COUNTIFS(Database!E:E,$C17,Database!A:A,$D$1))</f>
        <v>3</v>
      </c>
      <c r="F17" s="185">
        <f>IFERROR(IF($C17="",-0.00001,SUMIFS(Database!H:H,Database!$E:$E,$C17,Database!$A:$A,$D$1)),-0.00001)</f>
        <v>42</v>
      </c>
      <c r="G17" s="185">
        <f>IFERROR(IF($C17="",-0.00001,SUMIFS(Database!I:I,Database!$E:$E,$C17,Database!$A:$A,$D$1)),-0.00001)</f>
        <v>22</v>
      </c>
      <c r="H17" s="185">
        <f>IFERROR(IF($C17="",-0.00001,SUMIFS(Database!J:J,Database!$E:$E,$C17,Database!$A:$A,$D$1)),-0.00001)</f>
        <v>5</v>
      </c>
      <c r="I17" s="185">
        <f>IFERROR(IF($C17="",-0.00001,SUMIFS(Database!K:K,Database!$E:$E,$C17,Database!$A:$A,$D$1)),-0.00001)</f>
        <v>3</v>
      </c>
      <c r="J17" s="185">
        <f>IFERROR(IF($C17="",-0.00001,SUMIFS(Database!L:L,Database!$E:$E,$C17,Database!$A:$A,$D$1)),-0.00001)</f>
        <v>1</v>
      </c>
      <c r="K17" s="185">
        <f>IFERROR(IF($C17="",-0.00001,SUMIFS(Database!M:M,Database!$E:$E,$C17,Database!$A:$A,$D$1)),-0.00001)</f>
        <v>2</v>
      </c>
      <c r="L17" s="185">
        <f>IFERROR(IF($C17="",-0.00001,SUMIFS(Database!N:N,Database!$E:$E,$C17,Database!$A:$A,$D$1)),-0.00001)</f>
        <v>7</v>
      </c>
      <c r="M17" s="185">
        <f>IFERROR(IF($C17="",-0.00001,SUMIFS(Database!O:O,Database!$E:$E,$C17,Database!$A:$A,$D$1)),-0.00001)</f>
        <v>15</v>
      </c>
      <c r="N17" s="185">
        <f>IFERROR(IF($C17="",-0.00001,SUMIFS(Database!P:P,Database!$E:$E,$C17,Database!$A:$A,$D$1)),-0.00001)</f>
        <v>10</v>
      </c>
      <c r="O17" s="185">
        <f>IFERROR(IF($C17="",-0.00001,SUMIFS(Database!Q:Q,Database!$E:$E,$C17,Database!$A:$A,$D$1)),-0.00001)</f>
        <v>33</v>
      </c>
      <c r="P17" s="186">
        <f t="shared" si="0"/>
        <v>0.30303030303030304</v>
      </c>
      <c r="Q17" s="185">
        <f>IFERROR(IF($C17="",-0.00001,SUMIFS(Database!S:S,Database!$E:$E,$C17,Database!$A:$A,$D$1)),-0.00001)</f>
        <v>16</v>
      </c>
      <c r="R17" s="185">
        <f>IFERROR(IF($C17="",-0.00001,SUMIFS(Database!T:T,Database!$E:$E,$C17,Database!$A:$A,$D$1)),-0.00001)</f>
        <v>52</v>
      </c>
      <c r="S17" s="186">
        <f t="shared" si="1"/>
        <v>0.30769230769230771</v>
      </c>
      <c r="T17" s="185">
        <f>IFERROR(IF($C17="",-0.00001,SUMIFS(Database!V:V,Database!$E:$E,$C17,Database!$A:$A,$D$1)),-0.00001)</f>
        <v>0</v>
      </c>
      <c r="U17" s="185">
        <f>IFERROR(IF($C17="",-0.00001,SUMIFS(Database!W:W,Database!$E:$E,$C17,Database!$A:$A,$D$1)),-0.00001)</f>
        <v>1</v>
      </c>
      <c r="V17" s="186">
        <f t="shared" si="2"/>
        <v>0</v>
      </c>
      <c r="W17" s="187"/>
      <c r="X17" s="187"/>
      <c r="Y17" s="187"/>
      <c r="Z17" s="187"/>
      <c r="AA17" s="187"/>
      <c r="AB17" s="187"/>
      <c r="AC17" s="187"/>
      <c r="AD17" s="187"/>
      <c r="AE17" s="187"/>
    </row>
    <row r="18" spans="1:31" x14ac:dyDescent="0.25">
      <c r="A18" s="187"/>
      <c r="B18" s="187">
        <f>IF($C18="","",MAX($B$4:$B17)+1)</f>
        <v>15</v>
      </c>
      <c r="C18" s="145" t="s">
        <v>13</v>
      </c>
      <c r="D18" s="183" t="str">
        <f>IFERROR(VLOOKUP($C18,Rosters!$C$4:$M$239,INDEX(Lists!$N$5:$O$80,MATCH($C18,Lists!$N$5:$N$80,FALSE),2)),"")</f>
        <v>Pistons</v>
      </c>
      <c r="E18" s="185">
        <f>IF($C18="",-0.00001,COUNTIFS(Database!E:E,$C18,Database!A:A,$D$1))</f>
        <v>4</v>
      </c>
      <c r="F18" s="185">
        <f>IFERROR(IF($C18="",-0.00001,SUMIFS(Database!H:H,Database!$E:$E,$C18,Database!$A:$A,$D$1)),-0.00001)</f>
        <v>40</v>
      </c>
      <c r="G18" s="185">
        <f>IFERROR(IF($C18="",-0.00001,SUMIFS(Database!I:I,Database!$E:$E,$C18,Database!$A:$A,$D$1)),-0.00001)</f>
        <v>16</v>
      </c>
      <c r="H18" s="185">
        <f>IFERROR(IF($C18="",-0.00001,SUMIFS(Database!J:J,Database!$E:$E,$C18,Database!$A:$A,$D$1)),-0.00001)</f>
        <v>12</v>
      </c>
      <c r="I18" s="185">
        <f>IFERROR(IF($C18="",-0.00001,SUMIFS(Database!K:K,Database!$E:$E,$C18,Database!$A:$A,$D$1)),-0.00001)</f>
        <v>4</v>
      </c>
      <c r="J18" s="185">
        <f>IFERROR(IF($C18="",-0.00001,SUMIFS(Database!L:L,Database!$E:$E,$C18,Database!$A:$A,$D$1)),-0.00001)</f>
        <v>0</v>
      </c>
      <c r="K18" s="185">
        <f>IFERROR(IF($C18="",-0.00001,SUMIFS(Database!M:M,Database!$E:$E,$C18,Database!$A:$A,$D$1)),-0.00001)</f>
        <v>19</v>
      </c>
      <c r="L18" s="185">
        <f>IFERROR(IF($C18="",-0.00001,SUMIFS(Database!N:N,Database!$E:$E,$C18,Database!$A:$A,$D$1)),-0.00001)</f>
        <v>2</v>
      </c>
      <c r="M18" s="185">
        <f>IFERROR(IF($C18="",-0.00001,SUMIFS(Database!O:O,Database!$E:$E,$C18,Database!$A:$A,$D$1)),-0.00001)</f>
        <v>14</v>
      </c>
      <c r="N18" s="185">
        <f>IFERROR(IF($C18="",-0.00001,SUMIFS(Database!P:P,Database!$E:$E,$C18,Database!$A:$A,$D$1)),-0.00001)</f>
        <v>3</v>
      </c>
      <c r="O18" s="185">
        <f>IFERROR(IF($C18="",-0.00001,SUMIFS(Database!Q:Q,Database!$E:$E,$C18,Database!$A:$A,$D$1)),-0.00001)</f>
        <v>15</v>
      </c>
      <c r="P18" s="186">
        <f t="shared" si="0"/>
        <v>0.2</v>
      </c>
      <c r="Q18" s="185">
        <f>IFERROR(IF($C18="",-0.00001,SUMIFS(Database!S:S,Database!$E:$E,$C18,Database!$A:$A,$D$1)),-0.00001)</f>
        <v>18</v>
      </c>
      <c r="R18" s="185">
        <f>IFERROR(IF($C18="",-0.00001,SUMIFS(Database!T:T,Database!$E:$E,$C18,Database!$A:$A,$D$1)),-0.00001)</f>
        <v>53</v>
      </c>
      <c r="S18" s="186">
        <f t="shared" si="1"/>
        <v>0.33962264150943394</v>
      </c>
      <c r="T18" s="185">
        <f>IFERROR(IF($C18="",-0.00001,SUMIFS(Database!V:V,Database!$E:$E,$C18,Database!$A:$A,$D$1)),-0.00001)</f>
        <v>1</v>
      </c>
      <c r="U18" s="185">
        <f>IFERROR(IF($C18="",-0.00001,SUMIFS(Database!W:W,Database!$E:$E,$C18,Database!$A:$A,$D$1)),-0.00001)</f>
        <v>3</v>
      </c>
      <c r="V18" s="186">
        <f t="shared" si="2"/>
        <v>0.33333333333333331</v>
      </c>
      <c r="W18" s="187"/>
      <c r="X18" s="187"/>
      <c r="Y18" s="187"/>
      <c r="Z18" s="187"/>
      <c r="AA18" s="187"/>
      <c r="AB18" s="187"/>
      <c r="AC18" s="187"/>
      <c r="AD18" s="187"/>
      <c r="AE18" s="187"/>
    </row>
    <row r="19" spans="1:31" x14ac:dyDescent="0.25">
      <c r="A19" s="187"/>
      <c r="B19" s="187">
        <f>IF($C19="","",MAX($B$4:$B18)+1)</f>
        <v>16</v>
      </c>
      <c r="C19" s="145" t="s">
        <v>32</v>
      </c>
      <c r="D19" s="183" t="str">
        <f>IFERROR(VLOOKUP($C19,Rosters!$C$4:$M$239,INDEX(Lists!$N$5:$O$80,MATCH($C19,Lists!$N$5:$N$80,FALSE),2)),"")</f>
        <v>Vandals</v>
      </c>
      <c r="E19" s="185">
        <f>IF($C19="",-0.00001,COUNTIFS(Database!E:E,$C19,Database!A:A,$D$1))</f>
        <v>3</v>
      </c>
      <c r="F19" s="185">
        <f>IFERROR(IF($C19="",-0.00001,SUMIFS(Database!H:H,Database!$E:$E,$C19,Database!$A:$A,$D$1)),-0.00001)</f>
        <v>38</v>
      </c>
      <c r="G19" s="185">
        <f>IFERROR(IF($C19="",-0.00001,SUMIFS(Database!I:I,Database!$E:$E,$C19,Database!$A:$A,$D$1)),-0.00001)</f>
        <v>19</v>
      </c>
      <c r="H19" s="185">
        <f>IFERROR(IF($C19="",-0.00001,SUMIFS(Database!J:J,Database!$E:$E,$C19,Database!$A:$A,$D$1)),-0.00001)</f>
        <v>12</v>
      </c>
      <c r="I19" s="185">
        <f>IFERROR(IF($C19="",-0.00001,SUMIFS(Database!K:K,Database!$E:$E,$C19,Database!$A:$A,$D$1)),-0.00001)</f>
        <v>9</v>
      </c>
      <c r="J19" s="185">
        <f>IFERROR(IF($C19="",-0.00001,SUMIFS(Database!L:L,Database!$E:$E,$C19,Database!$A:$A,$D$1)),-0.00001)</f>
        <v>1</v>
      </c>
      <c r="K19" s="185">
        <f>IFERROR(IF($C19="",-0.00001,SUMIFS(Database!M:M,Database!$E:$E,$C19,Database!$A:$A,$D$1)),-0.00001)</f>
        <v>7</v>
      </c>
      <c r="L19" s="185">
        <f>IFERROR(IF($C19="",-0.00001,SUMIFS(Database!N:N,Database!$E:$E,$C19,Database!$A:$A,$D$1)),-0.00001)</f>
        <v>7</v>
      </c>
      <c r="M19" s="185">
        <f>IFERROR(IF($C19="",-0.00001,SUMIFS(Database!O:O,Database!$E:$E,$C19,Database!$A:$A,$D$1)),-0.00001)</f>
        <v>12</v>
      </c>
      <c r="N19" s="185">
        <f>IFERROR(IF($C19="",-0.00001,SUMIFS(Database!P:P,Database!$E:$E,$C19,Database!$A:$A,$D$1)),-0.00001)</f>
        <v>4</v>
      </c>
      <c r="O19" s="185">
        <f>IFERROR(IF($C19="",-0.00001,SUMIFS(Database!Q:Q,Database!$E:$E,$C19,Database!$A:$A,$D$1)),-0.00001)</f>
        <v>18</v>
      </c>
      <c r="P19" s="186">
        <f t="shared" si="0"/>
        <v>0.22222222222222221</v>
      </c>
      <c r="Q19" s="185">
        <f>IFERROR(IF($C19="",-0.00001,SUMIFS(Database!S:S,Database!$E:$E,$C19,Database!$A:$A,$D$1)),-0.00001)</f>
        <v>16</v>
      </c>
      <c r="R19" s="185">
        <f>IFERROR(IF($C19="",-0.00001,SUMIFS(Database!T:T,Database!$E:$E,$C19,Database!$A:$A,$D$1)),-0.00001)</f>
        <v>47</v>
      </c>
      <c r="S19" s="186">
        <f t="shared" si="1"/>
        <v>0.34042553191489361</v>
      </c>
      <c r="T19" s="185">
        <f>IFERROR(IF($C19="",-0.00001,SUMIFS(Database!V:V,Database!$E:$E,$C19,Database!$A:$A,$D$1)),-0.00001)</f>
        <v>2</v>
      </c>
      <c r="U19" s="185">
        <f>IFERROR(IF($C19="",-0.00001,SUMIFS(Database!W:W,Database!$E:$E,$C19,Database!$A:$A,$D$1)),-0.00001)</f>
        <v>4</v>
      </c>
      <c r="V19" s="186">
        <f t="shared" si="2"/>
        <v>0.5</v>
      </c>
      <c r="W19" s="187"/>
      <c r="X19" s="187"/>
      <c r="Y19" s="187"/>
      <c r="Z19" s="187"/>
      <c r="AA19" s="187"/>
      <c r="AB19" s="187"/>
      <c r="AC19" s="187"/>
      <c r="AD19" s="187"/>
      <c r="AE19" s="187"/>
    </row>
    <row r="20" spans="1:31" x14ac:dyDescent="0.25">
      <c r="A20" s="187"/>
      <c r="B20" s="187">
        <f>IF($C20="","",MAX($B$4:$B19)+1)</f>
        <v>17</v>
      </c>
      <c r="C20" s="145" t="s">
        <v>23</v>
      </c>
      <c r="D20" s="183" t="str">
        <f>IFERROR(VLOOKUP($C20,Rosters!$C$4:$M$239,INDEX(Lists!$N$5:$O$80,MATCH($C20,Lists!$N$5:$N$80,FALSE),2)),"")</f>
        <v>Lightning</v>
      </c>
      <c r="E20" s="185">
        <f>IF($C20="",-0.00001,COUNTIFS(Database!E:E,$C20,Database!A:A,$D$1))</f>
        <v>4</v>
      </c>
      <c r="F20" s="185">
        <f>IFERROR(IF($C20="",-0.00001,SUMIFS(Database!H:H,Database!$E:$E,$C20,Database!$A:$A,$D$1)),-0.00001)</f>
        <v>37</v>
      </c>
      <c r="G20" s="185">
        <f>IFERROR(IF($C20="",-0.00001,SUMIFS(Database!I:I,Database!$E:$E,$C20,Database!$A:$A,$D$1)),-0.00001)</f>
        <v>21</v>
      </c>
      <c r="H20" s="185">
        <f>IFERROR(IF($C20="",-0.00001,SUMIFS(Database!J:J,Database!$E:$E,$C20,Database!$A:$A,$D$1)),-0.00001)</f>
        <v>11</v>
      </c>
      <c r="I20" s="185">
        <f>IFERROR(IF($C20="",-0.00001,SUMIFS(Database!K:K,Database!$E:$E,$C20,Database!$A:$A,$D$1)),-0.00001)</f>
        <v>8</v>
      </c>
      <c r="J20" s="185">
        <f>IFERROR(IF($C20="",-0.00001,SUMIFS(Database!L:L,Database!$E:$E,$C20,Database!$A:$A,$D$1)),-0.00001)</f>
        <v>0</v>
      </c>
      <c r="K20" s="185">
        <f>IFERROR(IF($C20="",-0.00001,SUMIFS(Database!M:M,Database!$E:$E,$C20,Database!$A:$A,$D$1)),-0.00001)</f>
        <v>9</v>
      </c>
      <c r="L20" s="185">
        <f>IFERROR(IF($C20="",-0.00001,SUMIFS(Database!N:N,Database!$E:$E,$C20,Database!$A:$A,$D$1)),-0.00001)</f>
        <v>4</v>
      </c>
      <c r="M20" s="185">
        <f>IFERROR(IF($C20="",-0.00001,SUMIFS(Database!O:O,Database!$E:$E,$C20,Database!$A:$A,$D$1)),-0.00001)</f>
        <v>17</v>
      </c>
      <c r="N20" s="185">
        <f>IFERROR(IF($C20="",-0.00001,SUMIFS(Database!P:P,Database!$E:$E,$C20,Database!$A:$A,$D$1)),-0.00001)</f>
        <v>5</v>
      </c>
      <c r="O20" s="185">
        <f>IFERROR(IF($C20="",-0.00001,SUMIFS(Database!Q:Q,Database!$E:$E,$C20,Database!$A:$A,$D$1)),-0.00001)</f>
        <v>19</v>
      </c>
      <c r="P20" s="186">
        <f t="shared" si="0"/>
        <v>0.26315789473684209</v>
      </c>
      <c r="Q20" s="185">
        <f>IFERROR(IF($C20="",-0.00001,SUMIFS(Database!S:S,Database!$E:$E,$C20,Database!$A:$A,$D$1)),-0.00001)</f>
        <v>16</v>
      </c>
      <c r="R20" s="185">
        <f>IFERROR(IF($C20="",-0.00001,SUMIFS(Database!T:T,Database!$E:$E,$C20,Database!$A:$A,$D$1)),-0.00001)</f>
        <v>41</v>
      </c>
      <c r="S20" s="186">
        <f t="shared" si="1"/>
        <v>0.3902439024390244</v>
      </c>
      <c r="T20" s="185">
        <f>IFERROR(IF($C20="",-0.00001,SUMIFS(Database!V:V,Database!$E:$E,$C20,Database!$A:$A,$D$1)),-0.00001)</f>
        <v>0</v>
      </c>
      <c r="U20" s="185">
        <f>IFERROR(IF($C20="",-0.00001,SUMIFS(Database!W:W,Database!$E:$E,$C20,Database!$A:$A,$D$1)),-0.00001)</f>
        <v>0</v>
      </c>
      <c r="V20" s="186">
        <f t="shared" si="2"/>
        <v>-1.0000000000000001E-5</v>
      </c>
      <c r="W20" s="187"/>
      <c r="X20" s="187"/>
      <c r="Y20" s="187"/>
      <c r="Z20" s="187"/>
      <c r="AA20" s="187"/>
      <c r="AB20" s="187"/>
      <c r="AC20" s="187"/>
      <c r="AD20" s="187"/>
      <c r="AE20" s="187"/>
    </row>
    <row r="21" spans="1:31" x14ac:dyDescent="0.25">
      <c r="A21" s="187"/>
      <c r="B21" s="187">
        <f>IF($C21="","",MAX($B$4:$B20)+1)</f>
        <v>18</v>
      </c>
      <c r="C21" s="145" t="s">
        <v>21</v>
      </c>
      <c r="D21" s="183" t="str">
        <f>IFERROR(VLOOKUP($C21,Rosters!$C$4:$M$239,INDEX(Lists!$N$5:$O$80,MATCH($C21,Lists!$N$5:$N$80,FALSE),2)),"")</f>
        <v>Lightning</v>
      </c>
      <c r="E21" s="185">
        <f>IF($C21="",-0.00001,COUNTIFS(Database!E:E,$C21,Database!A:A,$D$1))</f>
        <v>4</v>
      </c>
      <c r="F21" s="185">
        <f>IFERROR(IF($C21="",-0.00001,SUMIFS(Database!H:H,Database!$E:$E,$C21,Database!$A:$A,$D$1)),-0.00001)</f>
        <v>36</v>
      </c>
      <c r="G21" s="185">
        <f>IFERROR(IF($C21="",-0.00001,SUMIFS(Database!I:I,Database!$E:$E,$C21,Database!$A:$A,$D$1)),-0.00001)</f>
        <v>28</v>
      </c>
      <c r="H21" s="185">
        <f>IFERROR(IF($C21="",-0.00001,SUMIFS(Database!J:J,Database!$E:$E,$C21,Database!$A:$A,$D$1)),-0.00001)</f>
        <v>2</v>
      </c>
      <c r="I21" s="185">
        <f>IFERROR(IF($C21="",-0.00001,SUMIFS(Database!K:K,Database!$E:$E,$C21,Database!$A:$A,$D$1)),-0.00001)</f>
        <v>2</v>
      </c>
      <c r="J21" s="185">
        <f>IFERROR(IF($C21="",-0.00001,SUMIFS(Database!L:L,Database!$E:$E,$C21,Database!$A:$A,$D$1)),-0.00001)</f>
        <v>0</v>
      </c>
      <c r="K21" s="185">
        <f>IFERROR(IF($C21="",-0.00001,SUMIFS(Database!M:M,Database!$E:$E,$C21,Database!$A:$A,$D$1)),-0.00001)</f>
        <v>4</v>
      </c>
      <c r="L21" s="185">
        <f>IFERROR(IF($C21="",-0.00001,SUMIFS(Database!N:N,Database!$E:$E,$C21,Database!$A:$A,$D$1)),-0.00001)</f>
        <v>10</v>
      </c>
      <c r="M21" s="185">
        <f>IFERROR(IF($C21="",-0.00001,SUMIFS(Database!O:O,Database!$E:$E,$C21,Database!$A:$A,$D$1)),-0.00001)</f>
        <v>18</v>
      </c>
      <c r="N21" s="185">
        <f>IFERROR(IF($C21="",-0.00001,SUMIFS(Database!P:P,Database!$E:$E,$C21,Database!$A:$A,$D$1)),-0.00001)</f>
        <v>1</v>
      </c>
      <c r="O21" s="185">
        <f>IFERROR(IF($C21="",-0.00001,SUMIFS(Database!Q:Q,Database!$E:$E,$C21,Database!$A:$A,$D$1)),-0.00001)</f>
        <v>5</v>
      </c>
      <c r="P21" s="186">
        <f t="shared" si="0"/>
        <v>0.2</v>
      </c>
      <c r="Q21" s="185">
        <f>IFERROR(IF($C21="",-0.00001,SUMIFS(Database!S:S,Database!$E:$E,$C21,Database!$A:$A,$D$1)),-0.00001)</f>
        <v>16</v>
      </c>
      <c r="R21" s="185">
        <f>IFERROR(IF($C21="",-0.00001,SUMIFS(Database!T:T,Database!$E:$E,$C21,Database!$A:$A,$D$1)),-0.00001)</f>
        <v>49</v>
      </c>
      <c r="S21" s="186">
        <f t="shared" si="1"/>
        <v>0.32653061224489793</v>
      </c>
      <c r="T21" s="185">
        <f>IFERROR(IF($C21="",-0.00001,SUMIFS(Database!V:V,Database!$E:$E,$C21,Database!$A:$A,$D$1)),-0.00001)</f>
        <v>3</v>
      </c>
      <c r="U21" s="185">
        <f>IFERROR(IF($C21="",-0.00001,SUMIFS(Database!W:W,Database!$E:$E,$C21,Database!$A:$A,$D$1)),-0.00001)</f>
        <v>3</v>
      </c>
      <c r="V21" s="186">
        <f t="shared" si="2"/>
        <v>1</v>
      </c>
      <c r="W21" s="187"/>
      <c r="X21" s="187"/>
      <c r="Y21" s="187"/>
      <c r="Z21" s="187"/>
      <c r="AA21" s="187"/>
      <c r="AB21" s="187"/>
      <c r="AC21" s="187"/>
      <c r="AD21" s="187"/>
      <c r="AE21" s="187"/>
    </row>
    <row r="22" spans="1:31" x14ac:dyDescent="0.25">
      <c r="A22" s="187"/>
      <c r="B22" s="187">
        <f>IF($C22="","",MAX($B$4:$B21)+1)</f>
        <v>19</v>
      </c>
      <c r="C22" s="145" t="s">
        <v>3</v>
      </c>
      <c r="D22" s="183" t="str">
        <f>IFERROR(VLOOKUP($C22,Rosters!$C$4:$M$239,INDEX(Lists!$N$5:$O$80,MATCH($C22,Lists!$N$5:$N$80,FALSE),2)),"")</f>
        <v>Mustangs</v>
      </c>
      <c r="E22" s="185">
        <f>IF($C22="",-0.00001,COUNTIFS(Database!E:E,$C22,Database!A:A,$D$1))</f>
        <v>3</v>
      </c>
      <c r="F22" s="185">
        <f>IFERROR(IF($C22="",-0.00001,SUMIFS(Database!H:H,Database!$E:$E,$C22,Database!$A:$A,$D$1)),-0.00001)</f>
        <v>35</v>
      </c>
      <c r="G22" s="185">
        <f>IFERROR(IF($C22="",-0.00001,SUMIFS(Database!I:I,Database!$E:$E,$C22,Database!$A:$A,$D$1)),-0.00001)</f>
        <v>16</v>
      </c>
      <c r="H22" s="185">
        <f>IFERROR(IF($C22="",-0.00001,SUMIFS(Database!J:J,Database!$E:$E,$C22,Database!$A:$A,$D$1)),-0.00001)</f>
        <v>6</v>
      </c>
      <c r="I22" s="185">
        <f>IFERROR(IF($C22="",-0.00001,SUMIFS(Database!K:K,Database!$E:$E,$C22,Database!$A:$A,$D$1)),-0.00001)</f>
        <v>7</v>
      </c>
      <c r="J22" s="185">
        <f>IFERROR(IF($C22="",-0.00001,SUMIFS(Database!L:L,Database!$E:$E,$C22,Database!$A:$A,$D$1)),-0.00001)</f>
        <v>1</v>
      </c>
      <c r="K22" s="185">
        <f>IFERROR(IF($C22="",-0.00001,SUMIFS(Database!M:M,Database!$E:$E,$C22,Database!$A:$A,$D$1)),-0.00001)</f>
        <v>4</v>
      </c>
      <c r="L22" s="185">
        <f>IFERROR(IF($C22="",-0.00001,SUMIFS(Database!N:N,Database!$E:$E,$C22,Database!$A:$A,$D$1)),-0.00001)</f>
        <v>1</v>
      </c>
      <c r="M22" s="185">
        <f>IFERROR(IF($C22="",-0.00001,SUMIFS(Database!O:O,Database!$E:$E,$C22,Database!$A:$A,$D$1)),-0.00001)</f>
        <v>11</v>
      </c>
      <c r="N22" s="185">
        <f>IFERROR(IF($C22="",-0.00001,SUMIFS(Database!P:P,Database!$E:$E,$C22,Database!$A:$A,$D$1)),-0.00001)</f>
        <v>5</v>
      </c>
      <c r="O22" s="185">
        <f>IFERROR(IF($C22="",-0.00001,SUMIFS(Database!Q:Q,Database!$E:$E,$C22,Database!$A:$A,$D$1)),-0.00001)</f>
        <v>24</v>
      </c>
      <c r="P22" s="186">
        <f t="shared" si="0"/>
        <v>0.20833333333333334</v>
      </c>
      <c r="Q22" s="185">
        <f>IFERROR(IF($C22="",-0.00001,SUMIFS(Database!S:S,Database!$E:$E,$C22,Database!$A:$A,$D$1)),-0.00001)</f>
        <v>15</v>
      </c>
      <c r="R22" s="185">
        <f>IFERROR(IF($C22="",-0.00001,SUMIFS(Database!T:T,Database!$E:$E,$C22,Database!$A:$A,$D$1)),-0.00001)</f>
        <v>42</v>
      </c>
      <c r="S22" s="186">
        <f t="shared" si="1"/>
        <v>0.35714285714285715</v>
      </c>
      <c r="T22" s="185">
        <f>IFERROR(IF($C22="",-0.00001,SUMIFS(Database!V:V,Database!$E:$E,$C22,Database!$A:$A,$D$1)),-0.00001)</f>
        <v>0</v>
      </c>
      <c r="U22" s="185">
        <f>IFERROR(IF($C22="",-0.00001,SUMIFS(Database!W:W,Database!$E:$E,$C22,Database!$A:$A,$D$1)),-0.00001)</f>
        <v>0</v>
      </c>
      <c r="V22" s="186">
        <f t="shared" si="2"/>
        <v>-1.0000000000000001E-5</v>
      </c>
      <c r="W22" s="187"/>
      <c r="X22" s="187"/>
      <c r="Y22" s="187"/>
      <c r="Z22" s="187"/>
      <c r="AA22" s="187"/>
      <c r="AB22" s="187"/>
      <c r="AC22" s="187"/>
      <c r="AD22" s="187"/>
      <c r="AE22" s="187"/>
    </row>
    <row r="23" spans="1:31" x14ac:dyDescent="0.25">
      <c r="A23" s="187"/>
      <c r="B23" s="187">
        <f>IF($C23="","",MAX($B$4:$B22)+1)</f>
        <v>20</v>
      </c>
      <c r="C23" s="145" t="s">
        <v>22</v>
      </c>
      <c r="D23" s="183" t="str">
        <f>IFERROR(VLOOKUP($C23,Rosters!$C$4:$M$239,INDEX(Lists!$N$5:$O$80,MATCH($C23,Lists!$N$5:$N$80,FALSE),2)),"")</f>
        <v>Lightning</v>
      </c>
      <c r="E23" s="185">
        <f>IF($C23="",-0.00001,COUNTIFS(Database!E:E,$C23,Database!A:A,$D$1))</f>
        <v>2</v>
      </c>
      <c r="F23" s="185">
        <f>IFERROR(IF($C23="",-0.00001,SUMIFS(Database!H:H,Database!$E:$E,$C23,Database!$A:$A,$D$1)),-0.00001)</f>
        <v>35</v>
      </c>
      <c r="G23" s="185">
        <f>IFERROR(IF($C23="",-0.00001,SUMIFS(Database!I:I,Database!$E:$E,$C23,Database!$A:$A,$D$1)),-0.00001)</f>
        <v>14</v>
      </c>
      <c r="H23" s="185">
        <f>IFERROR(IF($C23="",-0.00001,SUMIFS(Database!J:J,Database!$E:$E,$C23,Database!$A:$A,$D$1)),-0.00001)</f>
        <v>6</v>
      </c>
      <c r="I23" s="185">
        <f>IFERROR(IF($C23="",-0.00001,SUMIFS(Database!K:K,Database!$E:$E,$C23,Database!$A:$A,$D$1)),-0.00001)</f>
        <v>5</v>
      </c>
      <c r="J23" s="185">
        <f>IFERROR(IF($C23="",-0.00001,SUMIFS(Database!L:L,Database!$E:$E,$C23,Database!$A:$A,$D$1)),-0.00001)</f>
        <v>0</v>
      </c>
      <c r="K23" s="185">
        <f>IFERROR(IF($C23="",-0.00001,SUMIFS(Database!M:M,Database!$E:$E,$C23,Database!$A:$A,$D$1)),-0.00001)</f>
        <v>5</v>
      </c>
      <c r="L23" s="185">
        <f>IFERROR(IF($C23="",-0.00001,SUMIFS(Database!N:N,Database!$E:$E,$C23,Database!$A:$A,$D$1)),-0.00001)</f>
        <v>2</v>
      </c>
      <c r="M23" s="185">
        <f>IFERROR(IF($C23="",-0.00001,SUMIFS(Database!O:O,Database!$E:$E,$C23,Database!$A:$A,$D$1)),-0.00001)</f>
        <v>12</v>
      </c>
      <c r="N23" s="185">
        <f>IFERROR(IF($C23="",-0.00001,SUMIFS(Database!P:P,Database!$E:$E,$C23,Database!$A:$A,$D$1)),-0.00001)</f>
        <v>8</v>
      </c>
      <c r="O23" s="185">
        <f>IFERROR(IF($C23="",-0.00001,SUMIFS(Database!Q:Q,Database!$E:$E,$C23,Database!$A:$A,$D$1)),-0.00001)</f>
        <v>22</v>
      </c>
      <c r="P23" s="186">
        <f t="shared" si="0"/>
        <v>0.36363636363636365</v>
      </c>
      <c r="Q23" s="185">
        <f>IFERROR(IF($C23="",-0.00001,SUMIFS(Database!S:S,Database!$E:$E,$C23,Database!$A:$A,$D$1)),-0.00001)</f>
        <v>13</v>
      </c>
      <c r="R23" s="185">
        <f>IFERROR(IF($C23="",-0.00001,SUMIFS(Database!T:T,Database!$E:$E,$C23,Database!$A:$A,$D$1)),-0.00001)</f>
        <v>32</v>
      </c>
      <c r="S23" s="186">
        <f t="shared" si="1"/>
        <v>0.40625</v>
      </c>
      <c r="T23" s="185">
        <f>IFERROR(IF($C23="",-0.00001,SUMIFS(Database!V:V,Database!$E:$E,$C23,Database!$A:$A,$D$1)),-0.00001)</f>
        <v>1</v>
      </c>
      <c r="U23" s="185">
        <f>IFERROR(IF($C23="",-0.00001,SUMIFS(Database!W:W,Database!$E:$E,$C23,Database!$A:$A,$D$1)),-0.00001)</f>
        <v>2</v>
      </c>
      <c r="V23" s="186">
        <f t="shared" si="2"/>
        <v>0.5</v>
      </c>
      <c r="W23" s="187"/>
      <c r="X23" s="187"/>
      <c r="Y23" s="187"/>
      <c r="Z23" s="187"/>
      <c r="AA23" s="187"/>
      <c r="AB23" s="187"/>
      <c r="AC23" s="187"/>
      <c r="AD23" s="187"/>
      <c r="AE23" s="187"/>
    </row>
    <row r="24" spans="1:31" x14ac:dyDescent="0.25">
      <c r="A24" s="187"/>
      <c r="B24" s="187">
        <f>IF($C24="","",MAX($B$4:$B23)+1)</f>
        <v>21</v>
      </c>
      <c r="C24" s="145" t="s">
        <v>25</v>
      </c>
      <c r="D24" s="183" t="str">
        <f>IFERROR(VLOOKUP($C24,Rosters!$C$4:$M$239,INDEX(Lists!$N$5:$O$80,MATCH($C24,Lists!$N$5:$N$80,FALSE),2)),"")</f>
        <v>Hoopers</v>
      </c>
      <c r="E24" s="185">
        <f>IF($C24="",-0.00001,COUNTIFS(Database!E:E,$C24,Database!A:A,$D$1))</f>
        <v>3</v>
      </c>
      <c r="F24" s="185">
        <f>IFERROR(IF($C24="",-0.00001,SUMIFS(Database!H:H,Database!$E:$E,$C24,Database!$A:$A,$D$1)),-0.00001)</f>
        <v>34</v>
      </c>
      <c r="G24" s="185">
        <f>IFERROR(IF($C24="",-0.00001,SUMIFS(Database!I:I,Database!$E:$E,$C24,Database!$A:$A,$D$1)),-0.00001)</f>
        <v>23</v>
      </c>
      <c r="H24" s="185">
        <f>IFERROR(IF($C24="",-0.00001,SUMIFS(Database!J:J,Database!$E:$E,$C24,Database!$A:$A,$D$1)),-0.00001)</f>
        <v>6</v>
      </c>
      <c r="I24" s="185">
        <f>IFERROR(IF($C24="",-0.00001,SUMIFS(Database!K:K,Database!$E:$E,$C24,Database!$A:$A,$D$1)),-0.00001)</f>
        <v>8</v>
      </c>
      <c r="J24" s="185">
        <f>IFERROR(IF($C24="",-0.00001,SUMIFS(Database!L:L,Database!$E:$E,$C24,Database!$A:$A,$D$1)),-0.00001)</f>
        <v>1</v>
      </c>
      <c r="K24" s="185">
        <f>IFERROR(IF($C24="",-0.00001,SUMIFS(Database!M:M,Database!$E:$E,$C24,Database!$A:$A,$D$1)),-0.00001)</f>
        <v>4</v>
      </c>
      <c r="L24" s="185">
        <f>IFERROR(IF($C24="",-0.00001,SUMIFS(Database!N:N,Database!$E:$E,$C24,Database!$A:$A,$D$1)),-0.00001)</f>
        <v>1</v>
      </c>
      <c r="M24" s="185">
        <f>IFERROR(IF($C24="",-0.00001,SUMIFS(Database!O:O,Database!$E:$E,$C24,Database!$A:$A,$D$1)),-0.00001)</f>
        <v>22</v>
      </c>
      <c r="N24" s="185">
        <f>IFERROR(IF($C24="",-0.00001,SUMIFS(Database!P:P,Database!$E:$E,$C24,Database!$A:$A,$D$1)),-0.00001)</f>
        <v>6</v>
      </c>
      <c r="O24" s="185">
        <f>IFERROR(IF($C24="",-0.00001,SUMIFS(Database!Q:Q,Database!$E:$E,$C24,Database!$A:$A,$D$1)),-0.00001)</f>
        <v>14</v>
      </c>
      <c r="P24" s="186">
        <f t="shared" si="0"/>
        <v>0.42857142857142855</v>
      </c>
      <c r="Q24" s="185">
        <f>IFERROR(IF($C24="",-0.00001,SUMIFS(Database!S:S,Database!$E:$E,$C24,Database!$A:$A,$D$1)),-0.00001)</f>
        <v>13</v>
      </c>
      <c r="R24" s="185">
        <f>IFERROR(IF($C24="",-0.00001,SUMIFS(Database!T:T,Database!$E:$E,$C24,Database!$A:$A,$D$1)),-0.00001)</f>
        <v>30</v>
      </c>
      <c r="S24" s="186">
        <f t="shared" si="1"/>
        <v>0.43333333333333335</v>
      </c>
      <c r="T24" s="185">
        <f>IFERROR(IF($C24="",-0.00001,SUMIFS(Database!V:V,Database!$E:$E,$C24,Database!$A:$A,$D$1)),-0.00001)</f>
        <v>2</v>
      </c>
      <c r="U24" s="185">
        <f>IFERROR(IF($C24="",-0.00001,SUMIFS(Database!W:W,Database!$E:$E,$C24,Database!$A:$A,$D$1)),-0.00001)</f>
        <v>4</v>
      </c>
      <c r="V24" s="186">
        <f t="shared" si="2"/>
        <v>0.5</v>
      </c>
      <c r="W24" s="187"/>
      <c r="X24" s="187"/>
      <c r="Y24" s="187"/>
      <c r="Z24" s="187"/>
      <c r="AA24" s="187"/>
      <c r="AB24" s="187"/>
      <c r="AC24" s="187"/>
      <c r="AD24" s="187"/>
      <c r="AE24" s="187"/>
    </row>
    <row r="25" spans="1:31" x14ac:dyDescent="0.25">
      <c r="A25" s="187"/>
      <c r="B25" s="187">
        <f>IF($C25="","",MAX($B$4:$B24)+1)</f>
        <v>22</v>
      </c>
      <c r="C25" s="145" t="s">
        <v>5</v>
      </c>
      <c r="D25" s="183" t="str">
        <f>IFERROR(VLOOKUP($C25,Rosters!$C$4:$M$239,INDEX(Lists!$N$5:$O$80,MATCH($C25,Lists!$N$5:$N$80,FALSE),2)),"")</f>
        <v>Mustangs</v>
      </c>
      <c r="E25" s="185">
        <f>IF($C25="",-0.00001,COUNTIFS(Database!E:E,$C25,Database!A:A,$D$1))</f>
        <v>4</v>
      </c>
      <c r="F25" s="185">
        <f>IFERROR(IF($C25="",-0.00001,SUMIFS(Database!H:H,Database!$E:$E,$C25,Database!$A:$A,$D$1)),-0.00001)</f>
        <v>30</v>
      </c>
      <c r="G25" s="185">
        <f>IFERROR(IF($C25="",-0.00001,SUMIFS(Database!I:I,Database!$E:$E,$C25,Database!$A:$A,$D$1)),-0.00001)</f>
        <v>17</v>
      </c>
      <c r="H25" s="185">
        <f>IFERROR(IF($C25="",-0.00001,SUMIFS(Database!J:J,Database!$E:$E,$C25,Database!$A:$A,$D$1)),-0.00001)</f>
        <v>0</v>
      </c>
      <c r="I25" s="185">
        <f>IFERROR(IF($C25="",-0.00001,SUMIFS(Database!K:K,Database!$E:$E,$C25,Database!$A:$A,$D$1)),-0.00001)</f>
        <v>6</v>
      </c>
      <c r="J25" s="185">
        <f>IFERROR(IF($C25="",-0.00001,SUMIFS(Database!L:L,Database!$E:$E,$C25,Database!$A:$A,$D$1)),-0.00001)</f>
        <v>3</v>
      </c>
      <c r="K25" s="185">
        <f>IFERROR(IF($C25="",-0.00001,SUMIFS(Database!M:M,Database!$E:$E,$C25,Database!$A:$A,$D$1)),-0.00001)</f>
        <v>2</v>
      </c>
      <c r="L25" s="185">
        <f>IFERROR(IF($C25="",-0.00001,SUMIFS(Database!N:N,Database!$E:$E,$C25,Database!$A:$A,$D$1)),-0.00001)</f>
        <v>3</v>
      </c>
      <c r="M25" s="185">
        <f>IFERROR(IF($C25="",-0.00001,SUMIFS(Database!O:O,Database!$E:$E,$C25,Database!$A:$A,$D$1)),-0.00001)</f>
        <v>10</v>
      </c>
      <c r="N25" s="185">
        <f>IFERROR(IF($C25="",-0.00001,SUMIFS(Database!P:P,Database!$E:$E,$C25,Database!$A:$A,$D$1)),-0.00001)</f>
        <v>2</v>
      </c>
      <c r="O25" s="185">
        <f>IFERROR(IF($C25="",-0.00001,SUMIFS(Database!Q:Q,Database!$E:$E,$C25,Database!$A:$A,$D$1)),-0.00001)</f>
        <v>8</v>
      </c>
      <c r="P25" s="186">
        <f t="shared" si="0"/>
        <v>0.25</v>
      </c>
      <c r="Q25" s="185">
        <f>IFERROR(IF($C25="",-0.00001,SUMIFS(Database!S:S,Database!$E:$E,$C25,Database!$A:$A,$D$1)),-0.00001)</f>
        <v>12</v>
      </c>
      <c r="R25" s="185">
        <f>IFERROR(IF($C25="",-0.00001,SUMIFS(Database!T:T,Database!$E:$E,$C25,Database!$A:$A,$D$1)),-0.00001)</f>
        <v>28</v>
      </c>
      <c r="S25" s="186">
        <f t="shared" si="1"/>
        <v>0.42857142857142855</v>
      </c>
      <c r="T25" s="185">
        <f>IFERROR(IF($C25="",-0.00001,SUMIFS(Database!V:V,Database!$E:$E,$C25,Database!$A:$A,$D$1)),-0.00001)</f>
        <v>4</v>
      </c>
      <c r="U25" s="185">
        <f>IFERROR(IF($C25="",-0.00001,SUMIFS(Database!W:W,Database!$E:$E,$C25,Database!$A:$A,$D$1)),-0.00001)</f>
        <v>5</v>
      </c>
      <c r="V25" s="186">
        <f t="shared" si="2"/>
        <v>0.8</v>
      </c>
      <c r="W25" s="187"/>
      <c r="X25" s="187"/>
      <c r="Y25" s="187"/>
      <c r="Z25" s="187"/>
      <c r="AA25" s="187"/>
      <c r="AB25" s="187"/>
      <c r="AC25" s="187"/>
      <c r="AD25" s="187"/>
      <c r="AE25" s="187"/>
    </row>
    <row r="26" spans="1:31" x14ac:dyDescent="0.25">
      <c r="A26" s="187"/>
      <c r="B26" s="187">
        <f>IF($C26="","",MAX($B$4:$B25)+1)</f>
        <v>23</v>
      </c>
      <c r="C26" s="145" t="s">
        <v>4</v>
      </c>
      <c r="D26" s="183" t="str">
        <f>IFERROR(VLOOKUP($C26,Rosters!$C$4:$M$239,INDEX(Lists!$N$5:$O$80,MATCH($C26,Lists!$N$5:$N$80,FALSE),2)),"")</f>
        <v>Mustangs</v>
      </c>
      <c r="E26" s="185">
        <f>IF($C26="",-0.00001,COUNTIFS(Database!E:E,$C26,Database!A:A,$D$1))</f>
        <v>4</v>
      </c>
      <c r="F26" s="185">
        <f>IFERROR(IF($C26="",-0.00001,SUMIFS(Database!H:H,Database!$E:$E,$C26,Database!$A:$A,$D$1)),-0.00001)</f>
        <v>25</v>
      </c>
      <c r="G26" s="185">
        <f>IFERROR(IF($C26="",-0.00001,SUMIFS(Database!I:I,Database!$E:$E,$C26,Database!$A:$A,$D$1)),-0.00001)</f>
        <v>27</v>
      </c>
      <c r="H26" s="185">
        <f>IFERROR(IF($C26="",-0.00001,SUMIFS(Database!J:J,Database!$E:$E,$C26,Database!$A:$A,$D$1)),-0.00001)</f>
        <v>11</v>
      </c>
      <c r="I26" s="185">
        <f>IFERROR(IF($C26="",-0.00001,SUMIFS(Database!K:K,Database!$E:$E,$C26,Database!$A:$A,$D$1)),-0.00001)</f>
        <v>0</v>
      </c>
      <c r="J26" s="185">
        <f>IFERROR(IF($C26="",-0.00001,SUMIFS(Database!L:L,Database!$E:$E,$C26,Database!$A:$A,$D$1)),-0.00001)</f>
        <v>0</v>
      </c>
      <c r="K26" s="185">
        <f>IFERROR(IF($C26="",-0.00001,SUMIFS(Database!M:M,Database!$E:$E,$C26,Database!$A:$A,$D$1)),-0.00001)</f>
        <v>5</v>
      </c>
      <c r="L26" s="185">
        <f>IFERROR(IF($C26="",-0.00001,SUMIFS(Database!N:N,Database!$E:$E,$C26,Database!$A:$A,$D$1)),-0.00001)</f>
        <v>6</v>
      </c>
      <c r="M26" s="185">
        <f>IFERROR(IF($C26="",-0.00001,SUMIFS(Database!O:O,Database!$E:$E,$C26,Database!$A:$A,$D$1)),-0.00001)</f>
        <v>12</v>
      </c>
      <c r="N26" s="185">
        <f>IFERROR(IF($C26="",-0.00001,SUMIFS(Database!P:P,Database!$E:$E,$C26,Database!$A:$A,$D$1)),-0.00001)</f>
        <v>5</v>
      </c>
      <c r="O26" s="185">
        <f>IFERROR(IF($C26="",-0.00001,SUMIFS(Database!Q:Q,Database!$E:$E,$C26,Database!$A:$A,$D$1)),-0.00001)</f>
        <v>19</v>
      </c>
      <c r="P26" s="186">
        <f t="shared" si="0"/>
        <v>0.26315789473684209</v>
      </c>
      <c r="Q26" s="185">
        <f>IFERROR(IF($C26="",-0.00001,SUMIFS(Database!S:S,Database!$E:$E,$C26,Database!$A:$A,$D$1)),-0.00001)</f>
        <v>10</v>
      </c>
      <c r="R26" s="185">
        <f>IFERROR(IF($C26="",-0.00001,SUMIFS(Database!T:T,Database!$E:$E,$C26,Database!$A:$A,$D$1)),-0.00001)</f>
        <v>26</v>
      </c>
      <c r="S26" s="186">
        <f t="shared" si="1"/>
        <v>0.38461538461538464</v>
      </c>
      <c r="T26" s="185">
        <f>IFERROR(IF($C26="",-0.00001,SUMIFS(Database!V:V,Database!$E:$E,$C26,Database!$A:$A,$D$1)),-0.00001)</f>
        <v>0</v>
      </c>
      <c r="U26" s="185">
        <f>IFERROR(IF($C26="",-0.00001,SUMIFS(Database!W:W,Database!$E:$E,$C26,Database!$A:$A,$D$1)),-0.00001)</f>
        <v>1</v>
      </c>
      <c r="V26" s="186">
        <f t="shared" si="2"/>
        <v>0</v>
      </c>
      <c r="W26" s="187"/>
      <c r="X26" s="187"/>
      <c r="Y26" s="187"/>
      <c r="Z26" s="187"/>
      <c r="AA26" s="187"/>
      <c r="AB26" s="187"/>
      <c r="AC26" s="187"/>
      <c r="AD26" s="187"/>
      <c r="AE26" s="187"/>
    </row>
    <row r="27" spans="1:31" x14ac:dyDescent="0.25">
      <c r="A27" s="187"/>
      <c r="B27" s="187">
        <f>IF($C27="","",MAX($B$4:$B26)+1)</f>
        <v>24</v>
      </c>
      <c r="C27" s="145" t="s">
        <v>28</v>
      </c>
      <c r="D27" s="183" t="str">
        <f>IFERROR(VLOOKUP($C27,Rosters!$C$4:$M$239,INDEX(Lists!$N$5:$O$80,MATCH($C27,Lists!$N$5:$N$80,FALSE),2)),"")</f>
        <v>Hoopers</v>
      </c>
      <c r="E27" s="185">
        <f>IF($C27="",-0.00001,COUNTIFS(Database!E:E,$C27,Database!A:A,$D$1))</f>
        <v>4</v>
      </c>
      <c r="F27" s="185">
        <f>IFERROR(IF($C27="",-0.00001,SUMIFS(Database!H:H,Database!$E:$E,$C27,Database!$A:$A,$D$1)),-0.00001)</f>
        <v>25</v>
      </c>
      <c r="G27" s="185">
        <f>IFERROR(IF($C27="",-0.00001,SUMIFS(Database!I:I,Database!$E:$E,$C27,Database!$A:$A,$D$1)),-0.00001)</f>
        <v>19</v>
      </c>
      <c r="H27" s="185">
        <f>IFERROR(IF($C27="",-0.00001,SUMIFS(Database!J:J,Database!$E:$E,$C27,Database!$A:$A,$D$1)),-0.00001)</f>
        <v>2</v>
      </c>
      <c r="I27" s="185">
        <f>IFERROR(IF($C27="",-0.00001,SUMIFS(Database!K:K,Database!$E:$E,$C27,Database!$A:$A,$D$1)),-0.00001)</f>
        <v>3</v>
      </c>
      <c r="J27" s="185">
        <f>IFERROR(IF($C27="",-0.00001,SUMIFS(Database!L:L,Database!$E:$E,$C27,Database!$A:$A,$D$1)),-0.00001)</f>
        <v>1</v>
      </c>
      <c r="K27" s="185">
        <f>IFERROR(IF($C27="",-0.00001,SUMIFS(Database!M:M,Database!$E:$E,$C27,Database!$A:$A,$D$1)),-0.00001)</f>
        <v>2</v>
      </c>
      <c r="L27" s="185">
        <f>IFERROR(IF($C27="",-0.00001,SUMIFS(Database!N:N,Database!$E:$E,$C27,Database!$A:$A,$D$1)),-0.00001)</f>
        <v>4</v>
      </c>
      <c r="M27" s="185">
        <f>IFERROR(IF($C27="",-0.00001,SUMIFS(Database!O:O,Database!$E:$E,$C27,Database!$A:$A,$D$1)),-0.00001)</f>
        <v>15</v>
      </c>
      <c r="N27" s="185">
        <f>IFERROR(IF($C27="",-0.00001,SUMIFS(Database!P:P,Database!$E:$E,$C27,Database!$A:$A,$D$1)),-0.00001)</f>
        <v>7</v>
      </c>
      <c r="O27" s="185">
        <f>IFERROR(IF($C27="",-0.00001,SUMIFS(Database!Q:Q,Database!$E:$E,$C27,Database!$A:$A,$D$1)),-0.00001)</f>
        <v>20</v>
      </c>
      <c r="P27" s="186">
        <f t="shared" si="0"/>
        <v>0.35</v>
      </c>
      <c r="Q27" s="185">
        <f>IFERROR(IF($C27="",-0.00001,SUMIFS(Database!S:S,Database!$E:$E,$C27,Database!$A:$A,$D$1)),-0.00001)</f>
        <v>9</v>
      </c>
      <c r="R27" s="185">
        <f>IFERROR(IF($C27="",-0.00001,SUMIFS(Database!T:T,Database!$E:$E,$C27,Database!$A:$A,$D$1)),-0.00001)</f>
        <v>26</v>
      </c>
      <c r="S27" s="186">
        <f t="shared" si="1"/>
        <v>0.34615384615384615</v>
      </c>
      <c r="T27" s="185">
        <f>IFERROR(IF($C27="",-0.00001,SUMIFS(Database!V:V,Database!$E:$E,$C27,Database!$A:$A,$D$1)),-0.00001)</f>
        <v>0</v>
      </c>
      <c r="U27" s="185">
        <f>IFERROR(IF($C27="",-0.00001,SUMIFS(Database!W:W,Database!$E:$E,$C27,Database!$A:$A,$D$1)),-0.00001)</f>
        <v>0</v>
      </c>
      <c r="V27" s="186">
        <f t="shared" si="2"/>
        <v>-1.0000000000000001E-5</v>
      </c>
      <c r="W27" s="187"/>
      <c r="X27" s="187"/>
      <c r="Y27" s="187"/>
      <c r="Z27" s="187"/>
      <c r="AA27" s="187"/>
      <c r="AB27" s="187"/>
      <c r="AC27" s="187"/>
      <c r="AD27" s="187"/>
      <c r="AE27" s="187"/>
    </row>
    <row r="28" spans="1:31" x14ac:dyDescent="0.25">
      <c r="A28" s="187"/>
      <c r="B28" s="187">
        <f>IF($C28="","",MAX($B$4:$B27)+1)</f>
        <v>25</v>
      </c>
      <c r="C28" s="145" t="s">
        <v>6</v>
      </c>
      <c r="D28" s="183" t="str">
        <f>IFERROR(VLOOKUP($C28,Rosters!$C$4:$M$239,INDEX(Lists!$N$5:$O$80,MATCH($C28,Lists!$N$5:$N$80,FALSE),2)),"")</f>
        <v>Mustangs</v>
      </c>
      <c r="E28" s="185">
        <f>IF($C28="",-0.00001,COUNTIFS(Database!E:E,$C28,Database!A:A,$D$1))</f>
        <v>3</v>
      </c>
      <c r="F28" s="185">
        <f>IFERROR(IF($C28="",-0.00001,SUMIFS(Database!H:H,Database!$E:$E,$C28,Database!$A:$A,$D$1)),-0.00001)</f>
        <v>22</v>
      </c>
      <c r="G28" s="185">
        <f>IFERROR(IF($C28="",-0.00001,SUMIFS(Database!I:I,Database!$E:$E,$C28,Database!$A:$A,$D$1)),-0.00001)</f>
        <v>21</v>
      </c>
      <c r="H28" s="185">
        <f>IFERROR(IF($C28="",-0.00001,SUMIFS(Database!J:J,Database!$E:$E,$C28,Database!$A:$A,$D$1)),-0.00001)</f>
        <v>8</v>
      </c>
      <c r="I28" s="185">
        <f>IFERROR(IF($C28="",-0.00001,SUMIFS(Database!K:K,Database!$E:$E,$C28,Database!$A:$A,$D$1)),-0.00001)</f>
        <v>1</v>
      </c>
      <c r="J28" s="185">
        <f>IFERROR(IF($C28="",-0.00001,SUMIFS(Database!L:L,Database!$E:$E,$C28,Database!$A:$A,$D$1)),-0.00001)</f>
        <v>0</v>
      </c>
      <c r="K28" s="185">
        <f>IFERROR(IF($C28="",-0.00001,SUMIFS(Database!M:M,Database!$E:$E,$C28,Database!$A:$A,$D$1)),-0.00001)</f>
        <v>3</v>
      </c>
      <c r="L28" s="185">
        <f>IFERROR(IF($C28="",-0.00001,SUMIFS(Database!N:N,Database!$E:$E,$C28,Database!$A:$A,$D$1)),-0.00001)</f>
        <v>8</v>
      </c>
      <c r="M28" s="185">
        <f>IFERROR(IF($C28="",-0.00001,SUMIFS(Database!O:O,Database!$E:$E,$C28,Database!$A:$A,$D$1)),-0.00001)</f>
        <v>13</v>
      </c>
      <c r="N28" s="185">
        <f>IFERROR(IF($C28="",-0.00001,SUMIFS(Database!P:P,Database!$E:$E,$C28,Database!$A:$A,$D$1)),-0.00001)</f>
        <v>2</v>
      </c>
      <c r="O28" s="185">
        <f>IFERROR(IF($C28="",-0.00001,SUMIFS(Database!Q:Q,Database!$E:$E,$C28,Database!$A:$A,$D$1)),-0.00001)</f>
        <v>11</v>
      </c>
      <c r="P28" s="186">
        <f t="shared" si="0"/>
        <v>0.18181818181818182</v>
      </c>
      <c r="Q28" s="185">
        <f>IFERROR(IF($C28="",-0.00001,SUMIFS(Database!S:S,Database!$E:$E,$C28,Database!$A:$A,$D$1)),-0.00001)</f>
        <v>10</v>
      </c>
      <c r="R28" s="185">
        <f>IFERROR(IF($C28="",-0.00001,SUMIFS(Database!T:T,Database!$E:$E,$C28,Database!$A:$A,$D$1)),-0.00001)</f>
        <v>26</v>
      </c>
      <c r="S28" s="186">
        <f t="shared" si="1"/>
        <v>0.38461538461538464</v>
      </c>
      <c r="T28" s="185">
        <f>IFERROR(IF($C28="",-0.00001,SUMIFS(Database!V:V,Database!$E:$E,$C28,Database!$A:$A,$D$1)),-0.00001)</f>
        <v>0</v>
      </c>
      <c r="U28" s="185">
        <f>IFERROR(IF($C28="",-0.00001,SUMIFS(Database!W:W,Database!$E:$E,$C28,Database!$A:$A,$D$1)),-0.00001)</f>
        <v>0</v>
      </c>
      <c r="V28" s="186">
        <f t="shared" si="2"/>
        <v>-1.0000000000000001E-5</v>
      </c>
      <c r="W28" s="187"/>
      <c r="X28" s="187"/>
      <c r="Y28" s="187"/>
      <c r="Z28" s="187"/>
      <c r="AA28" s="187"/>
      <c r="AB28" s="187"/>
      <c r="AC28" s="187"/>
      <c r="AD28" s="187"/>
      <c r="AE28" s="187"/>
    </row>
    <row r="29" spans="1:31" x14ac:dyDescent="0.25">
      <c r="A29" s="187"/>
      <c r="B29" s="187">
        <f>IF($C29="","",MAX($B$4:$B28)+1)</f>
        <v>26</v>
      </c>
      <c r="C29" s="145" t="s">
        <v>10</v>
      </c>
      <c r="D29" s="183" t="str">
        <f>IFERROR(VLOOKUP($C29,Rosters!$C$4:$M$239,INDEX(Lists!$N$5:$O$80,MATCH($C29,Lists!$N$5:$N$80,FALSE),2)),"")</f>
        <v>Wombats</v>
      </c>
      <c r="E29" s="185">
        <f>IF($C29="",-0.00001,COUNTIFS(Database!E:E,$C29,Database!A:A,$D$1))</f>
        <v>4</v>
      </c>
      <c r="F29" s="185">
        <f>IFERROR(IF($C29="",-0.00001,SUMIFS(Database!H:H,Database!$E:$E,$C29,Database!$A:$A,$D$1)),-0.00001)</f>
        <v>18</v>
      </c>
      <c r="G29" s="185">
        <f>IFERROR(IF($C29="",-0.00001,SUMIFS(Database!I:I,Database!$E:$E,$C29,Database!$A:$A,$D$1)),-0.00001)</f>
        <v>15</v>
      </c>
      <c r="H29" s="185">
        <f>IFERROR(IF($C29="",-0.00001,SUMIFS(Database!J:J,Database!$E:$E,$C29,Database!$A:$A,$D$1)),-0.00001)</f>
        <v>4</v>
      </c>
      <c r="I29" s="185">
        <f>IFERROR(IF($C29="",-0.00001,SUMIFS(Database!K:K,Database!$E:$E,$C29,Database!$A:$A,$D$1)),-0.00001)</f>
        <v>3</v>
      </c>
      <c r="J29" s="185">
        <f>IFERROR(IF($C29="",-0.00001,SUMIFS(Database!L:L,Database!$E:$E,$C29,Database!$A:$A,$D$1)),-0.00001)</f>
        <v>0</v>
      </c>
      <c r="K29" s="185">
        <f>IFERROR(IF($C29="",-0.00001,SUMIFS(Database!M:M,Database!$E:$E,$C29,Database!$A:$A,$D$1)),-0.00001)</f>
        <v>7</v>
      </c>
      <c r="L29" s="185">
        <f>IFERROR(IF($C29="",-0.00001,SUMIFS(Database!N:N,Database!$E:$E,$C29,Database!$A:$A,$D$1)),-0.00001)</f>
        <v>4</v>
      </c>
      <c r="M29" s="185">
        <f>IFERROR(IF($C29="",-0.00001,SUMIFS(Database!O:O,Database!$E:$E,$C29,Database!$A:$A,$D$1)),-0.00001)</f>
        <v>11</v>
      </c>
      <c r="N29" s="185">
        <f>IFERROR(IF($C29="",-0.00001,SUMIFS(Database!P:P,Database!$E:$E,$C29,Database!$A:$A,$D$1)),-0.00001)</f>
        <v>6</v>
      </c>
      <c r="O29" s="185">
        <f>IFERROR(IF($C29="",-0.00001,SUMIFS(Database!Q:Q,Database!$E:$E,$C29,Database!$A:$A,$D$1)),-0.00001)</f>
        <v>19</v>
      </c>
      <c r="P29" s="186">
        <f t="shared" si="0"/>
        <v>0.31578947368421051</v>
      </c>
      <c r="Q29" s="185">
        <f>IFERROR(IF($C29="",-0.00001,SUMIFS(Database!S:S,Database!$E:$E,$C29,Database!$A:$A,$D$1)),-0.00001)</f>
        <v>6</v>
      </c>
      <c r="R29" s="185">
        <f>IFERROR(IF($C29="",-0.00001,SUMIFS(Database!T:T,Database!$E:$E,$C29,Database!$A:$A,$D$1)),-0.00001)</f>
        <v>29</v>
      </c>
      <c r="S29" s="186">
        <f t="shared" si="1"/>
        <v>0.20689655172413793</v>
      </c>
      <c r="T29" s="185">
        <f>IFERROR(IF($C29="",-0.00001,SUMIFS(Database!V:V,Database!$E:$E,$C29,Database!$A:$A,$D$1)),-0.00001)</f>
        <v>0</v>
      </c>
      <c r="U29" s="185">
        <f>IFERROR(IF($C29="",-0.00001,SUMIFS(Database!W:W,Database!$E:$E,$C29,Database!$A:$A,$D$1)),-0.00001)</f>
        <v>0</v>
      </c>
      <c r="V29" s="186">
        <f t="shared" si="2"/>
        <v>-1.0000000000000001E-5</v>
      </c>
      <c r="W29" s="187"/>
      <c r="X29" s="187"/>
      <c r="Y29" s="187"/>
      <c r="Z29" s="187"/>
      <c r="AA29" s="187"/>
      <c r="AB29" s="187"/>
      <c r="AC29" s="187"/>
      <c r="AD29" s="187"/>
      <c r="AE29" s="187"/>
    </row>
    <row r="30" spans="1:31" x14ac:dyDescent="0.25">
      <c r="A30" s="187"/>
      <c r="B30" s="187">
        <f>IF($C30="","",MAX($B$4:$B29)+1)</f>
        <v>27</v>
      </c>
      <c r="C30" s="145" t="s">
        <v>16</v>
      </c>
      <c r="D30" s="183" t="str">
        <f>IFERROR(VLOOKUP($C30,Rosters!$C$4:$M$239,INDEX(Lists!$N$5:$O$80,MATCH($C30,Lists!$N$5:$N$80,FALSE),2)),"")</f>
        <v>Pistons</v>
      </c>
      <c r="E30" s="185">
        <f>IF($C30="",-0.00001,COUNTIFS(Database!E:E,$C30,Database!A:A,$D$1))</f>
        <v>2</v>
      </c>
      <c r="F30" s="185">
        <f>IFERROR(IF($C30="",-0.00001,SUMIFS(Database!H:H,Database!$E:$E,$C30,Database!$A:$A,$D$1)),-0.00001)</f>
        <v>17</v>
      </c>
      <c r="G30" s="185">
        <f>IFERROR(IF($C30="",-0.00001,SUMIFS(Database!I:I,Database!$E:$E,$C30,Database!$A:$A,$D$1)),-0.00001)</f>
        <v>11</v>
      </c>
      <c r="H30" s="185">
        <f>IFERROR(IF($C30="",-0.00001,SUMIFS(Database!J:J,Database!$E:$E,$C30,Database!$A:$A,$D$1)),-0.00001)</f>
        <v>4</v>
      </c>
      <c r="I30" s="185">
        <f>IFERROR(IF($C30="",-0.00001,SUMIFS(Database!K:K,Database!$E:$E,$C30,Database!$A:$A,$D$1)),-0.00001)</f>
        <v>2</v>
      </c>
      <c r="J30" s="185">
        <f>IFERROR(IF($C30="",-0.00001,SUMIFS(Database!L:L,Database!$E:$E,$C30,Database!$A:$A,$D$1)),-0.00001)</f>
        <v>0</v>
      </c>
      <c r="K30" s="185">
        <f>IFERROR(IF($C30="",-0.00001,SUMIFS(Database!M:M,Database!$E:$E,$C30,Database!$A:$A,$D$1)),-0.00001)</f>
        <v>1</v>
      </c>
      <c r="L30" s="185">
        <f>IFERROR(IF($C30="",-0.00001,SUMIFS(Database!N:N,Database!$E:$E,$C30,Database!$A:$A,$D$1)),-0.00001)</f>
        <v>2</v>
      </c>
      <c r="M30" s="185">
        <f>IFERROR(IF($C30="",-0.00001,SUMIFS(Database!O:O,Database!$E:$E,$C30,Database!$A:$A,$D$1)),-0.00001)</f>
        <v>9</v>
      </c>
      <c r="N30" s="185">
        <f>IFERROR(IF($C30="",-0.00001,SUMIFS(Database!P:P,Database!$E:$E,$C30,Database!$A:$A,$D$1)),-0.00001)</f>
        <v>3</v>
      </c>
      <c r="O30" s="185">
        <f>IFERROR(IF($C30="",-0.00001,SUMIFS(Database!Q:Q,Database!$E:$E,$C30,Database!$A:$A,$D$1)),-0.00001)</f>
        <v>6</v>
      </c>
      <c r="P30" s="186">
        <f t="shared" si="0"/>
        <v>0.5</v>
      </c>
      <c r="Q30" s="185">
        <f>IFERROR(IF($C30="",-0.00001,SUMIFS(Database!S:S,Database!$E:$E,$C30,Database!$A:$A,$D$1)),-0.00001)</f>
        <v>7</v>
      </c>
      <c r="R30" s="185">
        <f>IFERROR(IF($C30="",-0.00001,SUMIFS(Database!T:T,Database!$E:$E,$C30,Database!$A:$A,$D$1)),-0.00001)</f>
        <v>16</v>
      </c>
      <c r="S30" s="186">
        <f t="shared" si="1"/>
        <v>0.4375</v>
      </c>
      <c r="T30" s="185">
        <f>IFERROR(IF($C30="",-0.00001,SUMIFS(Database!V:V,Database!$E:$E,$C30,Database!$A:$A,$D$1)),-0.00001)</f>
        <v>0</v>
      </c>
      <c r="U30" s="185">
        <f>IFERROR(IF($C30="",-0.00001,SUMIFS(Database!W:W,Database!$E:$E,$C30,Database!$A:$A,$D$1)),-0.00001)</f>
        <v>0</v>
      </c>
      <c r="V30" s="186">
        <f t="shared" si="2"/>
        <v>-1.0000000000000001E-5</v>
      </c>
      <c r="W30" s="187"/>
      <c r="X30" s="187"/>
      <c r="Y30" s="187"/>
      <c r="Z30" s="187"/>
      <c r="AA30" s="187"/>
      <c r="AB30" s="187"/>
      <c r="AC30" s="187"/>
      <c r="AD30" s="187"/>
      <c r="AE30" s="187"/>
    </row>
    <row r="31" spans="1:31" x14ac:dyDescent="0.25">
      <c r="A31" s="187"/>
      <c r="B31" s="187">
        <f>IF($C31="","",MAX($B$4:$B30)+1)</f>
        <v>28</v>
      </c>
      <c r="C31" s="145" t="s">
        <v>29</v>
      </c>
      <c r="D31" s="183" t="str">
        <f>IFERROR(VLOOKUP($C31,Rosters!$C$4:$M$239,INDEX(Lists!$N$5:$O$80,MATCH($C31,Lists!$N$5:$N$80,FALSE),2)),"")</f>
        <v>Hoopers</v>
      </c>
      <c r="E31" s="185">
        <f>IF($C31="",-0.00001,COUNTIFS(Database!E:E,$C31,Database!A:A,$D$1))</f>
        <v>3</v>
      </c>
      <c r="F31" s="185">
        <f>IFERROR(IF($C31="",-0.00001,SUMIFS(Database!H:H,Database!$E:$E,$C31,Database!$A:$A,$D$1)),-0.00001)</f>
        <v>15</v>
      </c>
      <c r="G31" s="185">
        <f>IFERROR(IF($C31="",-0.00001,SUMIFS(Database!I:I,Database!$E:$E,$C31,Database!$A:$A,$D$1)),-0.00001)</f>
        <v>28</v>
      </c>
      <c r="H31" s="185">
        <f>IFERROR(IF($C31="",-0.00001,SUMIFS(Database!J:J,Database!$E:$E,$C31,Database!$A:$A,$D$1)),-0.00001)</f>
        <v>6</v>
      </c>
      <c r="I31" s="185">
        <f>IFERROR(IF($C31="",-0.00001,SUMIFS(Database!K:K,Database!$E:$E,$C31,Database!$A:$A,$D$1)),-0.00001)</f>
        <v>4</v>
      </c>
      <c r="J31" s="185">
        <f>IFERROR(IF($C31="",-0.00001,SUMIFS(Database!L:L,Database!$E:$E,$C31,Database!$A:$A,$D$1)),-0.00001)</f>
        <v>1</v>
      </c>
      <c r="K31" s="185">
        <f>IFERROR(IF($C31="",-0.00001,SUMIFS(Database!M:M,Database!$E:$E,$C31,Database!$A:$A,$D$1)),-0.00001)</f>
        <v>9</v>
      </c>
      <c r="L31" s="185">
        <f>IFERROR(IF($C31="",-0.00001,SUMIFS(Database!N:N,Database!$E:$E,$C31,Database!$A:$A,$D$1)),-0.00001)</f>
        <v>14</v>
      </c>
      <c r="M31" s="185">
        <f>IFERROR(IF($C31="",-0.00001,SUMIFS(Database!O:O,Database!$E:$E,$C31,Database!$A:$A,$D$1)),-0.00001)</f>
        <v>14</v>
      </c>
      <c r="N31" s="185">
        <f>IFERROR(IF($C31="",-0.00001,SUMIFS(Database!P:P,Database!$E:$E,$C31,Database!$A:$A,$D$1)),-0.00001)</f>
        <v>1</v>
      </c>
      <c r="O31" s="185">
        <f>IFERROR(IF($C31="",-0.00001,SUMIFS(Database!Q:Q,Database!$E:$E,$C31,Database!$A:$A,$D$1)),-0.00001)</f>
        <v>7</v>
      </c>
      <c r="P31" s="186">
        <f t="shared" si="0"/>
        <v>0.14285714285714285</v>
      </c>
      <c r="Q31" s="185">
        <f>IFERROR(IF($C31="",-0.00001,SUMIFS(Database!S:S,Database!$E:$E,$C31,Database!$A:$A,$D$1)),-0.00001)</f>
        <v>7</v>
      </c>
      <c r="R31" s="185">
        <f>IFERROR(IF($C31="",-0.00001,SUMIFS(Database!T:T,Database!$E:$E,$C31,Database!$A:$A,$D$1)),-0.00001)</f>
        <v>28</v>
      </c>
      <c r="S31" s="186">
        <f t="shared" si="1"/>
        <v>0.25</v>
      </c>
      <c r="T31" s="185">
        <f>IFERROR(IF($C31="",-0.00001,SUMIFS(Database!V:V,Database!$E:$E,$C31,Database!$A:$A,$D$1)),-0.00001)</f>
        <v>0</v>
      </c>
      <c r="U31" s="185">
        <f>IFERROR(IF($C31="",-0.00001,SUMIFS(Database!W:W,Database!$E:$E,$C31,Database!$A:$A,$D$1)),-0.00001)</f>
        <v>4</v>
      </c>
      <c r="V31" s="186">
        <f t="shared" si="2"/>
        <v>0</v>
      </c>
      <c r="W31" s="187"/>
      <c r="X31" s="187"/>
      <c r="Y31" s="187"/>
      <c r="Z31" s="187"/>
      <c r="AA31" s="187"/>
      <c r="AB31" s="187"/>
      <c r="AC31" s="187"/>
      <c r="AD31" s="187"/>
      <c r="AE31" s="187"/>
    </row>
    <row r="32" spans="1:31" x14ac:dyDescent="0.25">
      <c r="A32" s="187"/>
      <c r="B32" s="187">
        <f>IF($C32="","",MAX($B$4:$B31)+1)</f>
        <v>29</v>
      </c>
      <c r="C32" s="145" t="s">
        <v>35</v>
      </c>
      <c r="D32" s="183" t="str">
        <f>IFERROR(VLOOKUP($C32,Rosters!$C$4:$M$239,INDEX(Lists!$N$5:$O$80,MATCH($C32,Lists!$N$5:$N$80,FALSE),2)),"")</f>
        <v>Vandals</v>
      </c>
      <c r="E32" s="185">
        <f>IF($C32="",-0.00001,COUNTIFS(Database!E:E,$C32,Database!A:A,$D$1))</f>
        <v>4</v>
      </c>
      <c r="F32" s="185">
        <f>IFERROR(IF($C32="",-0.00001,SUMIFS(Database!H:H,Database!$E:$E,$C32,Database!$A:$A,$D$1)),-0.00001)</f>
        <v>13</v>
      </c>
      <c r="G32" s="185">
        <f>IFERROR(IF($C32="",-0.00001,SUMIFS(Database!I:I,Database!$E:$E,$C32,Database!$A:$A,$D$1)),-0.00001)</f>
        <v>15</v>
      </c>
      <c r="H32" s="185">
        <f>IFERROR(IF($C32="",-0.00001,SUMIFS(Database!J:J,Database!$E:$E,$C32,Database!$A:$A,$D$1)),-0.00001)</f>
        <v>3</v>
      </c>
      <c r="I32" s="185">
        <f>IFERROR(IF($C32="",-0.00001,SUMIFS(Database!K:K,Database!$E:$E,$C32,Database!$A:$A,$D$1)),-0.00001)</f>
        <v>0</v>
      </c>
      <c r="J32" s="185">
        <f>IFERROR(IF($C32="",-0.00001,SUMIFS(Database!L:L,Database!$E:$E,$C32,Database!$A:$A,$D$1)),-0.00001)</f>
        <v>1</v>
      </c>
      <c r="K32" s="185">
        <f>IFERROR(IF($C32="",-0.00001,SUMIFS(Database!M:M,Database!$E:$E,$C32,Database!$A:$A,$D$1)),-0.00001)</f>
        <v>3</v>
      </c>
      <c r="L32" s="185">
        <f>IFERROR(IF($C32="",-0.00001,SUMIFS(Database!N:N,Database!$E:$E,$C32,Database!$A:$A,$D$1)),-0.00001)</f>
        <v>1</v>
      </c>
      <c r="M32" s="185">
        <f>IFERROR(IF($C32="",-0.00001,SUMIFS(Database!O:O,Database!$E:$E,$C32,Database!$A:$A,$D$1)),-0.00001)</f>
        <v>12</v>
      </c>
      <c r="N32" s="185">
        <f>IFERROR(IF($C32="",-0.00001,SUMIFS(Database!P:P,Database!$E:$E,$C32,Database!$A:$A,$D$1)),-0.00001)</f>
        <v>2</v>
      </c>
      <c r="O32" s="185">
        <f>IFERROR(IF($C32="",-0.00001,SUMIFS(Database!Q:Q,Database!$E:$E,$C32,Database!$A:$A,$D$1)),-0.00001)</f>
        <v>12</v>
      </c>
      <c r="P32" s="186">
        <f t="shared" si="0"/>
        <v>0.16666666666666666</v>
      </c>
      <c r="Q32" s="185">
        <f>IFERROR(IF($C32="",-0.00001,SUMIFS(Database!S:S,Database!$E:$E,$C32,Database!$A:$A,$D$1)),-0.00001)</f>
        <v>6</v>
      </c>
      <c r="R32" s="185">
        <f>IFERROR(IF($C32="",-0.00001,SUMIFS(Database!T:T,Database!$E:$E,$C32,Database!$A:$A,$D$1)),-0.00001)</f>
        <v>19</v>
      </c>
      <c r="S32" s="186">
        <f t="shared" si="1"/>
        <v>0.31578947368421051</v>
      </c>
      <c r="T32" s="185">
        <f>IFERROR(IF($C32="",-0.00001,SUMIFS(Database!V:V,Database!$E:$E,$C32,Database!$A:$A,$D$1)),-0.00001)</f>
        <v>0</v>
      </c>
      <c r="U32" s="185">
        <f>IFERROR(IF($C32="",-0.00001,SUMIFS(Database!W:W,Database!$E:$E,$C32,Database!$A:$A,$D$1)),-0.00001)</f>
        <v>0</v>
      </c>
      <c r="V32" s="186">
        <f t="shared" si="2"/>
        <v>-1.0000000000000001E-5</v>
      </c>
      <c r="W32" s="187"/>
      <c r="X32" s="187"/>
      <c r="Y32" s="187"/>
      <c r="Z32" s="187"/>
      <c r="AA32" s="187"/>
      <c r="AB32" s="187"/>
      <c r="AC32" s="187"/>
      <c r="AD32" s="187"/>
      <c r="AE32" s="187"/>
    </row>
    <row r="33" spans="1:31" x14ac:dyDescent="0.25">
      <c r="A33" s="187"/>
      <c r="B33" s="187">
        <f>IF($C33="","",MAX($B$4:$B32)+1)</f>
        <v>30</v>
      </c>
      <c r="C33" s="145" t="s">
        <v>17</v>
      </c>
      <c r="D33" s="183" t="str">
        <f>IFERROR(VLOOKUP($C33,Rosters!$C$4:$M$239,INDEX(Lists!$N$5:$O$80,MATCH($C33,Lists!$N$5:$N$80,FALSE),2)),"")</f>
        <v>Pistons</v>
      </c>
      <c r="E33" s="185">
        <f>IF($C33="",-0.00001,COUNTIFS(Database!E:E,$C33,Database!A:A,$D$1))</f>
        <v>4</v>
      </c>
      <c r="F33" s="185">
        <f>IFERROR(IF($C33="",-0.00001,SUMIFS(Database!H:H,Database!$E:$E,$C33,Database!$A:$A,$D$1)),-0.00001)</f>
        <v>12</v>
      </c>
      <c r="G33" s="185">
        <f>IFERROR(IF($C33="",-0.00001,SUMIFS(Database!I:I,Database!$E:$E,$C33,Database!$A:$A,$D$1)),-0.00001)</f>
        <v>33</v>
      </c>
      <c r="H33" s="185">
        <f>IFERROR(IF($C33="",-0.00001,SUMIFS(Database!J:J,Database!$E:$E,$C33,Database!$A:$A,$D$1)),-0.00001)</f>
        <v>1</v>
      </c>
      <c r="I33" s="185">
        <f>IFERROR(IF($C33="",-0.00001,SUMIFS(Database!K:K,Database!$E:$E,$C33,Database!$A:$A,$D$1)),-0.00001)</f>
        <v>3</v>
      </c>
      <c r="J33" s="185">
        <f>IFERROR(IF($C33="",-0.00001,SUMIFS(Database!L:L,Database!$E:$E,$C33,Database!$A:$A,$D$1)),-0.00001)</f>
        <v>2</v>
      </c>
      <c r="K33" s="185">
        <f>IFERROR(IF($C33="",-0.00001,SUMIFS(Database!M:M,Database!$E:$E,$C33,Database!$A:$A,$D$1)),-0.00001)</f>
        <v>5</v>
      </c>
      <c r="L33" s="185">
        <f>IFERROR(IF($C33="",-0.00001,SUMIFS(Database!N:N,Database!$E:$E,$C33,Database!$A:$A,$D$1)),-0.00001)</f>
        <v>2</v>
      </c>
      <c r="M33" s="185">
        <f>IFERROR(IF($C33="",-0.00001,SUMIFS(Database!O:O,Database!$E:$E,$C33,Database!$A:$A,$D$1)),-0.00001)</f>
        <v>31</v>
      </c>
      <c r="N33" s="185">
        <f>IFERROR(IF($C33="",-0.00001,SUMIFS(Database!P:P,Database!$E:$E,$C33,Database!$A:$A,$D$1)),-0.00001)</f>
        <v>0</v>
      </c>
      <c r="O33" s="185">
        <f>IFERROR(IF($C33="",-0.00001,SUMIFS(Database!Q:Q,Database!$E:$E,$C33,Database!$A:$A,$D$1)),-0.00001)</f>
        <v>6</v>
      </c>
      <c r="P33" s="186">
        <f t="shared" si="0"/>
        <v>0</v>
      </c>
      <c r="Q33" s="185">
        <f>IFERROR(IF($C33="",-0.00001,SUMIFS(Database!S:S,Database!$E:$E,$C33,Database!$A:$A,$D$1)),-0.00001)</f>
        <v>6</v>
      </c>
      <c r="R33" s="185">
        <f>IFERROR(IF($C33="",-0.00001,SUMIFS(Database!T:T,Database!$E:$E,$C33,Database!$A:$A,$D$1)),-0.00001)</f>
        <v>19</v>
      </c>
      <c r="S33" s="186">
        <f t="shared" si="1"/>
        <v>0.31578947368421051</v>
      </c>
      <c r="T33" s="185">
        <f>IFERROR(IF($C33="",-0.00001,SUMIFS(Database!V:V,Database!$E:$E,$C33,Database!$A:$A,$D$1)),-0.00001)</f>
        <v>0</v>
      </c>
      <c r="U33" s="185">
        <f>IFERROR(IF($C33="",-0.00001,SUMIFS(Database!W:W,Database!$E:$E,$C33,Database!$A:$A,$D$1)),-0.00001)</f>
        <v>0</v>
      </c>
      <c r="V33" s="186">
        <f t="shared" si="2"/>
        <v>-1.0000000000000001E-5</v>
      </c>
      <c r="W33" s="187"/>
      <c r="X33" s="187"/>
      <c r="Y33" s="187"/>
      <c r="Z33" s="187"/>
      <c r="AA33" s="187"/>
      <c r="AB33" s="187"/>
      <c r="AC33" s="187"/>
      <c r="AD33" s="187"/>
      <c r="AE33" s="187"/>
    </row>
    <row r="34" spans="1:31" x14ac:dyDescent="0.25">
      <c r="A34" s="187"/>
      <c r="B34" s="187">
        <f>IF($C34="","",MAX($B$4:$B33)+1)</f>
        <v>31</v>
      </c>
      <c r="C34" s="145" t="s">
        <v>12</v>
      </c>
      <c r="D34" s="183" t="str">
        <f>IFERROR(VLOOKUP($C34,Rosters!$C$4:$M$239,INDEX(Lists!$N$5:$O$80,MATCH($C34,Lists!$N$5:$N$80,FALSE),2)),"")</f>
        <v>Hoopers</v>
      </c>
      <c r="E34" s="185">
        <f>IF($C34="",-0.00001,COUNTIFS(Database!E:E,$C34,Database!A:A,$D$1))</f>
        <v>4</v>
      </c>
      <c r="F34" s="185">
        <f>IFERROR(IF($C34="",-0.00001,SUMIFS(Database!H:H,Database!$E:$E,$C34,Database!$A:$A,$D$1)),-0.00001)</f>
        <v>11</v>
      </c>
      <c r="G34" s="185">
        <f>IFERROR(IF($C34="",-0.00001,SUMIFS(Database!I:I,Database!$E:$E,$C34,Database!$A:$A,$D$1)),-0.00001)</f>
        <v>23</v>
      </c>
      <c r="H34" s="185">
        <f>IFERROR(IF($C34="",-0.00001,SUMIFS(Database!J:J,Database!$E:$E,$C34,Database!$A:$A,$D$1)),-0.00001)</f>
        <v>3</v>
      </c>
      <c r="I34" s="185">
        <f>IFERROR(IF($C34="",-0.00001,SUMIFS(Database!K:K,Database!$E:$E,$C34,Database!$A:$A,$D$1)),-0.00001)</f>
        <v>3</v>
      </c>
      <c r="J34" s="185">
        <f>IFERROR(IF($C34="",-0.00001,SUMIFS(Database!L:L,Database!$E:$E,$C34,Database!$A:$A,$D$1)),-0.00001)</f>
        <v>6</v>
      </c>
      <c r="K34" s="185">
        <f>IFERROR(IF($C34="",-0.00001,SUMIFS(Database!M:M,Database!$E:$E,$C34,Database!$A:$A,$D$1)),-0.00001)</f>
        <v>10</v>
      </c>
      <c r="L34" s="185">
        <f>IFERROR(IF($C34="",-0.00001,SUMIFS(Database!N:N,Database!$E:$E,$C34,Database!$A:$A,$D$1)),-0.00001)</f>
        <v>11</v>
      </c>
      <c r="M34" s="185">
        <f>IFERROR(IF($C34="",-0.00001,SUMIFS(Database!O:O,Database!$E:$E,$C34,Database!$A:$A,$D$1)),-0.00001)</f>
        <v>12</v>
      </c>
      <c r="N34" s="185">
        <f>IFERROR(IF($C34="",-0.00001,SUMIFS(Database!P:P,Database!$E:$E,$C34,Database!$A:$A,$D$1)),-0.00001)</f>
        <v>1</v>
      </c>
      <c r="O34" s="185">
        <f>IFERROR(IF($C34="",-0.00001,SUMIFS(Database!Q:Q,Database!$E:$E,$C34,Database!$A:$A,$D$1)),-0.00001)</f>
        <v>5</v>
      </c>
      <c r="P34" s="186">
        <f t="shared" si="0"/>
        <v>0.2</v>
      </c>
      <c r="Q34" s="185">
        <f>IFERROR(IF($C34="",-0.00001,SUMIFS(Database!S:S,Database!$E:$E,$C34,Database!$A:$A,$D$1)),-0.00001)</f>
        <v>5</v>
      </c>
      <c r="R34" s="185">
        <f>IFERROR(IF($C34="",-0.00001,SUMIFS(Database!T:T,Database!$E:$E,$C34,Database!$A:$A,$D$1)),-0.00001)</f>
        <v>19</v>
      </c>
      <c r="S34" s="186">
        <f t="shared" si="1"/>
        <v>0.26315789473684209</v>
      </c>
      <c r="T34" s="185">
        <f>IFERROR(IF($C34="",-0.00001,SUMIFS(Database!V:V,Database!$E:$E,$C34,Database!$A:$A,$D$1)),-0.00001)</f>
        <v>0</v>
      </c>
      <c r="U34" s="185">
        <f>IFERROR(IF($C34="",-0.00001,SUMIFS(Database!W:W,Database!$E:$E,$C34,Database!$A:$A,$D$1)),-0.00001)</f>
        <v>0</v>
      </c>
      <c r="V34" s="186">
        <f t="shared" si="2"/>
        <v>-1.0000000000000001E-5</v>
      </c>
      <c r="W34" s="187"/>
      <c r="X34" s="187"/>
      <c r="Y34" s="187"/>
      <c r="Z34" s="187"/>
      <c r="AA34" s="187"/>
      <c r="AB34" s="187"/>
      <c r="AC34" s="187"/>
      <c r="AD34" s="187"/>
      <c r="AE34" s="187"/>
    </row>
    <row r="35" spans="1:31" x14ac:dyDescent="0.25">
      <c r="A35" s="187"/>
      <c r="B35" s="187">
        <f>IF($C35="","",MAX($B$4:$B34)+1)</f>
        <v>32</v>
      </c>
      <c r="C35" s="145" t="s">
        <v>11</v>
      </c>
      <c r="D35" s="183" t="str">
        <f>IFERROR(VLOOKUP($C35,Rosters!$C$4:$M$239,INDEX(Lists!$N$5:$O$80,MATCH($C35,Lists!$N$5:$N$80,FALSE),2)),"")</f>
        <v>Wombats</v>
      </c>
      <c r="E35" s="185">
        <f>IF($C35="",-0.00001,COUNTIFS(Database!E:E,$C35,Database!A:A,$D$1))</f>
        <v>3</v>
      </c>
      <c r="F35" s="185">
        <f>IFERROR(IF($C35="",-0.00001,SUMIFS(Database!H:H,Database!$E:$E,$C35,Database!$A:$A,$D$1)),-0.00001)</f>
        <v>10</v>
      </c>
      <c r="G35" s="185">
        <f>IFERROR(IF($C35="",-0.00001,SUMIFS(Database!I:I,Database!$E:$E,$C35,Database!$A:$A,$D$1)),-0.00001)</f>
        <v>9</v>
      </c>
      <c r="H35" s="185">
        <f>IFERROR(IF($C35="",-0.00001,SUMIFS(Database!J:J,Database!$E:$E,$C35,Database!$A:$A,$D$1)),-0.00001)</f>
        <v>2</v>
      </c>
      <c r="I35" s="185">
        <f>IFERROR(IF($C35="",-0.00001,SUMIFS(Database!K:K,Database!$E:$E,$C35,Database!$A:$A,$D$1)),-0.00001)</f>
        <v>4</v>
      </c>
      <c r="J35" s="185">
        <f>IFERROR(IF($C35="",-0.00001,SUMIFS(Database!L:L,Database!$E:$E,$C35,Database!$A:$A,$D$1)),-0.00001)</f>
        <v>1</v>
      </c>
      <c r="K35" s="185">
        <f>IFERROR(IF($C35="",-0.00001,SUMIFS(Database!M:M,Database!$E:$E,$C35,Database!$A:$A,$D$1)),-0.00001)</f>
        <v>2</v>
      </c>
      <c r="L35" s="185">
        <f>IFERROR(IF($C35="",-0.00001,SUMIFS(Database!N:N,Database!$E:$E,$C35,Database!$A:$A,$D$1)),-0.00001)</f>
        <v>3</v>
      </c>
      <c r="M35" s="185">
        <f>IFERROR(IF($C35="",-0.00001,SUMIFS(Database!O:O,Database!$E:$E,$C35,Database!$A:$A,$D$1)),-0.00001)</f>
        <v>6</v>
      </c>
      <c r="N35" s="185">
        <f>IFERROR(IF($C35="",-0.00001,SUMIFS(Database!P:P,Database!$E:$E,$C35,Database!$A:$A,$D$1)),-0.00001)</f>
        <v>2</v>
      </c>
      <c r="O35" s="185">
        <f>IFERROR(IF($C35="",-0.00001,SUMIFS(Database!Q:Q,Database!$E:$E,$C35,Database!$A:$A,$D$1)),-0.00001)</f>
        <v>5</v>
      </c>
      <c r="P35" s="186">
        <f t="shared" si="0"/>
        <v>0.4</v>
      </c>
      <c r="Q35" s="185">
        <f>IFERROR(IF($C35="",-0.00001,SUMIFS(Database!S:S,Database!$E:$E,$C35,Database!$A:$A,$D$1)),-0.00001)</f>
        <v>4</v>
      </c>
      <c r="R35" s="185">
        <f>IFERROR(IF($C35="",-0.00001,SUMIFS(Database!T:T,Database!$E:$E,$C35,Database!$A:$A,$D$1)),-0.00001)</f>
        <v>10</v>
      </c>
      <c r="S35" s="186">
        <f t="shared" si="1"/>
        <v>0.4</v>
      </c>
      <c r="T35" s="185">
        <f>IFERROR(IF($C35="",-0.00001,SUMIFS(Database!V:V,Database!$E:$E,$C35,Database!$A:$A,$D$1)),-0.00001)</f>
        <v>0</v>
      </c>
      <c r="U35" s="185">
        <f>IFERROR(IF($C35="",-0.00001,SUMIFS(Database!W:W,Database!$E:$E,$C35,Database!$A:$A,$D$1)),-0.00001)</f>
        <v>0</v>
      </c>
      <c r="V35" s="186">
        <f t="shared" si="2"/>
        <v>-1.0000000000000001E-5</v>
      </c>
      <c r="W35" s="187"/>
      <c r="X35" s="187"/>
      <c r="Y35" s="187"/>
      <c r="Z35" s="187"/>
      <c r="AA35" s="187"/>
      <c r="AB35" s="187"/>
      <c r="AC35" s="187"/>
      <c r="AD35" s="187"/>
      <c r="AE35" s="187"/>
    </row>
    <row r="36" spans="1:31" x14ac:dyDescent="0.25">
      <c r="A36" s="187"/>
      <c r="B36" s="187">
        <f>IF($C36="","",MAX($B$4:$B35)+1)</f>
        <v>33</v>
      </c>
      <c r="C36" s="145" t="s">
        <v>18</v>
      </c>
      <c r="D36" s="183" t="str">
        <f>IFERROR(VLOOKUP($C36,Rosters!$C$4:$M$239,INDEX(Lists!$N$5:$O$80,MATCH($C36,Lists!$N$5:$N$80,FALSE),2)),"")</f>
        <v>Pistons</v>
      </c>
      <c r="E36" s="185">
        <f>IF($C36="",-0.00001,COUNTIFS(Database!E:E,$C36,Database!A:A,$D$1))</f>
        <v>4</v>
      </c>
      <c r="F36" s="185">
        <f>IFERROR(IF($C36="",-0.00001,SUMIFS(Database!H:H,Database!$E:$E,$C36,Database!$A:$A,$D$1)),-0.00001)</f>
        <v>10</v>
      </c>
      <c r="G36" s="185">
        <f>IFERROR(IF($C36="",-0.00001,SUMIFS(Database!I:I,Database!$E:$E,$C36,Database!$A:$A,$D$1)),-0.00001)</f>
        <v>17</v>
      </c>
      <c r="H36" s="185">
        <f>IFERROR(IF($C36="",-0.00001,SUMIFS(Database!J:J,Database!$E:$E,$C36,Database!$A:$A,$D$1)),-0.00001)</f>
        <v>1</v>
      </c>
      <c r="I36" s="185">
        <f>IFERROR(IF($C36="",-0.00001,SUMIFS(Database!K:K,Database!$E:$E,$C36,Database!$A:$A,$D$1)),-0.00001)</f>
        <v>2</v>
      </c>
      <c r="J36" s="185">
        <f>IFERROR(IF($C36="",-0.00001,SUMIFS(Database!L:L,Database!$E:$E,$C36,Database!$A:$A,$D$1)),-0.00001)</f>
        <v>0</v>
      </c>
      <c r="K36" s="185">
        <f>IFERROR(IF($C36="",-0.00001,SUMIFS(Database!M:M,Database!$E:$E,$C36,Database!$A:$A,$D$1)),-0.00001)</f>
        <v>9</v>
      </c>
      <c r="L36" s="185">
        <f>IFERROR(IF($C36="",-0.00001,SUMIFS(Database!N:N,Database!$E:$E,$C36,Database!$A:$A,$D$1)),-0.00001)</f>
        <v>5</v>
      </c>
      <c r="M36" s="185">
        <f>IFERROR(IF($C36="",-0.00001,SUMIFS(Database!O:O,Database!$E:$E,$C36,Database!$A:$A,$D$1)),-0.00001)</f>
        <v>12</v>
      </c>
      <c r="N36" s="185">
        <f>IFERROR(IF($C36="",-0.00001,SUMIFS(Database!P:P,Database!$E:$E,$C36,Database!$A:$A,$D$1)),-0.00001)</f>
        <v>0</v>
      </c>
      <c r="O36" s="185">
        <f>IFERROR(IF($C36="",-0.00001,SUMIFS(Database!Q:Q,Database!$E:$E,$C36,Database!$A:$A,$D$1)),-0.00001)</f>
        <v>9</v>
      </c>
      <c r="P36" s="186">
        <f t="shared" ref="P36:P67" si="3">IFERROR(IF($C36="",-0.00001,$N36/$O36),-0.00001)</f>
        <v>0</v>
      </c>
      <c r="Q36" s="185">
        <f>IFERROR(IF($C36="",-0.00001,SUMIFS(Database!S:S,Database!$E:$E,$C36,Database!$A:$A,$D$1)),-0.00001)</f>
        <v>5</v>
      </c>
      <c r="R36" s="185">
        <f>IFERROR(IF($C36="",-0.00001,SUMIFS(Database!T:T,Database!$E:$E,$C36,Database!$A:$A,$D$1)),-0.00001)</f>
        <v>18</v>
      </c>
      <c r="S36" s="186">
        <f t="shared" ref="S36:S67" si="4">IFERROR(IF($C36="",-0.00001,$Q36/$R36),-0.00001)</f>
        <v>0.27777777777777779</v>
      </c>
      <c r="T36" s="185">
        <f>IFERROR(IF($C36="",-0.00001,SUMIFS(Database!V:V,Database!$E:$E,$C36,Database!$A:$A,$D$1)),-0.00001)</f>
        <v>0</v>
      </c>
      <c r="U36" s="185">
        <f>IFERROR(IF($C36="",-0.00001,SUMIFS(Database!W:W,Database!$E:$E,$C36,Database!$A:$A,$D$1)),-0.00001)</f>
        <v>0</v>
      </c>
      <c r="V36" s="186">
        <f t="shared" ref="V36:V67" si="5">IFERROR(IF($C36="",-0.00001,$T36/$U36),-0.00001)</f>
        <v>-1.0000000000000001E-5</v>
      </c>
      <c r="W36" s="187"/>
      <c r="X36" s="187"/>
      <c r="Y36" s="187"/>
      <c r="Z36" s="187"/>
      <c r="AA36" s="187"/>
      <c r="AB36" s="187"/>
      <c r="AC36" s="187"/>
      <c r="AD36" s="187"/>
      <c r="AE36" s="187"/>
    </row>
    <row r="37" spans="1:31" x14ac:dyDescent="0.25">
      <c r="A37" s="187"/>
      <c r="B37" s="187">
        <f>IF($C37="","",MAX($B$4:$B36)+1)</f>
        <v>34</v>
      </c>
      <c r="C37" s="145" t="s">
        <v>230</v>
      </c>
      <c r="D37" s="183" t="str">
        <f>IFERROR(VLOOKUP($C37,Rosters!$C$4:$M$239,INDEX(Lists!$N$5:$O$80,MATCH($C37,Lists!$N$5:$N$80,FALSE),2)),"")</f>
        <v>Pistons</v>
      </c>
      <c r="E37" s="185">
        <f>IF($C37="",-0.00001,COUNTIFS(Database!E:E,$C37,Database!A:A,$D$1))</f>
        <v>2</v>
      </c>
      <c r="F37" s="185">
        <f>IFERROR(IF($C37="",-0.00001,SUMIFS(Database!H:H,Database!$E:$E,$C37,Database!$A:$A,$D$1)),-0.00001)</f>
        <v>10</v>
      </c>
      <c r="G37" s="185">
        <f>IFERROR(IF($C37="",-0.00001,SUMIFS(Database!I:I,Database!$E:$E,$C37,Database!$A:$A,$D$1)),-0.00001)</f>
        <v>20</v>
      </c>
      <c r="H37" s="185">
        <f>IFERROR(IF($C37="",-0.00001,SUMIFS(Database!J:J,Database!$E:$E,$C37,Database!$A:$A,$D$1)),-0.00001)</f>
        <v>0</v>
      </c>
      <c r="I37" s="185">
        <f>IFERROR(IF($C37="",-0.00001,SUMIFS(Database!K:K,Database!$E:$E,$C37,Database!$A:$A,$D$1)),-0.00001)</f>
        <v>0</v>
      </c>
      <c r="J37" s="185">
        <f>IFERROR(IF($C37="",-0.00001,SUMIFS(Database!L:L,Database!$E:$E,$C37,Database!$A:$A,$D$1)),-0.00001)</f>
        <v>1</v>
      </c>
      <c r="K37" s="185">
        <f>IFERROR(IF($C37="",-0.00001,SUMIFS(Database!M:M,Database!$E:$E,$C37,Database!$A:$A,$D$1)),-0.00001)</f>
        <v>7</v>
      </c>
      <c r="L37" s="185">
        <f>IFERROR(IF($C37="",-0.00001,SUMIFS(Database!N:N,Database!$E:$E,$C37,Database!$A:$A,$D$1)),-0.00001)</f>
        <v>8</v>
      </c>
      <c r="M37" s="185">
        <f>IFERROR(IF($C37="",-0.00001,SUMIFS(Database!O:O,Database!$E:$E,$C37,Database!$A:$A,$D$1)),-0.00001)</f>
        <v>12</v>
      </c>
      <c r="N37" s="185">
        <f>IFERROR(IF($C37="",-0.00001,SUMIFS(Database!P:P,Database!$E:$E,$C37,Database!$A:$A,$D$1)),-0.00001)</f>
        <v>0</v>
      </c>
      <c r="O37" s="185">
        <f>IFERROR(IF($C37="",-0.00001,SUMIFS(Database!Q:Q,Database!$E:$E,$C37,Database!$A:$A,$D$1)),-0.00001)</f>
        <v>0</v>
      </c>
      <c r="P37" s="186">
        <f t="shared" si="3"/>
        <v>-1.0000000000000001E-5</v>
      </c>
      <c r="Q37" s="185">
        <f>IFERROR(IF($C37="",-0.00001,SUMIFS(Database!S:S,Database!$E:$E,$C37,Database!$A:$A,$D$1)),-0.00001)</f>
        <v>5</v>
      </c>
      <c r="R37" s="185">
        <f>IFERROR(IF($C37="",-0.00001,SUMIFS(Database!T:T,Database!$E:$E,$C37,Database!$A:$A,$D$1)),-0.00001)</f>
        <v>18</v>
      </c>
      <c r="S37" s="186">
        <f t="shared" si="4"/>
        <v>0.27777777777777779</v>
      </c>
      <c r="T37" s="185">
        <f>IFERROR(IF($C37="",-0.00001,SUMIFS(Database!V:V,Database!$E:$E,$C37,Database!$A:$A,$D$1)),-0.00001)</f>
        <v>0</v>
      </c>
      <c r="U37" s="185">
        <f>IFERROR(IF($C37="",-0.00001,SUMIFS(Database!W:W,Database!$E:$E,$C37,Database!$A:$A,$D$1)),-0.00001)</f>
        <v>2</v>
      </c>
      <c r="V37" s="186">
        <f t="shared" si="5"/>
        <v>0</v>
      </c>
      <c r="W37" s="187"/>
      <c r="X37" s="187"/>
      <c r="Y37" s="187"/>
      <c r="Z37" s="187"/>
      <c r="AA37" s="187"/>
      <c r="AB37" s="187"/>
      <c r="AC37" s="187"/>
      <c r="AD37" s="187"/>
      <c r="AE37" s="187"/>
    </row>
    <row r="38" spans="1:31" x14ac:dyDescent="0.25">
      <c r="A38" s="187"/>
      <c r="B38" s="187">
        <f>IF($C38="","",MAX($B$4:$B37)+1)</f>
        <v>35</v>
      </c>
      <c r="C38" s="145" t="s">
        <v>30</v>
      </c>
      <c r="D38" s="183" t="str">
        <f>IFERROR(VLOOKUP($C38,Rosters!$C$4:$M$239,INDEX(Lists!$N$5:$O$80,MATCH($C38,Lists!$N$5:$N$80,FALSE),2)),"")</f>
        <v>Wombats</v>
      </c>
      <c r="E38" s="185">
        <f>IF($C38="",-0.00001,COUNTIFS(Database!E:E,$C38,Database!A:A,$D$1))</f>
        <v>3</v>
      </c>
      <c r="F38" s="185">
        <f>IFERROR(IF($C38="",-0.00001,SUMIFS(Database!H:H,Database!$E:$E,$C38,Database!$A:$A,$D$1)),-0.00001)</f>
        <v>7</v>
      </c>
      <c r="G38" s="185">
        <f>IFERROR(IF($C38="",-0.00001,SUMIFS(Database!I:I,Database!$E:$E,$C38,Database!$A:$A,$D$1)),-0.00001)</f>
        <v>9</v>
      </c>
      <c r="H38" s="185">
        <f>IFERROR(IF($C38="",-0.00001,SUMIFS(Database!J:J,Database!$E:$E,$C38,Database!$A:$A,$D$1)),-0.00001)</f>
        <v>1</v>
      </c>
      <c r="I38" s="185">
        <f>IFERROR(IF($C38="",-0.00001,SUMIFS(Database!K:K,Database!$E:$E,$C38,Database!$A:$A,$D$1)),-0.00001)</f>
        <v>1</v>
      </c>
      <c r="J38" s="185">
        <f>IFERROR(IF($C38="",-0.00001,SUMIFS(Database!L:L,Database!$E:$E,$C38,Database!$A:$A,$D$1)),-0.00001)</f>
        <v>1</v>
      </c>
      <c r="K38" s="185">
        <f>IFERROR(IF($C38="",-0.00001,SUMIFS(Database!M:M,Database!$E:$E,$C38,Database!$A:$A,$D$1)),-0.00001)</f>
        <v>4</v>
      </c>
      <c r="L38" s="185">
        <f>IFERROR(IF($C38="",-0.00001,SUMIFS(Database!N:N,Database!$E:$E,$C38,Database!$A:$A,$D$1)),-0.00001)</f>
        <v>1</v>
      </c>
      <c r="M38" s="185">
        <f>IFERROR(IF($C38="",-0.00001,SUMIFS(Database!O:O,Database!$E:$E,$C38,Database!$A:$A,$D$1)),-0.00001)</f>
        <v>8</v>
      </c>
      <c r="N38" s="185">
        <f>IFERROR(IF($C38="",-0.00001,SUMIFS(Database!P:P,Database!$E:$E,$C38,Database!$A:$A,$D$1)),-0.00001)</f>
        <v>1</v>
      </c>
      <c r="O38" s="185">
        <f>IFERROR(IF($C38="",-0.00001,SUMIFS(Database!Q:Q,Database!$E:$E,$C38,Database!$A:$A,$D$1)),-0.00001)</f>
        <v>13</v>
      </c>
      <c r="P38" s="186">
        <f t="shared" si="3"/>
        <v>7.6923076923076927E-2</v>
      </c>
      <c r="Q38" s="185">
        <f>IFERROR(IF($C38="",-0.00001,SUMIFS(Database!S:S,Database!$E:$E,$C38,Database!$A:$A,$D$1)),-0.00001)</f>
        <v>3</v>
      </c>
      <c r="R38" s="185">
        <f>IFERROR(IF($C38="",-0.00001,SUMIFS(Database!T:T,Database!$E:$E,$C38,Database!$A:$A,$D$1)),-0.00001)</f>
        <v>18</v>
      </c>
      <c r="S38" s="186">
        <f t="shared" si="4"/>
        <v>0.16666666666666666</v>
      </c>
      <c r="T38" s="185">
        <f>IFERROR(IF($C38="",-0.00001,SUMIFS(Database!V:V,Database!$E:$E,$C38,Database!$A:$A,$D$1)),-0.00001)</f>
        <v>0</v>
      </c>
      <c r="U38" s="185">
        <f>IFERROR(IF($C38="",-0.00001,SUMIFS(Database!W:W,Database!$E:$E,$C38,Database!$A:$A,$D$1)),-0.00001)</f>
        <v>0</v>
      </c>
      <c r="V38" s="186">
        <f t="shared" si="5"/>
        <v>-1.0000000000000001E-5</v>
      </c>
      <c r="W38" s="187"/>
      <c r="X38" s="187"/>
      <c r="Y38" s="187"/>
      <c r="Z38" s="187"/>
      <c r="AA38" s="187"/>
      <c r="AB38" s="187"/>
      <c r="AC38" s="187"/>
      <c r="AD38" s="187"/>
      <c r="AE38" s="187"/>
    </row>
    <row r="39" spans="1:31" x14ac:dyDescent="0.25">
      <c r="A39" s="187"/>
      <c r="B39" s="187">
        <f>IF($C39="","",MAX($B$4:$B38)+1)</f>
        <v>36</v>
      </c>
      <c r="C39" s="145" t="s">
        <v>24</v>
      </c>
      <c r="D39" s="183" t="str">
        <f>IFERROR(VLOOKUP($C39,Rosters!$C$4:$M$239,INDEX(Lists!$N$5:$O$80,MATCH($C39,Lists!$N$5:$N$80,FALSE),2)),"")</f>
        <v>Lightning</v>
      </c>
      <c r="E39" s="185">
        <f>IF($C39="",-0.00001,COUNTIFS(Database!E:E,$C39,Database!A:A,$D$1))</f>
        <v>3</v>
      </c>
      <c r="F39" s="185">
        <f>IFERROR(IF($C39="",-0.00001,SUMIFS(Database!H:H,Database!$E:$E,$C39,Database!$A:$A,$D$1)),-0.00001)</f>
        <v>6</v>
      </c>
      <c r="G39" s="185">
        <f>IFERROR(IF($C39="",-0.00001,SUMIFS(Database!I:I,Database!$E:$E,$C39,Database!$A:$A,$D$1)),-0.00001)</f>
        <v>8</v>
      </c>
      <c r="H39" s="185">
        <f>IFERROR(IF($C39="",-0.00001,SUMIFS(Database!J:J,Database!$E:$E,$C39,Database!$A:$A,$D$1)),-0.00001)</f>
        <v>5</v>
      </c>
      <c r="I39" s="185">
        <f>IFERROR(IF($C39="",-0.00001,SUMIFS(Database!K:K,Database!$E:$E,$C39,Database!$A:$A,$D$1)),-0.00001)</f>
        <v>2</v>
      </c>
      <c r="J39" s="185">
        <f>IFERROR(IF($C39="",-0.00001,SUMIFS(Database!L:L,Database!$E:$E,$C39,Database!$A:$A,$D$1)),-0.00001)</f>
        <v>1</v>
      </c>
      <c r="K39" s="185">
        <f>IFERROR(IF($C39="",-0.00001,SUMIFS(Database!M:M,Database!$E:$E,$C39,Database!$A:$A,$D$1)),-0.00001)</f>
        <v>1</v>
      </c>
      <c r="L39" s="185">
        <f>IFERROR(IF($C39="",-0.00001,SUMIFS(Database!N:N,Database!$E:$E,$C39,Database!$A:$A,$D$1)),-0.00001)</f>
        <v>4</v>
      </c>
      <c r="M39" s="185">
        <f>IFERROR(IF($C39="",-0.00001,SUMIFS(Database!O:O,Database!$E:$E,$C39,Database!$A:$A,$D$1)),-0.00001)</f>
        <v>4</v>
      </c>
      <c r="N39" s="185">
        <f>IFERROR(IF($C39="",-0.00001,SUMIFS(Database!P:P,Database!$E:$E,$C39,Database!$A:$A,$D$1)),-0.00001)</f>
        <v>0</v>
      </c>
      <c r="O39" s="185">
        <f>IFERROR(IF($C39="",-0.00001,SUMIFS(Database!Q:Q,Database!$E:$E,$C39,Database!$A:$A,$D$1)),-0.00001)</f>
        <v>0</v>
      </c>
      <c r="P39" s="186">
        <f t="shared" si="3"/>
        <v>-1.0000000000000001E-5</v>
      </c>
      <c r="Q39" s="185">
        <f>IFERROR(IF($C39="",-0.00001,SUMIFS(Database!S:S,Database!$E:$E,$C39,Database!$A:$A,$D$1)),-0.00001)</f>
        <v>3</v>
      </c>
      <c r="R39" s="185">
        <f>IFERROR(IF($C39="",-0.00001,SUMIFS(Database!T:T,Database!$E:$E,$C39,Database!$A:$A,$D$1)),-0.00001)</f>
        <v>9</v>
      </c>
      <c r="S39" s="186">
        <f t="shared" si="4"/>
        <v>0.33333333333333331</v>
      </c>
      <c r="T39" s="185">
        <f>IFERROR(IF($C39="",-0.00001,SUMIFS(Database!V:V,Database!$E:$E,$C39,Database!$A:$A,$D$1)),-0.00001)</f>
        <v>0</v>
      </c>
      <c r="U39" s="185">
        <f>IFERROR(IF($C39="",-0.00001,SUMIFS(Database!W:W,Database!$E:$E,$C39,Database!$A:$A,$D$1)),-0.00001)</f>
        <v>2</v>
      </c>
      <c r="V39" s="186">
        <f t="shared" si="5"/>
        <v>0</v>
      </c>
      <c r="W39" s="187"/>
      <c r="X39" s="187"/>
      <c r="Y39" s="187"/>
      <c r="Z39" s="187"/>
      <c r="AA39" s="187"/>
      <c r="AB39" s="187"/>
      <c r="AC39" s="187"/>
      <c r="AD39" s="187"/>
      <c r="AE39" s="187"/>
    </row>
    <row r="40" spans="1:31" x14ac:dyDescent="0.25">
      <c r="A40" s="187"/>
      <c r="B40" s="187">
        <f>IF($C40="","",MAX($B$4:$B39)+1)</f>
        <v>37</v>
      </c>
      <c r="C40" s="145" t="s">
        <v>100</v>
      </c>
      <c r="D40" s="183" t="str">
        <f>IFERROR(VLOOKUP($C40,Rosters!$C$4:$M$239,INDEX(Lists!$N$5:$O$80,MATCH($C40,Lists!$N$5:$N$80,FALSE),2)),"")</f>
        <v>Lightning</v>
      </c>
      <c r="E40" s="185">
        <f>IF($C40="",-0.00001,COUNTIFS(Database!E:E,$C40,Database!A:A,$D$1))</f>
        <v>1</v>
      </c>
      <c r="F40" s="185">
        <f>IFERROR(IF($C40="",-0.00001,SUMIFS(Database!H:H,Database!$E:$E,$C40,Database!$A:$A,$D$1)),-0.00001)</f>
        <v>4</v>
      </c>
      <c r="G40" s="185">
        <f>IFERROR(IF($C40="",-0.00001,SUMIFS(Database!I:I,Database!$E:$E,$C40,Database!$A:$A,$D$1)),-0.00001)</f>
        <v>5</v>
      </c>
      <c r="H40" s="185">
        <f>IFERROR(IF($C40="",-0.00001,SUMIFS(Database!J:J,Database!$E:$E,$C40,Database!$A:$A,$D$1)),-0.00001)</f>
        <v>0</v>
      </c>
      <c r="I40" s="185">
        <f>IFERROR(IF($C40="",-0.00001,SUMIFS(Database!K:K,Database!$E:$E,$C40,Database!$A:$A,$D$1)),-0.00001)</f>
        <v>3</v>
      </c>
      <c r="J40" s="185">
        <f>IFERROR(IF($C40="",-0.00001,SUMIFS(Database!L:L,Database!$E:$E,$C40,Database!$A:$A,$D$1)),-0.00001)</f>
        <v>3</v>
      </c>
      <c r="K40" s="185">
        <f>IFERROR(IF($C40="",-0.00001,SUMIFS(Database!M:M,Database!$E:$E,$C40,Database!$A:$A,$D$1)),-0.00001)</f>
        <v>1</v>
      </c>
      <c r="L40" s="185">
        <f>IFERROR(IF($C40="",-0.00001,SUMIFS(Database!N:N,Database!$E:$E,$C40,Database!$A:$A,$D$1)),-0.00001)</f>
        <v>1</v>
      </c>
      <c r="M40" s="185">
        <f>IFERROR(IF($C40="",-0.00001,SUMIFS(Database!O:O,Database!$E:$E,$C40,Database!$A:$A,$D$1)),-0.00001)</f>
        <v>4</v>
      </c>
      <c r="N40" s="185">
        <f>IFERROR(IF($C40="",-0.00001,SUMIFS(Database!P:P,Database!$E:$E,$C40,Database!$A:$A,$D$1)),-0.00001)</f>
        <v>0</v>
      </c>
      <c r="O40" s="185">
        <f>IFERROR(IF($C40="",-0.00001,SUMIFS(Database!Q:Q,Database!$E:$E,$C40,Database!$A:$A,$D$1)),-0.00001)</f>
        <v>1</v>
      </c>
      <c r="P40" s="186">
        <f t="shared" si="3"/>
        <v>0</v>
      </c>
      <c r="Q40" s="185">
        <f>IFERROR(IF($C40="",-0.00001,SUMIFS(Database!S:S,Database!$E:$E,$C40,Database!$A:$A,$D$1)),-0.00001)</f>
        <v>2</v>
      </c>
      <c r="R40" s="185">
        <f>IFERROR(IF($C40="",-0.00001,SUMIFS(Database!T:T,Database!$E:$E,$C40,Database!$A:$A,$D$1)),-0.00001)</f>
        <v>4</v>
      </c>
      <c r="S40" s="186">
        <f t="shared" si="4"/>
        <v>0.5</v>
      </c>
      <c r="T40" s="185">
        <f>IFERROR(IF($C40="",-0.00001,SUMIFS(Database!V:V,Database!$E:$E,$C40,Database!$A:$A,$D$1)),-0.00001)</f>
        <v>0</v>
      </c>
      <c r="U40" s="185">
        <f>IFERROR(IF($C40="",-0.00001,SUMIFS(Database!W:W,Database!$E:$E,$C40,Database!$A:$A,$D$1)),-0.00001)</f>
        <v>0</v>
      </c>
      <c r="V40" s="186">
        <f t="shared" si="5"/>
        <v>-1.0000000000000001E-5</v>
      </c>
      <c r="W40" s="187"/>
      <c r="X40" s="187"/>
      <c r="Y40" s="187"/>
      <c r="Z40" s="187"/>
      <c r="AA40" s="187"/>
      <c r="AB40" s="187"/>
      <c r="AC40" s="187"/>
      <c r="AD40" s="187"/>
      <c r="AE40" s="187"/>
    </row>
    <row r="41" spans="1:31" x14ac:dyDescent="0.25">
      <c r="A41" s="187"/>
      <c r="B41" s="187">
        <f>IF($C41="","",MAX($B$4:$B40)+1)</f>
        <v>38</v>
      </c>
      <c r="C41" s="145" t="s">
        <v>36</v>
      </c>
      <c r="D41" s="183" t="str">
        <f>IFERROR(VLOOKUP($C41,Rosters!$C$4:$M$239,INDEX(Lists!$N$5:$O$80,MATCH($C41,Lists!$N$5:$N$80,FALSE),2)),"")</f>
        <v>Vandals</v>
      </c>
      <c r="E41" s="185">
        <f>IF($C41="",-0.00001,COUNTIFS(Database!E:E,$C41,Database!A:A,$D$1))</f>
        <v>4</v>
      </c>
      <c r="F41" s="185">
        <f>IFERROR(IF($C41="",-0.00001,SUMIFS(Database!H:H,Database!$E:$E,$C41,Database!$A:$A,$D$1)),-0.00001)</f>
        <v>3</v>
      </c>
      <c r="G41" s="185">
        <f>IFERROR(IF($C41="",-0.00001,SUMIFS(Database!I:I,Database!$E:$E,$C41,Database!$A:$A,$D$1)),-0.00001)</f>
        <v>14</v>
      </c>
      <c r="H41" s="185">
        <f>IFERROR(IF($C41="",-0.00001,SUMIFS(Database!J:J,Database!$E:$E,$C41,Database!$A:$A,$D$1)),-0.00001)</f>
        <v>5</v>
      </c>
      <c r="I41" s="185">
        <f>IFERROR(IF($C41="",-0.00001,SUMIFS(Database!K:K,Database!$E:$E,$C41,Database!$A:$A,$D$1)),-0.00001)</f>
        <v>1</v>
      </c>
      <c r="J41" s="185">
        <f>IFERROR(IF($C41="",-0.00001,SUMIFS(Database!L:L,Database!$E:$E,$C41,Database!$A:$A,$D$1)),-0.00001)</f>
        <v>0</v>
      </c>
      <c r="K41" s="185">
        <f>IFERROR(IF($C41="",-0.00001,SUMIFS(Database!M:M,Database!$E:$E,$C41,Database!$A:$A,$D$1)),-0.00001)</f>
        <v>7</v>
      </c>
      <c r="L41" s="185">
        <f>IFERROR(IF($C41="",-0.00001,SUMIFS(Database!N:N,Database!$E:$E,$C41,Database!$A:$A,$D$1)),-0.00001)</f>
        <v>1</v>
      </c>
      <c r="M41" s="185">
        <f>IFERROR(IF($C41="",-0.00001,SUMIFS(Database!O:O,Database!$E:$E,$C41,Database!$A:$A,$D$1)),-0.00001)</f>
        <v>7</v>
      </c>
      <c r="N41" s="185">
        <f>IFERROR(IF($C41="",-0.00001,SUMIFS(Database!P:P,Database!$E:$E,$C41,Database!$A:$A,$D$1)),-0.00001)</f>
        <v>1</v>
      </c>
      <c r="O41" s="185">
        <f>IFERROR(IF($C41="",-0.00001,SUMIFS(Database!Q:Q,Database!$E:$E,$C41,Database!$A:$A,$D$1)),-0.00001)</f>
        <v>9</v>
      </c>
      <c r="P41" s="186">
        <f t="shared" si="3"/>
        <v>0.1111111111111111</v>
      </c>
      <c r="Q41" s="185">
        <f>IFERROR(IF($C41="",-0.00001,SUMIFS(Database!S:S,Database!$E:$E,$C41,Database!$A:$A,$D$1)),-0.00001)</f>
        <v>1</v>
      </c>
      <c r="R41" s="185">
        <f>IFERROR(IF($C41="",-0.00001,SUMIFS(Database!T:T,Database!$E:$E,$C41,Database!$A:$A,$D$1)),-0.00001)</f>
        <v>10</v>
      </c>
      <c r="S41" s="186">
        <f t="shared" si="4"/>
        <v>0.1</v>
      </c>
      <c r="T41" s="185">
        <f>IFERROR(IF($C41="",-0.00001,SUMIFS(Database!V:V,Database!$E:$E,$C41,Database!$A:$A,$D$1)),-0.00001)</f>
        <v>0</v>
      </c>
      <c r="U41" s="185">
        <f>IFERROR(IF($C41="",-0.00001,SUMIFS(Database!W:W,Database!$E:$E,$C41,Database!$A:$A,$D$1)),-0.00001)</f>
        <v>0</v>
      </c>
      <c r="V41" s="186">
        <f t="shared" si="5"/>
        <v>-1.0000000000000001E-5</v>
      </c>
      <c r="W41" s="187"/>
      <c r="X41" s="187"/>
      <c r="Y41" s="187"/>
      <c r="Z41" s="187"/>
      <c r="AA41" s="187"/>
      <c r="AB41" s="187"/>
      <c r="AC41" s="187"/>
      <c r="AD41" s="187"/>
      <c r="AE41" s="187"/>
    </row>
    <row r="42" spans="1:31" x14ac:dyDescent="0.25">
      <c r="A42" s="187"/>
      <c r="B42" s="187" t="str">
        <f>IF($C42="","",MAX($B$4:$B41)+1)</f>
        <v/>
      </c>
      <c r="C42" s="145"/>
      <c r="D42" s="183" t="str">
        <f>IFERROR(VLOOKUP($C42,Rosters!$C$4:$M$239,INDEX(Lists!$N$5:$O$80,MATCH($C42,Lists!$N$5:$N$80,FALSE),2)),"")</f>
        <v/>
      </c>
      <c r="E42" s="185">
        <f>IF($C42="",-0.00001,COUNTIFS(Database!E:E,$C42,Database!A:A,$D$1))</f>
        <v>-1.0000000000000001E-5</v>
      </c>
      <c r="F42" s="185">
        <f>IFERROR(IF($C42="",-0.00001,SUMIFS(Database!H:H,Database!$E:$E,$C42,Database!$A:$A,$D$1)),-0.00001)</f>
        <v>-1.0000000000000001E-5</v>
      </c>
      <c r="G42" s="185">
        <f>IFERROR(IF($C42="",-0.00001,SUMIFS(Database!I:I,Database!$E:$E,$C42,Database!$A:$A,$D$1)),-0.00001)</f>
        <v>-1.0000000000000001E-5</v>
      </c>
      <c r="H42" s="185">
        <f>IFERROR(IF($C42="",-0.00001,SUMIFS(Database!J:J,Database!$E:$E,$C42,Database!$A:$A,$D$1)),-0.00001)</f>
        <v>-1.0000000000000001E-5</v>
      </c>
      <c r="I42" s="185">
        <f>IFERROR(IF($C42="",-0.00001,SUMIFS(Database!K:K,Database!$E:$E,$C42,Database!$A:$A,$D$1)),-0.00001)</f>
        <v>-1.0000000000000001E-5</v>
      </c>
      <c r="J42" s="185">
        <f>IFERROR(IF($C42="",-0.00001,SUMIFS(Database!L:L,Database!$E:$E,$C42,Database!$A:$A,$D$1)),-0.00001)</f>
        <v>-1.0000000000000001E-5</v>
      </c>
      <c r="K42" s="185">
        <f>IFERROR(IF($C42="",-0.00001,SUMIFS(Database!M:M,Database!$E:$E,$C42,Database!$A:$A,$D$1)),-0.00001)</f>
        <v>-1.0000000000000001E-5</v>
      </c>
      <c r="L42" s="185">
        <f>IFERROR(IF($C42="",-0.00001,SUMIFS(Database!N:N,Database!$E:$E,$C42,Database!$A:$A,$D$1)),-0.00001)</f>
        <v>-1.0000000000000001E-5</v>
      </c>
      <c r="M42" s="185">
        <f>IFERROR(IF($C42="",-0.00001,SUMIFS(Database!O:O,Database!$E:$E,$C42,Database!$A:$A,$D$1)),-0.00001)</f>
        <v>-1.0000000000000001E-5</v>
      </c>
      <c r="N42" s="185">
        <f>IFERROR(IF($C42="",-0.00001,SUMIFS(Database!P:P,Database!$E:$E,$C42,Database!$A:$A,$D$1)),-0.00001)</f>
        <v>-1.0000000000000001E-5</v>
      </c>
      <c r="O42" s="185">
        <f>IFERROR(IF($C42="",-0.00001,SUMIFS(Database!Q:Q,Database!$E:$E,$C42,Database!$A:$A,$D$1)),-0.00001)</f>
        <v>-1.0000000000000001E-5</v>
      </c>
      <c r="P42" s="186">
        <f t="shared" si="3"/>
        <v>-1.0000000000000001E-5</v>
      </c>
      <c r="Q42" s="185">
        <f>IFERROR(IF($C42="",-0.00001,SUMIFS(Database!S:S,Database!$E:$E,$C42,Database!$A:$A,$D$1)),-0.00001)</f>
        <v>-1.0000000000000001E-5</v>
      </c>
      <c r="R42" s="185">
        <f>IFERROR(IF($C42="",-0.00001,SUMIFS(Database!T:T,Database!$E:$E,$C42,Database!$A:$A,$D$1)),-0.00001)</f>
        <v>-1.0000000000000001E-5</v>
      </c>
      <c r="S42" s="186">
        <f t="shared" si="4"/>
        <v>-1.0000000000000001E-5</v>
      </c>
      <c r="T42" s="185">
        <f>IFERROR(IF($C42="",-0.00001,SUMIFS(Database!V:V,Database!$E:$E,$C42,Database!$A:$A,$D$1)),-0.00001)</f>
        <v>-1.0000000000000001E-5</v>
      </c>
      <c r="U42" s="185">
        <f>IFERROR(IF($C42="",-0.00001,SUMIFS(Database!W:W,Database!$E:$E,$C42,Database!$A:$A,$D$1)),-0.00001)</f>
        <v>-1.0000000000000001E-5</v>
      </c>
      <c r="V42" s="186">
        <f t="shared" si="5"/>
        <v>-1.0000000000000001E-5</v>
      </c>
      <c r="W42" s="187"/>
      <c r="X42" s="187"/>
      <c r="Y42" s="187"/>
      <c r="Z42" s="187"/>
      <c r="AA42" s="187"/>
      <c r="AB42" s="187"/>
      <c r="AC42" s="187"/>
      <c r="AD42" s="187"/>
      <c r="AE42" s="187"/>
    </row>
    <row r="43" spans="1:31" x14ac:dyDescent="0.25">
      <c r="A43" s="187"/>
      <c r="B43" s="187" t="str">
        <f>IF($C43="","",MAX($B$4:$B42)+1)</f>
        <v/>
      </c>
      <c r="C43" s="145"/>
      <c r="D43" s="183" t="str">
        <f>IFERROR(VLOOKUP($C43,Rosters!$C$4:$M$239,INDEX(Lists!$N$5:$O$80,MATCH($C43,Lists!$N$5:$N$80,FALSE),2)),"")</f>
        <v/>
      </c>
      <c r="E43" s="185">
        <f>IF($C43="",-0.00001,COUNTIFS(Database!E:E,$C43,Database!A:A,$D$1))</f>
        <v>-1.0000000000000001E-5</v>
      </c>
      <c r="F43" s="185">
        <f>IFERROR(IF($C43="",-0.00001,SUMIFS(Database!H:H,Database!$E:$E,$C43,Database!$A:$A,$D$1)),-0.00001)</f>
        <v>-1.0000000000000001E-5</v>
      </c>
      <c r="G43" s="185">
        <f>IFERROR(IF($C43="",-0.00001,SUMIFS(Database!I:I,Database!$E:$E,$C43,Database!$A:$A,$D$1)),-0.00001)</f>
        <v>-1.0000000000000001E-5</v>
      </c>
      <c r="H43" s="185">
        <f>IFERROR(IF($C43="",-0.00001,SUMIFS(Database!J:J,Database!$E:$E,$C43,Database!$A:$A,$D$1)),-0.00001)</f>
        <v>-1.0000000000000001E-5</v>
      </c>
      <c r="I43" s="185">
        <f>IFERROR(IF($C43="",-0.00001,SUMIFS(Database!K:K,Database!$E:$E,$C43,Database!$A:$A,$D$1)),-0.00001)</f>
        <v>-1.0000000000000001E-5</v>
      </c>
      <c r="J43" s="185">
        <f>IFERROR(IF($C43="",-0.00001,SUMIFS(Database!L:L,Database!$E:$E,$C43,Database!$A:$A,$D$1)),-0.00001)</f>
        <v>-1.0000000000000001E-5</v>
      </c>
      <c r="K43" s="185">
        <f>IFERROR(IF($C43="",-0.00001,SUMIFS(Database!M:M,Database!$E:$E,$C43,Database!$A:$A,$D$1)),-0.00001)</f>
        <v>-1.0000000000000001E-5</v>
      </c>
      <c r="L43" s="185">
        <f>IFERROR(IF($C43="",-0.00001,SUMIFS(Database!N:N,Database!$E:$E,$C43,Database!$A:$A,$D$1)),-0.00001)</f>
        <v>-1.0000000000000001E-5</v>
      </c>
      <c r="M43" s="185">
        <f>IFERROR(IF($C43="",-0.00001,SUMIFS(Database!O:O,Database!$E:$E,$C43,Database!$A:$A,$D$1)),-0.00001)</f>
        <v>-1.0000000000000001E-5</v>
      </c>
      <c r="N43" s="185">
        <f>IFERROR(IF($C43="",-0.00001,SUMIFS(Database!P:P,Database!$E:$E,$C43,Database!$A:$A,$D$1)),-0.00001)</f>
        <v>-1.0000000000000001E-5</v>
      </c>
      <c r="O43" s="185">
        <f>IFERROR(IF($C43="",-0.00001,SUMIFS(Database!Q:Q,Database!$E:$E,$C43,Database!$A:$A,$D$1)),-0.00001)</f>
        <v>-1.0000000000000001E-5</v>
      </c>
      <c r="P43" s="186">
        <f t="shared" si="3"/>
        <v>-1.0000000000000001E-5</v>
      </c>
      <c r="Q43" s="185">
        <f>IFERROR(IF($C43="",-0.00001,SUMIFS(Database!S:S,Database!$E:$E,$C43,Database!$A:$A,$D$1)),-0.00001)</f>
        <v>-1.0000000000000001E-5</v>
      </c>
      <c r="R43" s="185">
        <f>IFERROR(IF($C43="",-0.00001,SUMIFS(Database!T:T,Database!$E:$E,$C43,Database!$A:$A,$D$1)),-0.00001)</f>
        <v>-1.0000000000000001E-5</v>
      </c>
      <c r="S43" s="186">
        <f t="shared" si="4"/>
        <v>-1.0000000000000001E-5</v>
      </c>
      <c r="T43" s="185">
        <f>IFERROR(IF($C43="",-0.00001,SUMIFS(Database!V:V,Database!$E:$E,$C43,Database!$A:$A,$D$1)),-0.00001)</f>
        <v>-1.0000000000000001E-5</v>
      </c>
      <c r="U43" s="185">
        <f>IFERROR(IF($C43="",-0.00001,SUMIFS(Database!W:W,Database!$E:$E,$C43,Database!$A:$A,$D$1)),-0.00001)</f>
        <v>-1.0000000000000001E-5</v>
      </c>
      <c r="V43" s="186">
        <f t="shared" si="5"/>
        <v>-1.0000000000000001E-5</v>
      </c>
      <c r="W43" s="187"/>
      <c r="X43" s="187"/>
      <c r="Y43" s="187"/>
      <c r="Z43" s="187"/>
      <c r="AA43" s="187"/>
      <c r="AB43" s="187"/>
      <c r="AC43" s="187"/>
      <c r="AD43" s="187"/>
      <c r="AE43" s="187"/>
    </row>
    <row r="44" spans="1:31" x14ac:dyDescent="0.25">
      <c r="A44" s="187"/>
      <c r="B44" s="187" t="str">
        <f>IF($C44="","",MAX($B$4:$B43)+1)</f>
        <v/>
      </c>
      <c r="C44" s="145"/>
      <c r="D44" s="183" t="str">
        <f>IFERROR(VLOOKUP($C44,Rosters!$C$4:$M$239,INDEX(Lists!$N$5:$O$80,MATCH($C44,Lists!$N$5:$N$80,FALSE),2)),"")</f>
        <v/>
      </c>
      <c r="E44" s="185">
        <f>IF($C44="",-0.00001,COUNTIFS(Database!E:E,$C44,Database!A:A,$D$1))</f>
        <v>-1.0000000000000001E-5</v>
      </c>
      <c r="F44" s="185">
        <f>IFERROR(IF($C44="",-0.00001,SUMIFS(Database!H:H,Database!$E:$E,$C44,Database!$A:$A,$D$1)),-0.00001)</f>
        <v>-1.0000000000000001E-5</v>
      </c>
      <c r="G44" s="185">
        <f>IFERROR(IF($C44="",-0.00001,SUMIFS(Database!I:I,Database!$E:$E,$C44,Database!$A:$A,$D$1)),-0.00001)</f>
        <v>-1.0000000000000001E-5</v>
      </c>
      <c r="H44" s="185">
        <f>IFERROR(IF($C44="",-0.00001,SUMIFS(Database!J:J,Database!$E:$E,$C44,Database!$A:$A,$D$1)),-0.00001)</f>
        <v>-1.0000000000000001E-5</v>
      </c>
      <c r="I44" s="185">
        <f>IFERROR(IF($C44="",-0.00001,SUMIFS(Database!K:K,Database!$E:$E,$C44,Database!$A:$A,$D$1)),-0.00001)</f>
        <v>-1.0000000000000001E-5</v>
      </c>
      <c r="J44" s="185">
        <f>IFERROR(IF($C44="",-0.00001,SUMIFS(Database!L:L,Database!$E:$E,$C44,Database!$A:$A,$D$1)),-0.00001)</f>
        <v>-1.0000000000000001E-5</v>
      </c>
      <c r="K44" s="185">
        <f>IFERROR(IF($C44="",-0.00001,SUMIFS(Database!M:M,Database!$E:$E,$C44,Database!$A:$A,$D$1)),-0.00001)</f>
        <v>-1.0000000000000001E-5</v>
      </c>
      <c r="L44" s="185">
        <f>IFERROR(IF($C44="",-0.00001,SUMIFS(Database!N:N,Database!$E:$E,$C44,Database!$A:$A,$D$1)),-0.00001)</f>
        <v>-1.0000000000000001E-5</v>
      </c>
      <c r="M44" s="185">
        <f>IFERROR(IF($C44="",-0.00001,SUMIFS(Database!O:O,Database!$E:$E,$C44,Database!$A:$A,$D$1)),-0.00001)</f>
        <v>-1.0000000000000001E-5</v>
      </c>
      <c r="N44" s="185">
        <f>IFERROR(IF($C44="",-0.00001,SUMIFS(Database!P:P,Database!$E:$E,$C44,Database!$A:$A,$D$1)),-0.00001)</f>
        <v>-1.0000000000000001E-5</v>
      </c>
      <c r="O44" s="185">
        <f>IFERROR(IF($C44="",-0.00001,SUMIFS(Database!Q:Q,Database!$E:$E,$C44,Database!$A:$A,$D$1)),-0.00001)</f>
        <v>-1.0000000000000001E-5</v>
      </c>
      <c r="P44" s="186">
        <f t="shared" si="3"/>
        <v>-1.0000000000000001E-5</v>
      </c>
      <c r="Q44" s="185">
        <f>IFERROR(IF($C44="",-0.00001,SUMIFS(Database!S:S,Database!$E:$E,$C44,Database!$A:$A,$D$1)),-0.00001)</f>
        <v>-1.0000000000000001E-5</v>
      </c>
      <c r="R44" s="185">
        <f>IFERROR(IF($C44="",-0.00001,SUMIFS(Database!T:T,Database!$E:$E,$C44,Database!$A:$A,$D$1)),-0.00001)</f>
        <v>-1.0000000000000001E-5</v>
      </c>
      <c r="S44" s="186">
        <f t="shared" si="4"/>
        <v>-1.0000000000000001E-5</v>
      </c>
      <c r="T44" s="185">
        <f>IFERROR(IF($C44="",-0.00001,SUMIFS(Database!V:V,Database!$E:$E,$C44,Database!$A:$A,$D$1)),-0.00001)</f>
        <v>-1.0000000000000001E-5</v>
      </c>
      <c r="U44" s="185">
        <f>IFERROR(IF($C44="",-0.00001,SUMIFS(Database!W:W,Database!$E:$E,$C44,Database!$A:$A,$D$1)),-0.00001)</f>
        <v>-1.0000000000000001E-5</v>
      </c>
      <c r="V44" s="186">
        <f t="shared" si="5"/>
        <v>-1.0000000000000001E-5</v>
      </c>
      <c r="W44" s="187"/>
      <c r="X44" s="187"/>
      <c r="Y44" s="187"/>
      <c r="Z44" s="187"/>
      <c r="AA44" s="187"/>
      <c r="AB44" s="187"/>
      <c r="AC44" s="187"/>
      <c r="AD44" s="187"/>
      <c r="AE44" s="187"/>
    </row>
    <row r="45" spans="1:31" x14ac:dyDescent="0.25">
      <c r="A45" s="187"/>
      <c r="B45" s="187" t="str">
        <f>IF($C45="","",MAX($B$4:$B44)+1)</f>
        <v/>
      </c>
      <c r="C45" s="145"/>
      <c r="D45" s="183" t="str">
        <f>IFERROR(VLOOKUP($C45,Rosters!$C$4:$M$239,INDEX(Lists!$N$5:$O$80,MATCH($C45,Lists!$N$5:$N$80,FALSE),2)),"")</f>
        <v/>
      </c>
      <c r="E45" s="185">
        <f>IF($C45="",-0.00001,COUNTIFS(Database!E:E,$C45,Database!A:A,$D$1))</f>
        <v>-1.0000000000000001E-5</v>
      </c>
      <c r="F45" s="185">
        <f>IFERROR(IF($C45="",-0.00001,SUMIFS(Database!H:H,Database!$E:$E,$C45,Database!$A:$A,$D$1)),-0.00001)</f>
        <v>-1.0000000000000001E-5</v>
      </c>
      <c r="G45" s="185">
        <f>IFERROR(IF($C45="",-0.00001,SUMIFS(Database!I:I,Database!$E:$E,$C45,Database!$A:$A,$D$1)),-0.00001)</f>
        <v>-1.0000000000000001E-5</v>
      </c>
      <c r="H45" s="185">
        <f>IFERROR(IF($C45="",-0.00001,SUMIFS(Database!J:J,Database!$E:$E,$C45,Database!$A:$A,$D$1)),-0.00001)</f>
        <v>-1.0000000000000001E-5</v>
      </c>
      <c r="I45" s="185">
        <f>IFERROR(IF($C45="",-0.00001,SUMIFS(Database!K:K,Database!$E:$E,$C45,Database!$A:$A,$D$1)),-0.00001)</f>
        <v>-1.0000000000000001E-5</v>
      </c>
      <c r="J45" s="185">
        <f>IFERROR(IF($C45="",-0.00001,SUMIFS(Database!L:L,Database!$E:$E,$C45,Database!$A:$A,$D$1)),-0.00001)</f>
        <v>-1.0000000000000001E-5</v>
      </c>
      <c r="K45" s="185">
        <f>IFERROR(IF($C45="",-0.00001,SUMIFS(Database!M:M,Database!$E:$E,$C45,Database!$A:$A,$D$1)),-0.00001)</f>
        <v>-1.0000000000000001E-5</v>
      </c>
      <c r="L45" s="185">
        <f>IFERROR(IF($C45="",-0.00001,SUMIFS(Database!N:N,Database!$E:$E,$C45,Database!$A:$A,$D$1)),-0.00001)</f>
        <v>-1.0000000000000001E-5</v>
      </c>
      <c r="M45" s="185">
        <f>IFERROR(IF($C45="",-0.00001,SUMIFS(Database!O:O,Database!$E:$E,$C45,Database!$A:$A,$D$1)),-0.00001)</f>
        <v>-1.0000000000000001E-5</v>
      </c>
      <c r="N45" s="185">
        <f>IFERROR(IF($C45="",-0.00001,SUMIFS(Database!P:P,Database!$E:$E,$C45,Database!$A:$A,$D$1)),-0.00001)</f>
        <v>-1.0000000000000001E-5</v>
      </c>
      <c r="O45" s="185">
        <f>IFERROR(IF($C45="",-0.00001,SUMIFS(Database!Q:Q,Database!$E:$E,$C45,Database!$A:$A,$D$1)),-0.00001)</f>
        <v>-1.0000000000000001E-5</v>
      </c>
      <c r="P45" s="186">
        <f t="shared" si="3"/>
        <v>-1.0000000000000001E-5</v>
      </c>
      <c r="Q45" s="185">
        <f>IFERROR(IF($C45="",-0.00001,SUMIFS(Database!S:S,Database!$E:$E,$C45,Database!$A:$A,$D$1)),-0.00001)</f>
        <v>-1.0000000000000001E-5</v>
      </c>
      <c r="R45" s="185">
        <f>IFERROR(IF($C45="",-0.00001,SUMIFS(Database!T:T,Database!$E:$E,$C45,Database!$A:$A,$D$1)),-0.00001)</f>
        <v>-1.0000000000000001E-5</v>
      </c>
      <c r="S45" s="186">
        <f t="shared" si="4"/>
        <v>-1.0000000000000001E-5</v>
      </c>
      <c r="T45" s="185">
        <f>IFERROR(IF($C45="",-0.00001,SUMIFS(Database!V:V,Database!$E:$E,$C45,Database!$A:$A,$D$1)),-0.00001)</f>
        <v>-1.0000000000000001E-5</v>
      </c>
      <c r="U45" s="185">
        <f>IFERROR(IF($C45="",-0.00001,SUMIFS(Database!W:W,Database!$E:$E,$C45,Database!$A:$A,$D$1)),-0.00001)</f>
        <v>-1.0000000000000001E-5</v>
      </c>
      <c r="V45" s="186">
        <f t="shared" si="5"/>
        <v>-1.0000000000000001E-5</v>
      </c>
      <c r="W45" s="187"/>
      <c r="X45" s="187"/>
      <c r="Y45" s="187"/>
      <c r="Z45" s="187"/>
      <c r="AA45" s="187"/>
      <c r="AB45" s="187"/>
      <c r="AC45" s="187"/>
      <c r="AD45" s="187"/>
      <c r="AE45" s="187"/>
    </row>
    <row r="46" spans="1:31" x14ac:dyDescent="0.25">
      <c r="A46" s="187"/>
      <c r="B46" s="187" t="str">
        <f>IF($C46="","",MAX($B$4:$B45)+1)</f>
        <v/>
      </c>
      <c r="C46" s="145"/>
      <c r="D46" s="183" t="str">
        <f>IFERROR(VLOOKUP($C46,Rosters!$C$4:$M$239,INDEX(Lists!$N$5:$O$80,MATCH($C46,Lists!$N$5:$N$80,FALSE),2)),"")</f>
        <v/>
      </c>
      <c r="E46" s="185">
        <f>IF($C46="",-0.00001,COUNTIFS(Database!E:E,$C46,Database!A:A,$D$1))</f>
        <v>-1.0000000000000001E-5</v>
      </c>
      <c r="F46" s="185">
        <f>IFERROR(IF($C46="",-0.00001,SUMIFS(Database!H:H,Database!$E:$E,$C46,Database!$A:$A,$D$1)),-0.00001)</f>
        <v>-1.0000000000000001E-5</v>
      </c>
      <c r="G46" s="185">
        <f>IFERROR(IF($C46="",-0.00001,SUMIFS(Database!I:I,Database!$E:$E,$C46,Database!$A:$A,$D$1)),-0.00001)</f>
        <v>-1.0000000000000001E-5</v>
      </c>
      <c r="H46" s="185">
        <f>IFERROR(IF($C46="",-0.00001,SUMIFS(Database!J:J,Database!$E:$E,$C46,Database!$A:$A,$D$1)),-0.00001)</f>
        <v>-1.0000000000000001E-5</v>
      </c>
      <c r="I46" s="185">
        <f>IFERROR(IF($C46="",-0.00001,SUMIFS(Database!K:K,Database!$E:$E,$C46,Database!$A:$A,$D$1)),-0.00001)</f>
        <v>-1.0000000000000001E-5</v>
      </c>
      <c r="J46" s="185">
        <f>IFERROR(IF($C46="",-0.00001,SUMIFS(Database!L:L,Database!$E:$E,$C46,Database!$A:$A,$D$1)),-0.00001)</f>
        <v>-1.0000000000000001E-5</v>
      </c>
      <c r="K46" s="185">
        <f>IFERROR(IF($C46="",-0.00001,SUMIFS(Database!M:M,Database!$E:$E,$C46,Database!$A:$A,$D$1)),-0.00001)</f>
        <v>-1.0000000000000001E-5</v>
      </c>
      <c r="L46" s="185">
        <f>IFERROR(IF($C46="",-0.00001,SUMIFS(Database!N:N,Database!$E:$E,$C46,Database!$A:$A,$D$1)),-0.00001)</f>
        <v>-1.0000000000000001E-5</v>
      </c>
      <c r="M46" s="185">
        <f>IFERROR(IF($C46="",-0.00001,SUMIFS(Database!O:O,Database!$E:$E,$C46,Database!$A:$A,$D$1)),-0.00001)</f>
        <v>-1.0000000000000001E-5</v>
      </c>
      <c r="N46" s="185">
        <f>IFERROR(IF($C46="",-0.00001,SUMIFS(Database!P:P,Database!$E:$E,$C46,Database!$A:$A,$D$1)),-0.00001)</f>
        <v>-1.0000000000000001E-5</v>
      </c>
      <c r="O46" s="185">
        <f>IFERROR(IF($C46="",-0.00001,SUMIFS(Database!Q:Q,Database!$E:$E,$C46,Database!$A:$A,$D$1)),-0.00001)</f>
        <v>-1.0000000000000001E-5</v>
      </c>
      <c r="P46" s="186">
        <f t="shared" si="3"/>
        <v>-1.0000000000000001E-5</v>
      </c>
      <c r="Q46" s="185">
        <f>IFERROR(IF($C46="",-0.00001,SUMIFS(Database!S:S,Database!$E:$E,$C46,Database!$A:$A,$D$1)),-0.00001)</f>
        <v>-1.0000000000000001E-5</v>
      </c>
      <c r="R46" s="185">
        <f>IFERROR(IF($C46="",-0.00001,SUMIFS(Database!T:T,Database!$E:$E,$C46,Database!$A:$A,$D$1)),-0.00001)</f>
        <v>-1.0000000000000001E-5</v>
      </c>
      <c r="S46" s="186">
        <f t="shared" si="4"/>
        <v>-1.0000000000000001E-5</v>
      </c>
      <c r="T46" s="185">
        <f>IFERROR(IF($C46="",-0.00001,SUMIFS(Database!V:V,Database!$E:$E,$C46,Database!$A:$A,$D$1)),-0.00001)</f>
        <v>-1.0000000000000001E-5</v>
      </c>
      <c r="U46" s="185">
        <f>IFERROR(IF($C46="",-0.00001,SUMIFS(Database!W:W,Database!$E:$E,$C46,Database!$A:$A,$D$1)),-0.00001)</f>
        <v>-1.0000000000000001E-5</v>
      </c>
      <c r="V46" s="186">
        <f t="shared" si="5"/>
        <v>-1.0000000000000001E-5</v>
      </c>
      <c r="W46" s="187"/>
      <c r="X46" s="187"/>
      <c r="Y46" s="187"/>
      <c r="Z46" s="187"/>
      <c r="AA46" s="187"/>
      <c r="AB46" s="187"/>
      <c r="AC46" s="187"/>
      <c r="AD46" s="187"/>
      <c r="AE46" s="187"/>
    </row>
    <row r="47" spans="1:31" x14ac:dyDescent="0.25">
      <c r="A47" s="187"/>
      <c r="B47" s="187" t="str">
        <f>IF($C47="","",MAX($B$4:$B46)+1)</f>
        <v/>
      </c>
      <c r="C47" s="145"/>
      <c r="D47" s="183" t="str">
        <f>IFERROR(VLOOKUP($C47,Rosters!$C$4:$M$239,INDEX(Lists!$N$5:$O$80,MATCH($C47,Lists!$N$5:$N$80,FALSE),2)),"")</f>
        <v/>
      </c>
      <c r="E47" s="185">
        <f>IF($C47="",-0.00001,COUNTIFS(Database!E:E,$C47,Database!A:A,$D$1))</f>
        <v>-1.0000000000000001E-5</v>
      </c>
      <c r="F47" s="185">
        <f>IFERROR(IF($C47="",-0.00001,SUMIFS(Database!H:H,Database!$E:$E,$C47,Database!$A:$A,$D$1)),-0.00001)</f>
        <v>-1.0000000000000001E-5</v>
      </c>
      <c r="G47" s="185">
        <f>IFERROR(IF($C47="",-0.00001,SUMIFS(Database!I:I,Database!$E:$E,$C47,Database!$A:$A,$D$1)),-0.00001)</f>
        <v>-1.0000000000000001E-5</v>
      </c>
      <c r="H47" s="185">
        <f>IFERROR(IF($C47="",-0.00001,SUMIFS(Database!J:J,Database!$E:$E,$C47,Database!$A:$A,$D$1)),-0.00001)</f>
        <v>-1.0000000000000001E-5</v>
      </c>
      <c r="I47" s="185">
        <f>IFERROR(IF($C47="",-0.00001,SUMIFS(Database!K:K,Database!$E:$E,$C47,Database!$A:$A,$D$1)),-0.00001)</f>
        <v>-1.0000000000000001E-5</v>
      </c>
      <c r="J47" s="185">
        <f>IFERROR(IF($C47="",-0.00001,SUMIFS(Database!L:L,Database!$E:$E,$C47,Database!$A:$A,$D$1)),-0.00001)</f>
        <v>-1.0000000000000001E-5</v>
      </c>
      <c r="K47" s="185">
        <f>IFERROR(IF($C47="",-0.00001,SUMIFS(Database!M:M,Database!$E:$E,$C47,Database!$A:$A,$D$1)),-0.00001)</f>
        <v>-1.0000000000000001E-5</v>
      </c>
      <c r="L47" s="185">
        <f>IFERROR(IF($C47="",-0.00001,SUMIFS(Database!N:N,Database!$E:$E,$C47,Database!$A:$A,$D$1)),-0.00001)</f>
        <v>-1.0000000000000001E-5</v>
      </c>
      <c r="M47" s="185">
        <f>IFERROR(IF($C47="",-0.00001,SUMIFS(Database!O:O,Database!$E:$E,$C47,Database!$A:$A,$D$1)),-0.00001)</f>
        <v>-1.0000000000000001E-5</v>
      </c>
      <c r="N47" s="185">
        <f>IFERROR(IF($C47="",-0.00001,SUMIFS(Database!P:P,Database!$E:$E,$C47,Database!$A:$A,$D$1)),-0.00001)</f>
        <v>-1.0000000000000001E-5</v>
      </c>
      <c r="O47" s="185">
        <f>IFERROR(IF($C47="",-0.00001,SUMIFS(Database!Q:Q,Database!$E:$E,$C47,Database!$A:$A,$D$1)),-0.00001)</f>
        <v>-1.0000000000000001E-5</v>
      </c>
      <c r="P47" s="186">
        <f t="shared" si="3"/>
        <v>-1.0000000000000001E-5</v>
      </c>
      <c r="Q47" s="185">
        <f>IFERROR(IF($C47="",-0.00001,SUMIFS(Database!S:S,Database!$E:$E,$C47,Database!$A:$A,$D$1)),-0.00001)</f>
        <v>-1.0000000000000001E-5</v>
      </c>
      <c r="R47" s="185">
        <f>IFERROR(IF($C47="",-0.00001,SUMIFS(Database!T:T,Database!$E:$E,$C47,Database!$A:$A,$D$1)),-0.00001)</f>
        <v>-1.0000000000000001E-5</v>
      </c>
      <c r="S47" s="186">
        <f t="shared" si="4"/>
        <v>-1.0000000000000001E-5</v>
      </c>
      <c r="T47" s="185">
        <f>IFERROR(IF($C47="",-0.00001,SUMIFS(Database!V:V,Database!$E:$E,$C47,Database!$A:$A,$D$1)),-0.00001)</f>
        <v>-1.0000000000000001E-5</v>
      </c>
      <c r="U47" s="185">
        <f>IFERROR(IF($C47="",-0.00001,SUMIFS(Database!W:W,Database!$E:$E,$C47,Database!$A:$A,$D$1)),-0.00001)</f>
        <v>-1.0000000000000001E-5</v>
      </c>
      <c r="V47" s="186">
        <f t="shared" si="5"/>
        <v>-1.0000000000000001E-5</v>
      </c>
      <c r="W47" s="187"/>
      <c r="X47" s="187"/>
      <c r="Y47" s="187"/>
      <c r="Z47" s="187"/>
      <c r="AA47" s="187"/>
      <c r="AB47" s="187"/>
      <c r="AC47" s="187"/>
      <c r="AD47" s="187"/>
      <c r="AE47" s="187"/>
    </row>
    <row r="48" spans="1:31" x14ac:dyDescent="0.25">
      <c r="A48" s="187"/>
      <c r="B48" s="187" t="str">
        <f>IF($C48="","",MAX($B$4:$B47)+1)</f>
        <v/>
      </c>
      <c r="C48" s="145"/>
      <c r="D48" s="183" t="str">
        <f>IFERROR(VLOOKUP($C48,Rosters!$C$4:$M$239,INDEX(Lists!$N$5:$O$80,MATCH($C48,Lists!$N$5:$N$80,FALSE),2)),"")</f>
        <v/>
      </c>
      <c r="E48" s="185">
        <f>IF($C48="",-0.00001,COUNTIFS(Database!E:E,$C48,Database!A:A,$D$1))</f>
        <v>-1.0000000000000001E-5</v>
      </c>
      <c r="F48" s="185">
        <f>IFERROR(IF($C48="",-0.00001,SUMIFS(Database!H:H,Database!$E:$E,$C48,Database!$A:$A,$D$1)),-0.00001)</f>
        <v>-1.0000000000000001E-5</v>
      </c>
      <c r="G48" s="185">
        <f>IFERROR(IF($C48="",-0.00001,SUMIFS(Database!I:I,Database!$E:$E,$C48,Database!$A:$A,$D$1)),-0.00001)</f>
        <v>-1.0000000000000001E-5</v>
      </c>
      <c r="H48" s="185">
        <f>IFERROR(IF($C48="",-0.00001,SUMIFS(Database!J:J,Database!$E:$E,$C48,Database!$A:$A,$D$1)),-0.00001)</f>
        <v>-1.0000000000000001E-5</v>
      </c>
      <c r="I48" s="185">
        <f>IFERROR(IF($C48="",-0.00001,SUMIFS(Database!K:K,Database!$E:$E,$C48,Database!$A:$A,$D$1)),-0.00001)</f>
        <v>-1.0000000000000001E-5</v>
      </c>
      <c r="J48" s="185">
        <f>IFERROR(IF($C48="",-0.00001,SUMIFS(Database!L:L,Database!$E:$E,$C48,Database!$A:$A,$D$1)),-0.00001)</f>
        <v>-1.0000000000000001E-5</v>
      </c>
      <c r="K48" s="185">
        <f>IFERROR(IF($C48="",-0.00001,SUMIFS(Database!M:M,Database!$E:$E,$C48,Database!$A:$A,$D$1)),-0.00001)</f>
        <v>-1.0000000000000001E-5</v>
      </c>
      <c r="L48" s="185">
        <f>IFERROR(IF($C48="",-0.00001,SUMIFS(Database!N:N,Database!$E:$E,$C48,Database!$A:$A,$D$1)),-0.00001)</f>
        <v>-1.0000000000000001E-5</v>
      </c>
      <c r="M48" s="185">
        <f>IFERROR(IF($C48="",-0.00001,SUMIFS(Database!O:O,Database!$E:$E,$C48,Database!$A:$A,$D$1)),-0.00001)</f>
        <v>-1.0000000000000001E-5</v>
      </c>
      <c r="N48" s="185">
        <f>IFERROR(IF($C48="",-0.00001,SUMIFS(Database!P:P,Database!$E:$E,$C48,Database!$A:$A,$D$1)),-0.00001)</f>
        <v>-1.0000000000000001E-5</v>
      </c>
      <c r="O48" s="185">
        <f>IFERROR(IF($C48="",-0.00001,SUMIFS(Database!Q:Q,Database!$E:$E,$C48,Database!$A:$A,$D$1)),-0.00001)</f>
        <v>-1.0000000000000001E-5</v>
      </c>
      <c r="P48" s="186">
        <f t="shared" si="3"/>
        <v>-1.0000000000000001E-5</v>
      </c>
      <c r="Q48" s="185">
        <f>IFERROR(IF($C48="",-0.00001,SUMIFS(Database!S:S,Database!$E:$E,$C48,Database!$A:$A,$D$1)),-0.00001)</f>
        <v>-1.0000000000000001E-5</v>
      </c>
      <c r="R48" s="185">
        <f>IFERROR(IF($C48="",-0.00001,SUMIFS(Database!T:T,Database!$E:$E,$C48,Database!$A:$A,$D$1)),-0.00001)</f>
        <v>-1.0000000000000001E-5</v>
      </c>
      <c r="S48" s="186">
        <f t="shared" si="4"/>
        <v>-1.0000000000000001E-5</v>
      </c>
      <c r="T48" s="185">
        <f>IFERROR(IF($C48="",-0.00001,SUMIFS(Database!V:V,Database!$E:$E,$C48,Database!$A:$A,$D$1)),-0.00001)</f>
        <v>-1.0000000000000001E-5</v>
      </c>
      <c r="U48" s="185">
        <f>IFERROR(IF($C48="",-0.00001,SUMIFS(Database!W:W,Database!$E:$E,$C48,Database!$A:$A,$D$1)),-0.00001)</f>
        <v>-1.0000000000000001E-5</v>
      </c>
      <c r="V48" s="186">
        <f t="shared" si="5"/>
        <v>-1.0000000000000001E-5</v>
      </c>
      <c r="W48" s="187"/>
      <c r="X48" s="187"/>
      <c r="Y48" s="187"/>
      <c r="Z48" s="187"/>
      <c r="AA48" s="187"/>
      <c r="AB48" s="187"/>
      <c r="AC48" s="187"/>
      <c r="AD48" s="187"/>
      <c r="AE48" s="187"/>
    </row>
    <row r="49" spans="1:31" x14ac:dyDescent="0.25">
      <c r="A49" s="187"/>
      <c r="B49" s="187" t="str">
        <f>IF($C49="","",MAX($B$4:$B48)+1)</f>
        <v/>
      </c>
      <c r="C49" s="145"/>
      <c r="D49" s="183" t="str">
        <f>IFERROR(VLOOKUP($C49,Rosters!$C$4:$M$239,INDEX(Lists!$N$5:$O$80,MATCH($C49,Lists!$N$5:$N$80,FALSE),2)),"")</f>
        <v/>
      </c>
      <c r="E49" s="185">
        <f>IF($C49="",-0.00001,COUNTIFS(Database!E:E,$C49,Database!A:A,$D$1))</f>
        <v>-1.0000000000000001E-5</v>
      </c>
      <c r="F49" s="185">
        <f>IFERROR(IF($C49="",-0.00001,SUMIFS(Database!H:H,Database!$E:$E,$C49,Database!$A:$A,$D$1)),-0.00001)</f>
        <v>-1.0000000000000001E-5</v>
      </c>
      <c r="G49" s="185">
        <f>IFERROR(IF($C49="",-0.00001,SUMIFS(Database!I:I,Database!$E:$E,$C49,Database!$A:$A,$D$1)),-0.00001)</f>
        <v>-1.0000000000000001E-5</v>
      </c>
      <c r="H49" s="185">
        <f>IFERROR(IF($C49="",-0.00001,SUMIFS(Database!J:J,Database!$E:$E,$C49,Database!$A:$A,$D$1)),-0.00001)</f>
        <v>-1.0000000000000001E-5</v>
      </c>
      <c r="I49" s="185">
        <f>IFERROR(IF($C49="",-0.00001,SUMIFS(Database!K:K,Database!$E:$E,$C49,Database!$A:$A,$D$1)),-0.00001)</f>
        <v>-1.0000000000000001E-5</v>
      </c>
      <c r="J49" s="185">
        <f>IFERROR(IF($C49="",-0.00001,SUMIFS(Database!L:L,Database!$E:$E,$C49,Database!$A:$A,$D$1)),-0.00001)</f>
        <v>-1.0000000000000001E-5</v>
      </c>
      <c r="K49" s="185">
        <f>IFERROR(IF($C49="",-0.00001,SUMIFS(Database!M:M,Database!$E:$E,$C49,Database!$A:$A,$D$1)),-0.00001)</f>
        <v>-1.0000000000000001E-5</v>
      </c>
      <c r="L49" s="185">
        <f>IFERROR(IF($C49="",-0.00001,SUMIFS(Database!N:N,Database!$E:$E,$C49,Database!$A:$A,$D$1)),-0.00001)</f>
        <v>-1.0000000000000001E-5</v>
      </c>
      <c r="M49" s="185">
        <f>IFERROR(IF($C49="",-0.00001,SUMIFS(Database!O:O,Database!$E:$E,$C49,Database!$A:$A,$D$1)),-0.00001)</f>
        <v>-1.0000000000000001E-5</v>
      </c>
      <c r="N49" s="185">
        <f>IFERROR(IF($C49="",-0.00001,SUMIFS(Database!P:P,Database!$E:$E,$C49,Database!$A:$A,$D$1)),-0.00001)</f>
        <v>-1.0000000000000001E-5</v>
      </c>
      <c r="O49" s="185">
        <f>IFERROR(IF($C49="",-0.00001,SUMIFS(Database!Q:Q,Database!$E:$E,$C49,Database!$A:$A,$D$1)),-0.00001)</f>
        <v>-1.0000000000000001E-5</v>
      </c>
      <c r="P49" s="186">
        <f t="shared" si="3"/>
        <v>-1.0000000000000001E-5</v>
      </c>
      <c r="Q49" s="185">
        <f>IFERROR(IF($C49="",-0.00001,SUMIFS(Database!S:S,Database!$E:$E,$C49,Database!$A:$A,$D$1)),-0.00001)</f>
        <v>-1.0000000000000001E-5</v>
      </c>
      <c r="R49" s="185">
        <f>IFERROR(IF($C49="",-0.00001,SUMIFS(Database!T:T,Database!$E:$E,$C49,Database!$A:$A,$D$1)),-0.00001)</f>
        <v>-1.0000000000000001E-5</v>
      </c>
      <c r="S49" s="186">
        <f t="shared" si="4"/>
        <v>-1.0000000000000001E-5</v>
      </c>
      <c r="T49" s="185">
        <f>IFERROR(IF($C49="",-0.00001,SUMIFS(Database!V:V,Database!$E:$E,$C49,Database!$A:$A,$D$1)),-0.00001)</f>
        <v>-1.0000000000000001E-5</v>
      </c>
      <c r="U49" s="185">
        <f>IFERROR(IF($C49="",-0.00001,SUMIFS(Database!W:W,Database!$E:$E,$C49,Database!$A:$A,$D$1)),-0.00001)</f>
        <v>-1.0000000000000001E-5</v>
      </c>
      <c r="V49" s="186">
        <f t="shared" si="5"/>
        <v>-1.0000000000000001E-5</v>
      </c>
      <c r="W49" s="187"/>
      <c r="X49" s="187"/>
      <c r="Y49" s="187"/>
      <c r="Z49" s="187"/>
      <c r="AA49" s="187"/>
      <c r="AB49" s="187"/>
      <c r="AC49" s="187"/>
      <c r="AD49" s="187"/>
      <c r="AE49" s="187"/>
    </row>
    <row r="50" spans="1:31" x14ac:dyDescent="0.25">
      <c r="A50" s="187"/>
      <c r="B50" s="187" t="str">
        <f>IF($C50="","",MAX($B$4:$B49)+1)</f>
        <v/>
      </c>
      <c r="C50" s="145"/>
      <c r="D50" s="183" t="str">
        <f>IFERROR(VLOOKUP($C50,Rosters!$C$4:$M$239,INDEX(Lists!$N$5:$O$80,MATCH($C50,Lists!$N$5:$N$80,FALSE),2)),"")</f>
        <v/>
      </c>
      <c r="E50" s="185">
        <f>IF($C50="",-0.00001,COUNTIFS(Database!E:E,$C50,Database!A:A,$D$1))</f>
        <v>-1.0000000000000001E-5</v>
      </c>
      <c r="F50" s="185">
        <f>IFERROR(IF($C50="",-0.00001,SUMIFS(Database!H:H,Database!$E:$E,$C50,Database!$A:$A,$D$1)),-0.00001)</f>
        <v>-1.0000000000000001E-5</v>
      </c>
      <c r="G50" s="185">
        <f>IFERROR(IF($C50="",-0.00001,SUMIFS(Database!I:I,Database!$E:$E,$C50,Database!$A:$A,$D$1)),-0.00001)</f>
        <v>-1.0000000000000001E-5</v>
      </c>
      <c r="H50" s="185">
        <f>IFERROR(IF($C50="",-0.00001,SUMIFS(Database!J:J,Database!$E:$E,$C50,Database!$A:$A,$D$1)),-0.00001)</f>
        <v>-1.0000000000000001E-5</v>
      </c>
      <c r="I50" s="185">
        <f>IFERROR(IF($C50="",-0.00001,SUMIFS(Database!K:K,Database!$E:$E,$C50,Database!$A:$A,$D$1)),-0.00001)</f>
        <v>-1.0000000000000001E-5</v>
      </c>
      <c r="J50" s="185">
        <f>IFERROR(IF($C50="",-0.00001,SUMIFS(Database!L:L,Database!$E:$E,$C50,Database!$A:$A,$D$1)),-0.00001)</f>
        <v>-1.0000000000000001E-5</v>
      </c>
      <c r="K50" s="185">
        <f>IFERROR(IF($C50="",-0.00001,SUMIFS(Database!M:M,Database!$E:$E,$C50,Database!$A:$A,$D$1)),-0.00001)</f>
        <v>-1.0000000000000001E-5</v>
      </c>
      <c r="L50" s="185">
        <f>IFERROR(IF($C50="",-0.00001,SUMIFS(Database!N:N,Database!$E:$E,$C50,Database!$A:$A,$D$1)),-0.00001)</f>
        <v>-1.0000000000000001E-5</v>
      </c>
      <c r="M50" s="185">
        <f>IFERROR(IF($C50="",-0.00001,SUMIFS(Database!O:O,Database!$E:$E,$C50,Database!$A:$A,$D$1)),-0.00001)</f>
        <v>-1.0000000000000001E-5</v>
      </c>
      <c r="N50" s="185">
        <f>IFERROR(IF($C50="",-0.00001,SUMIFS(Database!P:P,Database!$E:$E,$C50,Database!$A:$A,$D$1)),-0.00001)</f>
        <v>-1.0000000000000001E-5</v>
      </c>
      <c r="O50" s="185">
        <f>IFERROR(IF($C50="",-0.00001,SUMIFS(Database!Q:Q,Database!$E:$E,$C50,Database!$A:$A,$D$1)),-0.00001)</f>
        <v>-1.0000000000000001E-5</v>
      </c>
      <c r="P50" s="186">
        <f t="shared" si="3"/>
        <v>-1.0000000000000001E-5</v>
      </c>
      <c r="Q50" s="185">
        <f>IFERROR(IF($C50="",-0.00001,SUMIFS(Database!S:S,Database!$E:$E,$C50,Database!$A:$A,$D$1)),-0.00001)</f>
        <v>-1.0000000000000001E-5</v>
      </c>
      <c r="R50" s="185">
        <f>IFERROR(IF($C50="",-0.00001,SUMIFS(Database!T:T,Database!$E:$E,$C50,Database!$A:$A,$D$1)),-0.00001)</f>
        <v>-1.0000000000000001E-5</v>
      </c>
      <c r="S50" s="186">
        <f t="shared" si="4"/>
        <v>-1.0000000000000001E-5</v>
      </c>
      <c r="T50" s="185">
        <f>IFERROR(IF($C50="",-0.00001,SUMIFS(Database!V:V,Database!$E:$E,$C50,Database!$A:$A,$D$1)),-0.00001)</f>
        <v>-1.0000000000000001E-5</v>
      </c>
      <c r="U50" s="185">
        <f>IFERROR(IF($C50="",-0.00001,SUMIFS(Database!W:W,Database!$E:$E,$C50,Database!$A:$A,$D$1)),-0.00001)</f>
        <v>-1.0000000000000001E-5</v>
      </c>
      <c r="V50" s="186">
        <f t="shared" si="5"/>
        <v>-1.0000000000000001E-5</v>
      </c>
      <c r="W50" s="187"/>
      <c r="X50" s="187"/>
      <c r="Y50" s="187"/>
      <c r="Z50" s="187"/>
      <c r="AA50" s="187"/>
      <c r="AB50" s="187"/>
      <c r="AC50" s="187"/>
      <c r="AD50" s="187"/>
      <c r="AE50" s="187"/>
    </row>
    <row r="51" spans="1:31" x14ac:dyDescent="0.25">
      <c r="A51" s="187"/>
      <c r="B51" s="187" t="str">
        <f>IF($C51="","",MAX($B$4:$B50)+1)</f>
        <v/>
      </c>
      <c r="C51" s="145"/>
      <c r="D51" s="183" t="str">
        <f>IFERROR(VLOOKUP($C51,Rosters!$C$4:$M$239,INDEX(Lists!$N$5:$O$80,MATCH($C51,Lists!$N$5:$N$80,FALSE),2)),"")</f>
        <v/>
      </c>
      <c r="E51" s="185">
        <f>IF($C51="",-0.00001,COUNTIFS(Database!E:E,$C51,Database!A:A,$D$1))</f>
        <v>-1.0000000000000001E-5</v>
      </c>
      <c r="F51" s="185">
        <f>IFERROR(IF($C51="",-0.00001,SUMIFS(Database!H:H,Database!$E:$E,$C51,Database!$A:$A,$D$1)),-0.00001)</f>
        <v>-1.0000000000000001E-5</v>
      </c>
      <c r="G51" s="185">
        <f>IFERROR(IF($C51="",-0.00001,SUMIFS(Database!I:I,Database!$E:$E,$C51,Database!$A:$A,$D$1)),-0.00001)</f>
        <v>-1.0000000000000001E-5</v>
      </c>
      <c r="H51" s="185">
        <f>IFERROR(IF($C51="",-0.00001,SUMIFS(Database!J:J,Database!$E:$E,$C51,Database!$A:$A,$D$1)),-0.00001)</f>
        <v>-1.0000000000000001E-5</v>
      </c>
      <c r="I51" s="185">
        <f>IFERROR(IF($C51="",-0.00001,SUMIFS(Database!K:K,Database!$E:$E,$C51,Database!$A:$A,$D$1)),-0.00001)</f>
        <v>-1.0000000000000001E-5</v>
      </c>
      <c r="J51" s="185">
        <f>IFERROR(IF($C51="",-0.00001,SUMIFS(Database!L:L,Database!$E:$E,$C51,Database!$A:$A,$D$1)),-0.00001)</f>
        <v>-1.0000000000000001E-5</v>
      </c>
      <c r="K51" s="185">
        <f>IFERROR(IF($C51="",-0.00001,SUMIFS(Database!M:M,Database!$E:$E,$C51,Database!$A:$A,$D$1)),-0.00001)</f>
        <v>-1.0000000000000001E-5</v>
      </c>
      <c r="L51" s="185">
        <f>IFERROR(IF($C51="",-0.00001,SUMIFS(Database!N:N,Database!$E:$E,$C51,Database!$A:$A,$D$1)),-0.00001)</f>
        <v>-1.0000000000000001E-5</v>
      </c>
      <c r="M51" s="185">
        <f>IFERROR(IF($C51="",-0.00001,SUMIFS(Database!O:O,Database!$E:$E,$C51,Database!$A:$A,$D$1)),-0.00001)</f>
        <v>-1.0000000000000001E-5</v>
      </c>
      <c r="N51" s="185">
        <f>IFERROR(IF($C51="",-0.00001,SUMIFS(Database!P:P,Database!$E:$E,$C51,Database!$A:$A,$D$1)),-0.00001)</f>
        <v>-1.0000000000000001E-5</v>
      </c>
      <c r="O51" s="185">
        <f>IFERROR(IF($C51="",-0.00001,SUMIFS(Database!Q:Q,Database!$E:$E,$C51,Database!$A:$A,$D$1)),-0.00001)</f>
        <v>-1.0000000000000001E-5</v>
      </c>
      <c r="P51" s="186">
        <f t="shared" si="3"/>
        <v>-1.0000000000000001E-5</v>
      </c>
      <c r="Q51" s="185">
        <f>IFERROR(IF($C51="",-0.00001,SUMIFS(Database!S:S,Database!$E:$E,$C51,Database!$A:$A,$D$1)),-0.00001)</f>
        <v>-1.0000000000000001E-5</v>
      </c>
      <c r="R51" s="185">
        <f>IFERROR(IF($C51="",-0.00001,SUMIFS(Database!T:T,Database!$E:$E,$C51,Database!$A:$A,$D$1)),-0.00001)</f>
        <v>-1.0000000000000001E-5</v>
      </c>
      <c r="S51" s="186">
        <f t="shared" si="4"/>
        <v>-1.0000000000000001E-5</v>
      </c>
      <c r="T51" s="185">
        <f>IFERROR(IF($C51="",-0.00001,SUMIFS(Database!V:V,Database!$E:$E,$C51,Database!$A:$A,$D$1)),-0.00001)</f>
        <v>-1.0000000000000001E-5</v>
      </c>
      <c r="U51" s="185">
        <f>IFERROR(IF($C51="",-0.00001,SUMIFS(Database!W:W,Database!$E:$E,$C51,Database!$A:$A,$D$1)),-0.00001)</f>
        <v>-1.0000000000000001E-5</v>
      </c>
      <c r="V51" s="186">
        <f t="shared" si="5"/>
        <v>-1.0000000000000001E-5</v>
      </c>
      <c r="W51" s="187"/>
      <c r="X51" s="187"/>
      <c r="Y51" s="187"/>
      <c r="Z51" s="187"/>
      <c r="AA51" s="187"/>
      <c r="AB51" s="187"/>
      <c r="AC51" s="187"/>
      <c r="AD51" s="187"/>
      <c r="AE51" s="187"/>
    </row>
    <row r="52" spans="1:31" x14ac:dyDescent="0.25">
      <c r="A52" s="187"/>
      <c r="B52" s="187" t="str">
        <f>IF($C52="","",MAX($B$4:$B51)+1)</f>
        <v/>
      </c>
      <c r="C52" s="145"/>
      <c r="D52" s="183" t="str">
        <f>IFERROR(VLOOKUP($C52,Rosters!$C$4:$M$239,INDEX(Lists!$N$5:$O$80,MATCH($C52,Lists!$N$5:$N$80,FALSE),2)),"")</f>
        <v/>
      </c>
      <c r="E52" s="185">
        <f>IF($C52="",-0.00001,COUNTIFS(Database!E:E,$C52,Database!A:A,$D$1))</f>
        <v>-1.0000000000000001E-5</v>
      </c>
      <c r="F52" s="185">
        <f>IFERROR(IF($C52="",-0.00001,SUMIFS(Database!H:H,Database!$E:$E,$C52,Database!$A:$A,$D$1)),-0.00001)</f>
        <v>-1.0000000000000001E-5</v>
      </c>
      <c r="G52" s="185">
        <f>IFERROR(IF($C52="",-0.00001,SUMIFS(Database!I:I,Database!$E:$E,$C52,Database!$A:$A,$D$1)),-0.00001)</f>
        <v>-1.0000000000000001E-5</v>
      </c>
      <c r="H52" s="185">
        <f>IFERROR(IF($C52="",-0.00001,SUMIFS(Database!J:J,Database!$E:$E,$C52,Database!$A:$A,$D$1)),-0.00001)</f>
        <v>-1.0000000000000001E-5</v>
      </c>
      <c r="I52" s="185">
        <f>IFERROR(IF($C52="",-0.00001,SUMIFS(Database!K:K,Database!$E:$E,$C52,Database!$A:$A,$D$1)),-0.00001)</f>
        <v>-1.0000000000000001E-5</v>
      </c>
      <c r="J52" s="185">
        <f>IFERROR(IF($C52="",-0.00001,SUMIFS(Database!L:L,Database!$E:$E,$C52,Database!$A:$A,$D$1)),-0.00001)</f>
        <v>-1.0000000000000001E-5</v>
      </c>
      <c r="K52" s="185">
        <f>IFERROR(IF($C52="",-0.00001,SUMIFS(Database!M:M,Database!$E:$E,$C52,Database!$A:$A,$D$1)),-0.00001)</f>
        <v>-1.0000000000000001E-5</v>
      </c>
      <c r="L52" s="185">
        <f>IFERROR(IF($C52="",-0.00001,SUMIFS(Database!N:N,Database!$E:$E,$C52,Database!$A:$A,$D$1)),-0.00001)</f>
        <v>-1.0000000000000001E-5</v>
      </c>
      <c r="M52" s="185">
        <f>IFERROR(IF($C52="",-0.00001,SUMIFS(Database!O:O,Database!$E:$E,$C52,Database!$A:$A,$D$1)),-0.00001)</f>
        <v>-1.0000000000000001E-5</v>
      </c>
      <c r="N52" s="185">
        <f>IFERROR(IF($C52="",-0.00001,SUMIFS(Database!P:P,Database!$E:$E,$C52,Database!$A:$A,$D$1)),-0.00001)</f>
        <v>-1.0000000000000001E-5</v>
      </c>
      <c r="O52" s="185">
        <f>IFERROR(IF($C52="",-0.00001,SUMIFS(Database!Q:Q,Database!$E:$E,$C52,Database!$A:$A,$D$1)),-0.00001)</f>
        <v>-1.0000000000000001E-5</v>
      </c>
      <c r="P52" s="186">
        <f t="shared" si="3"/>
        <v>-1.0000000000000001E-5</v>
      </c>
      <c r="Q52" s="185">
        <f>IFERROR(IF($C52="",-0.00001,SUMIFS(Database!S:S,Database!$E:$E,$C52,Database!$A:$A,$D$1)),-0.00001)</f>
        <v>-1.0000000000000001E-5</v>
      </c>
      <c r="R52" s="185">
        <f>IFERROR(IF($C52="",-0.00001,SUMIFS(Database!T:T,Database!$E:$E,$C52,Database!$A:$A,$D$1)),-0.00001)</f>
        <v>-1.0000000000000001E-5</v>
      </c>
      <c r="S52" s="186">
        <f t="shared" si="4"/>
        <v>-1.0000000000000001E-5</v>
      </c>
      <c r="T52" s="185">
        <f>IFERROR(IF($C52="",-0.00001,SUMIFS(Database!V:V,Database!$E:$E,$C52,Database!$A:$A,$D$1)),-0.00001)</f>
        <v>-1.0000000000000001E-5</v>
      </c>
      <c r="U52" s="185">
        <f>IFERROR(IF($C52="",-0.00001,SUMIFS(Database!W:W,Database!$E:$E,$C52,Database!$A:$A,$D$1)),-0.00001)</f>
        <v>-1.0000000000000001E-5</v>
      </c>
      <c r="V52" s="186">
        <f t="shared" si="5"/>
        <v>-1.0000000000000001E-5</v>
      </c>
      <c r="W52" s="187"/>
      <c r="X52" s="187"/>
      <c r="Y52" s="187"/>
      <c r="Z52" s="187"/>
      <c r="AA52" s="187"/>
      <c r="AB52" s="187"/>
      <c r="AC52" s="187"/>
      <c r="AD52" s="187"/>
      <c r="AE52" s="187"/>
    </row>
    <row r="53" spans="1:31" x14ac:dyDescent="0.25">
      <c r="A53" s="187"/>
      <c r="B53" s="187" t="str">
        <f>IF($C53="","",MAX($B$4:$B52)+1)</f>
        <v/>
      </c>
      <c r="C53" s="145"/>
      <c r="D53" s="183" t="str">
        <f>IFERROR(VLOOKUP($C53,Rosters!$C$4:$M$239,INDEX(Lists!$N$5:$O$80,MATCH($C53,Lists!$N$5:$N$80,FALSE),2)),"")</f>
        <v/>
      </c>
      <c r="E53" s="185">
        <f>IF($C53="",-0.00001,COUNTIFS(Database!E:E,$C53,Database!A:A,$D$1))</f>
        <v>-1.0000000000000001E-5</v>
      </c>
      <c r="F53" s="185">
        <f>IFERROR(IF($C53="",-0.00001,SUMIFS(Database!H:H,Database!$E:$E,$C53,Database!$A:$A,$D$1)),-0.00001)</f>
        <v>-1.0000000000000001E-5</v>
      </c>
      <c r="G53" s="185">
        <f>IFERROR(IF($C53="",-0.00001,SUMIFS(Database!I:I,Database!$E:$E,$C53,Database!$A:$A,$D$1)),-0.00001)</f>
        <v>-1.0000000000000001E-5</v>
      </c>
      <c r="H53" s="185">
        <f>IFERROR(IF($C53="",-0.00001,SUMIFS(Database!J:J,Database!$E:$E,$C53,Database!$A:$A,$D$1)),-0.00001)</f>
        <v>-1.0000000000000001E-5</v>
      </c>
      <c r="I53" s="185">
        <f>IFERROR(IF($C53="",-0.00001,SUMIFS(Database!K:K,Database!$E:$E,$C53,Database!$A:$A,$D$1)),-0.00001)</f>
        <v>-1.0000000000000001E-5</v>
      </c>
      <c r="J53" s="185">
        <f>IFERROR(IF($C53="",-0.00001,SUMIFS(Database!L:L,Database!$E:$E,$C53,Database!$A:$A,$D$1)),-0.00001)</f>
        <v>-1.0000000000000001E-5</v>
      </c>
      <c r="K53" s="185">
        <f>IFERROR(IF($C53="",-0.00001,SUMIFS(Database!M:M,Database!$E:$E,$C53,Database!$A:$A,$D$1)),-0.00001)</f>
        <v>-1.0000000000000001E-5</v>
      </c>
      <c r="L53" s="185">
        <f>IFERROR(IF($C53="",-0.00001,SUMIFS(Database!N:N,Database!$E:$E,$C53,Database!$A:$A,$D$1)),-0.00001)</f>
        <v>-1.0000000000000001E-5</v>
      </c>
      <c r="M53" s="185">
        <f>IFERROR(IF($C53="",-0.00001,SUMIFS(Database!O:O,Database!$E:$E,$C53,Database!$A:$A,$D$1)),-0.00001)</f>
        <v>-1.0000000000000001E-5</v>
      </c>
      <c r="N53" s="185">
        <f>IFERROR(IF($C53="",-0.00001,SUMIFS(Database!P:P,Database!$E:$E,$C53,Database!$A:$A,$D$1)),-0.00001)</f>
        <v>-1.0000000000000001E-5</v>
      </c>
      <c r="O53" s="185">
        <f>IFERROR(IF($C53="",-0.00001,SUMIFS(Database!Q:Q,Database!$E:$E,$C53,Database!$A:$A,$D$1)),-0.00001)</f>
        <v>-1.0000000000000001E-5</v>
      </c>
      <c r="P53" s="186">
        <f t="shared" si="3"/>
        <v>-1.0000000000000001E-5</v>
      </c>
      <c r="Q53" s="185">
        <f>IFERROR(IF($C53="",-0.00001,SUMIFS(Database!S:S,Database!$E:$E,$C53,Database!$A:$A,$D$1)),-0.00001)</f>
        <v>-1.0000000000000001E-5</v>
      </c>
      <c r="R53" s="185">
        <f>IFERROR(IF($C53="",-0.00001,SUMIFS(Database!T:T,Database!$E:$E,$C53,Database!$A:$A,$D$1)),-0.00001)</f>
        <v>-1.0000000000000001E-5</v>
      </c>
      <c r="S53" s="186">
        <f t="shared" si="4"/>
        <v>-1.0000000000000001E-5</v>
      </c>
      <c r="T53" s="185">
        <f>IFERROR(IF($C53="",-0.00001,SUMIFS(Database!V:V,Database!$E:$E,$C53,Database!$A:$A,$D$1)),-0.00001)</f>
        <v>-1.0000000000000001E-5</v>
      </c>
      <c r="U53" s="185">
        <f>IFERROR(IF($C53="",-0.00001,SUMIFS(Database!W:W,Database!$E:$E,$C53,Database!$A:$A,$D$1)),-0.00001)</f>
        <v>-1.0000000000000001E-5</v>
      </c>
      <c r="V53" s="186">
        <f t="shared" si="5"/>
        <v>-1.0000000000000001E-5</v>
      </c>
      <c r="W53" s="187"/>
      <c r="X53" s="187"/>
      <c r="Y53" s="187"/>
      <c r="Z53" s="187"/>
      <c r="AA53" s="187"/>
      <c r="AB53" s="187"/>
      <c r="AC53" s="187"/>
      <c r="AD53" s="187"/>
      <c r="AE53" s="187"/>
    </row>
    <row r="54" spans="1:31" x14ac:dyDescent="0.25">
      <c r="A54" s="187"/>
      <c r="B54" s="187" t="str">
        <f>IF($C54="","",MAX($B$4:$B53)+1)</f>
        <v/>
      </c>
      <c r="C54" s="145"/>
      <c r="D54" s="183" t="str">
        <f>IFERROR(VLOOKUP($C54,Rosters!$C$4:$M$239,INDEX(Lists!$N$5:$O$80,MATCH($C54,Lists!$N$5:$N$80,FALSE),2)),"")</f>
        <v/>
      </c>
      <c r="E54" s="185">
        <f>IF($C54="",-0.00001,COUNTIFS(Database!E:E,$C54,Database!A:A,$D$1))</f>
        <v>-1.0000000000000001E-5</v>
      </c>
      <c r="F54" s="185">
        <f>IFERROR(IF($C54="",-0.00001,SUMIFS(Database!H:H,Database!$E:$E,$C54,Database!$A:$A,$D$1)),-0.00001)</f>
        <v>-1.0000000000000001E-5</v>
      </c>
      <c r="G54" s="185">
        <f>IFERROR(IF($C54="",-0.00001,SUMIFS(Database!I:I,Database!$E:$E,$C54,Database!$A:$A,$D$1)),-0.00001)</f>
        <v>-1.0000000000000001E-5</v>
      </c>
      <c r="H54" s="185">
        <f>IFERROR(IF($C54="",-0.00001,SUMIFS(Database!J:J,Database!$E:$E,$C54,Database!$A:$A,$D$1)),-0.00001)</f>
        <v>-1.0000000000000001E-5</v>
      </c>
      <c r="I54" s="185">
        <f>IFERROR(IF($C54="",-0.00001,SUMIFS(Database!K:K,Database!$E:$E,$C54,Database!$A:$A,$D$1)),-0.00001)</f>
        <v>-1.0000000000000001E-5</v>
      </c>
      <c r="J54" s="185">
        <f>IFERROR(IF($C54="",-0.00001,SUMIFS(Database!L:L,Database!$E:$E,$C54,Database!$A:$A,$D$1)),-0.00001)</f>
        <v>-1.0000000000000001E-5</v>
      </c>
      <c r="K54" s="185">
        <f>IFERROR(IF($C54="",-0.00001,SUMIFS(Database!M:M,Database!$E:$E,$C54,Database!$A:$A,$D$1)),-0.00001)</f>
        <v>-1.0000000000000001E-5</v>
      </c>
      <c r="L54" s="185">
        <f>IFERROR(IF($C54="",-0.00001,SUMIFS(Database!N:N,Database!$E:$E,$C54,Database!$A:$A,$D$1)),-0.00001)</f>
        <v>-1.0000000000000001E-5</v>
      </c>
      <c r="M54" s="185">
        <f>IFERROR(IF($C54="",-0.00001,SUMIFS(Database!O:O,Database!$E:$E,$C54,Database!$A:$A,$D$1)),-0.00001)</f>
        <v>-1.0000000000000001E-5</v>
      </c>
      <c r="N54" s="185">
        <f>IFERROR(IF($C54="",-0.00001,SUMIFS(Database!P:P,Database!$E:$E,$C54,Database!$A:$A,$D$1)),-0.00001)</f>
        <v>-1.0000000000000001E-5</v>
      </c>
      <c r="O54" s="185">
        <f>IFERROR(IF($C54="",-0.00001,SUMIFS(Database!Q:Q,Database!$E:$E,$C54,Database!$A:$A,$D$1)),-0.00001)</f>
        <v>-1.0000000000000001E-5</v>
      </c>
      <c r="P54" s="186">
        <f t="shared" si="3"/>
        <v>-1.0000000000000001E-5</v>
      </c>
      <c r="Q54" s="185">
        <f>IFERROR(IF($C54="",-0.00001,SUMIFS(Database!S:S,Database!$E:$E,$C54,Database!$A:$A,$D$1)),-0.00001)</f>
        <v>-1.0000000000000001E-5</v>
      </c>
      <c r="R54" s="185">
        <f>IFERROR(IF($C54="",-0.00001,SUMIFS(Database!T:T,Database!$E:$E,$C54,Database!$A:$A,$D$1)),-0.00001)</f>
        <v>-1.0000000000000001E-5</v>
      </c>
      <c r="S54" s="186">
        <f t="shared" si="4"/>
        <v>-1.0000000000000001E-5</v>
      </c>
      <c r="T54" s="185">
        <f>IFERROR(IF($C54="",-0.00001,SUMIFS(Database!V:V,Database!$E:$E,$C54,Database!$A:$A,$D$1)),-0.00001)</f>
        <v>-1.0000000000000001E-5</v>
      </c>
      <c r="U54" s="185">
        <f>IFERROR(IF($C54="",-0.00001,SUMIFS(Database!W:W,Database!$E:$E,$C54,Database!$A:$A,$D$1)),-0.00001)</f>
        <v>-1.0000000000000001E-5</v>
      </c>
      <c r="V54" s="186">
        <f t="shared" si="5"/>
        <v>-1.0000000000000001E-5</v>
      </c>
      <c r="W54" s="187"/>
      <c r="X54" s="187"/>
      <c r="Y54" s="187"/>
      <c r="Z54" s="187"/>
      <c r="AA54" s="187"/>
      <c r="AB54" s="187"/>
      <c r="AC54" s="187"/>
      <c r="AD54" s="187"/>
      <c r="AE54" s="187"/>
    </row>
    <row r="55" spans="1:31" x14ac:dyDescent="0.25">
      <c r="A55" s="187"/>
      <c r="B55" s="187" t="str">
        <f>IF($C55="","",MAX($B$4:$B54)+1)</f>
        <v/>
      </c>
      <c r="C55" s="145"/>
      <c r="D55" s="183" t="str">
        <f>IFERROR(VLOOKUP($C55,Rosters!$C$4:$M$239,INDEX(Lists!$N$5:$O$80,MATCH($C55,Lists!$N$5:$N$80,FALSE),2)),"")</f>
        <v/>
      </c>
      <c r="E55" s="185">
        <f>IF($C55="",-0.00001,COUNTIFS(Database!E:E,$C55,Database!A:A,$D$1))</f>
        <v>-1.0000000000000001E-5</v>
      </c>
      <c r="F55" s="185">
        <f>IFERROR(IF($C55="",-0.00001,SUMIFS(Database!H:H,Database!$E:$E,$C55,Database!$A:$A,$D$1)),-0.00001)</f>
        <v>-1.0000000000000001E-5</v>
      </c>
      <c r="G55" s="185">
        <f>IFERROR(IF($C55="",-0.00001,SUMIFS(Database!I:I,Database!$E:$E,$C55,Database!$A:$A,$D$1)),-0.00001)</f>
        <v>-1.0000000000000001E-5</v>
      </c>
      <c r="H55" s="185">
        <f>IFERROR(IF($C55="",-0.00001,SUMIFS(Database!J:J,Database!$E:$E,$C55,Database!$A:$A,$D$1)),-0.00001)</f>
        <v>-1.0000000000000001E-5</v>
      </c>
      <c r="I55" s="185">
        <f>IFERROR(IF($C55="",-0.00001,SUMIFS(Database!K:K,Database!$E:$E,$C55,Database!$A:$A,$D$1)),-0.00001)</f>
        <v>-1.0000000000000001E-5</v>
      </c>
      <c r="J55" s="185">
        <f>IFERROR(IF($C55="",-0.00001,SUMIFS(Database!L:L,Database!$E:$E,$C55,Database!$A:$A,$D$1)),-0.00001)</f>
        <v>-1.0000000000000001E-5</v>
      </c>
      <c r="K55" s="185">
        <f>IFERROR(IF($C55="",-0.00001,SUMIFS(Database!M:M,Database!$E:$E,$C55,Database!$A:$A,$D$1)),-0.00001)</f>
        <v>-1.0000000000000001E-5</v>
      </c>
      <c r="L55" s="185">
        <f>IFERROR(IF($C55="",-0.00001,SUMIFS(Database!N:N,Database!$E:$E,$C55,Database!$A:$A,$D$1)),-0.00001)</f>
        <v>-1.0000000000000001E-5</v>
      </c>
      <c r="M55" s="185">
        <f>IFERROR(IF($C55="",-0.00001,SUMIFS(Database!O:O,Database!$E:$E,$C55,Database!$A:$A,$D$1)),-0.00001)</f>
        <v>-1.0000000000000001E-5</v>
      </c>
      <c r="N55" s="185">
        <f>IFERROR(IF($C55="",-0.00001,SUMIFS(Database!P:P,Database!$E:$E,$C55,Database!$A:$A,$D$1)),-0.00001)</f>
        <v>-1.0000000000000001E-5</v>
      </c>
      <c r="O55" s="185">
        <f>IFERROR(IF($C55="",-0.00001,SUMIFS(Database!Q:Q,Database!$E:$E,$C55,Database!$A:$A,$D$1)),-0.00001)</f>
        <v>-1.0000000000000001E-5</v>
      </c>
      <c r="P55" s="186">
        <f t="shared" si="3"/>
        <v>-1.0000000000000001E-5</v>
      </c>
      <c r="Q55" s="185">
        <f>IFERROR(IF($C55="",-0.00001,SUMIFS(Database!S:S,Database!$E:$E,$C55,Database!$A:$A,$D$1)),-0.00001)</f>
        <v>-1.0000000000000001E-5</v>
      </c>
      <c r="R55" s="185">
        <f>IFERROR(IF($C55="",-0.00001,SUMIFS(Database!T:T,Database!$E:$E,$C55,Database!$A:$A,$D$1)),-0.00001)</f>
        <v>-1.0000000000000001E-5</v>
      </c>
      <c r="S55" s="186">
        <f t="shared" si="4"/>
        <v>-1.0000000000000001E-5</v>
      </c>
      <c r="T55" s="185">
        <f>IFERROR(IF($C55="",-0.00001,SUMIFS(Database!V:V,Database!$E:$E,$C55,Database!$A:$A,$D$1)),-0.00001)</f>
        <v>-1.0000000000000001E-5</v>
      </c>
      <c r="U55" s="185">
        <f>IFERROR(IF($C55="",-0.00001,SUMIFS(Database!W:W,Database!$E:$E,$C55,Database!$A:$A,$D$1)),-0.00001)</f>
        <v>-1.0000000000000001E-5</v>
      </c>
      <c r="V55" s="186">
        <f t="shared" si="5"/>
        <v>-1.0000000000000001E-5</v>
      </c>
      <c r="W55" s="187"/>
      <c r="X55" s="187"/>
      <c r="Y55" s="187"/>
      <c r="Z55" s="187"/>
      <c r="AA55" s="187"/>
      <c r="AB55" s="187"/>
      <c r="AC55" s="187"/>
      <c r="AD55" s="187"/>
      <c r="AE55" s="187"/>
    </row>
    <row r="56" spans="1:31" x14ac:dyDescent="0.25">
      <c r="A56" s="187"/>
      <c r="B56" s="187" t="str">
        <f>IF($C56="","",MAX($B$4:$B55)+1)</f>
        <v/>
      </c>
      <c r="C56" s="145"/>
      <c r="D56" s="183" t="str">
        <f>IFERROR(VLOOKUP($C56,Rosters!$C$4:$M$239,INDEX(Lists!$N$5:$O$80,MATCH($C56,Lists!$N$5:$N$80,FALSE),2)),"")</f>
        <v/>
      </c>
      <c r="E56" s="185">
        <f>IF($C56="",-0.00001,COUNTIFS(Database!E:E,$C56,Database!A:A,$D$1))</f>
        <v>-1.0000000000000001E-5</v>
      </c>
      <c r="F56" s="185">
        <f>IFERROR(IF($C56="",-0.00001,SUMIFS(Database!H:H,Database!$E:$E,$C56,Database!$A:$A,$D$1)),-0.00001)</f>
        <v>-1.0000000000000001E-5</v>
      </c>
      <c r="G56" s="185">
        <f>IFERROR(IF($C56="",-0.00001,SUMIFS(Database!I:I,Database!$E:$E,$C56,Database!$A:$A,$D$1)),-0.00001)</f>
        <v>-1.0000000000000001E-5</v>
      </c>
      <c r="H56" s="185">
        <f>IFERROR(IF($C56="",-0.00001,SUMIFS(Database!J:J,Database!$E:$E,$C56,Database!$A:$A,$D$1)),-0.00001)</f>
        <v>-1.0000000000000001E-5</v>
      </c>
      <c r="I56" s="185">
        <f>IFERROR(IF($C56="",-0.00001,SUMIFS(Database!K:K,Database!$E:$E,$C56,Database!$A:$A,$D$1)),-0.00001)</f>
        <v>-1.0000000000000001E-5</v>
      </c>
      <c r="J56" s="185">
        <f>IFERROR(IF($C56="",-0.00001,SUMIFS(Database!L:L,Database!$E:$E,$C56,Database!$A:$A,$D$1)),-0.00001)</f>
        <v>-1.0000000000000001E-5</v>
      </c>
      <c r="K56" s="185">
        <f>IFERROR(IF($C56="",-0.00001,SUMIFS(Database!M:M,Database!$E:$E,$C56,Database!$A:$A,$D$1)),-0.00001)</f>
        <v>-1.0000000000000001E-5</v>
      </c>
      <c r="L56" s="185">
        <f>IFERROR(IF($C56="",-0.00001,SUMIFS(Database!N:N,Database!$E:$E,$C56,Database!$A:$A,$D$1)),-0.00001)</f>
        <v>-1.0000000000000001E-5</v>
      </c>
      <c r="M56" s="185">
        <f>IFERROR(IF($C56="",-0.00001,SUMIFS(Database!O:O,Database!$E:$E,$C56,Database!$A:$A,$D$1)),-0.00001)</f>
        <v>-1.0000000000000001E-5</v>
      </c>
      <c r="N56" s="185">
        <f>IFERROR(IF($C56="",-0.00001,SUMIFS(Database!P:P,Database!$E:$E,$C56,Database!$A:$A,$D$1)),-0.00001)</f>
        <v>-1.0000000000000001E-5</v>
      </c>
      <c r="O56" s="185">
        <f>IFERROR(IF($C56="",-0.00001,SUMIFS(Database!Q:Q,Database!$E:$E,$C56,Database!$A:$A,$D$1)),-0.00001)</f>
        <v>-1.0000000000000001E-5</v>
      </c>
      <c r="P56" s="186">
        <f t="shared" si="3"/>
        <v>-1.0000000000000001E-5</v>
      </c>
      <c r="Q56" s="185">
        <f>IFERROR(IF($C56="",-0.00001,SUMIFS(Database!S:S,Database!$E:$E,$C56,Database!$A:$A,$D$1)),-0.00001)</f>
        <v>-1.0000000000000001E-5</v>
      </c>
      <c r="R56" s="185">
        <f>IFERROR(IF($C56="",-0.00001,SUMIFS(Database!T:T,Database!$E:$E,$C56,Database!$A:$A,$D$1)),-0.00001)</f>
        <v>-1.0000000000000001E-5</v>
      </c>
      <c r="S56" s="186">
        <f t="shared" si="4"/>
        <v>-1.0000000000000001E-5</v>
      </c>
      <c r="T56" s="185">
        <f>IFERROR(IF($C56="",-0.00001,SUMIFS(Database!V:V,Database!$E:$E,$C56,Database!$A:$A,$D$1)),-0.00001)</f>
        <v>-1.0000000000000001E-5</v>
      </c>
      <c r="U56" s="185">
        <f>IFERROR(IF($C56="",-0.00001,SUMIFS(Database!W:W,Database!$E:$E,$C56,Database!$A:$A,$D$1)),-0.00001)</f>
        <v>-1.0000000000000001E-5</v>
      </c>
      <c r="V56" s="186">
        <f t="shared" si="5"/>
        <v>-1.0000000000000001E-5</v>
      </c>
      <c r="W56" s="187"/>
      <c r="X56" s="187"/>
      <c r="Y56" s="187"/>
      <c r="Z56" s="187"/>
      <c r="AA56" s="187"/>
      <c r="AB56" s="187"/>
      <c r="AC56" s="187"/>
      <c r="AD56" s="187"/>
      <c r="AE56" s="187"/>
    </row>
    <row r="57" spans="1:31" x14ac:dyDescent="0.25">
      <c r="A57" s="187"/>
      <c r="B57" s="187" t="str">
        <f>IF($C57="","",MAX($B$4:$B56)+1)</f>
        <v/>
      </c>
      <c r="C57" s="145"/>
      <c r="D57" s="183" t="str">
        <f>IFERROR(VLOOKUP($C57,Rosters!$C$4:$M$239,INDEX(Lists!$N$5:$O$80,MATCH($C57,Lists!$N$5:$N$80,FALSE),2)),"")</f>
        <v/>
      </c>
      <c r="E57" s="185">
        <f>IF($C57="",-0.00001,COUNTIFS(Database!E:E,$C57,Database!A:A,$D$1))</f>
        <v>-1.0000000000000001E-5</v>
      </c>
      <c r="F57" s="185">
        <f>IFERROR(IF($C57="",-0.00001,SUMIFS(Database!H:H,Database!$E:$E,$C57,Database!$A:$A,$D$1)),-0.00001)</f>
        <v>-1.0000000000000001E-5</v>
      </c>
      <c r="G57" s="185">
        <f>IFERROR(IF($C57="",-0.00001,SUMIFS(Database!I:I,Database!$E:$E,$C57,Database!$A:$A,$D$1)),-0.00001)</f>
        <v>-1.0000000000000001E-5</v>
      </c>
      <c r="H57" s="185">
        <f>IFERROR(IF($C57="",-0.00001,SUMIFS(Database!J:J,Database!$E:$E,$C57,Database!$A:$A,$D$1)),-0.00001)</f>
        <v>-1.0000000000000001E-5</v>
      </c>
      <c r="I57" s="185">
        <f>IFERROR(IF($C57="",-0.00001,SUMIFS(Database!K:K,Database!$E:$E,$C57,Database!$A:$A,$D$1)),-0.00001)</f>
        <v>-1.0000000000000001E-5</v>
      </c>
      <c r="J57" s="185">
        <f>IFERROR(IF($C57="",-0.00001,SUMIFS(Database!L:L,Database!$E:$E,$C57,Database!$A:$A,$D$1)),-0.00001)</f>
        <v>-1.0000000000000001E-5</v>
      </c>
      <c r="K57" s="185">
        <f>IFERROR(IF($C57="",-0.00001,SUMIFS(Database!M:M,Database!$E:$E,$C57,Database!$A:$A,$D$1)),-0.00001)</f>
        <v>-1.0000000000000001E-5</v>
      </c>
      <c r="L57" s="185">
        <f>IFERROR(IF($C57="",-0.00001,SUMIFS(Database!N:N,Database!$E:$E,$C57,Database!$A:$A,$D$1)),-0.00001)</f>
        <v>-1.0000000000000001E-5</v>
      </c>
      <c r="M57" s="185">
        <f>IFERROR(IF($C57="",-0.00001,SUMIFS(Database!O:O,Database!$E:$E,$C57,Database!$A:$A,$D$1)),-0.00001)</f>
        <v>-1.0000000000000001E-5</v>
      </c>
      <c r="N57" s="185">
        <f>IFERROR(IF($C57="",-0.00001,SUMIFS(Database!P:P,Database!$E:$E,$C57,Database!$A:$A,$D$1)),-0.00001)</f>
        <v>-1.0000000000000001E-5</v>
      </c>
      <c r="O57" s="185">
        <f>IFERROR(IF($C57="",-0.00001,SUMIFS(Database!Q:Q,Database!$E:$E,$C57,Database!$A:$A,$D$1)),-0.00001)</f>
        <v>-1.0000000000000001E-5</v>
      </c>
      <c r="P57" s="186">
        <f t="shared" si="3"/>
        <v>-1.0000000000000001E-5</v>
      </c>
      <c r="Q57" s="185">
        <f>IFERROR(IF($C57="",-0.00001,SUMIFS(Database!S:S,Database!$E:$E,$C57,Database!$A:$A,$D$1)),-0.00001)</f>
        <v>-1.0000000000000001E-5</v>
      </c>
      <c r="R57" s="185">
        <f>IFERROR(IF($C57="",-0.00001,SUMIFS(Database!T:T,Database!$E:$E,$C57,Database!$A:$A,$D$1)),-0.00001)</f>
        <v>-1.0000000000000001E-5</v>
      </c>
      <c r="S57" s="186">
        <f t="shared" si="4"/>
        <v>-1.0000000000000001E-5</v>
      </c>
      <c r="T57" s="185">
        <f>IFERROR(IF($C57="",-0.00001,SUMIFS(Database!V:V,Database!$E:$E,$C57,Database!$A:$A,$D$1)),-0.00001)</f>
        <v>-1.0000000000000001E-5</v>
      </c>
      <c r="U57" s="185">
        <f>IFERROR(IF($C57="",-0.00001,SUMIFS(Database!W:W,Database!$E:$E,$C57,Database!$A:$A,$D$1)),-0.00001)</f>
        <v>-1.0000000000000001E-5</v>
      </c>
      <c r="V57" s="186">
        <f t="shared" si="5"/>
        <v>-1.0000000000000001E-5</v>
      </c>
      <c r="W57" s="187"/>
      <c r="X57" s="187"/>
      <c r="Y57" s="187"/>
      <c r="Z57" s="187"/>
      <c r="AA57" s="187"/>
      <c r="AB57" s="187"/>
      <c r="AC57" s="187"/>
      <c r="AD57" s="187"/>
      <c r="AE57" s="187"/>
    </row>
    <row r="58" spans="1:31" x14ac:dyDescent="0.25">
      <c r="A58" s="187"/>
      <c r="B58" s="187" t="str">
        <f>IF($C58="","",MAX($B$4:$B57)+1)</f>
        <v/>
      </c>
      <c r="C58" s="145"/>
      <c r="D58" s="183" t="str">
        <f>IFERROR(VLOOKUP($C58,Rosters!$C$4:$M$239,INDEX(Lists!$N$5:$O$80,MATCH($C58,Lists!$N$5:$N$80,FALSE),2)),"")</f>
        <v/>
      </c>
      <c r="E58" s="185">
        <f>IF($C58="",-0.00001,COUNTIFS(Database!E:E,$C58,Database!A:A,$D$1))</f>
        <v>-1.0000000000000001E-5</v>
      </c>
      <c r="F58" s="185">
        <f>IFERROR(IF($C58="",-0.00001,SUMIFS(Database!H:H,Database!$E:$E,$C58,Database!$A:$A,$D$1)),-0.00001)</f>
        <v>-1.0000000000000001E-5</v>
      </c>
      <c r="G58" s="185">
        <f>IFERROR(IF($C58="",-0.00001,SUMIFS(Database!I:I,Database!$E:$E,$C58,Database!$A:$A,$D$1)),-0.00001)</f>
        <v>-1.0000000000000001E-5</v>
      </c>
      <c r="H58" s="185">
        <f>IFERROR(IF($C58="",-0.00001,SUMIFS(Database!J:J,Database!$E:$E,$C58,Database!$A:$A,$D$1)),-0.00001)</f>
        <v>-1.0000000000000001E-5</v>
      </c>
      <c r="I58" s="185">
        <f>IFERROR(IF($C58="",-0.00001,SUMIFS(Database!K:K,Database!$E:$E,$C58,Database!$A:$A,$D$1)),-0.00001)</f>
        <v>-1.0000000000000001E-5</v>
      </c>
      <c r="J58" s="185">
        <f>IFERROR(IF($C58="",-0.00001,SUMIFS(Database!L:L,Database!$E:$E,$C58,Database!$A:$A,$D$1)),-0.00001)</f>
        <v>-1.0000000000000001E-5</v>
      </c>
      <c r="K58" s="185">
        <f>IFERROR(IF($C58="",-0.00001,SUMIFS(Database!M:M,Database!$E:$E,$C58,Database!$A:$A,$D$1)),-0.00001)</f>
        <v>-1.0000000000000001E-5</v>
      </c>
      <c r="L58" s="185">
        <f>IFERROR(IF($C58="",-0.00001,SUMIFS(Database!N:N,Database!$E:$E,$C58,Database!$A:$A,$D$1)),-0.00001)</f>
        <v>-1.0000000000000001E-5</v>
      </c>
      <c r="M58" s="185">
        <f>IFERROR(IF($C58="",-0.00001,SUMIFS(Database!O:O,Database!$E:$E,$C58,Database!$A:$A,$D$1)),-0.00001)</f>
        <v>-1.0000000000000001E-5</v>
      </c>
      <c r="N58" s="185">
        <f>IFERROR(IF($C58="",-0.00001,SUMIFS(Database!P:P,Database!$E:$E,$C58,Database!$A:$A,$D$1)),-0.00001)</f>
        <v>-1.0000000000000001E-5</v>
      </c>
      <c r="O58" s="185">
        <f>IFERROR(IF($C58="",-0.00001,SUMIFS(Database!Q:Q,Database!$E:$E,$C58,Database!$A:$A,$D$1)),-0.00001)</f>
        <v>-1.0000000000000001E-5</v>
      </c>
      <c r="P58" s="186">
        <f t="shared" si="3"/>
        <v>-1.0000000000000001E-5</v>
      </c>
      <c r="Q58" s="185">
        <f>IFERROR(IF($C58="",-0.00001,SUMIFS(Database!S:S,Database!$E:$E,$C58,Database!$A:$A,$D$1)),-0.00001)</f>
        <v>-1.0000000000000001E-5</v>
      </c>
      <c r="R58" s="185">
        <f>IFERROR(IF($C58="",-0.00001,SUMIFS(Database!T:T,Database!$E:$E,$C58,Database!$A:$A,$D$1)),-0.00001)</f>
        <v>-1.0000000000000001E-5</v>
      </c>
      <c r="S58" s="186">
        <f t="shared" si="4"/>
        <v>-1.0000000000000001E-5</v>
      </c>
      <c r="T58" s="185">
        <f>IFERROR(IF($C58="",-0.00001,SUMIFS(Database!V:V,Database!$E:$E,$C58,Database!$A:$A,$D$1)),-0.00001)</f>
        <v>-1.0000000000000001E-5</v>
      </c>
      <c r="U58" s="185">
        <f>IFERROR(IF($C58="",-0.00001,SUMIFS(Database!W:W,Database!$E:$E,$C58,Database!$A:$A,$D$1)),-0.00001)</f>
        <v>-1.0000000000000001E-5</v>
      </c>
      <c r="V58" s="186">
        <f t="shared" si="5"/>
        <v>-1.0000000000000001E-5</v>
      </c>
      <c r="W58" s="187"/>
      <c r="X58" s="187"/>
      <c r="Y58" s="187"/>
      <c r="Z58" s="187"/>
      <c r="AA58" s="187"/>
      <c r="AB58" s="187"/>
      <c r="AC58" s="187"/>
      <c r="AD58" s="187"/>
      <c r="AE58" s="187"/>
    </row>
    <row r="59" spans="1:31" x14ac:dyDescent="0.25">
      <c r="A59" s="187"/>
      <c r="B59" s="187" t="str">
        <f>IF($C59="","",MAX($B$4:$B58)+1)</f>
        <v/>
      </c>
      <c r="C59" s="145"/>
      <c r="D59" s="183" t="str">
        <f>IFERROR(VLOOKUP($C59,Rosters!$C$4:$M$239,INDEX(Lists!$N$5:$O$80,MATCH($C59,Lists!$N$5:$N$80,FALSE),2)),"")</f>
        <v/>
      </c>
      <c r="E59" s="185">
        <f>IF($C59="",-0.00001,COUNTIFS(Database!E:E,$C59,Database!A:A,$D$1))</f>
        <v>-1.0000000000000001E-5</v>
      </c>
      <c r="F59" s="185">
        <f>IFERROR(IF($C59="",-0.00001,SUMIFS(Database!H:H,Database!$E:$E,$C59,Database!$A:$A,$D$1)),-0.00001)</f>
        <v>-1.0000000000000001E-5</v>
      </c>
      <c r="G59" s="185">
        <f>IFERROR(IF($C59="",-0.00001,SUMIFS(Database!I:I,Database!$E:$E,$C59,Database!$A:$A,$D$1)),-0.00001)</f>
        <v>-1.0000000000000001E-5</v>
      </c>
      <c r="H59" s="185">
        <f>IFERROR(IF($C59="",-0.00001,SUMIFS(Database!J:J,Database!$E:$E,$C59,Database!$A:$A,$D$1)),-0.00001)</f>
        <v>-1.0000000000000001E-5</v>
      </c>
      <c r="I59" s="185">
        <f>IFERROR(IF($C59="",-0.00001,SUMIFS(Database!K:K,Database!$E:$E,$C59,Database!$A:$A,$D$1)),-0.00001)</f>
        <v>-1.0000000000000001E-5</v>
      </c>
      <c r="J59" s="185">
        <f>IFERROR(IF($C59="",-0.00001,SUMIFS(Database!L:L,Database!$E:$E,$C59,Database!$A:$A,$D$1)),-0.00001)</f>
        <v>-1.0000000000000001E-5</v>
      </c>
      <c r="K59" s="185">
        <f>IFERROR(IF($C59="",-0.00001,SUMIFS(Database!M:M,Database!$E:$E,$C59,Database!$A:$A,$D$1)),-0.00001)</f>
        <v>-1.0000000000000001E-5</v>
      </c>
      <c r="L59" s="185">
        <f>IFERROR(IF($C59="",-0.00001,SUMIFS(Database!N:N,Database!$E:$E,$C59,Database!$A:$A,$D$1)),-0.00001)</f>
        <v>-1.0000000000000001E-5</v>
      </c>
      <c r="M59" s="185">
        <f>IFERROR(IF($C59="",-0.00001,SUMIFS(Database!O:O,Database!$E:$E,$C59,Database!$A:$A,$D$1)),-0.00001)</f>
        <v>-1.0000000000000001E-5</v>
      </c>
      <c r="N59" s="185">
        <f>IFERROR(IF($C59="",-0.00001,SUMIFS(Database!P:P,Database!$E:$E,$C59,Database!$A:$A,$D$1)),-0.00001)</f>
        <v>-1.0000000000000001E-5</v>
      </c>
      <c r="O59" s="185">
        <f>IFERROR(IF($C59="",-0.00001,SUMIFS(Database!Q:Q,Database!$E:$E,$C59,Database!$A:$A,$D$1)),-0.00001)</f>
        <v>-1.0000000000000001E-5</v>
      </c>
      <c r="P59" s="186">
        <f t="shared" si="3"/>
        <v>-1.0000000000000001E-5</v>
      </c>
      <c r="Q59" s="185">
        <f>IFERROR(IF($C59="",-0.00001,SUMIFS(Database!S:S,Database!$E:$E,$C59,Database!$A:$A,$D$1)),-0.00001)</f>
        <v>-1.0000000000000001E-5</v>
      </c>
      <c r="R59" s="185">
        <f>IFERROR(IF($C59="",-0.00001,SUMIFS(Database!T:T,Database!$E:$E,$C59,Database!$A:$A,$D$1)),-0.00001)</f>
        <v>-1.0000000000000001E-5</v>
      </c>
      <c r="S59" s="186">
        <f t="shared" si="4"/>
        <v>-1.0000000000000001E-5</v>
      </c>
      <c r="T59" s="185">
        <f>IFERROR(IF($C59="",-0.00001,SUMIFS(Database!V:V,Database!$E:$E,$C59,Database!$A:$A,$D$1)),-0.00001)</f>
        <v>-1.0000000000000001E-5</v>
      </c>
      <c r="U59" s="185">
        <f>IFERROR(IF($C59="",-0.00001,SUMIFS(Database!W:W,Database!$E:$E,$C59,Database!$A:$A,$D$1)),-0.00001)</f>
        <v>-1.0000000000000001E-5</v>
      </c>
      <c r="V59" s="186">
        <f t="shared" si="5"/>
        <v>-1.0000000000000001E-5</v>
      </c>
      <c r="W59" s="187"/>
      <c r="X59" s="187"/>
      <c r="Y59" s="187"/>
      <c r="Z59" s="187"/>
      <c r="AA59" s="187"/>
      <c r="AB59" s="187"/>
      <c r="AC59" s="187"/>
      <c r="AD59" s="187"/>
      <c r="AE59" s="187"/>
    </row>
    <row r="60" spans="1:31" x14ac:dyDescent="0.25">
      <c r="A60" s="187"/>
      <c r="B60" s="187" t="str">
        <f>IF($C60="","",MAX($B$4:$B59)+1)</f>
        <v/>
      </c>
      <c r="C60" s="145"/>
      <c r="D60" s="183" t="str">
        <f>IFERROR(VLOOKUP($C60,Rosters!$C$4:$M$239,INDEX(Lists!$N$5:$O$80,MATCH($C60,Lists!$N$5:$N$80,FALSE),2)),"")</f>
        <v/>
      </c>
      <c r="E60" s="185">
        <f>IF($C60="",-0.00001,COUNTIFS(Database!E:E,$C60,Database!A:A,$D$1))</f>
        <v>-1.0000000000000001E-5</v>
      </c>
      <c r="F60" s="185">
        <f>IFERROR(IF($C60="",-0.00001,SUMIFS(Database!H:H,Database!$E:$E,$C60,Database!$A:$A,$D$1)),-0.00001)</f>
        <v>-1.0000000000000001E-5</v>
      </c>
      <c r="G60" s="185">
        <f>IFERROR(IF($C60="",-0.00001,SUMIFS(Database!I:I,Database!$E:$E,$C60,Database!$A:$A,$D$1)),-0.00001)</f>
        <v>-1.0000000000000001E-5</v>
      </c>
      <c r="H60" s="185">
        <f>IFERROR(IF($C60="",-0.00001,SUMIFS(Database!J:J,Database!$E:$E,$C60,Database!$A:$A,$D$1)),-0.00001)</f>
        <v>-1.0000000000000001E-5</v>
      </c>
      <c r="I60" s="185">
        <f>IFERROR(IF($C60="",-0.00001,SUMIFS(Database!K:K,Database!$E:$E,$C60,Database!$A:$A,$D$1)),-0.00001)</f>
        <v>-1.0000000000000001E-5</v>
      </c>
      <c r="J60" s="185">
        <f>IFERROR(IF($C60="",-0.00001,SUMIFS(Database!L:L,Database!$E:$E,$C60,Database!$A:$A,$D$1)),-0.00001)</f>
        <v>-1.0000000000000001E-5</v>
      </c>
      <c r="K60" s="185">
        <f>IFERROR(IF($C60="",-0.00001,SUMIFS(Database!M:M,Database!$E:$E,$C60,Database!$A:$A,$D$1)),-0.00001)</f>
        <v>-1.0000000000000001E-5</v>
      </c>
      <c r="L60" s="185">
        <f>IFERROR(IF($C60="",-0.00001,SUMIFS(Database!N:N,Database!$E:$E,$C60,Database!$A:$A,$D$1)),-0.00001)</f>
        <v>-1.0000000000000001E-5</v>
      </c>
      <c r="M60" s="185">
        <f>IFERROR(IF($C60="",-0.00001,SUMIFS(Database!O:O,Database!$E:$E,$C60,Database!$A:$A,$D$1)),-0.00001)</f>
        <v>-1.0000000000000001E-5</v>
      </c>
      <c r="N60" s="185">
        <f>IFERROR(IF($C60="",-0.00001,SUMIFS(Database!P:P,Database!$E:$E,$C60,Database!$A:$A,$D$1)),-0.00001)</f>
        <v>-1.0000000000000001E-5</v>
      </c>
      <c r="O60" s="185">
        <f>IFERROR(IF($C60="",-0.00001,SUMIFS(Database!Q:Q,Database!$E:$E,$C60,Database!$A:$A,$D$1)),-0.00001)</f>
        <v>-1.0000000000000001E-5</v>
      </c>
      <c r="P60" s="186">
        <f t="shared" si="3"/>
        <v>-1.0000000000000001E-5</v>
      </c>
      <c r="Q60" s="185">
        <f>IFERROR(IF($C60="",-0.00001,SUMIFS(Database!S:S,Database!$E:$E,$C60,Database!$A:$A,$D$1)),-0.00001)</f>
        <v>-1.0000000000000001E-5</v>
      </c>
      <c r="R60" s="185">
        <f>IFERROR(IF($C60="",-0.00001,SUMIFS(Database!T:T,Database!$E:$E,$C60,Database!$A:$A,$D$1)),-0.00001)</f>
        <v>-1.0000000000000001E-5</v>
      </c>
      <c r="S60" s="186">
        <f t="shared" si="4"/>
        <v>-1.0000000000000001E-5</v>
      </c>
      <c r="T60" s="185">
        <f>IFERROR(IF($C60="",-0.00001,SUMIFS(Database!V:V,Database!$E:$E,$C60,Database!$A:$A,$D$1)),-0.00001)</f>
        <v>-1.0000000000000001E-5</v>
      </c>
      <c r="U60" s="185">
        <f>IFERROR(IF($C60="",-0.00001,SUMIFS(Database!W:W,Database!$E:$E,$C60,Database!$A:$A,$D$1)),-0.00001)</f>
        <v>-1.0000000000000001E-5</v>
      </c>
      <c r="V60" s="186">
        <f t="shared" si="5"/>
        <v>-1.0000000000000001E-5</v>
      </c>
      <c r="W60" s="187"/>
      <c r="X60" s="187"/>
      <c r="Y60" s="187"/>
      <c r="Z60" s="187"/>
      <c r="AA60" s="187"/>
      <c r="AB60" s="187"/>
      <c r="AC60" s="187"/>
      <c r="AD60" s="187"/>
      <c r="AE60" s="187"/>
    </row>
    <row r="61" spans="1:31" x14ac:dyDescent="0.25">
      <c r="A61" s="187"/>
      <c r="B61" s="187" t="str">
        <f>IF($C61="","",MAX($B$4:$B60)+1)</f>
        <v/>
      </c>
      <c r="C61" s="145"/>
      <c r="D61" s="183" t="str">
        <f>IFERROR(VLOOKUP($C61,Rosters!$C$4:$M$239,INDEX(Lists!$N$5:$O$80,MATCH($C61,Lists!$N$5:$N$80,FALSE),2)),"")</f>
        <v/>
      </c>
      <c r="E61" s="185">
        <f>IF($C61="",-0.00001,COUNTIFS(Database!E:E,$C61,Database!A:A,$D$1))</f>
        <v>-1.0000000000000001E-5</v>
      </c>
      <c r="F61" s="185">
        <f>IFERROR(IF($C61="",-0.00001,SUMIFS(Database!H:H,Database!$E:$E,$C61,Database!$A:$A,$D$1)),-0.00001)</f>
        <v>-1.0000000000000001E-5</v>
      </c>
      <c r="G61" s="185">
        <f>IFERROR(IF($C61="",-0.00001,SUMIFS(Database!I:I,Database!$E:$E,$C61,Database!$A:$A,$D$1)),-0.00001)</f>
        <v>-1.0000000000000001E-5</v>
      </c>
      <c r="H61" s="185">
        <f>IFERROR(IF($C61="",-0.00001,SUMIFS(Database!J:J,Database!$E:$E,$C61,Database!$A:$A,$D$1)),-0.00001)</f>
        <v>-1.0000000000000001E-5</v>
      </c>
      <c r="I61" s="185">
        <f>IFERROR(IF($C61="",-0.00001,SUMIFS(Database!K:K,Database!$E:$E,$C61,Database!$A:$A,$D$1)),-0.00001)</f>
        <v>-1.0000000000000001E-5</v>
      </c>
      <c r="J61" s="185">
        <f>IFERROR(IF($C61="",-0.00001,SUMIFS(Database!L:L,Database!$E:$E,$C61,Database!$A:$A,$D$1)),-0.00001)</f>
        <v>-1.0000000000000001E-5</v>
      </c>
      <c r="K61" s="185">
        <f>IFERROR(IF($C61="",-0.00001,SUMIFS(Database!M:M,Database!$E:$E,$C61,Database!$A:$A,$D$1)),-0.00001)</f>
        <v>-1.0000000000000001E-5</v>
      </c>
      <c r="L61" s="185">
        <f>IFERROR(IF($C61="",-0.00001,SUMIFS(Database!N:N,Database!$E:$E,$C61,Database!$A:$A,$D$1)),-0.00001)</f>
        <v>-1.0000000000000001E-5</v>
      </c>
      <c r="M61" s="185">
        <f>IFERROR(IF($C61="",-0.00001,SUMIFS(Database!O:O,Database!$E:$E,$C61,Database!$A:$A,$D$1)),-0.00001)</f>
        <v>-1.0000000000000001E-5</v>
      </c>
      <c r="N61" s="185">
        <f>IFERROR(IF($C61="",-0.00001,SUMIFS(Database!P:P,Database!$E:$E,$C61,Database!$A:$A,$D$1)),-0.00001)</f>
        <v>-1.0000000000000001E-5</v>
      </c>
      <c r="O61" s="185">
        <f>IFERROR(IF($C61="",-0.00001,SUMIFS(Database!Q:Q,Database!$E:$E,$C61,Database!$A:$A,$D$1)),-0.00001)</f>
        <v>-1.0000000000000001E-5</v>
      </c>
      <c r="P61" s="186">
        <f t="shared" si="3"/>
        <v>-1.0000000000000001E-5</v>
      </c>
      <c r="Q61" s="185">
        <f>IFERROR(IF($C61="",-0.00001,SUMIFS(Database!S:S,Database!$E:$E,$C61,Database!$A:$A,$D$1)),-0.00001)</f>
        <v>-1.0000000000000001E-5</v>
      </c>
      <c r="R61" s="185">
        <f>IFERROR(IF($C61="",-0.00001,SUMIFS(Database!T:T,Database!$E:$E,$C61,Database!$A:$A,$D$1)),-0.00001)</f>
        <v>-1.0000000000000001E-5</v>
      </c>
      <c r="S61" s="186">
        <f t="shared" si="4"/>
        <v>-1.0000000000000001E-5</v>
      </c>
      <c r="T61" s="185">
        <f>IFERROR(IF($C61="",-0.00001,SUMIFS(Database!V:V,Database!$E:$E,$C61,Database!$A:$A,$D$1)),-0.00001)</f>
        <v>-1.0000000000000001E-5</v>
      </c>
      <c r="U61" s="185">
        <f>IFERROR(IF($C61="",-0.00001,SUMIFS(Database!W:W,Database!$E:$E,$C61,Database!$A:$A,$D$1)),-0.00001)</f>
        <v>-1.0000000000000001E-5</v>
      </c>
      <c r="V61" s="186">
        <f t="shared" si="5"/>
        <v>-1.0000000000000001E-5</v>
      </c>
      <c r="W61" s="187"/>
      <c r="X61" s="187"/>
      <c r="Y61" s="187"/>
      <c r="Z61" s="187"/>
      <c r="AA61" s="187"/>
      <c r="AB61" s="187"/>
      <c r="AC61" s="187"/>
      <c r="AD61" s="187"/>
      <c r="AE61" s="187"/>
    </row>
    <row r="62" spans="1:31" x14ac:dyDescent="0.25">
      <c r="A62" s="187"/>
      <c r="B62" s="187" t="str">
        <f>IF($C62="","",MAX($B$4:$B61)+1)</f>
        <v/>
      </c>
      <c r="C62" s="145"/>
      <c r="D62" s="183" t="str">
        <f>IFERROR(VLOOKUP($C62,Rosters!$C$4:$M$239,INDEX(Lists!$N$5:$O$80,MATCH($C62,Lists!$N$5:$N$80,FALSE),2)),"")</f>
        <v/>
      </c>
      <c r="E62" s="185">
        <f>IF($C62="",-0.00001,COUNTIFS(Database!E:E,$C62,Database!A:A,$D$1))</f>
        <v>-1.0000000000000001E-5</v>
      </c>
      <c r="F62" s="185">
        <f>IFERROR(IF($C62="",-0.00001,SUMIFS(Database!H:H,Database!$E:$E,$C62,Database!$A:$A,$D$1)),-0.00001)</f>
        <v>-1.0000000000000001E-5</v>
      </c>
      <c r="G62" s="185">
        <f>IFERROR(IF($C62="",-0.00001,SUMIFS(Database!I:I,Database!$E:$E,$C62,Database!$A:$A,$D$1)),-0.00001)</f>
        <v>-1.0000000000000001E-5</v>
      </c>
      <c r="H62" s="185">
        <f>IFERROR(IF($C62="",-0.00001,SUMIFS(Database!J:J,Database!$E:$E,$C62,Database!$A:$A,$D$1)),-0.00001)</f>
        <v>-1.0000000000000001E-5</v>
      </c>
      <c r="I62" s="185">
        <f>IFERROR(IF($C62="",-0.00001,SUMIFS(Database!K:K,Database!$E:$E,$C62,Database!$A:$A,$D$1)),-0.00001)</f>
        <v>-1.0000000000000001E-5</v>
      </c>
      <c r="J62" s="185">
        <f>IFERROR(IF($C62="",-0.00001,SUMIFS(Database!L:L,Database!$E:$E,$C62,Database!$A:$A,$D$1)),-0.00001)</f>
        <v>-1.0000000000000001E-5</v>
      </c>
      <c r="K62" s="185">
        <f>IFERROR(IF($C62="",-0.00001,SUMIFS(Database!M:M,Database!$E:$E,$C62,Database!$A:$A,$D$1)),-0.00001)</f>
        <v>-1.0000000000000001E-5</v>
      </c>
      <c r="L62" s="185">
        <f>IFERROR(IF($C62="",-0.00001,SUMIFS(Database!N:N,Database!$E:$E,$C62,Database!$A:$A,$D$1)),-0.00001)</f>
        <v>-1.0000000000000001E-5</v>
      </c>
      <c r="M62" s="185">
        <f>IFERROR(IF($C62="",-0.00001,SUMIFS(Database!O:O,Database!$E:$E,$C62,Database!$A:$A,$D$1)),-0.00001)</f>
        <v>-1.0000000000000001E-5</v>
      </c>
      <c r="N62" s="185">
        <f>IFERROR(IF($C62="",-0.00001,SUMIFS(Database!P:P,Database!$E:$E,$C62,Database!$A:$A,$D$1)),-0.00001)</f>
        <v>-1.0000000000000001E-5</v>
      </c>
      <c r="O62" s="185">
        <f>IFERROR(IF($C62="",-0.00001,SUMIFS(Database!Q:Q,Database!$E:$E,$C62,Database!$A:$A,$D$1)),-0.00001)</f>
        <v>-1.0000000000000001E-5</v>
      </c>
      <c r="P62" s="186">
        <f t="shared" si="3"/>
        <v>-1.0000000000000001E-5</v>
      </c>
      <c r="Q62" s="185">
        <f>IFERROR(IF($C62="",-0.00001,SUMIFS(Database!S:S,Database!$E:$E,$C62,Database!$A:$A,$D$1)),-0.00001)</f>
        <v>-1.0000000000000001E-5</v>
      </c>
      <c r="R62" s="185">
        <f>IFERROR(IF($C62="",-0.00001,SUMIFS(Database!T:T,Database!$E:$E,$C62,Database!$A:$A,$D$1)),-0.00001)</f>
        <v>-1.0000000000000001E-5</v>
      </c>
      <c r="S62" s="186">
        <f t="shared" si="4"/>
        <v>-1.0000000000000001E-5</v>
      </c>
      <c r="T62" s="185">
        <f>IFERROR(IF($C62="",-0.00001,SUMIFS(Database!V:V,Database!$E:$E,$C62,Database!$A:$A,$D$1)),-0.00001)</f>
        <v>-1.0000000000000001E-5</v>
      </c>
      <c r="U62" s="185">
        <f>IFERROR(IF($C62="",-0.00001,SUMIFS(Database!W:W,Database!$E:$E,$C62,Database!$A:$A,$D$1)),-0.00001)</f>
        <v>-1.0000000000000001E-5</v>
      </c>
      <c r="V62" s="186">
        <f t="shared" si="5"/>
        <v>-1.0000000000000001E-5</v>
      </c>
      <c r="W62" s="187"/>
      <c r="X62" s="187"/>
      <c r="Y62" s="187"/>
      <c r="Z62" s="187"/>
      <c r="AA62" s="187"/>
      <c r="AB62" s="187"/>
      <c r="AC62" s="187"/>
      <c r="AD62" s="187"/>
      <c r="AE62" s="187"/>
    </row>
    <row r="63" spans="1:31" x14ac:dyDescent="0.25">
      <c r="A63" s="187"/>
      <c r="B63" s="187" t="str">
        <f>IF($C63="","",MAX($B$4:$B62)+1)</f>
        <v/>
      </c>
      <c r="C63" s="145"/>
      <c r="D63" s="183" t="str">
        <f>IFERROR(VLOOKUP($C63,Rosters!$C$4:$M$239,INDEX(Lists!$N$5:$O$80,MATCH($C63,Lists!$N$5:$N$80,FALSE),2)),"")</f>
        <v/>
      </c>
      <c r="E63" s="185">
        <f>IF($C63="",-0.00001,COUNTIFS(Database!E:E,$C63,Database!A:A,$D$1))</f>
        <v>-1.0000000000000001E-5</v>
      </c>
      <c r="F63" s="185">
        <f>IFERROR(IF($C63="",-0.00001,SUMIFS(Database!H:H,Database!$E:$E,$C63,Database!$A:$A,$D$1)),-0.00001)</f>
        <v>-1.0000000000000001E-5</v>
      </c>
      <c r="G63" s="185">
        <f>IFERROR(IF($C63="",-0.00001,SUMIFS(Database!I:I,Database!$E:$E,$C63,Database!$A:$A,$D$1)),-0.00001)</f>
        <v>-1.0000000000000001E-5</v>
      </c>
      <c r="H63" s="185">
        <f>IFERROR(IF($C63="",-0.00001,SUMIFS(Database!J:J,Database!$E:$E,$C63,Database!$A:$A,$D$1)),-0.00001)</f>
        <v>-1.0000000000000001E-5</v>
      </c>
      <c r="I63" s="185">
        <f>IFERROR(IF($C63="",-0.00001,SUMIFS(Database!K:K,Database!$E:$E,$C63,Database!$A:$A,$D$1)),-0.00001)</f>
        <v>-1.0000000000000001E-5</v>
      </c>
      <c r="J63" s="185">
        <f>IFERROR(IF($C63="",-0.00001,SUMIFS(Database!L:L,Database!$E:$E,$C63,Database!$A:$A,$D$1)),-0.00001)</f>
        <v>-1.0000000000000001E-5</v>
      </c>
      <c r="K63" s="185">
        <f>IFERROR(IF($C63="",-0.00001,SUMIFS(Database!M:M,Database!$E:$E,$C63,Database!$A:$A,$D$1)),-0.00001)</f>
        <v>-1.0000000000000001E-5</v>
      </c>
      <c r="L63" s="185">
        <f>IFERROR(IF($C63="",-0.00001,SUMIFS(Database!N:N,Database!$E:$E,$C63,Database!$A:$A,$D$1)),-0.00001)</f>
        <v>-1.0000000000000001E-5</v>
      </c>
      <c r="M63" s="185">
        <f>IFERROR(IF($C63="",-0.00001,SUMIFS(Database!O:O,Database!$E:$E,$C63,Database!$A:$A,$D$1)),-0.00001)</f>
        <v>-1.0000000000000001E-5</v>
      </c>
      <c r="N63" s="185">
        <f>IFERROR(IF($C63="",-0.00001,SUMIFS(Database!P:P,Database!$E:$E,$C63,Database!$A:$A,$D$1)),-0.00001)</f>
        <v>-1.0000000000000001E-5</v>
      </c>
      <c r="O63" s="185">
        <f>IFERROR(IF($C63="",-0.00001,SUMIFS(Database!Q:Q,Database!$E:$E,$C63,Database!$A:$A,$D$1)),-0.00001)</f>
        <v>-1.0000000000000001E-5</v>
      </c>
      <c r="P63" s="186">
        <f t="shared" si="3"/>
        <v>-1.0000000000000001E-5</v>
      </c>
      <c r="Q63" s="185">
        <f>IFERROR(IF($C63="",-0.00001,SUMIFS(Database!S:S,Database!$E:$E,$C63,Database!$A:$A,$D$1)),-0.00001)</f>
        <v>-1.0000000000000001E-5</v>
      </c>
      <c r="R63" s="185">
        <f>IFERROR(IF($C63="",-0.00001,SUMIFS(Database!T:T,Database!$E:$E,$C63,Database!$A:$A,$D$1)),-0.00001)</f>
        <v>-1.0000000000000001E-5</v>
      </c>
      <c r="S63" s="186">
        <f t="shared" si="4"/>
        <v>-1.0000000000000001E-5</v>
      </c>
      <c r="T63" s="185">
        <f>IFERROR(IF($C63="",-0.00001,SUMIFS(Database!V:V,Database!$E:$E,$C63,Database!$A:$A,$D$1)),-0.00001)</f>
        <v>-1.0000000000000001E-5</v>
      </c>
      <c r="U63" s="185">
        <f>IFERROR(IF($C63="",-0.00001,SUMIFS(Database!W:W,Database!$E:$E,$C63,Database!$A:$A,$D$1)),-0.00001)</f>
        <v>-1.0000000000000001E-5</v>
      </c>
      <c r="V63" s="186">
        <f t="shared" si="5"/>
        <v>-1.0000000000000001E-5</v>
      </c>
      <c r="W63" s="187"/>
      <c r="X63" s="187"/>
      <c r="Y63" s="187"/>
      <c r="Z63" s="187"/>
      <c r="AA63" s="187"/>
      <c r="AB63" s="187"/>
      <c r="AC63" s="187"/>
      <c r="AD63" s="187"/>
      <c r="AE63" s="187"/>
    </row>
    <row r="64" spans="1:31" x14ac:dyDescent="0.25">
      <c r="A64" s="187"/>
      <c r="B64" s="187" t="str">
        <f>IF($C64="","",MAX($B$4:$B63)+1)</f>
        <v/>
      </c>
      <c r="C64" s="145"/>
      <c r="D64" s="183" t="str">
        <f>IFERROR(VLOOKUP($C64,Rosters!$C$4:$M$239,INDEX(Lists!$N$5:$O$80,MATCH($C64,Lists!$N$5:$N$80,FALSE),2)),"")</f>
        <v/>
      </c>
      <c r="E64" s="185">
        <f>IF($C64="",-0.00001,COUNTIFS(Database!E:E,$C64,Database!A:A,$D$1))</f>
        <v>-1.0000000000000001E-5</v>
      </c>
      <c r="F64" s="185">
        <f>IFERROR(IF($C64="",-0.00001,SUMIFS(Database!H:H,Database!$E:$E,$C64,Database!$A:$A,$D$1)),-0.00001)</f>
        <v>-1.0000000000000001E-5</v>
      </c>
      <c r="G64" s="185">
        <f>IFERROR(IF($C64="",-0.00001,SUMIFS(Database!I:I,Database!$E:$E,$C64,Database!$A:$A,$D$1)),-0.00001)</f>
        <v>-1.0000000000000001E-5</v>
      </c>
      <c r="H64" s="185">
        <f>IFERROR(IF($C64="",-0.00001,SUMIFS(Database!J:J,Database!$E:$E,$C64,Database!$A:$A,$D$1)),-0.00001)</f>
        <v>-1.0000000000000001E-5</v>
      </c>
      <c r="I64" s="185">
        <f>IFERROR(IF($C64="",-0.00001,SUMIFS(Database!K:K,Database!$E:$E,$C64,Database!$A:$A,$D$1)),-0.00001)</f>
        <v>-1.0000000000000001E-5</v>
      </c>
      <c r="J64" s="185">
        <f>IFERROR(IF($C64="",-0.00001,SUMIFS(Database!L:L,Database!$E:$E,$C64,Database!$A:$A,$D$1)),-0.00001)</f>
        <v>-1.0000000000000001E-5</v>
      </c>
      <c r="K64" s="185">
        <f>IFERROR(IF($C64="",-0.00001,SUMIFS(Database!M:M,Database!$E:$E,$C64,Database!$A:$A,$D$1)),-0.00001)</f>
        <v>-1.0000000000000001E-5</v>
      </c>
      <c r="L64" s="185">
        <f>IFERROR(IF($C64="",-0.00001,SUMIFS(Database!N:N,Database!$E:$E,$C64,Database!$A:$A,$D$1)),-0.00001)</f>
        <v>-1.0000000000000001E-5</v>
      </c>
      <c r="M64" s="185">
        <f>IFERROR(IF($C64="",-0.00001,SUMIFS(Database!O:O,Database!$E:$E,$C64,Database!$A:$A,$D$1)),-0.00001)</f>
        <v>-1.0000000000000001E-5</v>
      </c>
      <c r="N64" s="185">
        <f>IFERROR(IF($C64="",-0.00001,SUMIFS(Database!P:P,Database!$E:$E,$C64,Database!$A:$A,$D$1)),-0.00001)</f>
        <v>-1.0000000000000001E-5</v>
      </c>
      <c r="O64" s="185">
        <f>IFERROR(IF($C64="",-0.00001,SUMIFS(Database!Q:Q,Database!$E:$E,$C64,Database!$A:$A,$D$1)),-0.00001)</f>
        <v>-1.0000000000000001E-5</v>
      </c>
      <c r="P64" s="186">
        <f t="shared" si="3"/>
        <v>-1.0000000000000001E-5</v>
      </c>
      <c r="Q64" s="185">
        <f>IFERROR(IF($C64="",-0.00001,SUMIFS(Database!S:S,Database!$E:$E,$C64,Database!$A:$A,$D$1)),-0.00001)</f>
        <v>-1.0000000000000001E-5</v>
      </c>
      <c r="R64" s="185">
        <f>IFERROR(IF($C64="",-0.00001,SUMIFS(Database!T:T,Database!$E:$E,$C64,Database!$A:$A,$D$1)),-0.00001)</f>
        <v>-1.0000000000000001E-5</v>
      </c>
      <c r="S64" s="186">
        <f t="shared" si="4"/>
        <v>-1.0000000000000001E-5</v>
      </c>
      <c r="T64" s="185">
        <f>IFERROR(IF($C64="",-0.00001,SUMIFS(Database!V:V,Database!$E:$E,$C64,Database!$A:$A,$D$1)),-0.00001)</f>
        <v>-1.0000000000000001E-5</v>
      </c>
      <c r="U64" s="185">
        <f>IFERROR(IF($C64="",-0.00001,SUMIFS(Database!W:W,Database!$E:$E,$C64,Database!$A:$A,$D$1)),-0.00001)</f>
        <v>-1.0000000000000001E-5</v>
      </c>
      <c r="V64" s="186">
        <f t="shared" si="5"/>
        <v>-1.0000000000000001E-5</v>
      </c>
      <c r="W64" s="187"/>
      <c r="X64" s="187"/>
      <c r="Y64" s="187"/>
      <c r="Z64" s="187"/>
      <c r="AA64" s="187"/>
      <c r="AB64" s="187"/>
      <c r="AC64" s="187"/>
      <c r="AD64" s="187"/>
      <c r="AE64" s="187"/>
    </row>
    <row r="65" spans="1:31" x14ac:dyDescent="0.25">
      <c r="A65" s="187"/>
      <c r="B65" s="187" t="str">
        <f>IF($C65="","",MAX($B$4:$B64)+1)</f>
        <v/>
      </c>
      <c r="C65" s="145"/>
      <c r="D65" s="183" t="str">
        <f>IFERROR(VLOOKUP($C65,Rosters!$C$4:$M$239,INDEX(Lists!$N$5:$O$80,MATCH($C65,Lists!$N$5:$N$80,FALSE),2)),"")</f>
        <v/>
      </c>
      <c r="E65" s="185">
        <f>IF($C65="",-0.00001,COUNTIFS(Database!E:E,$C65,Database!A:A,$D$1))</f>
        <v>-1.0000000000000001E-5</v>
      </c>
      <c r="F65" s="185">
        <f>IFERROR(IF($C65="",-0.00001,SUMIFS(Database!H:H,Database!$E:$E,$C65,Database!$A:$A,$D$1)),-0.00001)</f>
        <v>-1.0000000000000001E-5</v>
      </c>
      <c r="G65" s="185">
        <f>IFERROR(IF($C65="",-0.00001,SUMIFS(Database!I:I,Database!$E:$E,$C65,Database!$A:$A,$D$1)),-0.00001)</f>
        <v>-1.0000000000000001E-5</v>
      </c>
      <c r="H65" s="185">
        <f>IFERROR(IF($C65="",-0.00001,SUMIFS(Database!J:J,Database!$E:$E,$C65,Database!$A:$A,$D$1)),-0.00001)</f>
        <v>-1.0000000000000001E-5</v>
      </c>
      <c r="I65" s="185">
        <f>IFERROR(IF($C65="",-0.00001,SUMIFS(Database!K:K,Database!$E:$E,$C65,Database!$A:$A,$D$1)),-0.00001)</f>
        <v>-1.0000000000000001E-5</v>
      </c>
      <c r="J65" s="185">
        <f>IFERROR(IF($C65="",-0.00001,SUMIFS(Database!L:L,Database!$E:$E,$C65,Database!$A:$A,$D$1)),-0.00001)</f>
        <v>-1.0000000000000001E-5</v>
      </c>
      <c r="K65" s="185">
        <f>IFERROR(IF($C65="",-0.00001,SUMIFS(Database!M:M,Database!$E:$E,$C65,Database!$A:$A,$D$1)),-0.00001)</f>
        <v>-1.0000000000000001E-5</v>
      </c>
      <c r="L65" s="185">
        <f>IFERROR(IF($C65="",-0.00001,SUMIFS(Database!N:N,Database!$E:$E,$C65,Database!$A:$A,$D$1)),-0.00001)</f>
        <v>-1.0000000000000001E-5</v>
      </c>
      <c r="M65" s="185">
        <f>IFERROR(IF($C65="",-0.00001,SUMIFS(Database!O:O,Database!$E:$E,$C65,Database!$A:$A,$D$1)),-0.00001)</f>
        <v>-1.0000000000000001E-5</v>
      </c>
      <c r="N65" s="185">
        <f>IFERROR(IF($C65="",-0.00001,SUMIFS(Database!P:P,Database!$E:$E,$C65,Database!$A:$A,$D$1)),-0.00001)</f>
        <v>-1.0000000000000001E-5</v>
      </c>
      <c r="O65" s="185">
        <f>IFERROR(IF($C65="",-0.00001,SUMIFS(Database!Q:Q,Database!$E:$E,$C65,Database!$A:$A,$D$1)),-0.00001)</f>
        <v>-1.0000000000000001E-5</v>
      </c>
      <c r="P65" s="186">
        <f t="shared" si="3"/>
        <v>-1.0000000000000001E-5</v>
      </c>
      <c r="Q65" s="185">
        <f>IFERROR(IF($C65="",-0.00001,SUMIFS(Database!S:S,Database!$E:$E,$C65,Database!$A:$A,$D$1)),-0.00001)</f>
        <v>-1.0000000000000001E-5</v>
      </c>
      <c r="R65" s="185">
        <f>IFERROR(IF($C65="",-0.00001,SUMIFS(Database!T:T,Database!$E:$E,$C65,Database!$A:$A,$D$1)),-0.00001)</f>
        <v>-1.0000000000000001E-5</v>
      </c>
      <c r="S65" s="186">
        <f t="shared" si="4"/>
        <v>-1.0000000000000001E-5</v>
      </c>
      <c r="T65" s="185">
        <f>IFERROR(IF($C65="",-0.00001,SUMIFS(Database!V:V,Database!$E:$E,$C65,Database!$A:$A,$D$1)),-0.00001)</f>
        <v>-1.0000000000000001E-5</v>
      </c>
      <c r="U65" s="185">
        <f>IFERROR(IF($C65="",-0.00001,SUMIFS(Database!W:W,Database!$E:$E,$C65,Database!$A:$A,$D$1)),-0.00001)</f>
        <v>-1.0000000000000001E-5</v>
      </c>
      <c r="V65" s="186">
        <f t="shared" si="5"/>
        <v>-1.0000000000000001E-5</v>
      </c>
      <c r="W65" s="187"/>
      <c r="X65" s="187"/>
      <c r="Y65" s="187"/>
      <c r="Z65" s="187"/>
      <c r="AA65" s="187"/>
      <c r="AB65" s="187"/>
      <c r="AC65" s="187"/>
      <c r="AD65" s="187"/>
      <c r="AE65" s="187"/>
    </row>
    <row r="66" spans="1:31" x14ac:dyDescent="0.25">
      <c r="A66" s="187"/>
      <c r="B66" s="187" t="str">
        <f>IF($C66="","",MAX($B$4:$B65)+1)</f>
        <v/>
      </c>
      <c r="C66" s="145"/>
      <c r="D66" s="183" t="str">
        <f>IFERROR(VLOOKUP($C66,Rosters!$C$4:$M$239,INDEX(Lists!$N$5:$O$80,MATCH($C66,Lists!$N$5:$N$80,FALSE),2)),"")</f>
        <v/>
      </c>
      <c r="E66" s="185">
        <f>IF($C66="",-0.00001,COUNTIFS(Database!E:E,$C66,Database!A:A,$D$1))</f>
        <v>-1.0000000000000001E-5</v>
      </c>
      <c r="F66" s="185">
        <f>IFERROR(IF($C66="",-0.00001,SUMIFS(Database!H:H,Database!$E:$E,$C66,Database!$A:$A,$D$1)),-0.00001)</f>
        <v>-1.0000000000000001E-5</v>
      </c>
      <c r="G66" s="185">
        <f>IFERROR(IF($C66="",-0.00001,SUMIFS(Database!I:I,Database!$E:$E,$C66,Database!$A:$A,$D$1)),-0.00001)</f>
        <v>-1.0000000000000001E-5</v>
      </c>
      <c r="H66" s="185">
        <f>IFERROR(IF($C66="",-0.00001,SUMIFS(Database!J:J,Database!$E:$E,$C66,Database!$A:$A,$D$1)),-0.00001)</f>
        <v>-1.0000000000000001E-5</v>
      </c>
      <c r="I66" s="185">
        <f>IFERROR(IF($C66="",-0.00001,SUMIFS(Database!K:K,Database!$E:$E,$C66,Database!$A:$A,$D$1)),-0.00001)</f>
        <v>-1.0000000000000001E-5</v>
      </c>
      <c r="J66" s="185">
        <f>IFERROR(IF($C66="",-0.00001,SUMIFS(Database!L:L,Database!$E:$E,$C66,Database!$A:$A,$D$1)),-0.00001)</f>
        <v>-1.0000000000000001E-5</v>
      </c>
      <c r="K66" s="185">
        <f>IFERROR(IF($C66="",-0.00001,SUMIFS(Database!M:M,Database!$E:$E,$C66,Database!$A:$A,$D$1)),-0.00001)</f>
        <v>-1.0000000000000001E-5</v>
      </c>
      <c r="L66" s="185">
        <f>IFERROR(IF($C66="",-0.00001,SUMIFS(Database!N:N,Database!$E:$E,$C66,Database!$A:$A,$D$1)),-0.00001)</f>
        <v>-1.0000000000000001E-5</v>
      </c>
      <c r="M66" s="185">
        <f>IFERROR(IF($C66="",-0.00001,SUMIFS(Database!O:O,Database!$E:$E,$C66,Database!$A:$A,$D$1)),-0.00001)</f>
        <v>-1.0000000000000001E-5</v>
      </c>
      <c r="N66" s="185">
        <f>IFERROR(IF($C66="",-0.00001,SUMIFS(Database!P:P,Database!$E:$E,$C66,Database!$A:$A,$D$1)),-0.00001)</f>
        <v>-1.0000000000000001E-5</v>
      </c>
      <c r="O66" s="185">
        <f>IFERROR(IF($C66="",-0.00001,SUMIFS(Database!Q:Q,Database!$E:$E,$C66,Database!$A:$A,$D$1)),-0.00001)</f>
        <v>-1.0000000000000001E-5</v>
      </c>
      <c r="P66" s="186">
        <f t="shared" si="3"/>
        <v>-1.0000000000000001E-5</v>
      </c>
      <c r="Q66" s="185">
        <f>IFERROR(IF($C66="",-0.00001,SUMIFS(Database!S:S,Database!$E:$E,$C66,Database!$A:$A,$D$1)),-0.00001)</f>
        <v>-1.0000000000000001E-5</v>
      </c>
      <c r="R66" s="185">
        <f>IFERROR(IF($C66="",-0.00001,SUMIFS(Database!T:T,Database!$E:$E,$C66,Database!$A:$A,$D$1)),-0.00001)</f>
        <v>-1.0000000000000001E-5</v>
      </c>
      <c r="S66" s="186">
        <f t="shared" si="4"/>
        <v>-1.0000000000000001E-5</v>
      </c>
      <c r="T66" s="185">
        <f>IFERROR(IF($C66="",-0.00001,SUMIFS(Database!V:V,Database!$E:$E,$C66,Database!$A:$A,$D$1)),-0.00001)</f>
        <v>-1.0000000000000001E-5</v>
      </c>
      <c r="U66" s="185">
        <f>IFERROR(IF($C66="",-0.00001,SUMIFS(Database!W:W,Database!$E:$E,$C66,Database!$A:$A,$D$1)),-0.00001)</f>
        <v>-1.0000000000000001E-5</v>
      </c>
      <c r="V66" s="186">
        <f t="shared" si="5"/>
        <v>-1.0000000000000001E-5</v>
      </c>
      <c r="W66" s="187"/>
      <c r="X66" s="187"/>
      <c r="Y66" s="187"/>
      <c r="Z66" s="187"/>
      <c r="AA66" s="187"/>
      <c r="AB66" s="187"/>
      <c r="AC66" s="187"/>
      <c r="AD66" s="187"/>
      <c r="AE66" s="187"/>
    </row>
    <row r="67" spans="1:31" x14ac:dyDescent="0.25">
      <c r="A67" s="187"/>
      <c r="B67" s="187" t="str">
        <f>IF($C67="","",MAX($B$4:$B66)+1)</f>
        <v/>
      </c>
      <c r="C67" s="145"/>
      <c r="D67" s="183" t="str">
        <f>IFERROR(VLOOKUP($C67,Rosters!$C$4:$M$239,INDEX(Lists!$N$5:$O$80,MATCH($C67,Lists!$N$5:$N$80,FALSE),2)),"")</f>
        <v/>
      </c>
      <c r="E67" s="185">
        <f>IF($C67="",-0.00001,COUNTIFS(Database!E:E,$C67,Database!A:A,$D$1))</f>
        <v>-1.0000000000000001E-5</v>
      </c>
      <c r="F67" s="185">
        <f>IFERROR(IF($C67="",-0.00001,SUMIFS(Database!H:H,Database!$E:$E,$C67,Database!$A:$A,$D$1)),-0.00001)</f>
        <v>-1.0000000000000001E-5</v>
      </c>
      <c r="G67" s="185">
        <f>IFERROR(IF($C67="",-0.00001,SUMIFS(Database!I:I,Database!$E:$E,$C67,Database!$A:$A,$D$1)),-0.00001)</f>
        <v>-1.0000000000000001E-5</v>
      </c>
      <c r="H67" s="185">
        <f>IFERROR(IF($C67="",-0.00001,SUMIFS(Database!J:J,Database!$E:$E,$C67,Database!$A:$A,$D$1)),-0.00001)</f>
        <v>-1.0000000000000001E-5</v>
      </c>
      <c r="I67" s="185">
        <f>IFERROR(IF($C67="",-0.00001,SUMIFS(Database!K:K,Database!$E:$E,$C67,Database!$A:$A,$D$1)),-0.00001)</f>
        <v>-1.0000000000000001E-5</v>
      </c>
      <c r="J67" s="185">
        <f>IFERROR(IF($C67="",-0.00001,SUMIFS(Database!L:L,Database!$E:$E,$C67,Database!$A:$A,$D$1)),-0.00001)</f>
        <v>-1.0000000000000001E-5</v>
      </c>
      <c r="K67" s="185">
        <f>IFERROR(IF($C67="",-0.00001,SUMIFS(Database!M:M,Database!$E:$E,$C67,Database!$A:$A,$D$1)),-0.00001)</f>
        <v>-1.0000000000000001E-5</v>
      </c>
      <c r="L67" s="185">
        <f>IFERROR(IF($C67="",-0.00001,SUMIFS(Database!N:N,Database!$E:$E,$C67,Database!$A:$A,$D$1)),-0.00001)</f>
        <v>-1.0000000000000001E-5</v>
      </c>
      <c r="M67" s="185">
        <f>IFERROR(IF($C67="",-0.00001,SUMIFS(Database!O:O,Database!$E:$E,$C67,Database!$A:$A,$D$1)),-0.00001)</f>
        <v>-1.0000000000000001E-5</v>
      </c>
      <c r="N67" s="185">
        <f>IFERROR(IF($C67="",-0.00001,SUMIFS(Database!P:P,Database!$E:$E,$C67,Database!$A:$A,$D$1)),-0.00001)</f>
        <v>-1.0000000000000001E-5</v>
      </c>
      <c r="O67" s="185">
        <f>IFERROR(IF($C67="",-0.00001,SUMIFS(Database!Q:Q,Database!$E:$E,$C67,Database!$A:$A,$D$1)),-0.00001)</f>
        <v>-1.0000000000000001E-5</v>
      </c>
      <c r="P67" s="186">
        <f t="shared" si="3"/>
        <v>-1.0000000000000001E-5</v>
      </c>
      <c r="Q67" s="185">
        <f>IFERROR(IF($C67="",-0.00001,SUMIFS(Database!S:S,Database!$E:$E,$C67,Database!$A:$A,$D$1)),-0.00001)</f>
        <v>-1.0000000000000001E-5</v>
      </c>
      <c r="R67" s="185">
        <f>IFERROR(IF($C67="",-0.00001,SUMIFS(Database!T:T,Database!$E:$E,$C67,Database!$A:$A,$D$1)),-0.00001)</f>
        <v>-1.0000000000000001E-5</v>
      </c>
      <c r="S67" s="186">
        <f t="shared" si="4"/>
        <v>-1.0000000000000001E-5</v>
      </c>
      <c r="T67" s="185">
        <f>IFERROR(IF($C67="",-0.00001,SUMIFS(Database!V:V,Database!$E:$E,$C67,Database!$A:$A,$D$1)),-0.00001)</f>
        <v>-1.0000000000000001E-5</v>
      </c>
      <c r="U67" s="185">
        <f>IFERROR(IF($C67="",-0.00001,SUMIFS(Database!W:W,Database!$E:$E,$C67,Database!$A:$A,$D$1)),-0.00001)</f>
        <v>-1.0000000000000001E-5</v>
      </c>
      <c r="V67" s="186">
        <f t="shared" si="5"/>
        <v>-1.0000000000000001E-5</v>
      </c>
      <c r="W67" s="187"/>
      <c r="X67" s="187"/>
      <c r="Y67" s="187"/>
      <c r="Z67" s="187"/>
      <c r="AA67" s="187"/>
      <c r="AB67" s="187"/>
      <c r="AC67" s="187"/>
      <c r="AD67" s="187"/>
      <c r="AE67" s="187"/>
    </row>
    <row r="68" spans="1:31" x14ac:dyDescent="0.25">
      <c r="A68" s="187"/>
      <c r="B68" s="187" t="str">
        <f>IF($C68="","",MAX($B$4:$B67)+1)</f>
        <v/>
      </c>
      <c r="C68" s="145"/>
      <c r="D68" s="183" t="str">
        <f>IFERROR(VLOOKUP($C68,Rosters!$C$4:$M$239,INDEX(Lists!$N$5:$O$80,MATCH($C68,Lists!$N$5:$N$80,FALSE),2)),"")</f>
        <v/>
      </c>
      <c r="E68" s="185">
        <f>IF($C68="",-0.00001,COUNTIFS(Database!E:E,$C68,Database!A:A,$D$1))</f>
        <v>-1.0000000000000001E-5</v>
      </c>
      <c r="F68" s="185">
        <f>IFERROR(IF($C68="",-0.00001,SUMIFS(Database!H:H,Database!$E:$E,$C68,Database!$A:$A,$D$1)),-0.00001)</f>
        <v>-1.0000000000000001E-5</v>
      </c>
      <c r="G68" s="185">
        <f>IFERROR(IF($C68="",-0.00001,SUMIFS(Database!I:I,Database!$E:$E,$C68,Database!$A:$A,$D$1)),-0.00001)</f>
        <v>-1.0000000000000001E-5</v>
      </c>
      <c r="H68" s="185">
        <f>IFERROR(IF($C68="",-0.00001,SUMIFS(Database!J:J,Database!$E:$E,$C68,Database!$A:$A,$D$1)),-0.00001)</f>
        <v>-1.0000000000000001E-5</v>
      </c>
      <c r="I68" s="185">
        <f>IFERROR(IF($C68="",-0.00001,SUMIFS(Database!K:K,Database!$E:$E,$C68,Database!$A:$A,$D$1)),-0.00001)</f>
        <v>-1.0000000000000001E-5</v>
      </c>
      <c r="J68" s="185">
        <f>IFERROR(IF($C68="",-0.00001,SUMIFS(Database!L:L,Database!$E:$E,$C68,Database!$A:$A,$D$1)),-0.00001)</f>
        <v>-1.0000000000000001E-5</v>
      </c>
      <c r="K68" s="185">
        <f>IFERROR(IF($C68="",-0.00001,SUMIFS(Database!M:M,Database!$E:$E,$C68,Database!$A:$A,$D$1)),-0.00001)</f>
        <v>-1.0000000000000001E-5</v>
      </c>
      <c r="L68" s="185">
        <f>IFERROR(IF($C68="",-0.00001,SUMIFS(Database!N:N,Database!$E:$E,$C68,Database!$A:$A,$D$1)),-0.00001)</f>
        <v>-1.0000000000000001E-5</v>
      </c>
      <c r="M68" s="185">
        <f>IFERROR(IF($C68="",-0.00001,SUMIFS(Database!O:O,Database!$E:$E,$C68,Database!$A:$A,$D$1)),-0.00001)</f>
        <v>-1.0000000000000001E-5</v>
      </c>
      <c r="N68" s="185">
        <f>IFERROR(IF($C68="",-0.00001,SUMIFS(Database!P:P,Database!$E:$E,$C68,Database!$A:$A,$D$1)),-0.00001)</f>
        <v>-1.0000000000000001E-5</v>
      </c>
      <c r="O68" s="185">
        <f>IFERROR(IF($C68="",-0.00001,SUMIFS(Database!Q:Q,Database!$E:$E,$C68,Database!$A:$A,$D$1)),-0.00001)</f>
        <v>-1.0000000000000001E-5</v>
      </c>
      <c r="P68" s="186">
        <f t="shared" ref="P68:P80" si="6">IFERROR(IF($C68="",-0.00001,$N68/$O68),-0.00001)</f>
        <v>-1.0000000000000001E-5</v>
      </c>
      <c r="Q68" s="185">
        <f>IFERROR(IF($C68="",-0.00001,SUMIFS(Database!S:S,Database!$E:$E,$C68,Database!$A:$A,$D$1)),-0.00001)</f>
        <v>-1.0000000000000001E-5</v>
      </c>
      <c r="R68" s="185">
        <f>IFERROR(IF($C68="",-0.00001,SUMIFS(Database!T:T,Database!$E:$E,$C68,Database!$A:$A,$D$1)),-0.00001)</f>
        <v>-1.0000000000000001E-5</v>
      </c>
      <c r="S68" s="186">
        <f t="shared" ref="S68:S80" si="7">IFERROR(IF($C68="",-0.00001,$Q68/$R68),-0.00001)</f>
        <v>-1.0000000000000001E-5</v>
      </c>
      <c r="T68" s="185">
        <f>IFERROR(IF($C68="",-0.00001,SUMIFS(Database!V:V,Database!$E:$E,$C68,Database!$A:$A,$D$1)),-0.00001)</f>
        <v>-1.0000000000000001E-5</v>
      </c>
      <c r="U68" s="185">
        <f>IFERROR(IF($C68="",-0.00001,SUMIFS(Database!W:W,Database!$E:$E,$C68,Database!$A:$A,$D$1)),-0.00001)</f>
        <v>-1.0000000000000001E-5</v>
      </c>
      <c r="V68" s="186">
        <f t="shared" ref="V68:V80" si="8">IFERROR(IF($C68="",-0.00001,$T68/$U68),-0.00001)</f>
        <v>-1.0000000000000001E-5</v>
      </c>
      <c r="W68" s="187"/>
      <c r="X68" s="187"/>
      <c r="Y68" s="187"/>
      <c r="Z68" s="187"/>
      <c r="AA68" s="187"/>
      <c r="AB68" s="187"/>
      <c r="AC68" s="187"/>
      <c r="AD68" s="187"/>
      <c r="AE68" s="187"/>
    </row>
    <row r="69" spans="1:31" x14ac:dyDescent="0.25">
      <c r="A69" s="187"/>
      <c r="B69" s="187" t="str">
        <f>IF($C69="","",MAX($B$4:$B68)+1)</f>
        <v/>
      </c>
      <c r="C69" s="145"/>
      <c r="D69" s="183" t="str">
        <f>IFERROR(VLOOKUP($C69,Rosters!$C$4:$M$239,INDEX(Lists!$N$5:$O$80,MATCH($C69,Lists!$N$5:$N$80,FALSE),2)),"")</f>
        <v/>
      </c>
      <c r="E69" s="185">
        <f>IF($C69="",-0.00001,COUNTIFS(Database!E:E,$C69,Database!A:A,$D$1))</f>
        <v>-1.0000000000000001E-5</v>
      </c>
      <c r="F69" s="185">
        <f>IFERROR(IF($C69="",-0.00001,SUMIFS(Database!H:H,Database!$E:$E,$C69,Database!$A:$A,$D$1)),-0.00001)</f>
        <v>-1.0000000000000001E-5</v>
      </c>
      <c r="G69" s="185">
        <f>IFERROR(IF($C69="",-0.00001,SUMIFS(Database!I:I,Database!$E:$E,$C69,Database!$A:$A,$D$1)),-0.00001)</f>
        <v>-1.0000000000000001E-5</v>
      </c>
      <c r="H69" s="185">
        <f>IFERROR(IF($C69="",-0.00001,SUMIFS(Database!J:J,Database!$E:$E,$C69,Database!$A:$A,$D$1)),-0.00001)</f>
        <v>-1.0000000000000001E-5</v>
      </c>
      <c r="I69" s="185">
        <f>IFERROR(IF($C69="",-0.00001,SUMIFS(Database!K:K,Database!$E:$E,$C69,Database!$A:$A,$D$1)),-0.00001)</f>
        <v>-1.0000000000000001E-5</v>
      </c>
      <c r="J69" s="185">
        <f>IFERROR(IF($C69="",-0.00001,SUMIFS(Database!L:L,Database!$E:$E,$C69,Database!$A:$A,$D$1)),-0.00001)</f>
        <v>-1.0000000000000001E-5</v>
      </c>
      <c r="K69" s="185">
        <f>IFERROR(IF($C69="",-0.00001,SUMIFS(Database!M:M,Database!$E:$E,$C69,Database!$A:$A,$D$1)),-0.00001)</f>
        <v>-1.0000000000000001E-5</v>
      </c>
      <c r="L69" s="185">
        <f>IFERROR(IF($C69="",-0.00001,SUMIFS(Database!N:N,Database!$E:$E,$C69,Database!$A:$A,$D$1)),-0.00001)</f>
        <v>-1.0000000000000001E-5</v>
      </c>
      <c r="M69" s="185">
        <f>IFERROR(IF($C69="",-0.00001,SUMIFS(Database!O:O,Database!$E:$E,$C69,Database!$A:$A,$D$1)),-0.00001)</f>
        <v>-1.0000000000000001E-5</v>
      </c>
      <c r="N69" s="185">
        <f>IFERROR(IF($C69="",-0.00001,SUMIFS(Database!P:P,Database!$E:$E,$C69,Database!$A:$A,$D$1)),-0.00001)</f>
        <v>-1.0000000000000001E-5</v>
      </c>
      <c r="O69" s="185">
        <f>IFERROR(IF($C69="",-0.00001,SUMIFS(Database!Q:Q,Database!$E:$E,$C69,Database!$A:$A,$D$1)),-0.00001)</f>
        <v>-1.0000000000000001E-5</v>
      </c>
      <c r="P69" s="186">
        <f t="shared" si="6"/>
        <v>-1.0000000000000001E-5</v>
      </c>
      <c r="Q69" s="185">
        <f>IFERROR(IF($C69="",-0.00001,SUMIFS(Database!S:S,Database!$E:$E,$C69,Database!$A:$A,$D$1)),-0.00001)</f>
        <v>-1.0000000000000001E-5</v>
      </c>
      <c r="R69" s="185">
        <f>IFERROR(IF($C69="",-0.00001,SUMIFS(Database!T:T,Database!$E:$E,$C69,Database!$A:$A,$D$1)),-0.00001)</f>
        <v>-1.0000000000000001E-5</v>
      </c>
      <c r="S69" s="186">
        <f t="shared" si="7"/>
        <v>-1.0000000000000001E-5</v>
      </c>
      <c r="T69" s="185">
        <f>IFERROR(IF($C69="",-0.00001,SUMIFS(Database!V:V,Database!$E:$E,$C69,Database!$A:$A,$D$1)),-0.00001)</f>
        <v>-1.0000000000000001E-5</v>
      </c>
      <c r="U69" s="185">
        <f>IFERROR(IF($C69="",-0.00001,SUMIFS(Database!W:W,Database!$E:$E,$C69,Database!$A:$A,$D$1)),-0.00001)</f>
        <v>-1.0000000000000001E-5</v>
      </c>
      <c r="V69" s="186">
        <f t="shared" si="8"/>
        <v>-1.0000000000000001E-5</v>
      </c>
      <c r="W69" s="187"/>
      <c r="X69" s="187"/>
      <c r="Y69" s="187"/>
      <c r="Z69" s="187"/>
      <c r="AA69" s="187"/>
      <c r="AB69" s="187"/>
      <c r="AC69" s="187"/>
      <c r="AD69" s="187"/>
      <c r="AE69" s="187"/>
    </row>
    <row r="70" spans="1:31" x14ac:dyDescent="0.25">
      <c r="A70" s="187"/>
      <c r="B70" s="187" t="str">
        <f>IF($C70="","",MAX($B$4:$B69)+1)</f>
        <v/>
      </c>
      <c r="C70" s="145"/>
      <c r="D70" s="183" t="str">
        <f>IFERROR(VLOOKUP($C70,Rosters!$C$4:$M$239,INDEX(Lists!$N$5:$O$80,MATCH($C70,Lists!$N$5:$N$80,FALSE),2)),"")</f>
        <v/>
      </c>
      <c r="E70" s="185">
        <f>IF($C70="",-0.00001,COUNTIFS(Database!E:E,$C70,Database!A:A,$D$1))</f>
        <v>-1.0000000000000001E-5</v>
      </c>
      <c r="F70" s="185">
        <f>IFERROR(IF($C70="",-0.00001,SUMIFS(Database!H:H,Database!$E:$E,$C70,Database!$A:$A,$D$1)),-0.00001)</f>
        <v>-1.0000000000000001E-5</v>
      </c>
      <c r="G70" s="185">
        <f>IFERROR(IF($C70="",-0.00001,SUMIFS(Database!I:I,Database!$E:$E,$C70,Database!$A:$A,$D$1)),-0.00001)</f>
        <v>-1.0000000000000001E-5</v>
      </c>
      <c r="H70" s="185">
        <f>IFERROR(IF($C70="",-0.00001,SUMIFS(Database!J:J,Database!$E:$E,$C70,Database!$A:$A,$D$1)),-0.00001)</f>
        <v>-1.0000000000000001E-5</v>
      </c>
      <c r="I70" s="185">
        <f>IFERROR(IF($C70="",-0.00001,SUMIFS(Database!K:K,Database!$E:$E,$C70,Database!$A:$A,$D$1)),-0.00001)</f>
        <v>-1.0000000000000001E-5</v>
      </c>
      <c r="J70" s="185">
        <f>IFERROR(IF($C70="",-0.00001,SUMIFS(Database!L:L,Database!$E:$E,$C70,Database!$A:$A,$D$1)),-0.00001)</f>
        <v>-1.0000000000000001E-5</v>
      </c>
      <c r="K70" s="185">
        <f>IFERROR(IF($C70="",-0.00001,SUMIFS(Database!M:M,Database!$E:$E,$C70,Database!$A:$A,$D$1)),-0.00001)</f>
        <v>-1.0000000000000001E-5</v>
      </c>
      <c r="L70" s="185">
        <f>IFERROR(IF($C70="",-0.00001,SUMIFS(Database!N:N,Database!$E:$E,$C70,Database!$A:$A,$D$1)),-0.00001)</f>
        <v>-1.0000000000000001E-5</v>
      </c>
      <c r="M70" s="185">
        <f>IFERROR(IF($C70="",-0.00001,SUMIFS(Database!O:O,Database!$E:$E,$C70,Database!$A:$A,$D$1)),-0.00001)</f>
        <v>-1.0000000000000001E-5</v>
      </c>
      <c r="N70" s="185">
        <f>IFERROR(IF($C70="",-0.00001,SUMIFS(Database!P:P,Database!$E:$E,$C70,Database!$A:$A,$D$1)),-0.00001)</f>
        <v>-1.0000000000000001E-5</v>
      </c>
      <c r="O70" s="185">
        <f>IFERROR(IF($C70="",-0.00001,SUMIFS(Database!Q:Q,Database!$E:$E,$C70,Database!$A:$A,$D$1)),-0.00001)</f>
        <v>-1.0000000000000001E-5</v>
      </c>
      <c r="P70" s="186">
        <f t="shared" si="6"/>
        <v>-1.0000000000000001E-5</v>
      </c>
      <c r="Q70" s="185">
        <f>IFERROR(IF($C70="",-0.00001,SUMIFS(Database!S:S,Database!$E:$E,$C70,Database!$A:$A,$D$1)),-0.00001)</f>
        <v>-1.0000000000000001E-5</v>
      </c>
      <c r="R70" s="185">
        <f>IFERROR(IF($C70="",-0.00001,SUMIFS(Database!T:T,Database!$E:$E,$C70,Database!$A:$A,$D$1)),-0.00001)</f>
        <v>-1.0000000000000001E-5</v>
      </c>
      <c r="S70" s="186">
        <f t="shared" si="7"/>
        <v>-1.0000000000000001E-5</v>
      </c>
      <c r="T70" s="185">
        <f>IFERROR(IF($C70="",-0.00001,SUMIFS(Database!V:V,Database!$E:$E,$C70,Database!$A:$A,$D$1)),-0.00001)</f>
        <v>-1.0000000000000001E-5</v>
      </c>
      <c r="U70" s="185">
        <f>IFERROR(IF($C70="",-0.00001,SUMIFS(Database!W:W,Database!$E:$E,$C70,Database!$A:$A,$D$1)),-0.00001)</f>
        <v>-1.0000000000000001E-5</v>
      </c>
      <c r="V70" s="186">
        <f t="shared" si="8"/>
        <v>-1.0000000000000001E-5</v>
      </c>
      <c r="W70" s="187"/>
      <c r="X70" s="187"/>
      <c r="Y70" s="187"/>
      <c r="Z70" s="187"/>
      <c r="AA70" s="187"/>
      <c r="AB70" s="187"/>
      <c r="AC70" s="187"/>
      <c r="AD70" s="187"/>
      <c r="AE70" s="187"/>
    </row>
    <row r="71" spans="1:31" x14ac:dyDescent="0.25">
      <c r="A71" s="187"/>
      <c r="B71" s="187" t="str">
        <f>IF($C71="","",MAX($B$4:$B70)+1)</f>
        <v/>
      </c>
      <c r="C71" s="145"/>
      <c r="D71" s="183" t="str">
        <f>IFERROR(VLOOKUP($C71,Rosters!$C$4:$M$239,INDEX(Lists!$N$5:$O$80,MATCH($C71,Lists!$N$5:$N$80,FALSE),2)),"")</f>
        <v/>
      </c>
      <c r="E71" s="185">
        <f>IF($C71="",-0.00001,COUNTIFS(Database!E:E,$C71,Database!A:A,$D$1))</f>
        <v>-1.0000000000000001E-5</v>
      </c>
      <c r="F71" s="185">
        <f>IFERROR(IF($C71="",-0.00001,SUMIFS(Database!H:H,Database!$E:$E,$C71,Database!$A:$A,$D$1)),-0.00001)</f>
        <v>-1.0000000000000001E-5</v>
      </c>
      <c r="G71" s="185">
        <f>IFERROR(IF($C71="",-0.00001,SUMIFS(Database!I:I,Database!$E:$E,$C71,Database!$A:$A,$D$1)),-0.00001)</f>
        <v>-1.0000000000000001E-5</v>
      </c>
      <c r="H71" s="185">
        <f>IFERROR(IF($C71="",-0.00001,SUMIFS(Database!J:J,Database!$E:$E,$C71,Database!$A:$A,$D$1)),-0.00001)</f>
        <v>-1.0000000000000001E-5</v>
      </c>
      <c r="I71" s="185">
        <f>IFERROR(IF($C71="",-0.00001,SUMIFS(Database!K:K,Database!$E:$E,$C71,Database!$A:$A,$D$1)),-0.00001)</f>
        <v>-1.0000000000000001E-5</v>
      </c>
      <c r="J71" s="185">
        <f>IFERROR(IF($C71="",-0.00001,SUMIFS(Database!L:L,Database!$E:$E,$C71,Database!$A:$A,$D$1)),-0.00001)</f>
        <v>-1.0000000000000001E-5</v>
      </c>
      <c r="K71" s="185">
        <f>IFERROR(IF($C71="",-0.00001,SUMIFS(Database!M:M,Database!$E:$E,$C71,Database!$A:$A,$D$1)),-0.00001)</f>
        <v>-1.0000000000000001E-5</v>
      </c>
      <c r="L71" s="185">
        <f>IFERROR(IF($C71="",-0.00001,SUMIFS(Database!N:N,Database!$E:$E,$C71,Database!$A:$A,$D$1)),-0.00001)</f>
        <v>-1.0000000000000001E-5</v>
      </c>
      <c r="M71" s="185">
        <f>IFERROR(IF($C71="",-0.00001,SUMIFS(Database!O:O,Database!$E:$E,$C71,Database!$A:$A,$D$1)),-0.00001)</f>
        <v>-1.0000000000000001E-5</v>
      </c>
      <c r="N71" s="185">
        <f>IFERROR(IF($C71="",-0.00001,SUMIFS(Database!P:P,Database!$E:$E,$C71,Database!$A:$A,$D$1)),-0.00001)</f>
        <v>-1.0000000000000001E-5</v>
      </c>
      <c r="O71" s="185">
        <f>IFERROR(IF($C71="",-0.00001,SUMIFS(Database!Q:Q,Database!$E:$E,$C71,Database!$A:$A,$D$1)),-0.00001)</f>
        <v>-1.0000000000000001E-5</v>
      </c>
      <c r="P71" s="186">
        <f t="shared" si="6"/>
        <v>-1.0000000000000001E-5</v>
      </c>
      <c r="Q71" s="185">
        <f>IFERROR(IF($C71="",-0.00001,SUMIFS(Database!S:S,Database!$E:$E,$C71,Database!$A:$A,$D$1)),-0.00001)</f>
        <v>-1.0000000000000001E-5</v>
      </c>
      <c r="R71" s="185">
        <f>IFERROR(IF($C71="",-0.00001,SUMIFS(Database!T:T,Database!$E:$E,$C71,Database!$A:$A,$D$1)),-0.00001)</f>
        <v>-1.0000000000000001E-5</v>
      </c>
      <c r="S71" s="186">
        <f t="shared" si="7"/>
        <v>-1.0000000000000001E-5</v>
      </c>
      <c r="T71" s="185">
        <f>IFERROR(IF($C71="",-0.00001,SUMIFS(Database!V:V,Database!$E:$E,$C71,Database!$A:$A,$D$1)),-0.00001)</f>
        <v>-1.0000000000000001E-5</v>
      </c>
      <c r="U71" s="185">
        <f>IFERROR(IF($C71="",-0.00001,SUMIFS(Database!W:W,Database!$E:$E,$C71,Database!$A:$A,$D$1)),-0.00001)</f>
        <v>-1.0000000000000001E-5</v>
      </c>
      <c r="V71" s="186">
        <f t="shared" si="8"/>
        <v>-1.0000000000000001E-5</v>
      </c>
      <c r="W71" s="187"/>
      <c r="X71" s="187"/>
      <c r="Y71" s="187"/>
      <c r="Z71" s="187"/>
      <c r="AA71" s="187"/>
      <c r="AB71" s="187"/>
      <c r="AC71" s="187"/>
      <c r="AD71" s="187"/>
      <c r="AE71" s="187"/>
    </row>
    <row r="72" spans="1:31" x14ac:dyDescent="0.25">
      <c r="A72" s="187"/>
      <c r="B72" s="187" t="str">
        <f>IF($C72="","",MAX($B$4:$B71)+1)</f>
        <v/>
      </c>
      <c r="C72" s="145"/>
      <c r="D72" s="183" t="str">
        <f>IFERROR(VLOOKUP($C72,Rosters!$C$4:$M$239,INDEX(Lists!$N$5:$O$80,MATCH($C72,Lists!$N$5:$N$80,FALSE),2)),"")</f>
        <v/>
      </c>
      <c r="E72" s="185">
        <f>IF($C72="",-0.00001,COUNTIFS(Database!E:E,$C72,Database!A:A,$D$1))</f>
        <v>-1.0000000000000001E-5</v>
      </c>
      <c r="F72" s="185">
        <f>IFERROR(IF($C72="",-0.00001,SUMIFS(Database!H:H,Database!$E:$E,$C72,Database!$A:$A,$D$1)),-0.00001)</f>
        <v>-1.0000000000000001E-5</v>
      </c>
      <c r="G72" s="185">
        <f>IFERROR(IF($C72="",-0.00001,SUMIFS(Database!I:I,Database!$E:$E,$C72,Database!$A:$A,$D$1)),-0.00001)</f>
        <v>-1.0000000000000001E-5</v>
      </c>
      <c r="H72" s="185">
        <f>IFERROR(IF($C72="",-0.00001,SUMIFS(Database!J:J,Database!$E:$E,$C72,Database!$A:$A,$D$1)),-0.00001)</f>
        <v>-1.0000000000000001E-5</v>
      </c>
      <c r="I72" s="185">
        <f>IFERROR(IF($C72="",-0.00001,SUMIFS(Database!K:K,Database!$E:$E,$C72,Database!$A:$A,$D$1)),-0.00001)</f>
        <v>-1.0000000000000001E-5</v>
      </c>
      <c r="J72" s="185">
        <f>IFERROR(IF($C72="",-0.00001,SUMIFS(Database!L:L,Database!$E:$E,$C72,Database!$A:$A,$D$1)),-0.00001)</f>
        <v>-1.0000000000000001E-5</v>
      </c>
      <c r="K72" s="185">
        <f>IFERROR(IF($C72="",-0.00001,SUMIFS(Database!M:M,Database!$E:$E,$C72,Database!$A:$A,$D$1)),-0.00001)</f>
        <v>-1.0000000000000001E-5</v>
      </c>
      <c r="L72" s="185">
        <f>IFERROR(IF($C72="",-0.00001,SUMIFS(Database!N:N,Database!$E:$E,$C72,Database!$A:$A,$D$1)),-0.00001)</f>
        <v>-1.0000000000000001E-5</v>
      </c>
      <c r="M72" s="185">
        <f>IFERROR(IF($C72="",-0.00001,SUMIFS(Database!O:O,Database!$E:$E,$C72,Database!$A:$A,$D$1)),-0.00001)</f>
        <v>-1.0000000000000001E-5</v>
      </c>
      <c r="N72" s="185">
        <f>IFERROR(IF($C72="",-0.00001,SUMIFS(Database!P:P,Database!$E:$E,$C72,Database!$A:$A,$D$1)),-0.00001)</f>
        <v>-1.0000000000000001E-5</v>
      </c>
      <c r="O72" s="185">
        <f>IFERROR(IF($C72="",-0.00001,SUMIFS(Database!Q:Q,Database!$E:$E,$C72,Database!$A:$A,$D$1)),-0.00001)</f>
        <v>-1.0000000000000001E-5</v>
      </c>
      <c r="P72" s="186">
        <f t="shared" si="6"/>
        <v>-1.0000000000000001E-5</v>
      </c>
      <c r="Q72" s="185">
        <f>IFERROR(IF($C72="",-0.00001,SUMIFS(Database!S:S,Database!$E:$E,$C72,Database!$A:$A,$D$1)),-0.00001)</f>
        <v>-1.0000000000000001E-5</v>
      </c>
      <c r="R72" s="185">
        <f>IFERROR(IF($C72="",-0.00001,SUMIFS(Database!T:T,Database!$E:$E,$C72,Database!$A:$A,$D$1)),-0.00001)</f>
        <v>-1.0000000000000001E-5</v>
      </c>
      <c r="S72" s="186">
        <f t="shared" si="7"/>
        <v>-1.0000000000000001E-5</v>
      </c>
      <c r="T72" s="185">
        <f>IFERROR(IF($C72="",-0.00001,SUMIFS(Database!V:V,Database!$E:$E,$C72,Database!$A:$A,$D$1)),-0.00001)</f>
        <v>-1.0000000000000001E-5</v>
      </c>
      <c r="U72" s="185">
        <f>IFERROR(IF($C72="",-0.00001,SUMIFS(Database!W:W,Database!$E:$E,$C72,Database!$A:$A,$D$1)),-0.00001)</f>
        <v>-1.0000000000000001E-5</v>
      </c>
      <c r="V72" s="186">
        <f t="shared" si="8"/>
        <v>-1.0000000000000001E-5</v>
      </c>
      <c r="W72" s="187"/>
      <c r="X72" s="187"/>
      <c r="Y72" s="187"/>
      <c r="Z72" s="187"/>
      <c r="AA72" s="187"/>
      <c r="AB72" s="187"/>
      <c r="AC72" s="187"/>
      <c r="AD72" s="187"/>
      <c r="AE72" s="187"/>
    </row>
    <row r="73" spans="1:31" x14ac:dyDescent="0.25">
      <c r="A73" s="187"/>
      <c r="B73" s="187" t="str">
        <f>IF($C73="","",MAX($B$4:$B72)+1)</f>
        <v/>
      </c>
      <c r="C73" s="145"/>
      <c r="D73" s="183" t="str">
        <f>IFERROR(VLOOKUP($C73,Rosters!$C$4:$M$239,INDEX(Lists!$N$5:$O$80,MATCH($C73,Lists!$N$5:$N$80,FALSE),2)),"")</f>
        <v/>
      </c>
      <c r="E73" s="185">
        <f>IF($C73="",-0.00001,COUNTIFS(Database!E:E,$C73,Database!A:A,$D$1))</f>
        <v>-1.0000000000000001E-5</v>
      </c>
      <c r="F73" s="185">
        <f>IFERROR(IF($C73="",-0.00001,SUMIFS(Database!H:H,Database!$E:$E,$C73,Database!$A:$A,$D$1)),-0.00001)</f>
        <v>-1.0000000000000001E-5</v>
      </c>
      <c r="G73" s="185">
        <f>IFERROR(IF($C73="",-0.00001,SUMIFS(Database!I:I,Database!$E:$E,$C73,Database!$A:$A,$D$1)),-0.00001)</f>
        <v>-1.0000000000000001E-5</v>
      </c>
      <c r="H73" s="185">
        <f>IFERROR(IF($C73="",-0.00001,SUMIFS(Database!J:J,Database!$E:$E,$C73,Database!$A:$A,$D$1)),-0.00001)</f>
        <v>-1.0000000000000001E-5</v>
      </c>
      <c r="I73" s="185">
        <f>IFERROR(IF($C73="",-0.00001,SUMIFS(Database!K:K,Database!$E:$E,$C73,Database!$A:$A,$D$1)),-0.00001)</f>
        <v>-1.0000000000000001E-5</v>
      </c>
      <c r="J73" s="185">
        <f>IFERROR(IF($C73="",-0.00001,SUMIFS(Database!L:L,Database!$E:$E,$C73,Database!$A:$A,$D$1)),-0.00001)</f>
        <v>-1.0000000000000001E-5</v>
      </c>
      <c r="K73" s="185">
        <f>IFERROR(IF($C73="",-0.00001,SUMIFS(Database!M:M,Database!$E:$E,$C73,Database!$A:$A,$D$1)),-0.00001)</f>
        <v>-1.0000000000000001E-5</v>
      </c>
      <c r="L73" s="185">
        <f>IFERROR(IF($C73="",-0.00001,SUMIFS(Database!N:N,Database!$E:$E,$C73,Database!$A:$A,$D$1)),-0.00001)</f>
        <v>-1.0000000000000001E-5</v>
      </c>
      <c r="M73" s="185">
        <f>IFERROR(IF($C73="",-0.00001,SUMIFS(Database!O:O,Database!$E:$E,$C73,Database!$A:$A,$D$1)),-0.00001)</f>
        <v>-1.0000000000000001E-5</v>
      </c>
      <c r="N73" s="185">
        <f>IFERROR(IF($C73="",-0.00001,SUMIFS(Database!P:P,Database!$E:$E,$C73,Database!$A:$A,$D$1)),-0.00001)</f>
        <v>-1.0000000000000001E-5</v>
      </c>
      <c r="O73" s="185">
        <f>IFERROR(IF($C73="",-0.00001,SUMIFS(Database!Q:Q,Database!$E:$E,$C73,Database!$A:$A,$D$1)),-0.00001)</f>
        <v>-1.0000000000000001E-5</v>
      </c>
      <c r="P73" s="186">
        <f t="shared" si="6"/>
        <v>-1.0000000000000001E-5</v>
      </c>
      <c r="Q73" s="185">
        <f>IFERROR(IF($C73="",-0.00001,SUMIFS(Database!S:S,Database!$E:$E,$C73,Database!$A:$A,$D$1)),-0.00001)</f>
        <v>-1.0000000000000001E-5</v>
      </c>
      <c r="R73" s="185">
        <f>IFERROR(IF($C73="",-0.00001,SUMIFS(Database!T:T,Database!$E:$E,$C73,Database!$A:$A,$D$1)),-0.00001)</f>
        <v>-1.0000000000000001E-5</v>
      </c>
      <c r="S73" s="186">
        <f t="shared" si="7"/>
        <v>-1.0000000000000001E-5</v>
      </c>
      <c r="T73" s="185">
        <f>IFERROR(IF($C73="",-0.00001,SUMIFS(Database!V:V,Database!$E:$E,$C73,Database!$A:$A,$D$1)),-0.00001)</f>
        <v>-1.0000000000000001E-5</v>
      </c>
      <c r="U73" s="185">
        <f>IFERROR(IF($C73="",-0.00001,SUMIFS(Database!W:W,Database!$E:$E,$C73,Database!$A:$A,$D$1)),-0.00001)</f>
        <v>-1.0000000000000001E-5</v>
      </c>
      <c r="V73" s="186">
        <f t="shared" si="8"/>
        <v>-1.0000000000000001E-5</v>
      </c>
      <c r="W73" s="187"/>
      <c r="X73" s="187"/>
      <c r="Y73" s="187"/>
      <c r="Z73" s="187"/>
      <c r="AA73" s="187"/>
      <c r="AB73" s="187"/>
      <c r="AC73" s="187"/>
      <c r="AD73" s="187"/>
      <c r="AE73" s="187"/>
    </row>
    <row r="74" spans="1:31" x14ac:dyDescent="0.25">
      <c r="A74" s="187"/>
      <c r="B74" s="187" t="str">
        <f>IF($C74="","",MAX($B$4:$B73)+1)</f>
        <v/>
      </c>
      <c r="C74" s="145"/>
      <c r="D74" s="183" t="str">
        <f>IFERROR(VLOOKUP($C74,Rosters!$C$4:$M$239,INDEX(Lists!$N$5:$O$80,MATCH($C74,Lists!$N$5:$N$80,FALSE),2)),"")</f>
        <v/>
      </c>
      <c r="E74" s="185">
        <f>IF($C74="",-0.00001,COUNTIFS(Database!E:E,$C74,Database!A:A,$D$1))</f>
        <v>-1.0000000000000001E-5</v>
      </c>
      <c r="F74" s="185">
        <f>IFERROR(IF($C74="",-0.00001,SUMIFS(Database!H:H,Database!$E:$E,$C74,Database!$A:$A,$D$1)),-0.00001)</f>
        <v>-1.0000000000000001E-5</v>
      </c>
      <c r="G74" s="185">
        <f>IFERROR(IF($C74="",-0.00001,SUMIFS(Database!I:I,Database!$E:$E,$C74,Database!$A:$A,$D$1)),-0.00001)</f>
        <v>-1.0000000000000001E-5</v>
      </c>
      <c r="H74" s="185">
        <f>IFERROR(IF($C74="",-0.00001,SUMIFS(Database!J:J,Database!$E:$E,$C74,Database!$A:$A,$D$1)),-0.00001)</f>
        <v>-1.0000000000000001E-5</v>
      </c>
      <c r="I74" s="185">
        <f>IFERROR(IF($C74="",-0.00001,SUMIFS(Database!K:K,Database!$E:$E,$C74,Database!$A:$A,$D$1)),-0.00001)</f>
        <v>-1.0000000000000001E-5</v>
      </c>
      <c r="J74" s="185">
        <f>IFERROR(IF($C74="",-0.00001,SUMIFS(Database!L:L,Database!$E:$E,$C74,Database!$A:$A,$D$1)),-0.00001)</f>
        <v>-1.0000000000000001E-5</v>
      </c>
      <c r="K74" s="185">
        <f>IFERROR(IF($C74="",-0.00001,SUMIFS(Database!M:M,Database!$E:$E,$C74,Database!$A:$A,$D$1)),-0.00001)</f>
        <v>-1.0000000000000001E-5</v>
      </c>
      <c r="L74" s="185">
        <f>IFERROR(IF($C74="",-0.00001,SUMIFS(Database!N:N,Database!$E:$E,$C74,Database!$A:$A,$D$1)),-0.00001)</f>
        <v>-1.0000000000000001E-5</v>
      </c>
      <c r="M74" s="185">
        <f>IFERROR(IF($C74="",-0.00001,SUMIFS(Database!O:O,Database!$E:$E,$C74,Database!$A:$A,$D$1)),-0.00001)</f>
        <v>-1.0000000000000001E-5</v>
      </c>
      <c r="N74" s="185">
        <f>IFERROR(IF($C74="",-0.00001,SUMIFS(Database!P:P,Database!$E:$E,$C74,Database!$A:$A,$D$1)),-0.00001)</f>
        <v>-1.0000000000000001E-5</v>
      </c>
      <c r="O74" s="185">
        <f>IFERROR(IF($C74="",-0.00001,SUMIFS(Database!Q:Q,Database!$E:$E,$C74,Database!$A:$A,$D$1)),-0.00001)</f>
        <v>-1.0000000000000001E-5</v>
      </c>
      <c r="P74" s="186">
        <f t="shared" si="6"/>
        <v>-1.0000000000000001E-5</v>
      </c>
      <c r="Q74" s="185">
        <f>IFERROR(IF($C74="",-0.00001,SUMIFS(Database!S:S,Database!$E:$E,$C74,Database!$A:$A,$D$1)),-0.00001)</f>
        <v>-1.0000000000000001E-5</v>
      </c>
      <c r="R74" s="185">
        <f>IFERROR(IF($C74="",-0.00001,SUMIFS(Database!T:T,Database!$E:$E,$C74,Database!$A:$A,$D$1)),-0.00001)</f>
        <v>-1.0000000000000001E-5</v>
      </c>
      <c r="S74" s="186">
        <f t="shared" si="7"/>
        <v>-1.0000000000000001E-5</v>
      </c>
      <c r="T74" s="185">
        <f>IFERROR(IF($C74="",-0.00001,SUMIFS(Database!V:V,Database!$E:$E,$C74,Database!$A:$A,$D$1)),-0.00001)</f>
        <v>-1.0000000000000001E-5</v>
      </c>
      <c r="U74" s="185">
        <f>IFERROR(IF($C74="",-0.00001,SUMIFS(Database!W:W,Database!$E:$E,$C74,Database!$A:$A,$D$1)),-0.00001)</f>
        <v>-1.0000000000000001E-5</v>
      </c>
      <c r="V74" s="186">
        <f t="shared" si="8"/>
        <v>-1.0000000000000001E-5</v>
      </c>
      <c r="W74" s="187"/>
      <c r="X74" s="187"/>
      <c r="Y74" s="187"/>
      <c r="Z74" s="187"/>
      <c r="AA74" s="187"/>
      <c r="AB74" s="187"/>
      <c r="AC74" s="187"/>
      <c r="AD74" s="187"/>
      <c r="AE74" s="187"/>
    </row>
    <row r="75" spans="1:31" x14ac:dyDescent="0.25">
      <c r="A75" s="187"/>
      <c r="B75" s="187" t="str">
        <f>IF($C75="","",MAX($B$4:$B74)+1)</f>
        <v/>
      </c>
      <c r="C75" s="145"/>
      <c r="D75" s="183" t="str">
        <f>IFERROR(VLOOKUP($C75,Rosters!$C$4:$M$239,INDEX(Lists!$N$5:$O$80,MATCH($C75,Lists!$N$5:$N$80,FALSE),2)),"")</f>
        <v/>
      </c>
      <c r="E75" s="185">
        <f>IF($C75="",-0.00001,COUNTIFS(Database!E:E,$C75,Database!A:A,$D$1))</f>
        <v>-1.0000000000000001E-5</v>
      </c>
      <c r="F75" s="185">
        <f>IFERROR(IF($C75="",-0.00001,SUMIFS(Database!H:H,Database!$E:$E,$C75,Database!$A:$A,$D$1)),-0.00001)</f>
        <v>-1.0000000000000001E-5</v>
      </c>
      <c r="G75" s="185">
        <f>IFERROR(IF($C75="",-0.00001,SUMIFS(Database!I:I,Database!$E:$E,$C75,Database!$A:$A,$D$1)),-0.00001)</f>
        <v>-1.0000000000000001E-5</v>
      </c>
      <c r="H75" s="185">
        <f>IFERROR(IF($C75="",-0.00001,SUMIFS(Database!J:J,Database!$E:$E,$C75,Database!$A:$A,$D$1)),-0.00001)</f>
        <v>-1.0000000000000001E-5</v>
      </c>
      <c r="I75" s="185">
        <f>IFERROR(IF($C75="",-0.00001,SUMIFS(Database!K:K,Database!$E:$E,$C75,Database!$A:$A,$D$1)),-0.00001)</f>
        <v>-1.0000000000000001E-5</v>
      </c>
      <c r="J75" s="185">
        <f>IFERROR(IF($C75="",-0.00001,SUMIFS(Database!L:L,Database!$E:$E,$C75,Database!$A:$A,$D$1)),-0.00001)</f>
        <v>-1.0000000000000001E-5</v>
      </c>
      <c r="K75" s="185">
        <f>IFERROR(IF($C75="",-0.00001,SUMIFS(Database!M:M,Database!$E:$E,$C75,Database!$A:$A,$D$1)),-0.00001)</f>
        <v>-1.0000000000000001E-5</v>
      </c>
      <c r="L75" s="185">
        <f>IFERROR(IF($C75="",-0.00001,SUMIFS(Database!N:N,Database!$E:$E,$C75,Database!$A:$A,$D$1)),-0.00001)</f>
        <v>-1.0000000000000001E-5</v>
      </c>
      <c r="M75" s="185">
        <f>IFERROR(IF($C75="",-0.00001,SUMIFS(Database!O:O,Database!$E:$E,$C75,Database!$A:$A,$D$1)),-0.00001)</f>
        <v>-1.0000000000000001E-5</v>
      </c>
      <c r="N75" s="185">
        <f>IFERROR(IF($C75="",-0.00001,SUMIFS(Database!P:P,Database!$E:$E,$C75,Database!$A:$A,$D$1)),-0.00001)</f>
        <v>-1.0000000000000001E-5</v>
      </c>
      <c r="O75" s="185">
        <f>IFERROR(IF($C75="",-0.00001,SUMIFS(Database!Q:Q,Database!$E:$E,$C75,Database!$A:$A,$D$1)),-0.00001)</f>
        <v>-1.0000000000000001E-5</v>
      </c>
      <c r="P75" s="186">
        <f t="shared" si="6"/>
        <v>-1.0000000000000001E-5</v>
      </c>
      <c r="Q75" s="185">
        <f>IFERROR(IF($C75="",-0.00001,SUMIFS(Database!S:S,Database!$E:$E,$C75,Database!$A:$A,$D$1)),-0.00001)</f>
        <v>-1.0000000000000001E-5</v>
      </c>
      <c r="R75" s="185">
        <f>IFERROR(IF($C75="",-0.00001,SUMIFS(Database!T:T,Database!$E:$E,$C75,Database!$A:$A,$D$1)),-0.00001)</f>
        <v>-1.0000000000000001E-5</v>
      </c>
      <c r="S75" s="186">
        <f t="shared" si="7"/>
        <v>-1.0000000000000001E-5</v>
      </c>
      <c r="T75" s="185">
        <f>IFERROR(IF($C75="",-0.00001,SUMIFS(Database!V:V,Database!$E:$E,$C75,Database!$A:$A,$D$1)),-0.00001)</f>
        <v>-1.0000000000000001E-5</v>
      </c>
      <c r="U75" s="185">
        <f>IFERROR(IF($C75="",-0.00001,SUMIFS(Database!W:W,Database!$E:$E,$C75,Database!$A:$A,$D$1)),-0.00001)</f>
        <v>-1.0000000000000001E-5</v>
      </c>
      <c r="V75" s="186">
        <f t="shared" si="8"/>
        <v>-1.0000000000000001E-5</v>
      </c>
      <c r="W75" s="187"/>
      <c r="X75" s="187"/>
      <c r="Y75" s="187"/>
      <c r="Z75" s="187"/>
      <c r="AA75" s="187"/>
      <c r="AB75" s="187"/>
      <c r="AC75" s="187"/>
      <c r="AD75" s="187"/>
      <c r="AE75" s="187"/>
    </row>
    <row r="76" spans="1:31" x14ac:dyDescent="0.25">
      <c r="A76" s="187"/>
      <c r="B76" s="187" t="str">
        <f>IF($C76="","",MAX($B$4:$B75)+1)</f>
        <v/>
      </c>
      <c r="C76" s="145"/>
      <c r="D76" s="183" t="str">
        <f>IFERROR(VLOOKUP($C76,Rosters!$C$4:$M$239,INDEX(Lists!$N$5:$O$80,MATCH($C76,Lists!$N$5:$N$80,FALSE),2)),"")</f>
        <v/>
      </c>
      <c r="E76" s="185">
        <f>IF($C76="",-0.00001,COUNTIFS(Database!E:E,$C76,Database!A:A,$D$1))</f>
        <v>-1.0000000000000001E-5</v>
      </c>
      <c r="F76" s="185">
        <f>IFERROR(IF($C76="",-0.00001,SUMIFS(Database!H:H,Database!$E:$E,$C76,Database!$A:$A,$D$1)),-0.00001)</f>
        <v>-1.0000000000000001E-5</v>
      </c>
      <c r="G76" s="185">
        <f>IFERROR(IF($C76="",-0.00001,SUMIFS(Database!I:I,Database!$E:$E,$C76,Database!$A:$A,$D$1)),-0.00001)</f>
        <v>-1.0000000000000001E-5</v>
      </c>
      <c r="H76" s="185">
        <f>IFERROR(IF($C76="",-0.00001,SUMIFS(Database!J:J,Database!$E:$E,$C76,Database!$A:$A,$D$1)),-0.00001)</f>
        <v>-1.0000000000000001E-5</v>
      </c>
      <c r="I76" s="185">
        <f>IFERROR(IF($C76="",-0.00001,SUMIFS(Database!K:K,Database!$E:$E,$C76,Database!$A:$A,$D$1)),-0.00001)</f>
        <v>-1.0000000000000001E-5</v>
      </c>
      <c r="J76" s="185">
        <f>IFERROR(IF($C76="",-0.00001,SUMIFS(Database!L:L,Database!$E:$E,$C76,Database!$A:$A,$D$1)),-0.00001)</f>
        <v>-1.0000000000000001E-5</v>
      </c>
      <c r="K76" s="185">
        <f>IFERROR(IF($C76="",-0.00001,SUMIFS(Database!M:M,Database!$E:$E,$C76,Database!$A:$A,$D$1)),-0.00001)</f>
        <v>-1.0000000000000001E-5</v>
      </c>
      <c r="L76" s="185">
        <f>IFERROR(IF($C76="",-0.00001,SUMIFS(Database!N:N,Database!$E:$E,$C76,Database!$A:$A,$D$1)),-0.00001)</f>
        <v>-1.0000000000000001E-5</v>
      </c>
      <c r="M76" s="185">
        <f>IFERROR(IF($C76="",-0.00001,SUMIFS(Database!O:O,Database!$E:$E,$C76,Database!$A:$A,$D$1)),-0.00001)</f>
        <v>-1.0000000000000001E-5</v>
      </c>
      <c r="N76" s="185">
        <f>IFERROR(IF($C76="",-0.00001,SUMIFS(Database!P:P,Database!$E:$E,$C76,Database!$A:$A,$D$1)),-0.00001)</f>
        <v>-1.0000000000000001E-5</v>
      </c>
      <c r="O76" s="185">
        <f>IFERROR(IF($C76="",-0.00001,SUMIFS(Database!Q:Q,Database!$E:$E,$C76,Database!$A:$A,$D$1)),-0.00001)</f>
        <v>-1.0000000000000001E-5</v>
      </c>
      <c r="P76" s="186">
        <f t="shared" si="6"/>
        <v>-1.0000000000000001E-5</v>
      </c>
      <c r="Q76" s="185">
        <f>IFERROR(IF($C76="",-0.00001,SUMIFS(Database!S:S,Database!$E:$E,$C76,Database!$A:$A,$D$1)),-0.00001)</f>
        <v>-1.0000000000000001E-5</v>
      </c>
      <c r="R76" s="185">
        <f>IFERROR(IF($C76="",-0.00001,SUMIFS(Database!T:T,Database!$E:$E,$C76,Database!$A:$A,$D$1)),-0.00001)</f>
        <v>-1.0000000000000001E-5</v>
      </c>
      <c r="S76" s="186">
        <f t="shared" si="7"/>
        <v>-1.0000000000000001E-5</v>
      </c>
      <c r="T76" s="185">
        <f>IFERROR(IF($C76="",-0.00001,SUMIFS(Database!V:V,Database!$E:$E,$C76,Database!$A:$A,$D$1)),-0.00001)</f>
        <v>-1.0000000000000001E-5</v>
      </c>
      <c r="U76" s="185">
        <f>IFERROR(IF($C76="",-0.00001,SUMIFS(Database!W:W,Database!$E:$E,$C76,Database!$A:$A,$D$1)),-0.00001)</f>
        <v>-1.0000000000000001E-5</v>
      </c>
      <c r="V76" s="186">
        <f t="shared" si="8"/>
        <v>-1.0000000000000001E-5</v>
      </c>
      <c r="W76" s="187"/>
      <c r="X76" s="187"/>
      <c r="Y76" s="187"/>
      <c r="Z76" s="187"/>
      <c r="AA76" s="187"/>
      <c r="AB76" s="187"/>
      <c r="AC76" s="187"/>
      <c r="AD76" s="187"/>
      <c r="AE76" s="187"/>
    </row>
    <row r="77" spans="1:31" x14ac:dyDescent="0.25">
      <c r="A77" s="187"/>
      <c r="B77" s="187" t="str">
        <f>IF($C77="","",MAX($B$4:$B76)+1)</f>
        <v/>
      </c>
      <c r="C77" s="145"/>
      <c r="D77" s="183" t="str">
        <f>IFERROR(VLOOKUP($C77,Rosters!$C$4:$M$239,INDEX(Lists!$N$5:$O$80,MATCH($C77,Lists!$N$5:$N$80,FALSE),2)),"")</f>
        <v/>
      </c>
      <c r="E77" s="185">
        <f>IF($C77="",-0.00001,COUNTIFS(Database!E:E,$C77,Database!A:A,$D$1))</f>
        <v>-1.0000000000000001E-5</v>
      </c>
      <c r="F77" s="185">
        <f>IFERROR(IF($C77="",-0.00001,SUMIFS(Database!H:H,Database!$E:$E,$C77,Database!$A:$A,$D$1)),-0.00001)</f>
        <v>-1.0000000000000001E-5</v>
      </c>
      <c r="G77" s="185">
        <f>IFERROR(IF($C77="",-0.00001,SUMIFS(Database!I:I,Database!$E:$E,$C77,Database!$A:$A,$D$1)),-0.00001)</f>
        <v>-1.0000000000000001E-5</v>
      </c>
      <c r="H77" s="185">
        <f>IFERROR(IF($C77="",-0.00001,SUMIFS(Database!J:J,Database!$E:$E,$C77,Database!$A:$A,$D$1)),-0.00001)</f>
        <v>-1.0000000000000001E-5</v>
      </c>
      <c r="I77" s="185">
        <f>IFERROR(IF($C77="",-0.00001,SUMIFS(Database!K:K,Database!$E:$E,$C77,Database!$A:$A,$D$1)),-0.00001)</f>
        <v>-1.0000000000000001E-5</v>
      </c>
      <c r="J77" s="185">
        <f>IFERROR(IF($C77="",-0.00001,SUMIFS(Database!L:L,Database!$E:$E,$C77,Database!$A:$A,$D$1)),-0.00001)</f>
        <v>-1.0000000000000001E-5</v>
      </c>
      <c r="K77" s="185">
        <f>IFERROR(IF($C77="",-0.00001,SUMIFS(Database!M:M,Database!$E:$E,$C77,Database!$A:$A,$D$1)),-0.00001)</f>
        <v>-1.0000000000000001E-5</v>
      </c>
      <c r="L77" s="185">
        <f>IFERROR(IF($C77="",-0.00001,SUMIFS(Database!N:N,Database!$E:$E,$C77,Database!$A:$A,$D$1)),-0.00001)</f>
        <v>-1.0000000000000001E-5</v>
      </c>
      <c r="M77" s="185">
        <f>IFERROR(IF($C77="",-0.00001,SUMIFS(Database!O:O,Database!$E:$E,$C77,Database!$A:$A,$D$1)),-0.00001)</f>
        <v>-1.0000000000000001E-5</v>
      </c>
      <c r="N77" s="185">
        <f>IFERROR(IF($C77="",-0.00001,SUMIFS(Database!P:P,Database!$E:$E,$C77,Database!$A:$A,$D$1)),-0.00001)</f>
        <v>-1.0000000000000001E-5</v>
      </c>
      <c r="O77" s="185">
        <f>IFERROR(IF($C77="",-0.00001,SUMIFS(Database!Q:Q,Database!$E:$E,$C77,Database!$A:$A,$D$1)),-0.00001)</f>
        <v>-1.0000000000000001E-5</v>
      </c>
      <c r="P77" s="186">
        <f t="shared" si="6"/>
        <v>-1.0000000000000001E-5</v>
      </c>
      <c r="Q77" s="185">
        <f>IFERROR(IF($C77="",-0.00001,SUMIFS(Database!S:S,Database!$E:$E,$C77,Database!$A:$A,$D$1)),-0.00001)</f>
        <v>-1.0000000000000001E-5</v>
      </c>
      <c r="R77" s="185">
        <f>IFERROR(IF($C77="",-0.00001,SUMIFS(Database!T:T,Database!$E:$E,$C77,Database!$A:$A,$D$1)),-0.00001)</f>
        <v>-1.0000000000000001E-5</v>
      </c>
      <c r="S77" s="186">
        <f t="shared" si="7"/>
        <v>-1.0000000000000001E-5</v>
      </c>
      <c r="T77" s="185">
        <f>IFERROR(IF($C77="",-0.00001,SUMIFS(Database!V:V,Database!$E:$E,$C77,Database!$A:$A,$D$1)),-0.00001)</f>
        <v>-1.0000000000000001E-5</v>
      </c>
      <c r="U77" s="185">
        <f>IFERROR(IF($C77="",-0.00001,SUMIFS(Database!W:W,Database!$E:$E,$C77,Database!$A:$A,$D$1)),-0.00001)</f>
        <v>-1.0000000000000001E-5</v>
      </c>
      <c r="V77" s="186">
        <f t="shared" si="8"/>
        <v>-1.0000000000000001E-5</v>
      </c>
      <c r="W77" s="187"/>
      <c r="X77" s="187"/>
      <c r="Y77" s="187"/>
      <c r="Z77" s="187"/>
      <c r="AA77" s="187"/>
      <c r="AB77" s="187"/>
      <c r="AC77" s="187"/>
      <c r="AD77" s="187"/>
      <c r="AE77" s="187"/>
    </row>
    <row r="78" spans="1:31" x14ac:dyDescent="0.25">
      <c r="A78" s="187"/>
      <c r="B78" s="187" t="str">
        <f>IF($C78="","",MAX($B$4:$B77)+1)</f>
        <v/>
      </c>
      <c r="C78" s="145"/>
      <c r="D78" s="183" t="str">
        <f>IFERROR(VLOOKUP($C78,Rosters!$C$4:$M$239,INDEX(Lists!$N$5:$O$80,MATCH($C78,Lists!$N$5:$N$80,FALSE),2)),"")</f>
        <v/>
      </c>
      <c r="E78" s="185">
        <f>IF($C78="",-0.00001,COUNTIFS(Database!E:E,$C78,Database!A:A,$D$1))</f>
        <v>-1.0000000000000001E-5</v>
      </c>
      <c r="F78" s="185">
        <f>IFERROR(IF($C78="",-0.00001,SUMIFS(Database!H:H,Database!$E:$E,$C78,Database!$A:$A,$D$1)),-0.00001)</f>
        <v>-1.0000000000000001E-5</v>
      </c>
      <c r="G78" s="185">
        <f>IFERROR(IF($C78="",-0.00001,SUMIFS(Database!I:I,Database!$E:$E,$C78,Database!$A:$A,$D$1)),-0.00001)</f>
        <v>-1.0000000000000001E-5</v>
      </c>
      <c r="H78" s="185">
        <f>IFERROR(IF($C78="",-0.00001,SUMIFS(Database!J:J,Database!$E:$E,$C78,Database!$A:$A,$D$1)),-0.00001)</f>
        <v>-1.0000000000000001E-5</v>
      </c>
      <c r="I78" s="185">
        <f>IFERROR(IF($C78="",-0.00001,SUMIFS(Database!K:K,Database!$E:$E,$C78,Database!$A:$A,$D$1)),-0.00001)</f>
        <v>-1.0000000000000001E-5</v>
      </c>
      <c r="J78" s="185">
        <f>IFERROR(IF($C78="",-0.00001,SUMIFS(Database!L:L,Database!$E:$E,$C78,Database!$A:$A,$D$1)),-0.00001)</f>
        <v>-1.0000000000000001E-5</v>
      </c>
      <c r="K78" s="185">
        <f>IFERROR(IF($C78="",-0.00001,SUMIFS(Database!M:M,Database!$E:$E,$C78,Database!$A:$A,$D$1)),-0.00001)</f>
        <v>-1.0000000000000001E-5</v>
      </c>
      <c r="L78" s="185">
        <f>IFERROR(IF($C78="",-0.00001,SUMIFS(Database!N:N,Database!$E:$E,$C78,Database!$A:$A,$D$1)),-0.00001)</f>
        <v>-1.0000000000000001E-5</v>
      </c>
      <c r="M78" s="185">
        <f>IFERROR(IF($C78="",-0.00001,SUMIFS(Database!O:O,Database!$E:$E,$C78,Database!$A:$A,$D$1)),-0.00001)</f>
        <v>-1.0000000000000001E-5</v>
      </c>
      <c r="N78" s="185">
        <f>IFERROR(IF($C78="",-0.00001,SUMIFS(Database!P:P,Database!$E:$E,$C78,Database!$A:$A,$D$1)),-0.00001)</f>
        <v>-1.0000000000000001E-5</v>
      </c>
      <c r="O78" s="185">
        <f>IFERROR(IF($C78="",-0.00001,SUMIFS(Database!Q:Q,Database!$E:$E,$C78,Database!$A:$A,$D$1)),-0.00001)</f>
        <v>-1.0000000000000001E-5</v>
      </c>
      <c r="P78" s="186">
        <f t="shared" si="6"/>
        <v>-1.0000000000000001E-5</v>
      </c>
      <c r="Q78" s="185">
        <f>IFERROR(IF($C78="",-0.00001,SUMIFS(Database!S:S,Database!$E:$E,$C78,Database!$A:$A,$D$1)),-0.00001)</f>
        <v>-1.0000000000000001E-5</v>
      </c>
      <c r="R78" s="185">
        <f>IFERROR(IF($C78="",-0.00001,SUMIFS(Database!T:T,Database!$E:$E,$C78,Database!$A:$A,$D$1)),-0.00001)</f>
        <v>-1.0000000000000001E-5</v>
      </c>
      <c r="S78" s="186">
        <f t="shared" si="7"/>
        <v>-1.0000000000000001E-5</v>
      </c>
      <c r="T78" s="185">
        <f>IFERROR(IF($C78="",-0.00001,SUMIFS(Database!V:V,Database!$E:$E,$C78,Database!$A:$A,$D$1)),-0.00001)</f>
        <v>-1.0000000000000001E-5</v>
      </c>
      <c r="U78" s="185">
        <f>IFERROR(IF($C78="",-0.00001,SUMIFS(Database!W:W,Database!$E:$E,$C78,Database!$A:$A,$D$1)),-0.00001)</f>
        <v>-1.0000000000000001E-5</v>
      </c>
      <c r="V78" s="186">
        <f t="shared" si="8"/>
        <v>-1.0000000000000001E-5</v>
      </c>
      <c r="W78" s="187"/>
      <c r="X78" s="187"/>
      <c r="Y78" s="187"/>
      <c r="Z78" s="187"/>
      <c r="AA78" s="187"/>
      <c r="AB78" s="187"/>
      <c r="AC78" s="187"/>
      <c r="AD78" s="187"/>
      <c r="AE78" s="187"/>
    </row>
    <row r="79" spans="1:31" x14ac:dyDescent="0.25">
      <c r="A79" s="187"/>
      <c r="B79" s="187" t="str">
        <f>IF($C79="","",MAX($B$4:$B78)+1)</f>
        <v/>
      </c>
      <c r="C79" s="145"/>
      <c r="D79" s="183" t="str">
        <f>IFERROR(VLOOKUP($C79,Rosters!$C$4:$M$239,INDEX(Lists!$N$5:$O$80,MATCH($C79,Lists!$N$5:$N$80,FALSE),2)),"")</f>
        <v/>
      </c>
      <c r="E79" s="185">
        <f>IF($C79="",-0.00001,COUNTIFS(Database!E:E,$C79,Database!A:A,$D$1))</f>
        <v>-1.0000000000000001E-5</v>
      </c>
      <c r="F79" s="185">
        <f>IFERROR(IF($C79="",-0.00001,SUMIFS(Database!H:H,Database!$E:$E,$C79,Database!$A:$A,$D$1)),-0.00001)</f>
        <v>-1.0000000000000001E-5</v>
      </c>
      <c r="G79" s="185">
        <f>IFERROR(IF($C79="",-0.00001,SUMIFS(Database!I:I,Database!$E:$E,$C79,Database!$A:$A,$D$1)),-0.00001)</f>
        <v>-1.0000000000000001E-5</v>
      </c>
      <c r="H79" s="185">
        <f>IFERROR(IF($C79="",-0.00001,SUMIFS(Database!J:J,Database!$E:$E,$C79,Database!$A:$A,$D$1)),-0.00001)</f>
        <v>-1.0000000000000001E-5</v>
      </c>
      <c r="I79" s="185">
        <f>IFERROR(IF($C79="",-0.00001,SUMIFS(Database!K:K,Database!$E:$E,$C79,Database!$A:$A,$D$1)),-0.00001)</f>
        <v>-1.0000000000000001E-5</v>
      </c>
      <c r="J79" s="185">
        <f>IFERROR(IF($C79="",-0.00001,SUMIFS(Database!L:L,Database!$E:$E,$C79,Database!$A:$A,$D$1)),-0.00001)</f>
        <v>-1.0000000000000001E-5</v>
      </c>
      <c r="K79" s="185">
        <f>IFERROR(IF($C79="",-0.00001,SUMIFS(Database!M:M,Database!$E:$E,$C79,Database!$A:$A,$D$1)),-0.00001)</f>
        <v>-1.0000000000000001E-5</v>
      </c>
      <c r="L79" s="185">
        <f>IFERROR(IF($C79="",-0.00001,SUMIFS(Database!N:N,Database!$E:$E,$C79,Database!$A:$A,$D$1)),-0.00001)</f>
        <v>-1.0000000000000001E-5</v>
      </c>
      <c r="M79" s="185">
        <f>IFERROR(IF($C79="",-0.00001,SUMIFS(Database!O:O,Database!$E:$E,$C79,Database!$A:$A,$D$1)),-0.00001)</f>
        <v>-1.0000000000000001E-5</v>
      </c>
      <c r="N79" s="185">
        <f>IFERROR(IF($C79="",-0.00001,SUMIFS(Database!P:P,Database!$E:$E,$C79,Database!$A:$A,$D$1)),-0.00001)</f>
        <v>-1.0000000000000001E-5</v>
      </c>
      <c r="O79" s="185">
        <f>IFERROR(IF($C79="",-0.00001,SUMIFS(Database!Q:Q,Database!$E:$E,$C79,Database!$A:$A,$D$1)),-0.00001)</f>
        <v>-1.0000000000000001E-5</v>
      </c>
      <c r="P79" s="186">
        <f t="shared" si="6"/>
        <v>-1.0000000000000001E-5</v>
      </c>
      <c r="Q79" s="185">
        <f>IFERROR(IF($C79="",-0.00001,SUMIFS(Database!S:S,Database!$E:$E,$C79,Database!$A:$A,$D$1)),-0.00001)</f>
        <v>-1.0000000000000001E-5</v>
      </c>
      <c r="R79" s="185">
        <f>IFERROR(IF($C79="",-0.00001,SUMIFS(Database!T:T,Database!$E:$E,$C79,Database!$A:$A,$D$1)),-0.00001)</f>
        <v>-1.0000000000000001E-5</v>
      </c>
      <c r="S79" s="186">
        <f t="shared" si="7"/>
        <v>-1.0000000000000001E-5</v>
      </c>
      <c r="T79" s="185">
        <f>IFERROR(IF($C79="",-0.00001,SUMIFS(Database!V:V,Database!$E:$E,$C79,Database!$A:$A,$D$1)),-0.00001)</f>
        <v>-1.0000000000000001E-5</v>
      </c>
      <c r="U79" s="185">
        <f>IFERROR(IF($C79="",-0.00001,SUMIFS(Database!W:W,Database!$E:$E,$C79,Database!$A:$A,$D$1)),-0.00001)</f>
        <v>-1.0000000000000001E-5</v>
      </c>
      <c r="V79" s="186">
        <f t="shared" si="8"/>
        <v>-1.0000000000000001E-5</v>
      </c>
      <c r="W79" s="187"/>
      <c r="X79" s="187"/>
      <c r="Y79" s="187"/>
      <c r="Z79" s="187"/>
      <c r="AA79" s="187"/>
      <c r="AB79" s="187"/>
      <c r="AC79" s="187"/>
      <c r="AD79" s="187"/>
      <c r="AE79" s="187"/>
    </row>
    <row r="80" spans="1:31" x14ac:dyDescent="0.25">
      <c r="A80" s="187"/>
      <c r="B80" s="187" t="str">
        <f>IF($C80="","",MAX($B$4:$B79)+1)</f>
        <v/>
      </c>
      <c r="C80" s="145"/>
      <c r="D80" s="183" t="str">
        <f>IFERROR(VLOOKUP($C80,Rosters!$C$4:$M$239,INDEX(Lists!$N$5:$O$80,MATCH($C80,Lists!$N$5:$N$80,FALSE),2)),"")</f>
        <v/>
      </c>
      <c r="E80" s="185">
        <f>IF($C80="",-0.00001,COUNTIFS(Database!E:E,$C80,Database!A:A,$D$1))</f>
        <v>-1.0000000000000001E-5</v>
      </c>
      <c r="F80" s="185">
        <f>IFERROR(IF($C80="",-0.00001,SUMIFS(Database!H:H,Database!$E:$E,$C80,Database!$A:$A,$D$1)),-0.00001)</f>
        <v>-1.0000000000000001E-5</v>
      </c>
      <c r="G80" s="185">
        <f>IFERROR(IF($C80="",-0.00001,SUMIFS(Database!I:I,Database!$E:$E,$C80,Database!$A:$A,$D$1)),-0.00001)</f>
        <v>-1.0000000000000001E-5</v>
      </c>
      <c r="H80" s="185">
        <f>IFERROR(IF($C80="",-0.00001,SUMIFS(Database!J:J,Database!$E:$E,$C80,Database!$A:$A,$D$1)),-0.00001)</f>
        <v>-1.0000000000000001E-5</v>
      </c>
      <c r="I80" s="185">
        <f>IFERROR(IF($C80="",-0.00001,SUMIFS(Database!K:K,Database!$E:$E,$C80,Database!$A:$A,$D$1)),-0.00001)</f>
        <v>-1.0000000000000001E-5</v>
      </c>
      <c r="J80" s="185">
        <f>IFERROR(IF($C80="",-0.00001,SUMIFS(Database!L:L,Database!$E:$E,$C80,Database!$A:$A,$D$1)),-0.00001)</f>
        <v>-1.0000000000000001E-5</v>
      </c>
      <c r="K80" s="185">
        <f>IFERROR(IF($C80="",-0.00001,SUMIFS(Database!M:M,Database!$E:$E,$C80,Database!$A:$A,$D$1)),-0.00001)</f>
        <v>-1.0000000000000001E-5</v>
      </c>
      <c r="L80" s="185">
        <f>IFERROR(IF($C80="",-0.00001,SUMIFS(Database!N:N,Database!$E:$E,$C80,Database!$A:$A,$D$1)),-0.00001)</f>
        <v>-1.0000000000000001E-5</v>
      </c>
      <c r="M80" s="185">
        <f>IFERROR(IF($C80="",-0.00001,SUMIFS(Database!O:O,Database!$E:$E,$C80,Database!$A:$A,$D$1)),-0.00001)</f>
        <v>-1.0000000000000001E-5</v>
      </c>
      <c r="N80" s="185">
        <f>IFERROR(IF($C80="",-0.00001,SUMIFS(Database!P:P,Database!$E:$E,$C80,Database!$A:$A,$D$1)),-0.00001)</f>
        <v>-1.0000000000000001E-5</v>
      </c>
      <c r="O80" s="185">
        <f>IFERROR(IF($C80="",-0.00001,SUMIFS(Database!Q:Q,Database!$E:$E,$C80,Database!$A:$A,$D$1)),-0.00001)</f>
        <v>-1.0000000000000001E-5</v>
      </c>
      <c r="P80" s="186">
        <f t="shared" si="6"/>
        <v>-1.0000000000000001E-5</v>
      </c>
      <c r="Q80" s="185">
        <f>IFERROR(IF($C80="",-0.00001,SUMIFS(Database!S:S,Database!$E:$E,$C80,Database!$A:$A,$D$1)),-0.00001)</f>
        <v>-1.0000000000000001E-5</v>
      </c>
      <c r="R80" s="185">
        <f>IFERROR(IF($C80="",-0.00001,SUMIFS(Database!T:T,Database!$E:$E,$C80,Database!$A:$A,$D$1)),-0.00001)</f>
        <v>-1.0000000000000001E-5</v>
      </c>
      <c r="S80" s="186">
        <f t="shared" si="7"/>
        <v>-1.0000000000000001E-5</v>
      </c>
      <c r="T80" s="185">
        <f>IFERROR(IF($C80="",-0.00001,SUMIFS(Database!V:V,Database!$E:$E,$C80,Database!$A:$A,$D$1)),-0.00001)</f>
        <v>-1.0000000000000001E-5</v>
      </c>
      <c r="U80" s="185">
        <f>IFERROR(IF($C80="",-0.00001,SUMIFS(Database!W:W,Database!$E:$E,$C80,Database!$A:$A,$D$1)),-0.00001)</f>
        <v>-1.0000000000000001E-5</v>
      </c>
      <c r="V80" s="186">
        <f t="shared" si="8"/>
        <v>-1.0000000000000001E-5</v>
      </c>
      <c r="W80" s="187"/>
      <c r="X80" s="187"/>
      <c r="Y80" s="187"/>
      <c r="Z80" s="187"/>
      <c r="AA80" s="187"/>
      <c r="AB80" s="187"/>
      <c r="AC80" s="187"/>
      <c r="AD80" s="187"/>
      <c r="AE80" s="187"/>
    </row>
    <row r="81" spans="1:31" x14ac:dyDescent="0.25">
      <c r="A81" s="187"/>
      <c r="B81" s="187"/>
      <c r="C81" s="187"/>
      <c r="D81" s="187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90"/>
      <c r="Q81" s="189"/>
      <c r="R81" s="189"/>
      <c r="S81" s="190"/>
      <c r="T81" s="189"/>
      <c r="U81" s="189"/>
      <c r="V81" s="190"/>
      <c r="W81" s="187"/>
      <c r="X81" s="187"/>
      <c r="Y81" s="187"/>
      <c r="Z81" s="187"/>
      <c r="AA81" s="187"/>
      <c r="AB81" s="187"/>
      <c r="AC81" s="187"/>
      <c r="AD81" s="187"/>
      <c r="AE81" s="187"/>
    </row>
    <row r="82" spans="1:31" x14ac:dyDescent="0.25">
      <c r="A82" s="187"/>
      <c r="B82" s="187"/>
      <c r="C82" s="187"/>
      <c r="D82" s="187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90"/>
      <c r="Q82" s="189"/>
      <c r="R82" s="189"/>
      <c r="S82" s="190"/>
      <c r="T82" s="189"/>
      <c r="U82" s="189"/>
      <c r="V82" s="190"/>
      <c r="W82" s="187"/>
      <c r="X82" s="187"/>
      <c r="Y82" s="187"/>
      <c r="Z82" s="187"/>
      <c r="AA82" s="187"/>
      <c r="AB82" s="187"/>
      <c r="AC82" s="187"/>
      <c r="AD82" s="187"/>
      <c r="AE82" s="187"/>
    </row>
  </sheetData>
  <sheetProtection algorithmName="SHA-512" hashValue="tmWjO31Kj0mAUuN9bcTkDiBBNgrD736j0hg8bBcxaUVfspRmM4QNP+qL1QMZc2zjgBamvY3kiai1yxq0kqF/Ew==" saltValue="JzaVMECCjzI8smeZIHePwA==" spinCount="100000" sheet="1" objects="1" scenarios="1" selectLockedCells="1"/>
  <conditionalFormatting sqref="E4:V80">
    <cfRule type="cellIs" dxfId="30" priority="1" operator="equal">
      <formula>-0.00001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DropDown="1" showInputMessage="1" showErrorMessage="1" xr:uid="{00000000-0002-0000-0000-000000000000}">
          <x14:formula1>
            <xm:f>Lists!$Q$5:$Q$14</xm:f>
          </x14:formula1>
          <xm:sqref>D1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3D1CB-9EE3-48F3-82BE-D71BE1F98F51}">
  <sheetPr codeName="Sheet16">
    <tabColor rgb="FF92D050"/>
  </sheetPr>
  <dimension ref="A1:AE82"/>
  <sheetViews>
    <sheetView showGridLines="0" showRowColHeaders="0" workbookViewId="0">
      <pane xSplit="4" ySplit="3" topLeftCell="E4" activePane="bottomRight" state="frozen"/>
      <selection activeCell="D4" sqref="D4"/>
      <selection pane="topRight" activeCell="D4" sqref="D4"/>
      <selection pane="bottomLeft" activeCell="D4" sqref="D4"/>
      <selection pane="bottomRight" activeCell="C4" sqref="C4"/>
    </sheetView>
  </sheetViews>
  <sheetFormatPr defaultColWidth="8.85546875" defaultRowHeight="15" x14ac:dyDescent="0.25"/>
  <cols>
    <col min="1" max="2" width="2.85546875" customWidth="1"/>
    <col min="3" max="3" width="18.7109375" bestFit="1" customWidth="1"/>
    <col min="4" max="4" width="19.42578125" bestFit="1" customWidth="1"/>
    <col min="5" max="15" width="7.85546875" style="236" customWidth="1"/>
    <col min="16" max="16" width="0.140625" style="105" customWidth="1"/>
    <col min="17" max="18" width="7.85546875" style="236" customWidth="1"/>
    <col min="19" max="19" width="0.140625" style="105" customWidth="1"/>
    <col min="20" max="21" width="7.85546875" style="236" customWidth="1"/>
    <col min="22" max="22" width="0.140625" style="105" hidden="1" customWidth="1"/>
  </cols>
  <sheetData>
    <row r="1" spans="1:31" ht="60" customHeight="1" x14ac:dyDescent="0.4">
      <c r="A1" s="187"/>
      <c r="B1" s="187"/>
      <c r="C1" s="226"/>
      <c r="D1" s="231" t="str">
        <f>Lists!$E$5</f>
        <v>Season 2</v>
      </c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190"/>
      <c r="Q1" s="234"/>
      <c r="R1" s="234"/>
      <c r="S1" s="190"/>
      <c r="T1" s="234"/>
      <c r="U1" s="234"/>
      <c r="V1" s="190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 x14ac:dyDescent="0.25">
      <c r="A2" s="187"/>
      <c r="B2" s="187"/>
      <c r="C2" s="187"/>
      <c r="D2" s="187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190"/>
      <c r="Q2" s="234"/>
      <c r="R2" s="234"/>
      <c r="S2" s="190"/>
      <c r="T2" s="234"/>
      <c r="U2" s="234"/>
      <c r="V2" s="190"/>
      <c r="W2" s="187"/>
      <c r="X2" s="187"/>
      <c r="Y2" s="187"/>
      <c r="Z2" s="187"/>
      <c r="AA2" s="187"/>
      <c r="AB2" s="187"/>
      <c r="AC2" s="187"/>
      <c r="AD2" s="187"/>
      <c r="AE2" s="187"/>
    </row>
    <row r="3" spans="1:31" s="178" customFormat="1" ht="32.25" customHeight="1" thickBot="1" x14ac:dyDescent="0.3">
      <c r="A3" s="188"/>
      <c r="B3" s="188"/>
      <c r="C3" s="179" t="s">
        <v>0</v>
      </c>
      <c r="D3" s="180" t="s">
        <v>70</v>
      </c>
      <c r="E3" s="235" t="s">
        <v>71</v>
      </c>
      <c r="F3" s="235" t="s">
        <v>72</v>
      </c>
      <c r="G3" s="235" t="s">
        <v>73</v>
      </c>
      <c r="H3" s="235" t="s">
        <v>74</v>
      </c>
      <c r="I3" s="235" t="s">
        <v>75</v>
      </c>
      <c r="J3" s="235" t="s">
        <v>76</v>
      </c>
      <c r="K3" s="235" t="s">
        <v>77</v>
      </c>
      <c r="L3" s="235" t="s">
        <v>78</v>
      </c>
      <c r="M3" s="235" t="s">
        <v>79</v>
      </c>
      <c r="N3" s="235" t="s">
        <v>80</v>
      </c>
      <c r="O3" s="235" t="s">
        <v>124</v>
      </c>
      <c r="P3" s="181" t="s">
        <v>82</v>
      </c>
      <c r="Q3" s="235" t="s">
        <v>125</v>
      </c>
      <c r="R3" s="235" t="s">
        <v>126</v>
      </c>
      <c r="S3" s="181" t="s">
        <v>85</v>
      </c>
      <c r="T3" s="235" t="s">
        <v>127</v>
      </c>
      <c r="U3" s="235" t="s">
        <v>128</v>
      </c>
      <c r="V3" s="182" t="s">
        <v>88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7"/>
      <c r="B4" s="187">
        <v>1</v>
      </c>
      <c r="C4" s="145" t="s">
        <v>2</v>
      </c>
      <c r="D4" s="184" t="str">
        <f>IFERROR(VLOOKUP($C4,Rosters!$C$4:$M$239,INDEX(Lists!$N$5:$O$80,MATCH($C4,Lists!$N$5:$N$80,FALSE),2)),"")</f>
        <v>Mustangs</v>
      </c>
      <c r="E4" s="237">
        <f>IF($C4="",-0.00001,COUNTIFS(Database!E:E,$C4,Database!A:A,$D$1))</f>
        <v>4</v>
      </c>
      <c r="F4" s="194">
        <f>IFERROR(IF($C4="",-0.00001,AVERAGEIFS(Database!H:H,Database!$E:$E,$C4,Database!$A:$A,$D$1)),-0.00001)</f>
        <v>25</v>
      </c>
      <c r="G4" s="194">
        <f>IFERROR(IF($C4="",-0.00001,AVERAGEIFS(Database!I:I,Database!$E:$E,$C4,Database!$A:$A,$D$1)),-0.00001)</f>
        <v>5.75</v>
      </c>
      <c r="H4" s="194">
        <f>IFERROR(IF($C4="",-0.00001,AVERAGEIFS(Database!J:J,Database!$E:$E,$C4,Database!$A:$A,$D$1)),-0.00001)</f>
        <v>3.5</v>
      </c>
      <c r="I4" s="194">
        <f>IFERROR(IF($C4="",-0.00001,AVERAGEIFS(Database!K:K,Database!$E:$E,$C4,Database!$A:$A,$D$1)),-0.00001)</f>
        <v>3.5</v>
      </c>
      <c r="J4" s="194">
        <f>IFERROR(IF($C4="",-0.00001,AVERAGEIFS(Database!L:L,Database!$E:$E,$C4,Database!$A:$A,$D$1)),-0.00001)</f>
        <v>0</v>
      </c>
      <c r="K4" s="194">
        <f>IFERROR(IF($C4="",-0.00001,AVERAGEIFS(Database!M:M,Database!$E:$E,$C4,Database!$A:$A,$D$1)),-0.00001)</f>
        <v>3.75</v>
      </c>
      <c r="L4" s="194">
        <f>IFERROR(IF($C4="",-0.00001,AVERAGEIFS(Database!N:N,Database!$E:$E,$C4,Database!$A:$A,$D$1)),-0.00001)</f>
        <v>1.75</v>
      </c>
      <c r="M4" s="194">
        <f>IFERROR(IF($C4="",-0.00001,AVERAGEIFS(Database!O:O,Database!$E:$E,$C4,Database!$A:$A,$D$1)),-0.00001)</f>
        <v>3.25</v>
      </c>
      <c r="N4" s="194">
        <f>IFERROR(IF($C4="",-0.00001,AVERAGEIFS(Database!P:P,Database!$E:$E,$C4,Database!$A:$A,$D$1)),-0.00001)</f>
        <v>4.75</v>
      </c>
      <c r="O4" s="194">
        <f>IFERROR(IF($C4="",-0.00001,AVERAGEIFS(Database!Q:Q,Database!$E:$E,$C4,Database!$A:$A,$D$1)),-0.00001)</f>
        <v>11.25</v>
      </c>
      <c r="P4" s="186">
        <f>IFERROR(IF($C4="",-0.00001,AVERAGEIFS(Database!R:R,Database!$E:$E,$C4,Database!$A:$A,$D$1)),-0.00001)</f>
        <v>0.35808080808080811</v>
      </c>
      <c r="Q4" s="194">
        <f>IFERROR(IF($C4="",-0.00001,AVERAGEIFS(Database!S:S,Database!$E:$E,$C4,Database!$A:$A,$D$1)),-0.00001)</f>
        <v>9.5</v>
      </c>
      <c r="R4" s="194">
        <f>IFERROR(IF($C4="",-0.00001,AVERAGEIFS(Database!T:T,Database!$E:$E,$C4,Database!$A:$A,$D$1)),-0.00001)</f>
        <v>20.5</v>
      </c>
      <c r="S4" s="186">
        <f>IFERROR(IF($C4="",-0.00001,AVERAGEIFS(Database!U:U,Database!$E:$E,$C4,Database!$A:$A,$D$1)),-0.00001)</f>
        <v>0.43450292397660817</v>
      </c>
      <c r="T4" s="194">
        <f>IFERROR(IF($C4="",-0.00001,AVERAGEIFS(Database!V:V,Database!$E:$E,$C4,Database!$A:$A,$D$1)),-0.00001)</f>
        <v>1.25</v>
      </c>
      <c r="U4" s="194">
        <f>IFERROR(IF($C4="",-0.00001,AVERAGEIFS(Database!W:W,Database!$E:$E,$C4,Database!$A:$A,$D$1)),-0.00001)</f>
        <v>1.25</v>
      </c>
      <c r="V4" s="186">
        <f>IFERROR(IF($C4="",-0.00001,AVERAGEIFS(Database!X:X,Database!$E:$E,$C4,Database!$A:$A,$D$1)),-0.00001)</f>
        <v>1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187"/>
      <c r="B5" s="187">
        <f>IF($C5="","",MAX($B$4:$B4)+1)</f>
        <v>2</v>
      </c>
      <c r="C5" s="145" t="s">
        <v>8</v>
      </c>
      <c r="D5" s="183" t="str">
        <f>IFERROR(VLOOKUP($C5,Rosters!$C$4:$M$239,INDEX(Lists!$N$5:$O$80,MATCH($C5,Lists!$N$5:$N$80,FALSE),2)),"")</f>
        <v>Wombats</v>
      </c>
      <c r="E5" s="237">
        <f>IF($C5="",-0.00001,COUNTIFS(Database!E:E,$C5,Database!A:A,$D$1))</f>
        <v>4</v>
      </c>
      <c r="F5" s="194">
        <f>IFERROR(IF($C5="",-0.00001,AVERAGEIFS(Database!H:H,Database!$E:$E,$C5,Database!$A:$A,$D$1)),-0.00001)</f>
        <v>23.75</v>
      </c>
      <c r="G5" s="194">
        <f>IFERROR(IF($C5="",-0.00001,AVERAGEIFS(Database!I:I,Database!$E:$E,$C5,Database!$A:$A,$D$1)),-0.00001)</f>
        <v>5.5</v>
      </c>
      <c r="H5" s="194">
        <f>IFERROR(IF($C5="",-0.00001,AVERAGEIFS(Database!J:J,Database!$E:$E,$C5,Database!$A:$A,$D$1)),-0.00001)</f>
        <v>3.5</v>
      </c>
      <c r="I5" s="194">
        <f>IFERROR(IF($C5="",-0.00001,AVERAGEIFS(Database!K:K,Database!$E:$E,$C5,Database!$A:$A,$D$1)),-0.00001)</f>
        <v>0.5</v>
      </c>
      <c r="J5" s="194">
        <f>IFERROR(IF($C5="",-0.00001,AVERAGEIFS(Database!L:L,Database!$E:$E,$C5,Database!$A:$A,$D$1)),-0.00001)</f>
        <v>0</v>
      </c>
      <c r="K5" s="194">
        <f>IFERROR(IF($C5="",-0.00001,AVERAGEIFS(Database!M:M,Database!$E:$E,$C5,Database!$A:$A,$D$1)),-0.00001)</f>
        <v>3.75</v>
      </c>
      <c r="L5" s="194">
        <f>IFERROR(IF($C5="",-0.00001,AVERAGEIFS(Database!N:N,Database!$E:$E,$C5,Database!$A:$A,$D$1)),-0.00001)</f>
        <v>2.5</v>
      </c>
      <c r="M5" s="194">
        <f>IFERROR(IF($C5="",-0.00001,AVERAGEIFS(Database!O:O,Database!$E:$E,$C5,Database!$A:$A,$D$1)),-0.00001)</f>
        <v>3</v>
      </c>
      <c r="N5" s="194">
        <f>IFERROR(IF($C5="",-0.00001,AVERAGEIFS(Database!P:P,Database!$E:$E,$C5,Database!$A:$A,$D$1)),-0.00001)</f>
        <v>3</v>
      </c>
      <c r="O5" s="194">
        <f>IFERROR(IF($C5="",-0.00001,AVERAGEIFS(Database!Q:Q,Database!$E:$E,$C5,Database!$A:$A,$D$1)),-0.00001)</f>
        <v>9.75</v>
      </c>
      <c r="P5" s="186">
        <f>IFERROR(IF($C5="",-0.00001,AVERAGEIFS(Database!R:R,Database!$E:$E,$C5,Database!$A:$A,$D$1)),-0.00001)</f>
        <v>0.30208333333333331</v>
      </c>
      <c r="Q5" s="194">
        <f>IFERROR(IF($C5="",-0.00001,AVERAGEIFS(Database!S:S,Database!$E:$E,$C5,Database!$A:$A,$D$1)),-0.00001)</f>
        <v>9</v>
      </c>
      <c r="R5" s="194">
        <f>IFERROR(IF($C5="",-0.00001,AVERAGEIFS(Database!T:T,Database!$E:$E,$C5,Database!$A:$A,$D$1)),-0.00001)</f>
        <v>23.75</v>
      </c>
      <c r="S5" s="186">
        <f>IFERROR(IF($C5="",-0.00001,AVERAGEIFS(Database!U:U,Database!$E:$E,$C5,Database!$A:$A,$D$1)),-0.00001)</f>
        <v>0.38237446933099106</v>
      </c>
      <c r="T5" s="194">
        <f>IFERROR(IF($C5="",-0.00001,AVERAGEIFS(Database!V:V,Database!$E:$E,$C5,Database!$A:$A,$D$1)),-0.00001)</f>
        <v>2.75</v>
      </c>
      <c r="U5" s="194">
        <f>IFERROR(IF($C5="",-0.00001,AVERAGEIFS(Database!W:W,Database!$E:$E,$C5,Database!$A:$A,$D$1)),-0.00001)</f>
        <v>5.25</v>
      </c>
      <c r="V5" s="186">
        <f>IFERROR(IF($C5="",-0.00001,AVERAGEIFS(Database!X:X,Database!$E:$E,$C5,Database!$A:$A,$D$1)),-0.00001)</f>
        <v>0.5625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187"/>
      <c r="B6" s="187">
        <f>IF($C6="","",MAX($B$4:$B5)+1)</f>
        <v>3</v>
      </c>
      <c r="C6" s="145" t="s">
        <v>31</v>
      </c>
      <c r="D6" s="183" t="str">
        <f>IFERROR(VLOOKUP($C6,Rosters!$C$4:$M$239,INDEX(Lists!$N$5:$O$80,MATCH($C6,Lists!$N$5:$N$80,FALSE),2)),"")</f>
        <v>Vandals</v>
      </c>
      <c r="E6" s="237">
        <f>IF($C6="",-0.00001,COUNTIFS(Database!E:E,$C6,Database!A:A,$D$1))</f>
        <v>4</v>
      </c>
      <c r="F6" s="194">
        <f>IFERROR(IF($C6="",-0.00001,AVERAGEIFS(Database!H:H,Database!$E:$E,$C6,Database!$A:$A,$D$1)),-0.00001)</f>
        <v>20.5</v>
      </c>
      <c r="G6" s="194">
        <f>IFERROR(IF($C6="",-0.00001,AVERAGEIFS(Database!I:I,Database!$E:$E,$C6,Database!$A:$A,$D$1)),-0.00001)</f>
        <v>5</v>
      </c>
      <c r="H6" s="194">
        <f>IFERROR(IF($C6="",-0.00001,AVERAGEIFS(Database!J:J,Database!$E:$E,$C6,Database!$A:$A,$D$1)),-0.00001)</f>
        <v>2.25</v>
      </c>
      <c r="I6" s="194">
        <f>IFERROR(IF($C6="",-0.00001,AVERAGEIFS(Database!K:K,Database!$E:$E,$C6,Database!$A:$A,$D$1)),-0.00001)</f>
        <v>0.5</v>
      </c>
      <c r="J6" s="194">
        <f>IFERROR(IF($C6="",-0.00001,AVERAGEIFS(Database!L:L,Database!$E:$E,$C6,Database!$A:$A,$D$1)),-0.00001)</f>
        <v>0.75</v>
      </c>
      <c r="K6" s="194">
        <f>IFERROR(IF($C6="",-0.00001,AVERAGEIFS(Database!M:M,Database!$E:$E,$C6,Database!$A:$A,$D$1)),-0.00001)</f>
        <v>4</v>
      </c>
      <c r="L6" s="194">
        <f>IFERROR(IF($C6="",-0.00001,AVERAGEIFS(Database!N:N,Database!$E:$E,$C6,Database!$A:$A,$D$1)),-0.00001)</f>
        <v>0.75</v>
      </c>
      <c r="M6" s="194">
        <f>IFERROR(IF($C6="",-0.00001,AVERAGEIFS(Database!O:O,Database!$E:$E,$C6,Database!$A:$A,$D$1)),-0.00001)</f>
        <v>3.25</v>
      </c>
      <c r="N6" s="194">
        <f>IFERROR(IF($C6="",-0.00001,AVERAGEIFS(Database!P:P,Database!$E:$E,$C6,Database!$A:$A,$D$1)),-0.00001)</f>
        <v>1.75</v>
      </c>
      <c r="O6" s="194">
        <f>IFERROR(IF($C6="",-0.00001,AVERAGEIFS(Database!Q:Q,Database!$E:$E,$C6,Database!$A:$A,$D$1)),-0.00001)</f>
        <v>5.75</v>
      </c>
      <c r="P6" s="186">
        <f>IFERROR(IF($C6="",-0.00001,AVERAGEIFS(Database!R:R,Database!$E:$E,$C6,Database!$A:$A,$D$1)),-0.00001)</f>
        <v>0.30476190476190479</v>
      </c>
      <c r="Q6" s="194">
        <f>IFERROR(IF($C6="",-0.00001,AVERAGEIFS(Database!S:S,Database!$E:$E,$C6,Database!$A:$A,$D$1)),-0.00001)</f>
        <v>8</v>
      </c>
      <c r="R6" s="194">
        <f>IFERROR(IF($C6="",-0.00001,AVERAGEIFS(Database!T:T,Database!$E:$E,$C6,Database!$A:$A,$D$1)),-0.00001)</f>
        <v>19.75</v>
      </c>
      <c r="S6" s="186">
        <f>IFERROR(IF($C6="",-0.00001,AVERAGEIFS(Database!U:U,Database!$E:$E,$C6,Database!$A:$A,$D$1)),-0.00001)</f>
        <v>0.40616753947955991</v>
      </c>
      <c r="T6" s="194">
        <f>IFERROR(IF($C6="",-0.00001,AVERAGEIFS(Database!V:V,Database!$E:$E,$C6,Database!$A:$A,$D$1)),-0.00001)</f>
        <v>2.75</v>
      </c>
      <c r="U6" s="194">
        <f>IFERROR(IF($C6="",-0.00001,AVERAGEIFS(Database!W:W,Database!$E:$E,$C6,Database!$A:$A,$D$1)),-0.00001)</f>
        <v>3.5</v>
      </c>
      <c r="V6" s="186">
        <f>IFERROR(IF($C6="",-0.00001,AVERAGEIFS(Database!X:X,Database!$E:$E,$C6,Database!$A:$A,$D$1)),-0.00001)</f>
        <v>0.7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187"/>
      <c r="B7" s="187">
        <f>IF($C7="","",MAX($B$4:$B6)+1)</f>
        <v>4</v>
      </c>
      <c r="C7" s="145" t="s">
        <v>26</v>
      </c>
      <c r="D7" s="183" t="str">
        <f>IFERROR(VLOOKUP($C7,Rosters!$C$4:$M$239,INDEX(Lists!$N$5:$O$80,MATCH($C7,Lists!$N$5:$N$80,FALSE),2)),"")</f>
        <v>Hoopers</v>
      </c>
      <c r="E7" s="237">
        <f>IF($C7="",-0.00001,COUNTIFS(Database!E:E,$C7,Database!A:A,$D$1))</f>
        <v>4</v>
      </c>
      <c r="F7" s="194">
        <f>IFERROR(IF($C7="",-0.00001,AVERAGEIFS(Database!H:H,Database!$E:$E,$C7,Database!$A:$A,$D$1)),-0.00001)</f>
        <v>19.5</v>
      </c>
      <c r="G7" s="194">
        <f>IFERROR(IF($C7="",-0.00001,AVERAGEIFS(Database!I:I,Database!$E:$E,$C7,Database!$A:$A,$D$1)),-0.00001)</f>
        <v>6.75</v>
      </c>
      <c r="H7" s="194">
        <f>IFERROR(IF($C7="",-0.00001,AVERAGEIFS(Database!J:J,Database!$E:$E,$C7,Database!$A:$A,$D$1)),-0.00001)</f>
        <v>2</v>
      </c>
      <c r="I7" s="194">
        <f>IFERROR(IF($C7="",-0.00001,AVERAGEIFS(Database!K:K,Database!$E:$E,$C7,Database!$A:$A,$D$1)),-0.00001)</f>
        <v>0.5</v>
      </c>
      <c r="J7" s="194">
        <f>IFERROR(IF($C7="",-0.00001,AVERAGEIFS(Database!L:L,Database!$E:$E,$C7,Database!$A:$A,$D$1)),-0.00001)</f>
        <v>0</v>
      </c>
      <c r="K7" s="194">
        <f>IFERROR(IF($C7="",-0.00001,AVERAGEIFS(Database!M:M,Database!$E:$E,$C7,Database!$A:$A,$D$1)),-0.00001)</f>
        <v>1</v>
      </c>
      <c r="L7" s="194">
        <f>IFERROR(IF($C7="",-0.00001,AVERAGEIFS(Database!N:N,Database!$E:$E,$C7,Database!$A:$A,$D$1)),-0.00001)</f>
        <v>3.25</v>
      </c>
      <c r="M7" s="194">
        <f>IFERROR(IF($C7="",-0.00001,AVERAGEIFS(Database!O:O,Database!$E:$E,$C7,Database!$A:$A,$D$1)),-0.00001)</f>
        <v>3.5</v>
      </c>
      <c r="N7" s="194">
        <f>IFERROR(IF($C7="",-0.00001,AVERAGEIFS(Database!P:P,Database!$E:$E,$C7,Database!$A:$A,$D$1)),-0.00001)</f>
        <v>3.75</v>
      </c>
      <c r="O7" s="194">
        <f>IFERROR(IF($C7="",-0.00001,AVERAGEIFS(Database!Q:Q,Database!$E:$E,$C7,Database!$A:$A,$D$1)),-0.00001)</f>
        <v>10.5</v>
      </c>
      <c r="P7" s="186">
        <f>IFERROR(IF($C7="",-0.00001,AVERAGEIFS(Database!R:R,Database!$E:$E,$C7,Database!$A:$A,$D$1)),-0.00001)</f>
        <v>0.29707792207792205</v>
      </c>
      <c r="Q7" s="194">
        <f>IFERROR(IF($C7="",-0.00001,AVERAGEIFS(Database!S:S,Database!$E:$E,$C7,Database!$A:$A,$D$1)),-0.00001)</f>
        <v>7.5</v>
      </c>
      <c r="R7" s="194">
        <f>IFERROR(IF($C7="",-0.00001,AVERAGEIFS(Database!T:T,Database!$E:$E,$C7,Database!$A:$A,$D$1)),-0.00001)</f>
        <v>22</v>
      </c>
      <c r="S7" s="186">
        <f>IFERROR(IF($C7="",-0.00001,AVERAGEIFS(Database!U:U,Database!$E:$E,$C7,Database!$A:$A,$D$1)),-0.00001)</f>
        <v>0.29964001515725658</v>
      </c>
      <c r="T7" s="194">
        <f>IFERROR(IF($C7="",-0.00001,AVERAGEIFS(Database!V:V,Database!$E:$E,$C7,Database!$A:$A,$D$1)),-0.00001)</f>
        <v>0.75</v>
      </c>
      <c r="U7" s="194">
        <f>IFERROR(IF($C7="",-0.00001,AVERAGEIFS(Database!W:W,Database!$E:$E,$C7,Database!$A:$A,$D$1)),-0.00001)</f>
        <v>1</v>
      </c>
      <c r="V7" s="186">
        <f>IFERROR(IF($C7="",-0.00001,AVERAGEIFS(Database!X:X,Database!$E:$E,$C7,Database!$A:$A,$D$1)),-0.00001)</f>
        <v>0.75</v>
      </c>
      <c r="W7" s="187"/>
      <c r="X7" s="187"/>
      <c r="Y7" s="187"/>
      <c r="Z7" s="187"/>
      <c r="AA7" s="187"/>
      <c r="AB7" s="187"/>
      <c r="AC7" s="187"/>
      <c r="AD7" s="187"/>
      <c r="AE7" s="187"/>
    </row>
    <row r="8" spans="1:31" x14ac:dyDescent="0.25">
      <c r="A8" s="187"/>
      <c r="B8" s="187">
        <f>IF($C8="","",MAX($B$4:$B7)+1)</f>
        <v>5</v>
      </c>
      <c r="C8" s="145" t="s">
        <v>1</v>
      </c>
      <c r="D8" s="183" t="str">
        <f>IFERROR(VLOOKUP($C8,Rosters!$C$4:$M$239,INDEX(Lists!$N$5:$O$80,MATCH($C8,Lists!$N$5:$N$80,FALSE),2)),"")</f>
        <v>Mustangs</v>
      </c>
      <c r="E8" s="237">
        <f>IF($C8="",-0.00001,COUNTIFS(Database!E:E,$C8,Database!A:A,$D$1))</f>
        <v>4</v>
      </c>
      <c r="F8" s="194">
        <f>IFERROR(IF($C8="",-0.00001,AVERAGEIFS(Database!H:H,Database!$E:$E,$C8,Database!$A:$A,$D$1)),-0.00001)</f>
        <v>17.5</v>
      </c>
      <c r="G8" s="194">
        <f>IFERROR(IF($C8="",-0.00001,AVERAGEIFS(Database!I:I,Database!$E:$E,$C8,Database!$A:$A,$D$1)),-0.00001)</f>
        <v>10.25</v>
      </c>
      <c r="H8" s="194">
        <f>IFERROR(IF($C8="",-0.00001,AVERAGEIFS(Database!J:J,Database!$E:$E,$C8,Database!$A:$A,$D$1)),-0.00001)</f>
        <v>4.25</v>
      </c>
      <c r="I8" s="194">
        <f>IFERROR(IF($C8="",-0.00001,AVERAGEIFS(Database!K:K,Database!$E:$E,$C8,Database!$A:$A,$D$1)),-0.00001)</f>
        <v>2.25</v>
      </c>
      <c r="J8" s="194">
        <f>IFERROR(IF($C8="",-0.00001,AVERAGEIFS(Database!L:L,Database!$E:$E,$C8,Database!$A:$A,$D$1)),-0.00001)</f>
        <v>0.25</v>
      </c>
      <c r="K8" s="194">
        <f>IFERROR(IF($C8="",-0.00001,AVERAGEIFS(Database!M:M,Database!$E:$E,$C8,Database!$A:$A,$D$1)),-0.00001)</f>
        <v>3</v>
      </c>
      <c r="L8" s="194">
        <f>IFERROR(IF($C8="",-0.00001,AVERAGEIFS(Database!N:N,Database!$E:$E,$C8,Database!$A:$A,$D$1)),-0.00001)</f>
        <v>2.75</v>
      </c>
      <c r="M8" s="194">
        <f>IFERROR(IF($C8="",-0.00001,AVERAGEIFS(Database!O:O,Database!$E:$E,$C8,Database!$A:$A,$D$1)),-0.00001)</f>
        <v>3.25</v>
      </c>
      <c r="N8" s="194">
        <f>IFERROR(IF($C8="",-0.00001,AVERAGEIFS(Database!P:P,Database!$E:$E,$C8,Database!$A:$A,$D$1)),-0.00001)</f>
        <v>3</v>
      </c>
      <c r="O8" s="194">
        <f>IFERROR(IF($C8="",-0.00001,AVERAGEIFS(Database!Q:Q,Database!$E:$E,$C8,Database!$A:$A,$D$1)),-0.00001)</f>
        <v>9</v>
      </c>
      <c r="P8" s="186">
        <f>IFERROR(IF($C8="",-0.00001,AVERAGEIFS(Database!R:R,Database!$E:$E,$C8,Database!$A:$A,$D$1)),-0.00001)</f>
        <v>0.35189393939393943</v>
      </c>
      <c r="Q8" s="194">
        <f>IFERROR(IF($C8="",-0.00001,AVERAGEIFS(Database!S:S,Database!$E:$E,$C8,Database!$A:$A,$D$1)),-0.00001)</f>
        <v>7</v>
      </c>
      <c r="R8" s="194">
        <f>IFERROR(IF($C8="",-0.00001,AVERAGEIFS(Database!T:T,Database!$E:$E,$C8,Database!$A:$A,$D$1)),-0.00001)</f>
        <v>16.25</v>
      </c>
      <c r="S8" s="186">
        <f>IFERROR(IF($C8="",-0.00001,AVERAGEIFS(Database!U:U,Database!$E:$E,$C8,Database!$A:$A,$D$1)),-0.00001)</f>
        <v>0.44598214285714288</v>
      </c>
      <c r="T8" s="194">
        <f>IFERROR(IF($C8="",-0.00001,AVERAGEIFS(Database!V:V,Database!$E:$E,$C8,Database!$A:$A,$D$1)),-0.00001)</f>
        <v>0.5</v>
      </c>
      <c r="U8" s="194">
        <f>IFERROR(IF($C8="",-0.00001,AVERAGEIFS(Database!W:W,Database!$E:$E,$C8,Database!$A:$A,$D$1)),-0.00001)</f>
        <v>1</v>
      </c>
      <c r="V8" s="186">
        <f>IFERROR(IF($C8="",-0.00001,AVERAGEIFS(Database!X:X,Database!$E:$E,$C8,Database!$A:$A,$D$1)),-0.00001)</f>
        <v>0.5</v>
      </c>
      <c r="W8" s="187"/>
      <c r="X8" s="187"/>
      <c r="Y8" s="187"/>
      <c r="Z8" s="187"/>
      <c r="AA8" s="187"/>
      <c r="AB8" s="187"/>
      <c r="AC8" s="187"/>
      <c r="AD8" s="187"/>
      <c r="AE8" s="187"/>
    </row>
    <row r="9" spans="1:31" x14ac:dyDescent="0.25">
      <c r="A9" s="187"/>
      <c r="B9" s="187">
        <f>IF($C9="","",MAX($B$4:$B8)+1)</f>
        <v>6</v>
      </c>
      <c r="C9" s="145" t="s">
        <v>22</v>
      </c>
      <c r="D9" s="183" t="str">
        <f>IFERROR(VLOOKUP($C9,Rosters!$C$4:$M$239,INDEX(Lists!$N$5:$O$80,MATCH($C9,Lists!$N$5:$N$80,FALSE),2)),"")</f>
        <v>Lightning</v>
      </c>
      <c r="E9" s="237">
        <f>IF($C9="",-0.00001,COUNTIFS(Database!E:E,$C9,Database!A:A,$D$1))</f>
        <v>2</v>
      </c>
      <c r="F9" s="194">
        <f>IFERROR(IF($C9="",-0.00001,AVERAGEIFS(Database!H:H,Database!$E:$E,$C9,Database!$A:$A,$D$1)),-0.00001)</f>
        <v>17.5</v>
      </c>
      <c r="G9" s="194">
        <f>IFERROR(IF($C9="",-0.00001,AVERAGEIFS(Database!I:I,Database!$E:$E,$C9,Database!$A:$A,$D$1)),-0.00001)</f>
        <v>7</v>
      </c>
      <c r="H9" s="194">
        <f>IFERROR(IF($C9="",-0.00001,AVERAGEIFS(Database!J:J,Database!$E:$E,$C9,Database!$A:$A,$D$1)),-0.00001)</f>
        <v>3</v>
      </c>
      <c r="I9" s="194">
        <f>IFERROR(IF($C9="",-0.00001,AVERAGEIFS(Database!K:K,Database!$E:$E,$C9,Database!$A:$A,$D$1)),-0.00001)</f>
        <v>2.5</v>
      </c>
      <c r="J9" s="194">
        <f>IFERROR(IF($C9="",-0.00001,AVERAGEIFS(Database!L:L,Database!$E:$E,$C9,Database!$A:$A,$D$1)),-0.00001)</f>
        <v>0</v>
      </c>
      <c r="K9" s="194">
        <f>IFERROR(IF($C9="",-0.00001,AVERAGEIFS(Database!M:M,Database!$E:$E,$C9,Database!$A:$A,$D$1)),-0.00001)</f>
        <v>2.5</v>
      </c>
      <c r="L9" s="194">
        <f>IFERROR(IF($C9="",-0.00001,AVERAGEIFS(Database!N:N,Database!$E:$E,$C9,Database!$A:$A,$D$1)),-0.00001)</f>
        <v>1</v>
      </c>
      <c r="M9" s="194">
        <f>IFERROR(IF($C9="",-0.00001,AVERAGEIFS(Database!O:O,Database!$E:$E,$C9,Database!$A:$A,$D$1)),-0.00001)</f>
        <v>6</v>
      </c>
      <c r="N9" s="194">
        <f>IFERROR(IF($C9="",-0.00001,AVERAGEIFS(Database!P:P,Database!$E:$E,$C9,Database!$A:$A,$D$1)),-0.00001)</f>
        <v>4</v>
      </c>
      <c r="O9" s="194">
        <f>IFERROR(IF($C9="",-0.00001,AVERAGEIFS(Database!Q:Q,Database!$E:$E,$C9,Database!$A:$A,$D$1)),-0.00001)</f>
        <v>11</v>
      </c>
      <c r="P9" s="186">
        <f>IFERROR(IF($C9="",-0.00001,AVERAGEIFS(Database!R:R,Database!$E:$E,$C9,Database!$A:$A,$D$1)),-0.00001)</f>
        <v>0.375</v>
      </c>
      <c r="Q9" s="194">
        <f>IFERROR(IF($C9="",-0.00001,AVERAGEIFS(Database!S:S,Database!$E:$E,$C9,Database!$A:$A,$D$1)),-0.00001)</f>
        <v>6.5</v>
      </c>
      <c r="R9" s="194">
        <f>IFERROR(IF($C9="",-0.00001,AVERAGEIFS(Database!T:T,Database!$E:$E,$C9,Database!$A:$A,$D$1)),-0.00001)</f>
        <v>16</v>
      </c>
      <c r="S9" s="186">
        <f>IFERROR(IF($C9="",-0.00001,AVERAGEIFS(Database!U:U,Database!$E:$E,$C9,Database!$A:$A,$D$1)),-0.00001)</f>
        <v>0.40196078431372551</v>
      </c>
      <c r="T9" s="194">
        <f>IFERROR(IF($C9="",-0.00001,AVERAGEIFS(Database!V:V,Database!$E:$E,$C9,Database!$A:$A,$D$1)),-0.00001)</f>
        <v>0.5</v>
      </c>
      <c r="U9" s="194">
        <f>IFERROR(IF($C9="",-0.00001,AVERAGEIFS(Database!W:W,Database!$E:$E,$C9,Database!$A:$A,$D$1)),-0.00001)</f>
        <v>1</v>
      </c>
      <c r="V9" s="186">
        <f>IFERROR(IF($C9="",-0.00001,AVERAGEIFS(Database!X:X,Database!$E:$E,$C9,Database!$A:$A,$D$1)),-0.00001)</f>
        <v>0.5</v>
      </c>
      <c r="W9" s="187"/>
      <c r="X9" s="187"/>
      <c r="Y9" s="187"/>
      <c r="Z9" s="187"/>
      <c r="AA9" s="187"/>
      <c r="AB9" s="187"/>
      <c r="AC9" s="187"/>
      <c r="AD9" s="187"/>
      <c r="AE9" s="187"/>
    </row>
    <row r="10" spans="1:31" x14ac:dyDescent="0.25">
      <c r="A10" s="187"/>
      <c r="B10" s="187">
        <f>IF($C10="","",MAX($B$4:$B9)+1)</f>
        <v>7</v>
      </c>
      <c r="C10" s="145" t="s">
        <v>19</v>
      </c>
      <c r="D10" s="183" t="str">
        <f>IFERROR(VLOOKUP($C10,Rosters!$C$4:$M$239,INDEX(Lists!$N$5:$O$80,MATCH($C10,Lists!$N$5:$N$80,FALSE),2)),"")</f>
        <v>Lightning</v>
      </c>
      <c r="E10" s="237">
        <f>IF($C10="",-0.00001,COUNTIFS(Database!E:E,$C10,Database!A:A,$D$1))</f>
        <v>4</v>
      </c>
      <c r="F10" s="194">
        <f>IFERROR(IF($C10="",-0.00001,AVERAGEIFS(Database!H:H,Database!$E:$E,$C10,Database!$A:$A,$D$1)),-0.00001)</f>
        <v>16.75</v>
      </c>
      <c r="G10" s="194">
        <f>IFERROR(IF($C10="",-0.00001,AVERAGEIFS(Database!I:I,Database!$E:$E,$C10,Database!$A:$A,$D$1)),-0.00001)</f>
        <v>12.25</v>
      </c>
      <c r="H10" s="194">
        <f>IFERROR(IF($C10="",-0.00001,AVERAGEIFS(Database!J:J,Database!$E:$E,$C10,Database!$A:$A,$D$1)),-0.00001)</f>
        <v>5.75</v>
      </c>
      <c r="I10" s="194">
        <f>IFERROR(IF($C10="",-0.00001,AVERAGEIFS(Database!K:K,Database!$E:$E,$C10,Database!$A:$A,$D$1)),-0.00001)</f>
        <v>3.25</v>
      </c>
      <c r="J10" s="194">
        <f>IFERROR(IF($C10="",-0.00001,AVERAGEIFS(Database!L:L,Database!$E:$E,$C10,Database!$A:$A,$D$1)),-0.00001)</f>
        <v>3.5</v>
      </c>
      <c r="K10" s="194">
        <f>IFERROR(IF($C10="",-0.00001,AVERAGEIFS(Database!M:M,Database!$E:$E,$C10,Database!$A:$A,$D$1)),-0.00001)</f>
        <v>2</v>
      </c>
      <c r="L10" s="194">
        <f>IFERROR(IF($C10="",-0.00001,AVERAGEIFS(Database!N:N,Database!$E:$E,$C10,Database!$A:$A,$D$1)),-0.00001)</f>
        <v>2.75</v>
      </c>
      <c r="M10" s="194">
        <f>IFERROR(IF($C10="",-0.00001,AVERAGEIFS(Database!O:O,Database!$E:$E,$C10,Database!$A:$A,$D$1)),-0.00001)</f>
        <v>9.5</v>
      </c>
      <c r="N10" s="194">
        <f>IFERROR(IF($C10="",-0.00001,AVERAGEIFS(Database!P:P,Database!$E:$E,$C10,Database!$A:$A,$D$1)),-0.00001)</f>
        <v>0.5</v>
      </c>
      <c r="O10" s="194">
        <f>IFERROR(IF($C10="",-0.00001,AVERAGEIFS(Database!Q:Q,Database!$E:$E,$C10,Database!$A:$A,$D$1)),-0.00001)</f>
        <v>1</v>
      </c>
      <c r="P10" s="186">
        <f>IFERROR(IF($C10="",-0.00001,AVERAGEIFS(Database!R:R,Database!$E:$E,$C10,Database!$A:$A,$D$1)),-0.00001)</f>
        <v>0.5</v>
      </c>
      <c r="Q10" s="194">
        <f>IFERROR(IF($C10="",-0.00001,AVERAGEIFS(Database!S:S,Database!$E:$E,$C10,Database!$A:$A,$D$1)),-0.00001)</f>
        <v>7</v>
      </c>
      <c r="R10" s="194">
        <f>IFERROR(IF($C10="",-0.00001,AVERAGEIFS(Database!T:T,Database!$E:$E,$C10,Database!$A:$A,$D$1)),-0.00001)</f>
        <v>12.25</v>
      </c>
      <c r="S10" s="186">
        <f>IFERROR(IF($C10="",-0.00001,AVERAGEIFS(Database!U:U,Database!$E:$E,$C10,Database!$A:$A,$D$1)),-0.00001)</f>
        <v>0.56370192307692302</v>
      </c>
      <c r="T10" s="194">
        <f>IFERROR(IF($C10="",-0.00001,AVERAGEIFS(Database!V:V,Database!$E:$E,$C10,Database!$A:$A,$D$1)),-0.00001)</f>
        <v>2.25</v>
      </c>
      <c r="U10" s="194">
        <f>IFERROR(IF($C10="",-0.00001,AVERAGEIFS(Database!W:W,Database!$E:$E,$C10,Database!$A:$A,$D$1)),-0.00001)</f>
        <v>5</v>
      </c>
      <c r="V10" s="186">
        <f>IFERROR(IF($C10="",-0.00001,AVERAGEIFS(Database!X:X,Database!$E:$E,$C10,Database!$A:$A,$D$1)),-0.00001)</f>
        <v>0.41666666666666669</v>
      </c>
      <c r="W10" s="187"/>
      <c r="X10" s="187"/>
      <c r="Y10" s="187"/>
      <c r="Z10" s="187"/>
      <c r="AA10" s="187"/>
      <c r="AB10" s="187"/>
      <c r="AC10" s="187"/>
      <c r="AD10" s="187"/>
      <c r="AE10" s="187"/>
    </row>
    <row r="11" spans="1:31" x14ac:dyDescent="0.25">
      <c r="A11" s="187"/>
      <c r="B11" s="187">
        <f>IF($C11="","",MAX($B$4:$B10)+1)</f>
        <v>8</v>
      </c>
      <c r="C11" s="145" t="s">
        <v>20</v>
      </c>
      <c r="D11" s="183" t="str">
        <f>IFERROR(VLOOKUP($C11,Rosters!$C$4:$M$239,INDEX(Lists!$N$5:$O$80,MATCH($C11,Lists!$N$5:$N$80,FALSE),2)),"")</f>
        <v>Lightning</v>
      </c>
      <c r="E11" s="237">
        <f>IF($C11="",-0.00001,COUNTIFS(Database!E:E,$C11,Database!A:A,$D$1))</f>
        <v>4</v>
      </c>
      <c r="F11" s="194">
        <f>IFERROR(IF($C11="",-0.00001,AVERAGEIFS(Database!H:H,Database!$E:$E,$C11,Database!$A:$A,$D$1)),-0.00001)</f>
        <v>15.5</v>
      </c>
      <c r="G11" s="194">
        <f>IFERROR(IF($C11="",-0.00001,AVERAGEIFS(Database!I:I,Database!$E:$E,$C11,Database!$A:$A,$D$1)),-0.00001)</f>
        <v>5.25</v>
      </c>
      <c r="H11" s="194">
        <f>IFERROR(IF($C11="",-0.00001,AVERAGEIFS(Database!J:J,Database!$E:$E,$C11,Database!$A:$A,$D$1)),-0.00001)</f>
        <v>2</v>
      </c>
      <c r="I11" s="194">
        <f>IFERROR(IF($C11="",-0.00001,AVERAGEIFS(Database!K:K,Database!$E:$E,$C11,Database!$A:$A,$D$1)),-0.00001)</f>
        <v>2</v>
      </c>
      <c r="J11" s="194">
        <f>IFERROR(IF($C11="",-0.00001,AVERAGEIFS(Database!L:L,Database!$E:$E,$C11,Database!$A:$A,$D$1)),-0.00001)</f>
        <v>0.25</v>
      </c>
      <c r="K11" s="194">
        <f>IFERROR(IF($C11="",-0.00001,AVERAGEIFS(Database!M:M,Database!$E:$E,$C11,Database!$A:$A,$D$1)),-0.00001)</f>
        <v>0.75</v>
      </c>
      <c r="L11" s="194">
        <f>IFERROR(IF($C11="",-0.00001,AVERAGEIFS(Database!N:N,Database!$E:$E,$C11,Database!$A:$A,$D$1)),-0.00001)</f>
        <v>2</v>
      </c>
      <c r="M11" s="194">
        <f>IFERROR(IF($C11="",-0.00001,AVERAGEIFS(Database!O:O,Database!$E:$E,$C11,Database!$A:$A,$D$1)),-0.00001)</f>
        <v>3.25</v>
      </c>
      <c r="N11" s="194">
        <f>IFERROR(IF($C11="",-0.00001,AVERAGEIFS(Database!P:P,Database!$E:$E,$C11,Database!$A:$A,$D$1)),-0.00001)</f>
        <v>1.75</v>
      </c>
      <c r="O11" s="194">
        <f>IFERROR(IF($C11="",-0.00001,AVERAGEIFS(Database!Q:Q,Database!$E:$E,$C11,Database!$A:$A,$D$1)),-0.00001)</f>
        <v>6.25</v>
      </c>
      <c r="P11" s="186">
        <f>IFERROR(IF($C11="",-0.00001,AVERAGEIFS(Database!R:R,Database!$E:$E,$C11,Database!$A:$A,$D$1)),-0.00001)</f>
        <v>0.17207792207792205</v>
      </c>
      <c r="Q11" s="194">
        <f>IFERROR(IF($C11="",-0.00001,AVERAGEIFS(Database!S:S,Database!$E:$E,$C11,Database!$A:$A,$D$1)),-0.00001)</f>
        <v>6.75</v>
      </c>
      <c r="R11" s="194">
        <f>IFERROR(IF($C11="",-0.00001,AVERAGEIFS(Database!T:T,Database!$E:$E,$C11,Database!$A:$A,$D$1)),-0.00001)</f>
        <v>17.5</v>
      </c>
      <c r="S11" s="186">
        <f>IFERROR(IF($C11="",-0.00001,AVERAGEIFS(Database!U:U,Database!$E:$E,$C11,Database!$A:$A,$D$1)),-0.00001)</f>
        <v>0.36562499999999998</v>
      </c>
      <c r="T11" s="194">
        <f>IFERROR(IF($C11="",-0.00001,AVERAGEIFS(Database!V:V,Database!$E:$E,$C11,Database!$A:$A,$D$1)),-0.00001)</f>
        <v>0.25</v>
      </c>
      <c r="U11" s="194">
        <f>IFERROR(IF($C11="",-0.00001,AVERAGEIFS(Database!W:W,Database!$E:$E,$C11,Database!$A:$A,$D$1)),-0.00001)</f>
        <v>0.25</v>
      </c>
      <c r="V11" s="186">
        <f>IFERROR(IF($C11="",-0.00001,AVERAGEIFS(Database!X:X,Database!$E:$E,$C11,Database!$A:$A,$D$1)),-0.00001)</f>
        <v>1</v>
      </c>
      <c r="W11" s="187"/>
      <c r="X11" s="187"/>
      <c r="Y11" s="187"/>
      <c r="Z11" s="187"/>
      <c r="AA11" s="187"/>
      <c r="AB11" s="187"/>
      <c r="AC11" s="187"/>
      <c r="AD11" s="187"/>
      <c r="AE11" s="187"/>
    </row>
    <row r="12" spans="1:31" x14ac:dyDescent="0.25">
      <c r="A12" s="187"/>
      <c r="B12" s="187">
        <f>IF($C12="","",MAX($B$4:$B11)+1)</f>
        <v>9</v>
      </c>
      <c r="C12" s="145" t="s">
        <v>27</v>
      </c>
      <c r="D12" s="183" t="str">
        <f>IFERROR(VLOOKUP($C12,Rosters!$C$4:$M$239,INDEX(Lists!$N$5:$O$80,MATCH($C12,Lists!$N$5:$N$80,FALSE),2)),"")</f>
        <v>Hoopers</v>
      </c>
      <c r="E12" s="237">
        <f>IF($C12="",-0.00001,COUNTIFS(Database!E:E,$C12,Database!A:A,$D$1))</f>
        <v>4</v>
      </c>
      <c r="F12" s="194">
        <f>IFERROR(IF($C12="",-0.00001,AVERAGEIFS(Database!H:H,Database!$E:$E,$C12,Database!$A:$A,$D$1)),-0.00001)</f>
        <v>15.25</v>
      </c>
      <c r="G12" s="194">
        <f>IFERROR(IF($C12="",-0.00001,AVERAGEIFS(Database!I:I,Database!$E:$E,$C12,Database!$A:$A,$D$1)),-0.00001)</f>
        <v>6.25</v>
      </c>
      <c r="H12" s="194">
        <f>IFERROR(IF($C12="",-0.00001,AVERAGEIFS(Database!J:J,Database!$E:$E,$C12,Database!$A:$A,$D$1)),-0.00001)</f>
        <v>0.25</v>
      </c>
      <c r="I12" s="194">
        <f>IFERROR(IF($C12="",-0.00001,AVERAGEIFS(Database!K:K,Database!$E:$E,$C12,Database!$A:$A,$D$1)),-0.00001)</f>
        <v>1.25</v>
      </c>
      <c r="J12" s="194">
        <f>IFERROR(IF($C12="",-0.00001,AVERAGEIFS(Database!L:L,Database!$E:$E,$C12,Database!$A:$A,$D$1)),-0.00001)</f>
        <v>0</v>
      </c>
      <c r="K12" s="194">
        <f>IFERROR(IF($C12="",-0.00001,AVERAGEIFS(Database!M:M,Database!$E:$E,$C12,Database!$A:$A,$D$1)),-0.00001)</f>
        <v>1.5</v>
      </c>
      <c r="L12" s="194">
        <f>IFERROR(IF($C12="",-0.00001,AVERAGEIFS(Database!N:N,Database!$E:$E,$C12,Database!$A:$A,$D$1)),-0.00001)</f>
        <v>2.25</v>
      </c>
      <c r="M12" s="194">
        <f>IFERROR(IF($C12="",-0.00001,AVERAGEIFS(Database!O:O,Database!$E:$E,$C12,Database!$A:$A,$D$1)),-0.00001)</f>
        <v>4</v>
      </c>
      <c r="N12" s="194">
        <f>IFERROR(IF($C12="",-0.00001,AVERAGEIFS(Database!P:P,Database!$E:$E,$C12,Database!$A:$A,$D$1)),-0.00001)</f>
        <v>1</v>
      </c>
      <c r="O12" s="194">
        <f>IFERROR(IF($C12="",-0.00001,AVERAGEIFS(Database!Q:Q,Database!$E:$E,$C12,Database!$A:$A,$D$1)),-0.00001)</f>
        <v>5.5</v>
      </c>
      <c r="P12" s="186">
        <f>IFERROR(IF($C12="",-0.00001,AVERAGEIFS(Database!R:R,Database!$E:$E,$C12,Database!$A:$A,$D$1)),-0.00001)</f>
        <v>0.20512820512820512</v>
      </c>
      <c r="Q12" s="194">
        <f>IFERROR(IF($C12="",-0.00001,AVERAGEIFS(Database!S:S,Database!$E:$E,$C12,Database!$A:$A,$D$1)),-0.00001)</f>
        <v>7</v>
      </c>
      <c r="R12" s="194">
        <f>IFERROR(IF($C12="",-0.00001,AVERAGEIFS(Database!T:T,Database!$E:$E,$C12,Database!$A:$A,$D$1)),-0.00001)</f>
        <v>20</v>
      </c>
      <c r="S12" s="186">
        <f>IFERROR(IF($C12="",-0.00001,AVERAGEIFS(Database!U:U,Database!$E:$E,$C12,Database!$A:$A,$D$1)),-0.00001)</f>
        <v>0.32800066312997345</v>
      </c>
      <c r="T12" s="194">
        <f>IFERROR(IF($C12="",-0.00001,AVERAGEIFS(Database!V:V,Database!$E:$E,$C12,Database!$A:$A,$D$1)),-0.00001)</f>
        <v>0.25</v>
      </c>
      <c r="U12" s="194">
        <f>IFERROR(IF($C12="",-0.00001,AVERAGEIFS(Database!W:W,Database!$E:$E,$C12,Database!$A:$A,$D$1)),-0.00001)</f>
        <v>1.75</v>
      </c>
      <c r="V12" s="186">
        <f>IFERROR(IF($C12="",-0.00001,AVERAGEIFS(Database!X:X,Database!$E:$E,$C12,Database!$A:$A,$D$1)),-0.00001)</f>
        <v>0.16666666666666666</v>
      </c>
      <c r="W12" s="187"/>
      <c r="X12" s="187"/>
      <c r="Y12" s="187"/>
      <c r="Z12" s="187"/>
      <c r="AA12" s="187"/>
      <c r="AB12" s="187"/>
      <c r="AC12" s="187"/>
      <c r="AD12" s="187"/>
      <c r="AE12" s="187"/>
    </row>
    <row r="13" spans="1:31" x14ac:dyDescent="0.25">
      <c r="A13" s="187"/>
      <c r="B13" s="187">
        <f>IF($C13="","",MAX($B$4:$B12)+1)</f>
        <v>10</v>
      </c>
      <c r="C13" s="145" t="s">
        <v>34</v>
      </c>
      <c r="D13" s="183" t="str">
        <f>IFERROR(VLOOKUP($C13,Rosters!$C$4:$M$239,INDEX(Lists!$N$5:$O$80,MATCH($C13,Lists!$N$5:$N$80,FALSE),2)),"")</f>
        <v>Vandals</v>
      </c>
      <c r="E13" s="237">
        <f>IF($C13="",-0.00001,COUNTIFS(Database!E:E,$C13,Database!A:A,$D$1))</f>
        <v>3</v>
      </c>
      <c r="F13" s="194">
        <f>IFERROR(IF($C13="",-0.00001,AVERAGEIFS(Database!H:H,Database!$E:$E,$C13,Database!$A:$A,$D$1)),-0.00001)</f>
        <v>14</v>
      </c>
      <c r="G13" s="194">
        <f>IFERROR(IF($C13="",-0.00001,AVERAGEIFS(Database!I:I,Database!$E:$E,$C13,Database!$A:$A,$D$1)),-0.00001)</f>
        <v>10</v>
      </c>
      <c r="H13" s="194">
        <f>IFERROR(IF($C13="",-0.00001,AVERAGEIFS(Database!J:J,Database!$E:$E,$C13,Database!$A:$A,$D$1)),-0.00001)</f>
        <v>2</v>
      </c>
      <c r="I13" s="194">
        <f>IFERROR(IF($C13="",-0.00001,AVERAGEIFS(Database!K:K,Database!$E:$E,$C13,Database!$A:$A,$D$1)),-0.00001)</f>
        <v>2.6666666666666665</v>
      </c>
      <c r="J13" s="194">
        <f>IFERROR(IF($C13="",-0.00001,AVERAGEIFS(Database!L:L,Database!$E:$E,$C13,Database!$A:$A,$D$1)),-0.00001)</f>
        <v>0</v>
      </c>
      <c r="K13" s="194">
        <f>IFERROR(IF($C13="",-0.00001,AVERAGEIFS(Database!M:M,Database!$E:$E,$C13,Database!$A:$A,$D$1)),-0.00001)</f>
        <v>4.333333333333333</v>
      </c>
      <c r="L13" s="194">
        <f>IFERROR(IF($C13="",-0.00001,AVERAGEIFS(Database!N:N,Database!$E:$E,$C13,Database!$A:$A,$D$1)),-0.00001)</f>
        <v>2.3333333333333335</v>
      </c>
      <c r="M13" s="194">
        <f>IFERROR(IF($C13="",-0.00001,AVERAGEIFS(Database!O:O,Database!$E:$E,$C13,Database!$A:$A,$D$1)),-0.00001)</f>
        <v>4</v>
      </c>
      <c r="N13" s="194">
        <f>IFERROR(IF($C13="",-0.00001,AVERAGEIFS(Database!P:P,Database!$E:$E,$C13,Database!$A:$A,$D$1)),-0.00001)</f>
        <v>0.66666666666666663</v>
      </c>
      <c r="O13" s="194">
        <f>IFERROR(IF($C13="",-0.00001,AVERAGEIFS(Database!Q:Q,Database!$E:$E,$C13,Database!$A:$A,$D$1)),-0.00001)</f>
        <v>2.6666666666666665</v>
      </c>
      <c r="P13" s="186">
        <f>IFERROR(IF($C13="",-0.00001,AVERAGEIFS(Database!R:R,Database!$E:$E,$C13,Database!$A:$A,$D$1)),-0.00001)</f>
        <v>0.13333333333333333</v>
      </c>
      <c r="Q13" s="194">
        <f>IFERROR(IF($C13="",-0.00001,AVERAGEIFS(Database!S:S,Database!$E:$E,$C13,Database!$A:$A,$D$1)),-0.00001)</f>
        <v>5.666666666666667</v>
      </c>
      <c r="R13" s="194">
        <f>IFERROR(IF($C13="",-0.00001,AVERAGEIFS(Database!T:T,Database!$E:$E,$C13,Database!$A:$A,$D$1)),-0.00001)</f>
        <v>14</v>
      </c>
      <c r="S13" s="186">
        <f>IFERROR(IF($C13="",-0.00001,AVERAGEIFS(Database!U:U,Database!$E:$E,$C13,Database!$A:$A,$D$1)),-0.00001)</f>
        <v>0.40122100122100118</v>
      </c>
      <c r="T13" s="194">
        <f>IFERROR(IF($C13="",-0.00001,AVERAGEIFS(Database!V:V,Database!$E:$E,$C13,Database!$A:$A,$D$1)),-0.00001)</f>
        <v>2</v>
      </c>
      <c r="U13" s="194">
        <f>IFERROR(IF($C13="",-0.00001,AVERAGEIFS(Database!W:W,Database!$E:$E,$C13,Database!$A:$A,$D$1)),-0.00001)</f>
        <v>2.3333333333333335</v>
      </c>
      <c r="V13" s="186">
        <f>IFERROR(IF($C13="",-0.00001,AVERAGEIFS(Database!X:X,Database!$E:$E,$C13,Database!$A:$A,$D$1)),-0.00001)</f>
        <v>0.91666666666666674</v>
      </c>
      <c r="W13" s="187"/>
      <c r="X13" s="187"/>
      <c r="Y13" s="187"/>
      <c r="Z13" s="187"/>
      <c r="AA13" s="187"/>
      <c r="AB13" s="187"/>
      <c r="AC13" s="187"/>
      <c r="AD13" s="187"/>
      <c r="AE13" s="187"/>
    </row>
    <row r="14" spans="1:31" x14ac:dyDescent="0.25">
      <c r="A14" s="187"/>
      <c r="B14" s="187">
        <f>IF($C14="","",MAX($B$4:$B13)+1)</f>
        <v>11</v>
      </c>
      <c r="C14" s="145" t="s">
        <v>14</v>
      </c>
      <c r="D14" s="183" t="str">
        <f>IFERROR(VLOOKUP($C14,Rosters!$C$4:$M$239,INDEX(Lists!$N$5:$O$80,MATCH($C14,Lists!$N$5:$N$80,FALSE),2)),"")</f>
        <v>Pistons</v>
      </c>
      <c r="E14" s="237">
        <f>IF($C14="",-0.00001,COUNTIFS(Database!E:E,$C14,Database!A:A,$D$1))</f>
        <v>3</v>
      </c>
      <c r="F14" s="194">
        <f>IFERROR(IF($C14="",-0.00001,AVERAGEIFS(Database!H:H,Database!$E:$E,$C14,Database!$A:$A,$D$1)),-0.00001)</f>
        <v>14</v>
      </c>
      <c r="G14" s="194">
        <f>IFERROR(IF($C14="",-0.00001,AVERAGEIFS(Database!I:I,Database!$E:$E,$C14,Database!$A:$A,$D$1)),-0.00001)</f>
        <v>7.333333333333333</v>
      </c>
      <c r="H14" s="194">
        <f>IFERROR(IF($C14="",-0.00001,AVERAGEIFS(Database!J:J,Database!$E:$E,$C14,Database!$A:$A,$D$1)),-0.00001)</f>
        <v>1.6666666666666667</v>
      </c>
      <c r="I14" s="194">
        <f>IFERROR(IF($C14="",-0.00001,AVERAGEIFS(Database!K:K,Database!$E:$E,$C14,Database!$A:$A,$D$1)),-0.00001)</f>
        <v>1</v>
      </c>
      <c r="J14" s="194">
        <f>IFERROR(IF($C14="",-0.00001,AVERAGEIFS(Database!L:L,Database!$E:$E,$C14,Database!$A:$A,$D$1)),-0.00001)</f>
        <v>0.33333333333333331</v>
      </c>
      <c r="K14" s="194">
        <f>IFERROR(IF($C14="",-0.00001,AVERAGEIFS(Database!M:M,Database!$E:$E,$C14,Database!$A:$A,$D$1)),-0.00001)</f>
        <v>0.66666666666666663</v>
      </c>
      <c r="L14" s="194">
        <f>IFERROR(IF($C14="",-0.00001,AVERAGEIFS(Database!N:N,Database!$E:$E,$C14,Database!$A:$A,$D$1)),-0.00001)</f>
        <v>2.3333333333333335</v>
      </c>
      <c r="M14" s="194">
        <f>IFERROR(IF($C14="",-0.00001,AVERAGEIFS(Database!O:O,Database!$E:$E,$C14,Database!$A:$A,$D$1)),-0.00001)</f>
        <v>5</v>
      </c>
      <c r="N14" s="194">
        <f>IFERROR(IF($C14="",-0.00001,AVERAGEIFS(Database!P:P,Database!$E:$E,$C14,Database!$A:$A,$D$1)),-0.00001)</f>
        <v>3.3333333333333335</v>
      </c>
      <c r="O14" s="194">
        <f>IFERROR(IF($C14="",-0.00001,AVERAGEIFS(Database!Q:Q,Database!$E:$E,$C14,Database!$A:$A,$D$1)),-0.00001)</f>
        <v>11</v>
      </c>
      <c r="P14" s="186">
        <f>IFERROR(IF($C14="",-0.00001,AVERAGEIFS(Database!R:R,Database!$E:$E,$C14,Database!$A:$A,$D$1)),-0.00001)</f>
        <v>0.32064232064232062</v>
      </c>
      <c r="Q14" s="194">
        <f>IFERROR(IF($C14="",-0.00001,AVERAGEIFS(Database!S:S,Database!$E:$E,$C14,Database!$A:$A,$D$1)),-0.00001)</f>
        <v>5.333333333333333</v>
      </c>
      <c r="R14" s="194">
        <f>IFERROR(IF($C14="",-0.00001,AVERAGEIFS(Database!T:T,Database!$E:$E,$C14,Database!$A:$A,$D$1)),-0.00001)</f>
        <v>17.333333333333332</v>
      </c>
      <c r="S14" s="186">
        <f>IFERROR(IF($C14="",-0.00001,AVERAGEIFS(Database!U:U,Database!$E:$E,$C14,Database!$A:$A,$D$1)),-0.00001)</f>
        <v>0.31871212121212122</v>
      </c>
      <c r="T14" s="194">
        <f>IFERROR(IF($C14="",-0.00001,AVERAGEIFS(Database!V:V,Database!$E:$E,$C14,Database!$A:$A,$D$1)),-0.00001)</f>
        <v>0</v>
      </c>
      <c r="U14" s="194">
        <f>IFERROR(IF($C14="",-0.00001,AVERAGEIFS(Database!W:W,Database!$E:$E,$C14,Database!$A:$A,$D$1)),-0.00001)</f>
        <v>0.33333333333333331</v>
      </c>
      <c r="V14" s="186">
        <f>IFERROR(IF($C14="",-0.00001,AVERAGEIFS(Database!X:X,Database!$E:$E,$C14,Database!$A:$A,$D$1)),-0.00001)</f>
        <v>0</v>
      </c>
      <c r="W14" s="187"/>
      <c r="X14" s="187"/>
      <c r="Y14" s="187"/>
      <c r="Z14" s="187"/>
      <c r="AA14" s="187"/>
      <c r="AB14" s="187"/>
      <c r="AC14" s="187"/>
      <c r="AD14" s="187"/>
      <c r="AE14" s="187"/>
    </row>
    <row r="15" spans="1:31" x14ac:dyDescent="0.25">
      <c r="A15" s="187"/>
      <c r="B15" s="187">
        <f>IF($C15="","",MAX($B$4:$B14)+1)</f>
        <v>12</v>
      </c>
      <c r="C15" s="145" t="s">
        <v>9</v>
      </c>
      <c r="D15" s="183" t="str">
        <f>IFERROR(VLOOKUP($C15,Rosters!$C$4:$M$239,INDEX(Lists!$N$5:$O$80,MATCH($C15,Lists!$N$5:$N$80,FALSE),2)),"")</f>
        <v>Wombats</v>
      </c>
      <c r="E15" s="237">
        <f>IF($C15="",-0.00001,COUNTIFS(Database!E:E,$C15,Database!A:A,$D$1))</f>
        <v>4</v>
      </c>
      <c r="F15" s="194">
        <f>IFERROR(IF($C15="",-0.00001,AVERAGEIFS(Database!H:H,Database!$E:$E,$C15,Database!$A:$A,$D$1)),-0.00001)</f>
        <v>13</v>
      </c>
      <c r="G15" s="194">
        <f>IFERROR(IF($C15="",-0.00001,AVERAGEIFS(Database!I:I,Database!$E:$E,$C15,Database!$A:$A,$D$1)),-0.00001)</f>
        <v>6.5</v>
      </c>
      <c r="H15" s="194">
        <f>IFERROR(IF($C15="",-0.00001,AVERAGEIFS(Database!J:J,Database!$E:$E,$C15,Database!$A:$A,$D$1)),-0.00001)</f>
        <v>2</v>
      </c>
      <c r="I15" s="194">
        <f>IFERROR(IF($C15="",-0.00001,AVERAGEIFS(Database!K:K,Database!$E:$E,$C15,Database!$A:$A,$D$1)),-0.00001)</f>
        <v>1</v>
      </c>
      <c r="J15" s="194">
        <f>IFERROR(IF($C15="",-0.00001,AVERAGEIFS(Database!L:L,Database!$E:$E,$C15,Database!$A:$A,$D$1)),-0.00001)</f>
        <v>0</v>
      </c>
      <c r="K15" s="194">
        <f>IFERROR(IF($C15="",-0.00001,AVERAGEIFS(Database!M:M,Database!$E:$E,$C15,Database!$A:$A,$D$1)),-0.00001)</f>
        <v>1.25</v>
      </c>
      <c r="L15" s="194">
        <f>IFERROR(IF($C15="",-0.00001,AVERAGEIFS(Database!N:N,Database!$E:$E,$C15,Database!$A:$A,$D$1)),-0.00001)</f>
        <v>1.75</v>
      </c>
      <c r="M15" s="194">
        <f>IFERROR(IF($C15="",-0.00001,AVERAGEIFS(Database!O:O,Database!$E:$E,$C15,Database!$A:$A,$D$1)),-0.00001)</f>
        <v>4.75</v>
      </c>
      <c r="N15" s="194">
        <f>IFERROR(IF($C15="",-0.00001,AVERAGEIFS(Database!P:P,Database!$E:$E,$C15,Database!$A:$A,$D$1)),-0.00001)</f>
        <v>2.5</v>
      </c>
      <c r="O15" s="194">
        <f>IFERROR(IF($C15="",-0.00001,AVERAGEIFS(Database!Q:Q,Database!$E:$E,$C15,Database!$A:$A,$D$1)),-0.00001)</f>
        <v>8.5</v>
      </c>
      <c r="P15" s="186">
        <f>IFERROR(IF($C15="",-0.00001,AVERAGEIFS(Database!R:R,Database!$E:$E,$C15,Database!$A:$A,$D$1)),-0.00001)</f>
        <v>0.30638111888111891</v>
      </c>
      <c r="Q15" s="194">
        <f>IFERROR(IF($C15="",-0.00001,AVERAGEIFS(Database!S:S,Database!$E:$E,$C15,Database!$A:$A,$D$1)),-0.00001)</f>
        <v>5.25</v>
      </c>
      <c r="R15" s="194">
        <f>IFERROR(IF($C15="",-0.00001,AVERAGEIFS(Database!T:T,Database!$E:$E,$C15,Database!$A:$A,$D$1)),-0.00001)</f>
        <v>13.5</v>
      </c>
      <c r="S15" s="186">
        <f>IFERROR(IF($C15="",-0.00001,AVERAGEIFS(Database!U:U,Database!$E:$E,$C15,Database!$A:$A,$D$1)),-0.00001)</f>
        <v>0.38583638583638585</v>
      </c>
      <c r="T15" s="194">
        <f>IFERROR(IF($C15="",-0.00001,AVERAGEIFS(Database!V:V,Database!$E:$E,$C15,Database!$A:$A,$D$1)),-0.00001)</f>
        <v>0</v>
      </c>
      <c r="U15" s="194">
        <f>IFERROR(IF($C15="",-0.00001,AVERAGEIFS(Database!W:W,Database!$E:$E,$C15,Database!$A:$A,$D$1)),-0.00001)</f>
        <v>0.25</v>
      </c>
      <c r="V15" s="186">
        <f>IFERROR(IF($C15="",-0.00001,AVERAGEIFS(Database!X:X,Database!$E:$E,$C15,Database!$A:$A,$D$1)),-0.00001)</f>
        <v>0</v>
      </c>
      <c r="W15" s="187"/>
      <c r="X15" s="187"/>
      <c r="Y15" s="187"/>
      <c r="Z15" s="187"/>
      <c r="AA15" s="187"/>
      <c r="AB15" s="187"/>
      <c r="AC15" s="187"/>
      <c r="AD15" s="187"/>
      <c r="AE15" s="187"/>
    </row>
    <row r="16" spans="1:31" x14ac:dyDescent="0.25">
      <c r="A16" s="187"/>
      <c r="B16" s="187">
        <f>IF($C16="","",MAX($B$4:$B15)+1)</f>
        <v>13</v>
      </c>
      <c r="C16" s="145" t="s">
        <v>33</v>
      </c>
      <c r="D16" s="183" t="str">
        <f>IFERROR(VLOOKUP($C16,Rosters!$C$4:$M$239,INDEX(Lists!$N$5:$O$80,MATCH($C16,Lists!$N$5:$N$80,FALSE),2)),"")</f>
        <v>Vandals</v>
      </c>
      <c r="E16" s="237">
        <f>IF($C16="",-0.00001,COUNTIFS(Database!E:E,$C16,Database!A:A,$D$1))</f>
        <v>4</v>
      </c>
      <c r="F16" s="194">
        <f>IFERROR(IF($C16="",-0.00001,AVERAGEIFS(Database!H:H,Database!$E:$E,$C16,Database!$A:$A,$D$1)),-0.00001)</f>
        <v>12.75</v>
      </c>
      <c r="G16" s="194">
        <f>IFERROR(IF($C16="",-0.00001,AVERAGEIFS(Database!I:I,Database!$E:$E,$C16,Database!$A:$A,$D$1)),-0.00001)</f>
        <v>14.75</v>
      </c>
      <c r="H16" s="194">
        <f>IFERROR(IF($C16="",-0.00001,AVERAGEIFS(Database!J:J,Database!$E:$E,$C16,Database!$A:$A,$D$1)),-0.00001)</f>
        <v>2.5</v>
      </c>
      <c r="I16" s="194">
        <f>IFERROR(IF($C16="",-0.00001,AVERAGEIFS(Database!K:K,Database!$E:$E,$C16,Database!$A:$A,$D$1)),-0.00001)</f>
        <v>4.75</v>
      </c>
      <c r="J16" s="194">
        <f>IFERROR(IF($C16="",-0.00001,AVERAGEIFS(Database!L:L,Database!$E:$E,$C16,Database!$A:$A,$D$1)),-0.00001)</f>
        <v>1</v>
      </c>
      <c r="K16" s="194">
        <f>IFERROR(IF($C16="",-0.00001,AVERAGEIFS(Database!M:M,Database!$E:$E,$C16,Database!$A:$A,$D$1)),-0.00001)</f>
        <v>3.5</v>
      </c>
      <c r="L16" s="194">
        <f>IFERROR(IF($C16="",-0.00001,AVERAGEIFS(Database!N:N,Database!$E:$E,$C16,Database!$A:$A,$D$1)),-0.00001)</f>
        <v>1.75</v>
      </c>
      <c r="M16" s="194">
        <f>IFERROR(IF($C16="",-0.00001,AVERAGEIFS(Database!O:O,Database!$E:$E,$C16,Database!$A:$A,$D$1)),-0.00001)</f>
        <v>10.25</v>
      </c>
      <c r="N16" s="194">
        <f>IFERROR(IF($C16="",-0.00001,AVERAGEIFS(Database!P:P,Database!$E:$E,$C16,Database!$A:$A,$D$1)),-0.00001)</f>
        <v>1.5</v>
      </c>
      <c r="O16" s="194">
        <f>IFERROR(IF($C16="",-0.00001,AVERAGEIFS(Database!Q:Q,Database!$E:$E,$C16,Database!$A:$A,$D$1)),-0.00001)</f>
        <v>6</v>
      </c>
      <c r="P16" s="186">
        <f>IFERROR(IF($C16="",-0.00001,AVERAGEIFS(Database!R:R,Database!$E:$E,$C16,Database!$A:$A,$D$1)),-0.00001)</f>
        <v>0.23809523809523808</v>
      </c>
      <c r="Q16" s="194">
        <f>IFERROR(IF($C16="",-0.00001,AVERAGEIFS(Database!S:S,Database!$E:$E,$C16,Database!$A:$A,$D$1)),-0.00001)</f>
        <v>5.5</v>
      </c>
      <c r="R16" s="194">
        <f>IFERROR(IF($C16="",-0.00001,AVERAGEIFS(Database!T:T,Database!$E:$E,$C16,Database!$A:$A,$D$1)),-0.00001)</f>
        <v>15.75</v>
      </c>
      <c r="S16" s="186">
        <f>IFERROR(IF($C16="",-0.00001,AVERAGEIFS(Database!U:U,Database!$E:$E,$C16,Database!$A:$A,$D$1)),-0.00001)</f>
        <v>0.35361519607843134</v>
      </c>
      <c r="T16" s="194">
        <f>IFERROR(IF($C16="",-0.00001,AVERAGEIFS(Database!V:V,Database!$E:$E,$C16,Database!$A:$A,$D$1)),-0.00001)</f>
        <v>0.25</v>
      </c>
      <c r="U16" s="194">
        <f>IFERROR(IF($C16="",-0.00001,AVERAGEIFS(Database!W:W,Database!$E:$E,$C16,Database!$A:$A,$D$1)),-0.00001)</f>
        <v>0.5</v>
      </c>
      <c r="V16" s="186">
        <f>IFERROR(IF($C16="",-0.00001,AVERAGEIFS(Database!X:X,Database!$E:$E,$C16,Database!$A:$A,$D$1)),-0.00001)</f>
        <v>0.5</v>
      </c>
      <c r="W16" s="187"/>
      <c r="X16" s="187"/>
      <c r="Y16" s="187"/>
      <c r="Z16" s="187"/>
      <c r="AA16" s="187"/>
      <c r="AB16" s="187"/>
      <c r="AC16" s="187"/>
      <c r="AD16" s="187"/>
      <c r="AE16" s="187"/>
    </row>
    <row r="17" spans="1:31" x14ac:dyDescent="0.25">
      <c r="A17" s="187"/>
      <c r="B17" s="187">
        <f>IF($C17="","",MAX($B$4:$B16)+1)</f>
        <v>14</v>
      </c>
      <c r="C17" s="145" t="s">
        <v>32</v>
      </c>
      <c r="D17" s="183" t="str">
        <f>IFERROR(VLOOKUP($C17,Rosters!$C$4:$M$239,INDEX(Lists!$N$5:$O$80,MATCH($C17,Lists!$N$5:$N$80,FALSE),2)),"")</f>
        <v>Vandals</v>
      </c>
      <c r="E17" s="237">
        <f>IF($C17="",-0.00001,COUNTIFS(Database!E:E,$C17,Database!A:A,$D$1))</f>
        <v>3</v>
      </c>
      <c r="F17" s="194">
        <f>IFERROR(IF($C17="",-0.00001,AVERAGEIFS(Database!H:H,Database!$E:$E,$C17,Database!$A:$A,$D$1)),-0.00001)</f>
        <v>12.666666666666666</v>
      </c>
      <c r="G17" s="194">
        <f>IFERROR(IF($C17="",-0.00001,AVERAGEIFS(Database!I:I,Database!$E:$E,$C17,Database!$A:$A,$D$1)),-0.00001)</f>
        <v>6.333333333333333</v>
      </c>
      <c r="H17" s="194">
        <f>IFERROR(IF($C17="",-0.00001,AVERAGEIFS(Database!J:J,Database!$E:$E,$C17,Database!$A:$A,$D$1)),-0.00001)</f>
        <v>4</v>
      </c>
      <c r="I17" s="194">
        <f>IFERROR(IF($C17="",-0.00001,AVERAGEIFS(Database!K:K,Database!$E:$E,$C17,Database!$A:$A,$D$1)),-0.00001)</f>
        <v>3</v>
      </c>
      <c r="J17" s="194">
        <f>IFERROR(IF($C17="",-0.00001,AVERAGEIFS(Database!L:L,Database!$E:$E,$C17,Database!$A:$A,$D$1)),-0.00001)</f>
        <v>0.33333333333333331</v>
      </c>
      <c r="K17" s="194">
        <f>IFERROR(IF($C17="",-0.00001,AVERAGEIFS(Database!M:M,Database!$E:$E,$C17,Database!$A:$A,$D$1)),-0.00001)</f>
        <v>2.3333333333333335</v>
      </c>
      <c r="L17" s="194">
        <f>IFERROR(IF($C17="",-0.00001,AVERAGEIFS(Database!N:N,Database!$E:$E,$C17,Database!$A:$A,$D$1)),-0.00001)</f>
        <v>2.3333333333333335</v>
      </c>
      <c r="M17" s="194">
        <f>IFERROR(IF($C17="",-0.00001,AVERAGEIFS(Database!O:O,Database!$E:$E,$C17,Database!$A:$A,$D$1)),-0.00001)</f>
        <v>4</v>
      </c>
      <c r="N17" s="194">
        <f>IFERROR(IF($C17="",-0.00001,AVERAGEIFS(Database!P:P,Database!$E:$E,$C17,Database!$A:$A,$D$1)),-0.00001)</f>
        <v>1.3333333333333333</v>
      </c>
      <c r="O17" s="194">
        <f>IFERROR(IF($C17="",-0.00001,AVERAGEIFS(Database!Q:Q,Database!$E:$E,$C17,Database!$A:$A,$D$1)),-0.00001)</f>
        <v>6</v>
      </c>
      <c r="P17" s="186">
        <f>IFERROR(IF($C17="",-0.00001,AVERAGEIFS(Database!R:R,Database!$E:$E,$C17,Database!$A:$A,$D$1)),-0.00001)</f>
        <v>0.24801587301587302</v>
      </c>
      <c r="Q17" s="194">
        <f>IFERROR(IF($C17="",-0.00001,AVERAGEIFS(Database!S:S,Database!$E:$E,$C17,Database!$A:$A,$D$1)),-0.00001)</f>
        <v>5.333333333333333</v>
      </c>
      <c r="R17" s="194">
        <f>IFERROR(IF($C17="",-0.00001,AVERAGEIFS(Database!T:T,Database!$E:$E,$C17,Database!$A:$A,$D$1)),-0.00001)</f>
        <v>15.666666666666666</v>
      </c>
      <c r="S17" s="186">
        <f>IFERROR(IF($C17="",-0.00001,AVERAGEIFS(Database!U:U,Database!$E:$E,$C17,Database!$A:$A,$D$1)),-0.00001)</f>
        <v>0.34331232492997205</v>
      </c>
      <c r="T17" s="194">
        <f>IFERROR(IF($C17="",-0.00001,AVERAGEIFS(Database!V:V,Database!$E:$E,$C17,Database!$A:$A,$D$1)),-0.00001)</f>
        <v>0.66666666666666663</v>
      </c>
      <c r="U17" s="194">
        <f>IFERROR(IF($C17="",-0.00001,AVERAGEIFS(Database!W:W,Database!$E:$E,$C17,Database!$A:$A,$D$1)),-0.00001)</f>
        <v>1.3333333333333333</v>
      </c>
      <c r="V17" s="186">
        <f>IFERROR(IF($C17="",-0.00001,AVERAGEIFS(Database!X:X,Database!$E:$E,$C17,Database!$A:$A,$D$1)),-0.00001)</f>
        <v>0.5</v>
      </c>
      <c r="W17" s="187"/>
      <c r="X17" s="187"/>
      <c r="Y17" s="187"/>
      <c r="Z17" s="187"/>
      <c r="AA17" s="187"/>
      <c r="AB17" s="187"/>
      <c r="AC17" s="187"/>
      <c r="AD17" s="187"/>
      <c r="AE17" s="187"/>
    </row>
    <row r="18" spans="1:31" x14ac:dyDescent="0.25">
      <c r="A18" s="187"/>
      <c r="B18" s="187">
        <f>IF($C18="","",MAX($B$4:$B17)+1)</f>
        <v>15</v>
      </c>
      <c r="C18" s="145" t="s">
        <v>15</v>
      </c>
      <c r="D18" s="183" t="str">
        <f>IFERROR(VLOOKUP($C18,Rosters!$C$4:$M$239,INDEX(Lists!$N$5:$O$80,MATCH($C18,Lists!$N$5:$N$80,FALSE),2)),"")</f>
        <v>Pistons</v>
      </c>
      <c r="E18" s="237">
        <f>IF($C18="",-0.00001,COUNTIFS(Database!E:E,$C18,Database!A:A,$D$1))</f>
        <v>4</v>
      </c>
      <c r="F18" s="194">
        <f>IFERROR(IF($C18="",-0.00001,AVERAGEIFS(Database!H:H,Database!$E:$E,$C18,Database!$A:$A,$D$1)),-0.00001)</f>
        <v>12.5</v>
      </c>
      <c r="G18" s="194">
        <f>IFERROR(IF($C18="",-0.00001,AVERAGEIFS(Database!I:I,Database!$E:$E,$C18,Database!$A:$A,$D$1)),-0.00001)</f>
        <v>5.5</v>
      </c>
      <c r="H18" s="194">
        <f>IFERROR(IF($C18="",-0.00001,AVERAGEIFS(Database!J:J,Database!$E:$E,$C18,Database!$A:$A,$D$1)),-0.00001)</f>
        <v>1.75</v>
      </c>
      <c r="I18" s="194">
        <f>IFERROR(IF($C18="",-0.00001,AVERAGEIFS(Database!K:K,Database!$E:$E,$C18,Database!$A:$A,$D$1)),-0.00001)</f>
        <v>1.25</v>
      </c>
      <c r="J18" s="194">
        <f>IFERROR(IF($C18="",-0.00001,AVERAGEIFS(Database!L:L,Database!$E:$E,$C18,Database!$A:$A,$D$1)),-0.00001)</f>
        <v>0.25</v>
      </c>
      <c r="K18" s="194">
        <f>IFERROR(IF($C18="",-0.00001,AVERAGEIFS(Database!M:M,Database!$E:$E,$C18,Database!$A:$A,$D$1)),-0.00001)</f>
        <v>1.75</v>
      </c>
      <c r="L18" s="194">
        <f>IFERROR(IF($C18="",-0.00001,AVERAGEIFS(Database!N:N,Database!$E:$E,$C18,Database!$A:$A,$D$1)),-0.00001)</f>
        <v>1</v>
      </c>
      <c r="M18" s="194">
        <f>IFERROR(IF($C18="",-0.00001,AVERAGEIFS(Database!O:O,Database!$E:$E,$C18,Database!$A:$A,$D$1)),-0.00001)</f>
        <v>4.5</v>
      </c>
      <c r="N18" s="194">
        <f>IFERROR(IF($C18="",-0.00001,AVERAGEIFS(Database!P:P,Database!$E:$E,$C18,Database!$A:$A,$D$1)),-0.00001)</f>
        <v>1.5</v>
      </c>
      <c r="O18" s="194">
        <f>IFERROR(IF($C18="",-0.00001,AVERAGEIFS(Database!Q:Q,Database!$E:$E,$C18,Database!$A:$A,$D$1)),-0.00001)</f>
        <v>7.75</v>
      </c>
      <c r="P18" s="186">
        <f>IFERROR(IF($C18="",-0.00001,AVERAGEIFS(Database!R:R,Database!$E:$E,$C18,Database!$A:$A,$D$1)),-0.00001)</f>
        <v>0.16382575757575757</v>
      </c>
      <c r="Q18" s="194">
        <f>IFERROR(IF($C18="",-0.00001,AVERAGEIFS(Database!S:S,Database!$E:$E,$C18,Database!$A:$A,$D$1)),-0.00001)</f>
        <v>5</v>
      </c>
      <c r="R18" s="194">
        <f>IFERROR(IF($C18="",-0.00001,AVERAGEIFS(Database!T:T,Database!$E:$E,$C18,Database!$A:$A,$D$1)),-0.00001)</f>
        <v>15</v>
      </c>
      <c r="S18" s="186">
        <f>IFERROR(IF($C18="",-0.00001,AVERAGEIFS(Database!U:U,Database!$E:$E,$C18,Database!$A:$A,$D$1)),-0.00001)</f>
        <v>0.33748006379585327</v>
      </c>
      <c r="T18" s="194">
        <f>IFERROR(IF($C18="",-0.00001,AVERAGEIFS(Database!V:V,Database!$E:$E,$C18,Database!$A:$A,$D$1)),-0.00001)</f>
        <v>0.5</v>
      </c>
      <c r="U18" s="194">
        <f>IFERROR(IF($C18="",-0.00001,AVERAGEIFS(Database!W:W,Database!$E:$E,$C18,Database!$A:$A,$D$1)),-0.00001)</f>
        <v>1</v>
      </c>
      <c r="V18" s="186">
        <f>IFERROR(IF($C18="",-0.00001,AVERAGEIFS(Database!X:X,Database!$E:$E,$C18,Database!$A:$A,$D$1)),-0.00001)</f>
        <v>0.5</v>
      </c>
      <c r="W18" s="187"/>
      <c r="X18" s="187"/>
      <c r="Y18" s="187"/>
      <c r="Z18" s="187"/>
      <c r="AA18" s="187"/>
      <c r="AB18" s="187"/>
      <c r="AC18" s="187"/>
      <c r="AD18" s="187"/>
      <c r="AE18" s="187"/>
    </row>
    <row r="19" spans="1:31" x14ac:dyDescent="0.25">
      <c r="A19" s="187"/>
      <c r="B19" s="187">
        <f>IF($C19="","",MAX($B$4:$B18)+1)</f>
        <v>16</v>
      </c>
      <c r="C19" s="145" t="s">
        <v>3</v>
      </c>
      <c r="D19" s="183" t="str">
        <f>IFERROR(VLOOKUP($C19,Rosters!$C$4:$M$239,INDEX(Lists!$N$5:$O$80,MATCH($C19,Lists!$N$5:$N$80,FALSE),2)),"")</f>
        <v>Mustangs</v>
      </c>
      <c r="E19" s="237">
        <f>IF($C19="",-0.00001,COUNTIFS(Database!E:E,$C19,Database!A:A,$D$1))</f>
        <v>3</v>
      </c>
      <c r="F19" s="194">
        <f>IFERROR(IF($C19="",-0.00001,AVERAGEIFS(Database!H:H,Database!$E:$E,$C19,Database!$A:$A,$D$1)),-0.00001)</f>
        <v>11.666666666666666</v>
      </c>
      <c r="G19" s="194">
        <f>IFERROR(IF($C19="",-0.00001,AVERAGEIFS(Database!I:I,Database!$E:$E,$C19,Database!$A:$A,$D$1)),-0.00001)</f>
        <v>5.333333333333333</v>
      </c>
      <c r="H19" s="194">
        <f>IFERROR(IF($C19="",-0.00001,AVERAGEIFS(Database!J:J,Database!$E:$E,$C19,Database!$A:$A,$D$1)),-0.00001)</f>
        <v>2</v>
      </c>
      <c r="I19" s="194">
        <f>IFERROR(IF($C19="",-0.00001,AVERAGEIFS(Database!K:K,Database!$E:$E,$C19,Database!$A:$A,$D$1)),-0.00001)</f>
        <v>2.3333333333333335</v>
      </c>
      <c r="J19" s="194">
        <f>IFERROR(IF($C19="",-0.00001,AVERAGEIFS(Database!L:L,Database!$E:$E,$C19,Database!$A:$A,$D$1)),-0.00001)</f>
        <v>0.33333333333333331</v>
      </c>
      <c r="K19" s="194">
        <f>IFERROR(IF($C19="",-0.00001,AVERAGEIFS(Database!M:M,Database!$E:$E,$C19,Database!$A:$A,$D$1)),-0.00001)</f>
        <v>1.3333333333333333</v>
      </c>
      <c r="L19" s="194">
        <f>IFERROR(IF($C19="",-0.00001,AVERAGEIFS(Database!N:N,Database!$E:$E,$C19,Database!$A:$A,$D$1)),-0.00001)</f>
        <v>0.33333333333333331</v>
      </c>
      <c r="M19" s="194">
        <f>IFERROR(IF($C19="",-0.00001,AVERAGEIFS(Database!O:O,Database!$E:$E,$C19,Database!$A:$A,$D$1)),-0.00001)</f>
        <v>3.6666666666666665</v>
      </c>
      <c r="N19" s="194">
        <f>IFERROR(IF($C19="",-0.00001,AVERAGEIFS(Database!P:P,Database!$E:$E,$C19,Database!$A:$A,$D$1)),-0.00001)</f>
        <v>1.6666666666666667</v>
      </c>
      <c r="O19" s="194">
        <f>IFERROR(IF($C19="",-0.00001,AVERAGEIFS(Database!Q:Q,Database!$E:$E,$C19,Database!$A:$A,$D$1)),-0.00001)</f>
        <v>8</v>
      </c>
      <c r="P19" s="186">
        <f>IFERROR(IF($C19="",-0.00001,AVERAGEIFS(Database!R:R,Database!$E:$E,$C19,Database!$A:$A,$D$1)),-0.00001)</f>
        <v>0.16666666666666666</v>
      </c>
      <c r="Q19" s="194">
        <f>IFERROR(IF($C19="",-0.00001,AVERAGEIFS(Database!S:S,Database!$E:$E,$C19,Database!$A:$A,$D$1)),-0.00001)</f>
        <v>5</v>
      </c>
      <c r="R19" s="194">
        <f>IFERROR(IF($C19="",-0.00001,AVERAGEIFS(Database!T:T,Database!$E:$E,$C19,Database!$A:$A,$D$1)),-0.00001)</f>
        <v>14</v>
      </c>
      <c r="S19" s="186">
        <f>IFERROR(IF($C19="",-0.00001,AVERAGEIFS(Database!U:U,Database!$E:$E,$C19,Database!$A:$A,$D$1)),-0.00001)</f>
        <v>0.35454545454545455</v>
      </c>
      <c r="T19" s="194">
        <f>IFERROR(IF($C19="",-0.00001,AVERAGEIFS(Database!V:V,Database!$E:$E,$C19,Database!$A:$A,$D$1)),-0.00001)</f>
        <v>0</v>
      </c>
      <c r="U19" s="194">
        <f>IFERROR(IF($C19="",-0.00001,AVERAGEIFS(Database!W:W,Database!$E:$E,$C19,Database!$A:$A,$D$1)),-0.00001)</f>
        <v>0</v>
      </c>
      <c r="V19" s="186">
        <f>IFERROR(IF($C19="",-0.00001,AVERAGEIFS(Database!X:X,Database!$E:$E,$C19,Database!$A:$A,$D$1)),-0.00001)</f>
        <v>-1.0000000000000001E-5</v>
      </c>
      <c r="W19" s="187"/>
      <c r="X19" s="187"/>
      <c r="Y19" s="187"/>
      <c r="Z19" s="187"/>
      <c r="AA19" s="187"/>
      <c r="AB19" s="187"/>
      <c r="AC19" s="187"/>
      <c r="AD19" s="187"/>
      <c r="AE19" s="187"/>
    </row>
    <row r="20" spans="1:31" x14ac:dyDescent="0.25">
      <c r="A20" s="187"/>
      <c r="B20" s="187">
        <f>IF($C20="","",MAX($B$4:$B19)+1)</f>
        <v>17</v>
      </c>
      <c r="C20" s="145" t="s">
        <v>7</v>
      </c>
      <c r="D20" s="183" t="str">
        <f>IFERROR(VLOOKUP($C20,Rosters!$C$4:$M$239,INDEX(Lists!$N$5:$O$80,MATCH($C20,Lists!$N$5:$N$80,FALSE),2)),"")</f>
        <v>Wombats</v>
      </c>
      <c r="E20" s="237">
        <f>IF($C20="",-0.00001,COUNTIFS(Database!E:E,$C20,Database!A:A,$D$1))</f>
        <v>4</v>
      </c>
      <c r="F20" s="194">
        <f>IFERROR(IF($C20="",-0.00001,AVERAGEIFS(Database!H:H,Database!$E:$E,$C20,Database!$A:$A,$D$1)),-0.00001)</f>
        <v>11.5</v>
      </c>
      <c r="G20" s="194">
        <f>IFERROR(IF($C20="",-0.00001,AVERAGEIFS(Database!I:I,Database!$E:$E,$C20,Database!$A:$A,$D$1)),-0.00001)</f>
        <v>7.75</v>
      </c>
      <c r="H20" s="194">
        <f>IFERROR(IF($C20="",-0.00001,AVERAGEIFS(Database!J:J,Database!$E:$E,$C20,Database!$A:$A,$D$1)),-0.00001)</f>
        <v>3</v>
      </c>
      <c r="I20" s="194">
        <f>IFERROR(IF($C20="",-0.00001,AVERAGEIFS(Database!K:K,Database!$E:$E,$C20,Database!$A:$A,$D$1)),-0.00001)</f>
        <v>0.25</v>
      </c>
      <c r="J20" s="194">
        <f>IFERROR(IF($C20="",-0.00001,AVERAGEIFS(Database!L:L,Database!$E:$E,$C20,Database!$A:$A,$D$1)),-0.00001)</f>
        <v>0.25</v>
      </c>
      <c r="K20" s="194">
        <f>IFERROR(IF($C20="",-0.00001,AVERAGEIFS(Database!M:M,Database!$E:$E,$C20,Database!$A:$A,$D$1)),-0.00001)</f>
        <v>2.25</v>
      </c>
      <c r="L20" s="194">
        <f>IFERROR(IF($C20="",-0.00001,AVERAGEIFS(Database!N:N,Database!$E:$E,$C20,Database!$A:$A,$D$1)),-0.00001)</f>
        <v>2.25</v>
      </c>
      <c r="M20" s="194">
        <f>IFERROR(IF($C20="",-0.00001,AVERAGEIFS(Database!O:O,Database!$E:$E,$C20,Database!$A:$A,$D$1)),-0.00001)</f>
        <v>5.5</v>
      </c>
      <c r="N20" s="194">
        <f>IFERROR(IF($C20="",-0.00001,AVERAGEIFS(Database!P:P,Database!$E:$E,$C20,Database!$A:$A,$D$1)),-0.00001)</f>
        <v>1.75</v>
      </c>
      <c r="O20" s="194">
        <f>IFERROR(IF($C20="",-0.00001,AVERAGEIFS(Database!Q:Q,Database!$E:$E,$C20,Database!$A:$A,$D$1)),-0.00001)</f>
        <v>4.5</v>
      </c>
      <c r="P20" s="186">
        <f>IFERROR(IF($C20="",-0.00001,AVERAGEIFS(Database!R:R,Database!$E:$E,$C20,Database!$A:$A,$D$1)),-0.00001)</f>
        <v>0.375</v>
      </c>
      <c r="Q20" s="194">
        <f>IFERROR(IF($C20="",-0.00001,AVERAGEIFS(Database!S:S,Database!$E:$E,$C20,Database!$A:$A,$D$1)),-0.00001)</f>
        <v>4.25</v>
      </c>
      <c r="R20" s="194">
        <f>IFERROR(IF($C20="",-0.00001,AVERAGEIFS(Database!T:T,Database!$E:$E,$C20,Database!$A:$A,$D$1)),-0.00001)</f>
        <v>12</v>
      </c>
      <c r="S20" s="186">
        <f>IFERROR(IF($C20="",-0.00001,AVERAGEIFS(Database!U:U,Database!$E:$E,$C20,Database!$A:$A,$D$1)),-0.00001)</f>
        <v>0.34081196581196582</v>
      </c>
      <c r="T20" s="194">
        <f>IFERROR(IF($C20="",-0.00001,AVERAGEIFS(Database!V:V,Database!$E:$E,$C20,Database!$A:$A,$D$1)),-0.00001)</f>
        <v>1.25</v>
      </c>
      <c r="U20" s="194">
        <f>IFERROR(IF($C20="",-0.00001,AVERAGEIFS(Database!W:W,Database!$E:$E,$C20,Database!$A:$A,$D$1)),-0.00001)</f>
        <v>2.25</v>
      </c>
      <c r="V20" s="186">
        <f>IFERROR(IF($C20="",-0.00001,AVERAGEIFS(Database!X:X,Database!$E:$E,$C20,Database!$A:$A,$D$1)),-0.00001)</f>
        <v>0.52777777777777779</v>
      </c>
      <c r="W20" s="187"/>
      <c r="X20" s="187"/>
      <c r="Y20" s="187"/>
      <c r="Z20" s="187"/>
      <c r="AA20" s="187"/>
      <c r="AB20" s="187"/>
      <c r="AC20" s="187"/>
      <c r="AD20" s="187"/>
      <c r="AE20" s="187"/>
    </row>
    <row r="21" spans="1:31" x14ac:dyDescent="0.25">
      <c r="A21" s="187"/>
      <c r="B21" s="187">
        <f>IF($C21="","",MAX($B$4:$B20)+1)</f>
        <v>18</v>
      </c>
      <c r="C21" s="145" t="s">
        <v>25</v>
      </c>
      <c r="D21" s="183" t="str">
        <f>IFERROR(VLOOKUP($C21,Rosters!$C$4:$M$239,INDEX(Lists!$N$5:$O$80,MATCH($C21,Lists!$N$5:$N$80,FALSE),2)),"")</f>
        <v>Hoopers</v>
      </c>
      <c r="E21" s="237">
        <f>IF($C21="",-0.00001,COUNTIFS(Database!E:E,$C21,Database!A:A,$D$1))</f>
        <v>3</v>
      </c>
      <c r="F21" s="194">
        <f>IFERROR(IF($C21="",-0.00001,AVERAGEIFS(Database!H:H,Database!$E:$E,$C21,Database!$A:$A,$D$1)),-0.00001)</f>
        <v>11.333333333333334</v>
      </c>
      <c r="G21" s="194">
        <f>IFERROR(IF($C21="",-0.00001,AVERAGEIFS(Database!I:I,Database!$E:$E,$C21,Database!$A:$A,$D$1)),-0.00001)</f>
        <v>7.666666666666667</v>
      </c>
      <c r="H21" s="194">
        <f>IFERROR(IF($C21="",-0.00001,AVERAGEIFS(Database!J:J,Database!$E:$E,$C21,Database!$A:$A,$D$1)),-0.00001)</f>
        <v>2</v>
      </c>
      <c r="I21" s="194">
        <f>IFERROR(IF($C21="",-0.00001,AVERAGEIFS(Database!K:K,Database!$E:$E,$C21,Database!$A:$A,$D$1)),-0.00001)</f>
        <v>2.6666666666666665</v>
      </c>
      <c r="J21" s="194">
        <f>IFERROR(IF($C21="",-0.00001,AVERAGEIFS(Database!L:L,Database!$E:$E,$C21,Database!$A:$A,$D$1)),-0.00001)</f>
        <v>0.33333333333333331</v>
      </c>
      <c r="K21" s="194">
        <f>IFERROR(IF($C21="",-0.00001,AVERAGEIFS(Database!M:M,Database!$E:$E,$C21,Database!$A:$A,$D$1)),-0.00001)</f>
        <v>1.3333333333333333</v>
      </c>
      <c r="L21" s="194">
        <f>IFERROR(IF($C21="",-0.00001,AVERAGEIFS(Database!N:N,Database!$E:$E,$C21,Database!$A:$A,$D$1)),-0.00001)</f>
        <v>0.33333333333333331</v>
      </c>
      <c r="M21" s="194">
        <f>IFERROR(IF($C21="",-0.00001,AVERAGEIFS(Database!O:O,Database!$E:$E,$C21,Database!$A:$A,$D$1)),-0.00001)</f>
        <v>7.333333333333333</v>
      </c>
      <c r="N21" s="194">
        <f>IFERROR(IF($C21="",-0.00001,AVERAGEIFS(Database!P:P,Database!$E:$E,$C21,Database!$A:$A,$D$1)),-0.00001)</f>
        <v>2</v>
      </c>
      <c r="O21" s="194">
        <f>IFERROR(IF($C21="",-0.00001,AVERAGEIFS(Database!Q:Q,Database!$E:$E,$C21,Database!$A:$A,$D$1)),-0.00001)</f>
        <v>4.666666666666667</v>
      </c>
      <c r="P21" s="186">
        <f>IFERROR(IF($C21="",-0.00001,AVERAGEIFS(Database!R:R,Database!$E:$E,$C21,Database!$A:$A,$D$1)),-0.00001)</f>
        <v>0.46666666666666662</v>
      </c>
      <c r="Q21" s="194">
        <f>IFERROR(IF($C21="",-0.00001,AVERAGEIFS(Database!S:S,Database!$E:$E,$C21,Database!$A:$A,$D$1)),-0.00001)</f>
        <v>4.333333333333333</v>
      </c>
      <c r="R21" s="194">
        <f>IFERROR(IF($C21="",-0.00001,AVERAGEIFS(Database!T:T,Database!$E:$E,$C21,Database!$A:$A,$D$1)),-0.00001)</f>
        <v>10</v>
      </c>
      <c r="S21" s="186">
        <f>IFERROR(IF($C21="",-0.00001,AVERAGEIFS(Database!U:U,Database!$E:$E,$C21,Database!$A:$A,$D$1)),-0.00001)</f>
        <v>0.4704184704184704</v>
      </c>
      <c r="T21" s="194">
        <f>IFERROR(IF($C21="",-0.00001,AVERAGEIFS(Database!V:V,Database!$E:$E,$C21,Database!$A:$A,$D$1)),-0.00001)</f>
        <v>0.66666666666666663</v>
      </c>
      <c r="U21" s="194">
        <f>IFERROR(IF($C21="",-0.00001,AVERAGEIFS(Database!W:W,Database!$E:$E,$C21,Database!$A:$A,$D$1)),-0.00001)</f>
        <v>1.3333333333333333</v>
      </c>
      <c r="V21" s="186">
        <f>IFERROR(IF($C21="",-0.00001,AVERAGEIFS(Database!X:X,Database!$E:$E,$C21,Database!$A:$A,$D$1)),-0.00001)</f>
        <v>0.5</v>
      </c>
      <c r="W21" s="187"/>
      <c r="X21" s="187"/>
      <c r="Y21" s="187"/>
      <c r="Z21" s="187"/>
      <c r="AA21" s="187"/>
      <c r="AB21" s="187"/>
      <c r="AC21" s="187"/>
      <c r="AD21" s="187"/>
      <c r="AE21" s="187"/>
    </row>
    <row r="22" spans="1:31" x14ac:dyDescent="0.25">
      <c r="A22" s="187"/>
      <c r="B22" s="187">
        <f>IF($C22="","",MAX($B$4:$B21)+1)</f>
        <v>19</v>
      </c>
      <c r="C22" s="145" t="s">
        <v>13</v>
      </c>
      <c r="D22" s="183" t="str">
        <f>IFERROR(VLOOKUP($C22,Rosters!$C$4:$M$239,INDEX(Lists!$N$5:$O$80,MATCH($C22,Lists!$N$5:$N$80,FALSE),2)),"")</f>
        <v>Pistons</v>
      </c>
      <c r="E22" s="237">
        <f>IF($C22="",-0.00001,COUNTIFS(Database!E:E,$C22,Database!A:A,$D$1))</f>
        <v>4</v>
      </c>
      <c r="F22" s="194">
        <f>IFERROR(IF($C22="",-0.00001,AVERAGEIFS(Database!H:H,Database!$E:$E,$C22,Database!$A:$A,$D$1)),-0.00001)</f>
        <v>10</v>
      </c>
      <c r="G22" s="194">
        <f>IFERROR(IF($C22="",-0.00001,AVERAGEIFS(Database!I:I,Database!$E:$E,$C22,Database!$A:$A,$D$1)),-0.00001)</f>
        <v>4</v>
      </c>
      <c r="H22" s="194">
        <f>IFERROR(IF($C22="",-0.00001,AVERAGEIFS(Database!J:J,Database!$E:$E,$C22,Database!$A:$A,$D$1)),-0.00001)</f>
        <v>3</v>
      </c>
      <c r="I22" s="194">
        <f>IFERROR(IF($C22="",-0.00001,AVERAGEIFS(Database!K:K,Database!$E:$E,$C22,Database!$A:$A,$D$1)),-0.00001)</f>
        <v>1</v>
      </c>
      <c r="J22" s="194">
        <f>IFERROR(IF($C22="",-0.00001,AVERAGEIFS(Database!L:L,Database!$E:$E,$C22,Database!$A:$A,$D$1)),-0.00001)</f>
        <v>0</v>
      </c>
      <c r="K22" s="194">
        <f>IFERROR(IF($C22="",-0.00001,AVERAGEIFS(Database!M:M,Database!$E:$E,$C22,Database!$A:$A,$D$1)),-0.00001)</f>
        <v>4.75</v>
      </c>
      <c r="L22" s="194">
        <f>IFERROR(IF($C22="",-0.00001,AVERAGEIFS(Database!N:N,Database!$E:$E,$C22,Database!$A:$A,$D$1)),-0.00001)</f>
        <v>0.5</v>
      </c>
      <c r="M22" s="194">
        <f>IFERROR(IF($C22="",-0.00001,AVERAGEIFS(Database!O:O,Database!$E:$E,$C22,Database!$A:$A,$D$1)),-0.00001)</f>
        <v>3.5</v>
      </c>
      <c r="N22" s="194">
        <f>IFERROR(IF($C22="",-0.00001,AVERAGEIFS(Database!P:P,Database!$E:$E,$C22,Database!$A:$A,$D$1)),-0.00001)</f>
        <v>0.75</v>
      </c>
      <c r="O22" s="194">
        <f>IFERROR(IF($C22="",-0.00001,AVERAGEIFS(Database!Q:Q,Database!$E:$E,$C22,Database!$A:$A,$D$1)),-0.00001)</f>
        <v>3.75</v>
      </c>
      <c r="P22" s="186">
        <f>IFERROR(IF($C22="",-0.00001,AVERAGEIFS(Database!R:R,Database!$E:$E,$C22,Database!$A:$A,$D$1)),-0.00001)</f>
        <v>0.18333333333333335</v>
      </c>
      <c r="Q22" s="194">
        <f>IFERROR(IF($C22="",-0.00001,AVERAGEIFS(Database!S:S,Database!$E:$E,$C22,Database!$A:$A,$D$1)),-0.00001)</f>
        <v>4.5</v>
      </c>
      <c r="R22" s="194">
        <f>IFERROR(IF($C22="",-0.00001,AVERAGEIFS(Database!T:T,Database!$E:$E,$C22,Database!$A:$A,$D$1)),-0.00001)</f>
        <v>13.25</v>
      </c>
      <c r="S22" s="186">
        <f>IFERROR(IF($C22="",-0.00001,AVERAGEIFS(Database!U:U,Database!$E:$E,$C22,Database!$A:$A,$D$1)),-0.00001)</f>
        <v>0.35290404040404039</v>
      </c>
      <c r="T22" s="194">
        <f>IFERROR(IF($C22="",-0.00001,AVERAGEIFS(Database!V:V,Database!$E:$E,$C22,Database!$A:$A,$D$1)),-0.00001)</f>
        <v>0.25</v>
      </c>
      <c r="U22" s="194">
        <f>IFERROR(IF($C22="",-0.00001,AVERAGEIFS(Database!W:W,Database!$E:$E,$C22,Database!$A:$A,$D$1)),-0.00001)</f>
        <v>0.75</v>
      </c>
      <c r="V22" s="186">
        <f>IFERROR(IF($C22="",-0.00001,AVERAGEIFS(Database!X:X,Database!$E:$E,$C22,Database!$A:$A,$D$1)),-0.00001)</f>
        <v>0.33333333333333331</v>
      </c>
      <c r="W22" s="187"/>
      <c r="X22" s="187"/>
      <c r="Y22" s="187"/>
      <c r="Z22" s="187"/>
      <c r="AA22" s="187"/>
      <c r="AB22" s="187"/>
      <c r="AC22" s="187"/>
      <c r="AD22" s="187"/>
      <c r="AE22" s="187"/>
    </row>
    <row r="23" spans="1:31" x14ac:dyDescent="0.25">
      <c r="A23" s="187"/>
      <c r="B23" s="187">
        <f>IF($C23="","",MAX($B$4:$B22)+1)</f>
        <v>20</v>
      </c>
      <c r="C23" s="145" t="s">
        <v>23</v>
      </c>
      <c r="D23" s="183" t="str">
        <f>IFERROR(VLOOKUP($C23,Rosters!$C$4:$M$239,INDEX(Lists!$N$5:$O$80,MATCH($C23,Lists!$N$5:$N$80,FALSE),2)),"")</f>
        <v>Lightning</v>
      </c>
      <c r="E23" s="237">
        <f>IF($C23="",-0.00001,COUNTIFS(Database!E:E,$C23,Database!A:A,$D$1))</f>
        <v>4</v>
      </c>
      <c r="F23" s="194">
        <f>IFERROR(IF($C23="",-0.00001,AVERAGEIFS(Database!H:H,Database!$E:$E,$C23,Database!$A:$A,$D$1)),-0.00001)</f>
        <v>9.25</v>
      </c>
      <c r="G23" s="194">
        <f>IFERROR(IF($C23="",-0.00001,AVERAGEIFS(Database!I:I,Database!$E:$E,$C23,Database!$A:$A,$D$1)),-0.00001)</f>
        <v>5.25</v>
      </c>
      <c r="H23" s="194">
        <f>IFERROR(IF($C23="",-0.00001,AVERAGEIFS(Database!J:J,Database!$E:$E,$C23,Database!$A:$A,$D$1)),-0.00001)</f>
        <v>2.75</v>
      </c>
      <c r="I23" s="194">
        <f>IFERROR(IF($C23="",-0.00001,AVERAGEIFS(Database!K:K,Database!$E:$E,$C23,Database!$A:$A,$D$1)),-0.00001)</f>
        <v>2</v>
      </c>
      <c r="J23" s="194">
        <f>IFERROR(IF($C23="",-0.00001,AVERAGEIFS(Database!L:L,Database!$E:$E,$C23,Database!$A:$A,$D$1)),-0.00001)</f>
        <v>0</v>
      </c>
      <c r="K23" s="194">
        <f>IFERROR(IF($C23="",-0.00001,AVERAGEIFS(Database!M:M,Database!$E:$E,$C23,Database!$A:$A,$D$1)),-0.00001)</f>
        <v>2.25</v>
      </c>
      <c r="L23" s="194">
        <f>IFERROR(IF($C23="",-0.00001,AVERAGEIFS(Database!N:N,Database!$E:$E,$C23,Database!$A:$A,$D$1)),-0.00001)</f>
        <v>1</v>
      </c>
      <c r="M23" s="194">
        <f>IFERROR(IF($C23="",-0.00001,AVERAGEIFS(Database!O:O,Database!$E:$E,$C23,Database!$A:$A,$D$1)),-0.00001)</f>
        <v>4.25</v>
      </c>
      <c r="N23" s="194">
        <f>IFERROR(IF($C23="",-0.00001,AVERAGEIFS(Database!P:P,Database!$E:$E,$C23,Database!$A:$A,$D$1)),-0.00001)</f>
        <v>1.25</v>
      </c>
      <c r="O23" s="194">
        <f>IFERROR(IF($C23="",-0.00001,AVERAGEIFS(Database!Q:Q,Database!$E:$E,$C23,Database!$A:$A,$D$1)),-0.00001)</f>
        <v>4.75</v>
      </c>
      <c r="P23" s="186">
        <f>IFERROR(IF($C23="",-0.00001,AVERAGEIFS(Database!R:R,Database!$E:$E,$C23,Database!$A:$A,$D$1)),-0.00001)</f>
        <v>0.19047619047619047</v>
      </c>
      <c r="Q23" s="194">
        <f>IFERROR(IF($C23="",-0.00001,AVERAGEIFS(Database!S:S,Database!$E:$E,$C23,Database!$A:$A,$D$1)),-0.00001)</f>
        <v>4</v>
      </c>
      <c r="R23" s="194">
        <f>IFERROR(IF($C23="",-0.00001,AVERAGEIFS(Database!T:T,Database!$E:$E,$C23,Database!$A:$A,$D$1)),-0.00001)</f>
        <v>10.25</v>
      </c>
      <c r="S23" s="186">
        <f>IFERROR(IF($C23="",-0.00001,AVERAGEIFS(Database!U:U,Database!$E:$E,$C23,Database!$A:$A,$D$1)),-0.00001)</f>
        <v>0.38465909090909089</v>
      </c>
      <c r="T23" s="194">
        <f>IFERROR(IF($C23="",-0.00001,AVERAGEIFS(Database!V:V,Database!$E:$E,$C23,Database!$A:$A,$D$1)),-0.00001)</f>
        <v>0</v>
      </c>
      <c r="U23" s="194">
        <f>IFERROR(IF($C23="",-0.00001,AVERAGEIFS(Database!W:W,Database!$E:$E,$C23,Database!$A:$A,$D$1)),-0.00001)</f>
        <v>0</v>
      </c>
      <c r="V23" s="186">
        <f>IFERROR(IF($C23="",-0.00001,AVERAGEIFS(Database!X:X,Database!$E:$E,$C23,Database!$A:$A,$D$1)),-0.00001)</f>
        <v>-1.0000000000000001E-5</v>
      </c>
      <c r="W23" s="187"/>
      <c r="X23" s="187"/>
      <c r="Y23" s="187"/>
      <c r="Z23" s="187"/>
      <c r="AA23" s="187"/>
      <c r="AB23" s="187"/>
      <c r="AC23" s="187"/>
      <c r="AD23" s="187"/>
      <c r="AE23" s="187"/>
    </row>
    <row r="24" spans="1:31" x14ac:dyDescent="0.25">
      <c r="A24" s="187"/>
      <c r="B24" s="187">
        <f>IF($C24="","",MAX($B$4:$B23)+1)</f>
        <v>21</v>
      </c>
      <c r="C24" s="145" t="s">
        <v>21</v>
      </c>
      <c r="D24" s="183" t="str">
        <f>IFERROR(VLOOKUP($C24,Rosters!$C$4:$M$239,INDEX(Lists!$N$5:$O$80,MATCH($C24,Lists!$N$5:$N$80,FALSE),2)),"")</f>
        <v>Lightning</v>
      </c>
      <c r="E24" s="237">
        <f>IF($C24="",-0.00001,COUNTIFS(Database!E:E,$C24,Database!A:A,$D$1))</f>
        <v>4</v>
      </c>
      <c r="F24" s="194">
        <f>IFERROR(IF($C24="",-0.00001,AVERAGEIFS(Database!H:H,Database!$E:$E,$C24,Database!$A:$A,$D$1)),-0.00001)</f>
        <v>9</v>
      </c>
      <c r="G24" s="194">
        <f>IFERROR(IF($C24="",-0.00001,AVERAGEIFS(Database!I:I,Database!$E:$E,$C24,Database!$A:$A,$D$1)),-0.00001)</f>
        <v>7</v>
      </c>
      <c r="H24" s="194">
        <f>IFERROR(IF($C24="",-0.00001,AVERAGEIFS(Database!J:J,Database!$E:$E,$C24,Database!$A:$A,$D$1)),-0.00001)</f>
        <v>0.5</v>
      </c>
      <c r="I24" s="194">
        <f>IFERROR(IF($C24="",-0.00001,AVERAGEIFS(Database!K:K,Database!$E:$E,$C24,Database!$A:$A,$D$1)),-0.00001)</f>
        <v>0.5</v>
      </c>
      <c r="J24" s="194">
        <f>IFERROR(IF($C24="",-0.00001,AVERAGEIFS(Database!L:L,Database!$E:$E,$C24,Database!$A:$A,$D$1)),-0.00001)</f>
        <v>0</v>
      </c>
      <c r="K24" s="194">
        <f>IFERROR(IF($C24="",-0.00001,AVERAGEIFS(Database!M:M,Database!$E:$E,$C24,Database!$A:$A,$D$1)),-0.00001)</f>
        <v>1</v>
      </c>
      <c r="L24" s="194">
        <f>IFERROR(IF($C24="",-0.00001,AVERAGEIFS(Database!N:N,Database!$E:$E,$C24,Database!$A:$A,$D$1)),-0.00001)</f>
        <v>2.5</v>
      </c>
      <c r="M24" s="194">
        <f>IFERROR(IF($C24="",-0.00001,AVERAGEIFS(Database!O:O,Database!$E:$E,$C24,Database!$A:$A,$D$1)),-0.00001)</f>
        <v>4.5</v>
      </c>
      <c r="N24" s="194">
        <f>IFERROR(IF($C24="",-0.00001,AVERAGEIFS(Database!P:P,Database!$E:$E,$C24,Database!$A:$A,$D$1)),-0.00001)</f>
        <v>0.25</v>
      </c>
      <c r="O24" s="194">
        <f>IFERROR(IF($C24="",-0.00001,AVERAGEIFS(Database!Q:Q,Database!$E:$E,$C24,Database!$A:$A,$D$1)),-0.00001)</f>
        <v>1.25</v>
      </c>
      <c r="P24" s="186">
        <f>IFERROR(IF($C24="",-0.00001,AVERAGEIFS(Database!R:R,Database!$E:$E,$C24,Database!$A:$A,$D$1)),-0.00001)</f>
        <v>0.33333333333333331</v>
      </c>
      <c r="Q24" s="194">
        <f>IFERROR(IF($C24="",-0.00001,AVERAGEIFS(Database!S:S,Database!$E:$E,$C24,Database!$A:$A,$D$1)),-0.00001)</f>
        <v>4</v>
      </c>
      <c r="R24" s="194">
        <f>IFERROR(IF($C24="",-0.00001,AVERAGEIFS(Database!T:T,Database!$E:$E,$C24,Database!$A:$A,$D$1)),-0.00001)</f>
        <v>12.25</v>
      </c>
      <c r="S24" s="186">
        <f>IFERROR(IF($C24="",-0.00001,AVERAGEIFS(Database!U:U,Database!$E:$E,$C24,Database!$A:$A,$D$1)),-0.00001)</f>
        <v>0.31371753246753248</v>
      </c>
      <c r="T24" s="194">
        <f>IFERROR(IF($C24="",-0.00001,AVERAGEIFS(Database!V:V,Database!$E:$E,$C24,Database!$A:$A,$D$1)),-0.00001)</f>
        <v>0.75</v>
      </c>
      <c r="U24" s="194">
        <f>IFERROR(IF($C24="",-0.00001,AVERAGEIFS(Database!W:W,Database!$E:$E,$C24,Database!$A:$A,$D$1)),-0.00001)</f>
        <v>0.75</v>
      </c>
      <c r="V24" s="186">
        <f>IFERROR(IF($C24="",-0.00001,AVERAGEIFS(Database!X:X,Database!$E:$E,$C24,Database!$A:$A,$D$1)),-0.00001)</f>
        <v>1</v>
      </c>
      <c r="W24" s="187"/>
      <c r="X24" s="187"/>
      <c r="Y24" s="187"/>
      <c r="Z24" s="187"/>
      <c r="AA24" s="187"/>
      <c r="AB24" s="187"/>
      <c r="AC24" s="187"/>
      <c r="AD24" s="187"/>
      <c r="AE24" s="187"/>
    </row>
    <row r="25" spans="1:31" x14ac:dyDescent="0.25">
      <c r="A25" s="187"/>
      <c r="B25" s="187">
        <f>IF($C25="","",MAX($B$4:$B24)+1)</f>
        <v>22</v>
      </c>
      <c r="C25" s="145" t="s">
        <v>16</v>
      </c>
      <c r="D25" s="183" t="str">
        <f>IFERROR(VLOOKUP($C25,Rosters!$C$4:$M$239,INDEX(Lists!$N$5:$O$80,MATCH($C25,Lists!$N$5:$N$80,FALSE),2)),"")</f>
        <v>Pistons</v>
      </c>
      <c r="E25" s="237">
        <f>IF($C25="",-0.00001,COUNTIFS(Database!E:E,$C25,Database!A:A,$D$1))</f>
        <v>2</v>
      </c>
      <c r="F25" s="194">
        <f>IFERROR(IF($C25="",-0.00001,AVERAGEIFS(Database!H:H,Database!$E:$E,$C25,Database!$A:$A,$D$1)),-0.00001)</f>
        <v>8.5</v>
      </c>
      <c r="G25" s="194">
        <f>IFERROR(IF($C25="",-0.00001,AVERAGEIFS(Database!I:I,Database!$E:$E,$C25,Database!$A:$A,$D$1)),-0.00001)</f>
        <v>5.5</v>
      </c>
      <c r="H25" s="194">
        <f>IFERROR(IF($C25="",-0.00001,AVERAGEIFS(Database!J:J,Database!$E:$E,$C25,Database!$A:$A,$D$1)),-0.00001)</f>
        <v>2</v>
      </c>
      <c r="I25" s="194">
        <f>IFERROR(IF($C25="",-0.00001,AVERAGEIFS(Database!K:K,Database!$E:$E,$C25,Database!$A:$A,$D$1)),-0.00001)</f>
        <v>1</v>
      </c>
      <c r="J25" s="194">
        <f>IFERROR(IF($C25="",-0.00001,AVERAGEIFS(Database!L:L,Database!$E:$E,$C25,Database!$A:$A,$D$1)),-0.00001)</f>
        <v>0</v>
      </c>
      <c r="K25" s="194">
        <f>IFERROR(IF($C25="",-0.00001,AVERAGEIFS(Database!M:M,Database!$E:$E,$C25,Database!$A:$A,$D$1)),-0.00001)</f>
        <v>0.5</v>
      </c>
      <c r="L25" s="194">
        <f>IFERROR(IF($C25="",-0.00001,AVERAGEIFS(Database!N:N,Database!$E:$E,$C25,Database!$A:$A,$D$1)),-0.00001)</f>
        <v>1</v>
      </c>
      <c r="M25" s="194">
        <f>IFERROR(IF($C25="",-0.00001,AVERAGEIFS(Database!O:O,Database!$E:$E,$C25,Database!$A:$A,$D$1)),-0.00001)</f>
        <v>4.5</v>
      </c>
      <c r="N25" s="194">
        <f>IFERROR(IF($C25="",-0.00001,AVERAGEIFS(Database!P:P,Database!$E:$E,$C25,Database!$A:$A,$D$1)),-0.00001)</f>
        <v>1.5</v>
      </c>
      <c r="O25" s="194">
        <f>IFERROR(IF($C25="",-0.00001,AVERAGEIFS(Database!Q:Q,Database!$E:$E,$C25,Database!$A:$A,$D$1)),-0.00001)</f>
        <v>3</v>
      </c>
      <c r="P25" s="186">
        <f>IFERROR(IF($C25="",-0.00001,AVERAGEIFS(Database!R:R,Database!$E:$E,$C25,Database!$A:$A,$D$1)),-0.00001)</f>
        <v>0.5</v>
      </c>
      <c r="Q25" s="194">
        <f>IFERROR(IF($C25="",-0.00001,AVERAGEIFS(Database!S:S,Database!$E:$E,$C25,Database!$A:$A,$D$1)),-0.00001)</f>
        <v>3.5</v>
      </c>
      <c r="R25" s="194">
        <f>IFERROR(IF($C25="",-0.00001,AVERAGEIFS(Database!T:T,Database!$E:$E,$C25,Database!$A:$A,$D$1)),-0.00001)</f>
        <v>8</v>
      </c>
      <c r="S25" s="186">
        <f>IFERROR(IF($C25="",-0.00001,AVERAGEIFS(Database!U:U,Database!$E:$E,$C25,Database!$A:$A,$D$1)),-0.00001)</f>
        <v>0.43650793650793651</v>
      </c>
      <c r="T25" s="194">
        <f>IFERROR(IF($C25="",-0.00001,AVERAGEIFS(Database!V:V,Database!$E:$E,$C25,Database!$A:$A,$D$1)),-0.00001)</f>
        <v>0</v>
      </c>
      <c r="U25" s="194">
        <f>IFERROR(IF($C25="",-0.00001,AVERAGEIFS(Database!W:W,Database!$E:$E,$C25,Database!$A:$A,$D$1)),-0.00001)</f>
        <v>0</v>
      </c>
      <c r="V25" s="186">
        <f>IFERROR(IF($C25="",-0.00001,AVERAGEIFS(Database!X:X,Database!$E:$E,$C25,Database!$A:$A,$D$1)),-0.00001)</f>
        <v>-1.0000000000000001E-5</v>
      </c>
      <c r="W25" s="187"/>
      <c r="X25" s="187"/>
      <c r="Y25" s="187"/>
      <c r="Z25" s="187"/>
      <c r="AA25" s="187"/>
      <c r="AB25" s="187"/>
      <c r="AC25" s="187"/>
      <c r="AD25" s="187"/>
      <c r="AE25" s="187"/>
    </row>
    <row r="26" spans="1:31" x14ac:dyDescent="0.25">
      <c r="A26" s="187"/>
      <c r="B26" s="187">
        <f>IF($C26="","",MAX($B$4:$B25)+1)</f>
        <v>23</v>
      </c>
      <c r="C26" s="145" t="s">
        <v>5</v>
      </c>
      <c r="D26" s="183" t="str">
        <f>IFERROR(VLOOKUP($C26,Rosters!$C$4:$M$239,INDEX(Lists!$N$5:$O$80,MATCH($C26,Lists!$N$5:$N$80,FALSE),2)),"")</f>
        <v>Mustangs</v>
      </c>
      <c r="E26" s="237">
        <f>IF($C26="",-0.00001,COUNTIFS(Database!E:E,$C26,Database!A:A,$D$1))</f>
        <v>4</v>
      </c>
      <c r="F26" s="194">
        <f>IFERROR(IF($C26="",-0.00001,AVERAGEIFS(Database!H:H,Database!$E:$E,$C26,Database!$A:$A,$D$1)),-0.00001)</f>
        <v>7.5</v>
      </c>
      <c r="G26" s="194">
        <f>IFERROR(IF($C26="",-0.00001,AVERAGEIFS(Database!I:I,Database!$E:$E,$C26,Database!$A:$A,$D$1)),-0.00001)</f>
        <v>4.25</v>
      </c>
      <c r="H26" s="194">
        <f>IFERROR(IF($C26="",-0.00001,AVERAGEIFS(Database!J:J,Database!$E:$E,$C26,Database!$A:$A,$D$1)),-0.00001)</f>
        <v>0</v>
      </c>
      <c r="I26" s="194">
        <f>IFERROR(IF($C26="",-0.00001,AVERAGEIFS(Database!K:K,Database!$E:$E,$C26,Database!$A:$A,$D$1)),-0.00001)</f>
        <v>1.5</v>
      </c>
      <c r="J26" s="194">
        <f>IFERROR(IF($C26="",-0.00001,AVERAGEIFS(Database!L:L,Database!$E:$E,$C26,Database!$A:$A,$D$1)),-0.00001)</f>
        <v>0.75</v>
      </c>
      <c r="K26" s="194">
        <f>IFERROR(IF($C26="",-0.00001,AVERAGEIFS(Database!M:M,Database!$E:$E,$C26,Database!$A:$A,$D$1)),-0.00001)</f>
        <v>0.5</v>
      </c>
      <c r="L26" s="194">
        <f>IFERROR(IF($C26="",-0.00001,AVERAGEIFS(Database!N:N,Database!$E:$E,$C26,Database!$A:$A,$D$1)),-0.00001)</f>
        <v>0.75</v>
      </c>
      <c r="M26" s="194">
        <f>IFERROR(IF($C26="",-0.00001,AVERAGEIFS(Database!O:O,Database!$E:$E,$C26,Database!$A:$A,$D$1)),-0.00001)</f>
        <v>2.5</v>
      </c>
      <c r="N26" s="194">
        <f>IFERROR(IF($C26="",-0.00001,AVERAGEIFS(Database!P:P,Database!$E:$E,$C26,Database!$A:$A,$D$1)),-0.00001)</f>
        <v>0.5</v>
      </c>
      <c r="O26" s="194">
        <f>IFERROR(IF($C26="",-0.00001,AVERAGEIFS(Database!Q:Q,Database!$E:$E,$C26,Database!$A:$A,$D$1)),-0.00001)</f>
        <v>2</v>
      </c>
      <c r="P26" s="186">
        <f>IFERROR(IF($C26="",-0.00001,AVERAGEIFS(Database!R:R,Database!$E:$E,$C26,Database!$A:$A,$D$1)),-0.00001)</f>
        <v>0.16666666666666666</v>
      </c>
      <c r="Q26" s="194">
        <f>IFERROR(IF($C26="",-0.00001,AVERAGEIFS(Database!S:S,Database!$E:$E,$C26,Database!$A:$A,$D$1)),-0.00001)</f>
        <v>3</v>
      </c>
      <c r="R26" s="194">
        <f>IFERROR(IF($C26="",-0.00001,AVERAGEIFS(Database!T:T,Database!$E:$E,$C26,Database!$A:$A,$D$1)),-0.00001)</f>
        <v>7</v>
      </c>
      <c r="S26" s="186">
        <f>IFERROR(IF($C26="",-0.00001,AVERAGEIFS(Database!U:U,Database!$E:$E,$C26,Database!$A:$A,$D$1)),-0.00001)</f>
        <v>0.42113095238095233</v>
      </c>
      <c r="T26" s="194">
        <f>IFERROR(IF($C26="",-0.00001,AVERAGEIFS(Database!V:V,Database!$E:$E,$C26,Database!$A:$A,$D$1)),-0.00001)</f>
        <v>1</v>
      </c>
      <c r="U26" s="194">
        <f>IFERROR(IF($C26="",-0.00001,AVERAGEIFS(Database!W:W,Database!$E:$E,$C26,Database!$A:$A,$D$1)),-0.00001)</f>
        <v>1.25</v>
      </c>
      <c r="V26" s="186">
        <f>IFERROR(IF($C26="",-0.00001,AVERAGEIFS(Database!X:X,Database!$E:$E,$C26,Database!$A:$A,$D$1)),-0.00001)</f>
        <v>0.83333333333333337</v>
      </c>
      <c r="W26" s="187"/>
      <c r="X26" s="187"/>
      <c r="Y26" s="187"/>
      <c r="Z26" s="187"/>
      <c r="AA26" s="187"/>
      <c r="AB26" s="187"/>
      <c r="AC26" s="187"/>
      <c r="AD26" s="187"/>
      <c r="AE26" s="187"/>
    </row>
    <row r="27" spans="1:31" x14ac:dyDescent="0.25">
      <c r="A27" s="187"/>
      <c r="B27" s="187">
        <f>IF($C27="","",MAX($B$4:$B26)+1)</f>
        <v>24</v>
      </c>
      <c r="C27" s="145" t="s">
        <v>6</v>
      </c>
      <c r="D27" s="183" t="str">
        <f>IFERROR(VLOOKUP($C27,Rosters!$C$4:$M$239,INDEX(Lists!$N$5:$O$80,MATCH($C27,Lists!$N$5:$N$80,FALSE),2)),"")</f>
        <v>Mustangs</v>
      </c>
      <c r="E27" s="237">
        <f>IF($C27="",-0.00001,COUNTIFS(Database!E:E,$C27,Database!A:A,$D$1))</f>
        <v>3</v>
      </c>
      <c r="F27" s="194">
        <f>IFERROR(IF($C27="",-0.00001,AVERAGEIFS(Database!H:H,Database!$E:$E,$C27,Database!$A:$A,$D$1)),-0.00001)</f>
        <v>7.333333333333333</v>
      </c>
      <c r="G27" s="194">
        <f>IFERROR(IF($C27="",-0.00001,AVERAGEIFS(Database!I:I,Database!$E:$E,$C27,Database!$A:$A,$D$1)),-0.00001)</f>
        <v>7</v>
      </c>
      <c r="H27" s="194">
        <f>IFERROR(IF($C27="",-0.00001,AVERAGEIFS(Database!J:J,Database!$E:$E,$C27,Database!$A:$A,$D$1)),-0.00001)</f>
        <v>2.6666666666666665</v>
      </c>
      <c r="I27" s="194">
        <f>IFERROR(IF($C27="",-0.00001,AVERAGEIFS(Database!K:K,Database!$E:$E,$C27,Database!$A:$A,$D$1)),-0.00001)</f>
        <v>0.33333333333333331</v>
      </c>
      <c r="J27" s="194">
        <f>IFERROR(IF($C27="",-0.00001,AVERAGEIFS(Database!L:L,Database!$E:$E,$C27,Database!$A:$A,$D$1)),-0.00001)</f>
        <v>0</v>
      </c>
      <c r="K27" s="194">
        <f>IFERROR(IF($C27="",-0.00001,AVERAGEIFS(Database!M:M,Database!$E:$E,$C27,Database!$A:$A,$D$1)),-0.00001)</f>
        <v>1</v>
      </c>
      <c r="L27" s="194">
        <f>IFERROR(IF($C27="",-0.00001,AVERAGEIFS(Database!N:N,Database!$E:$E,$C27,Database!$A:$A,$D$1)),-0.00001)</f>
        <v>2.6666666666666665</v>
      </c>
      <c r="M27" s="194">
        <f>IFERROR(IF($C27="",-0.00001,AVERAGEIFS(Database!O:O,Database!$E:$E,$C27,Database!$A:$A,$D$1)),-0.00001)</f>
        <v>4.333333333333333</v>
      </c>
      <c r="N27" s="194">
        <f>IFERROR(IF($C27="",-0.00001,AVERAGEIFS(Database!P:P,Database!$E:$E,$C27,Database!$A:$A,$D$1)),-0.00001)</f>
        <v>0.66666666666666663</v>
      </c>
      <c r="O27" s="194">
        <f>IFERROR(IF($C27="",-0.00001,AVERAGEIFS(Database!Q:Q,Database!$E:$E,$C27,Database!$A:$A,$D$1)),-0.00001)</f>
        <v>3.6666666666666665</v>
      </c>
      <c r="P27" s="186">
        <f>IFERROR(IF($C27="",-0.00001,AVERAGEIFS(Database!R:R,Database!$E:$E,$C27,Database!$A:$A,$D$1)),-0.00001)</f>
        <v>0.1111111111111111</v>
      </c>
      <c r="Q27" s="194">
        <f>IFERROR(IF($C27="",-0.00001,AVERAGEIFS(Database!S:S,Database!$E:$E,$C27,Database!$A:$A,$D$1)),-0.00001)</f>
        <v>3.3333333333333335</v>
      </c>
      <c r="R27" s="194">
        <f>IFERROR(IF($C27="",-0.00001,AVERAGEIFS(Database!T:T,Database!$E:$E,$C27,Database!$A:$A,$D$1)),-0.00001)</f>
        <v>8.6666666666666661</v>
      </c>
      <c r="S27" s="186">
        <f>IFERROR(IF($C27="",-0.00001,AVERAGEIFS(Database!U:U,Database!$E:$E,$C27,Database!$A:$A,$D$1)),-0.00001)</f>
        <v>0.36507936507936506</v>
      </c>
      <c r="T27" s="194">
        <f>IFERROR(IF($C27="",-0.00001,AVERAGEIFS(Database!V:V,Database!$E:$E,$C27,Database!$A:$A,$D$1)),-0.00001)</f>
        <v>0</v>
      </c>
      <c r="U27" s="194">
        <f>IFERROR(IF($C27="",-0.00001,AVERAGEIFS(Database!W:W,Database!$E:$E,$C27,Database!$A:$A,$D$1)),-0.00001)</f>
        <v>0</v>
      </c>
      <c r="V27" s="186">
        <f>IFERROR(IF($C27="",-0.00001,AVERAGEIFS(Database!X:X,Database!$E:$E,$C27,Database!$A:$A,$D$1)),-0.00001)</f>
        <v>-1.0000000000000001E-5</v>
      </c>
      <c r="W27" s="187"/>
      <c r="X27" s="187"/>
      <c r="Y27" s="187"/>
      <c r="Z27" s="187"/>
      <c r="AA27" s="187"/>
      <c r="AB27" s="187"/>
      <c r="AC27" s="187"/>
      <c r="AD27" s="187"/>
      <c r="AE27" s="187"/>
    </row>
    <row r="28" spans="1:31" x14ac:dyDescent="0.25">
      <c r="A28" s="187"/>
      <c r="B28" s="187">
        <f>IF($C28="","",MAX($B$4:$B27)+1)</f>
        <v>25</v>
      </c>
      <c r="C28" s="145" t="s">
        <v>4</v>
      </c>
      <c r="D28" s="183" t="str">
        <f>IFERROR(VLOOKUP($C28,Rosters!$C$4:$M$239,INDEX(Lists!$N$5:$O$80,MATCH($C28,Lists!$N$5:$N$80,FALSE),2)),"")</f>
        <v>Mustangs</v>
      </c>
      <c r="E28" s="237">
        <f>IF($C28="",-0.00001,COUNTIFS(Database!E:E,$C28,Database!A:A,$D$1))</f>
        <v>4</v>
      </c>
      <c r="F28" s="194">
        <f>IFERROR(IF($C28="",-0.00001,AVERAGEIFS(Database!H:H,Database!$E:$E,$C28,Database!$A:$A,$D$1)),-0.00001)</f>
        <v>6.25</v>
      </c>
      <c r="G28" s="194">
        <f>IFERROR(IF($C28="",-0.00001,AVERAGEIFS(Database!I:I,Database!$E:$E,$C28,Database!$A:$A,$D$1)),-0.00001)</f>
        <v>6.75</v>
      </c>
      <c r="H28" s="194">
        <f>IFERROR(IF($C28="",-0.00001,AVERAGEIFS(Database!J:J,Database!$E:$E,$C28,Database!$A:$A,$D$1)),-0.00001)</f>
        <v>2.75</v>
      </c>
      <c r="I28" s="194">
        <f>IFERROR(IF($C28="",-0.00001,AVERAGEIFS(Database!K:K,Database!$E:$E,$C28,Database!$A:$A,$D$1)),-0.00001)</f>
        <v>0</v>
      </c>
      <c r="J28" s="194">
        <f>IFERROR(IF($C28="",-0.00001,AVERAGEIFS(Database!L:L,Database!$E:$E,$C28,Database!$A:$A,$D$1)),-0.00001)</f>
        <v>0</v>
      </c>
      <c r="K28" s="194">
        <f>IFERROR(IF($C28="",-0.00001,AVERAGEIFS(Database!M:M,Database!$E:$E,$C28,Database!$A:$A,$D$1)),-0.00001)</f>
        <v>1.25</v>
      </c>
      <c r="L28" s="194">
        <f>IFERROR(IF($C28="",-0.00001,AVERAGEIFS(Database!N:N,Database!$E:$E,$C28,Database!$A:$A,$D$1)),-0.00001)</f>
        <v>1.5</v>
      </c>
      <c r="M28" s="194">
        <f>IFERROR(IF($C28="",-0.00001,AVERAGEIFS(Database!O:O,Database!$E:$E,$C28,Database!$A:$A,$D$1)),-0.00001)</f>
        <v>3</v>
      </c>
      <c r="N28" s="194">
        <f>IFERROR(IF($C28="",-0.00001,AVERAGEIFS(Database!P:P,Database!$E:$E,$C28,Database!$A:$A,$D$1)),-0.00001)</f>
        <v>1.25</v>
      </c>
      <c r="O28" s="194">
        <f>IFERROR(IF($C28="",-0.00001,AVERAGEIFS(Database!Q:Q,Database!$E:$E,$C28,Database!$A:$A,$D$1)),-0.00001)</f>
        <v>4.75</v>
      </c>
      <c r="P28" s="186">
        <f>IFERROR(IF($C28="",-0.00001,AVERAGEIFS(Database!R:R,Database!$E:$E,$C28,Database!$A:$A,$D$1)),-0.00001)</f>
        <v>0.3</v>
      </c>
      <c r="Q28" s="194">
        <f>IFERROR(IF($C28="",-0.00001,AVERAGEIFS(Database!S:S,Database!$E:$E,$C28,Database!$A:$A,$D$1)),-0.00001)</f>
        <v>2.5</v>
      </c>
      <c r="R28" s="194">
        <f>IFERROR(IF($C28="",-0.00001,AVERAGEIFS(Database!T:T,Database!$E:$E,$C28,Database!$A:$A,$D$1)),-0.00001)</f>
        <v>6.5</v>
      </c>
      <c r="S28" s="186">
        <f>IFERROR(IF($C28="",-0.00001,AVERAGEIFS(Database!U:U,Database!$E:$E,$C28,Database!$A:$A,$D$1)),-0.00001)</f>
        <v>0.3833333333333333</v>
      </c>
      <c r="T28" s="194">
        <f>IFERROR(IF($C28="",-0.00001,AVERAGEIFS(Database!V:V,Database!$E:$E,$C28,Database!$A:$A,$D$1)),-0.00001)</f>
        <v>0</v>
      </c>
      <c r="U28" s="194">
        <f>IFERROR(IF($C28="",-0.00001,AVERAGEIFS(Database!W:W,Database!$E:$E,$C28,Database!$A:$A,$D$1)),-0.00001)</f>
        <v>0.25</v>
      </c>
      <c r="V28" s="186">
        <f>IFERROR(IF($C28="",-0.00001,AVERAGEIFS(Database!X:X,Database!$E:$E,$C28,Database!$A:$A,$D$1)),-0.00001)</f>
        <v>0</v>
      </c>
      <c r="W28" s="187"/>
      <c r="X28" s="187"/>
      <c r="Y28" s="187"/>
      <c r="Z28" s="187"/>
      <c r="AA28" s="187"/>
      <c r="AB28" s="187"/>
      <c r="AC28" s="187"/>
      <c r="AD28" s="187"/>
      <c r="AE28" s="187"/>
    </row>
    <row r="29" spans="1:31" x14ac:dyDescent="0.25">
      <c r="A29" s="187"/>
      <c r="B29" s="187">
        <f>IF($C29="","",MAX($B$4:$B28)+1)</f>
        <v>26</v>
      </c>
      <c r="C29" s="145" t="s">
        <v>28</v>
      </c>
      <c r="D29" s="183" t="str">
        <f>IFERROR(VLOOKUP($C29,Rosters!$C$4:$M$239,INDEX(Lists!$N$5:$O$80,MATCH($C29,Lists!$N$5:$N$80,FALSE),2)),"")</f>
        <v>Hoopers</v>
      </c>
      <c r="E29" s="237">
        <f>IF($C29="",-0.00001,COUNTIFS(Database!E:E,$C29,Database!A:A,$D$1))</f>
        <v>4</v>
      </c>
      <c r="F29" s="194">
        <f>IFERROR(IF($C29="",-0.00001,AVERAGEIFS(Database!H:H,Database!$E:$E,$C29,Database!$A:$A,$D$1)),-0.00001)</f>
        <v>6.25</v>
      </c>
      <c r="G29" s="194">
        <f>IFERROR(IF($C29="",-0.00001,AVERAGEIFS(Database!I:I,Database!$E:$E,$C29,Database!$A:$A,$D$1)),-0.00001)</f>
        <v>4.75</v>
      </c>
      <c r="H29" s="194">
        <f>IFERROR(IF($C29="",-0.00001,AVERAGEIFS(Database!J:J,Database!$E:$E,$C29,Database!$A:$A,$D$1)),-0.00001)</f>
        <v>0.5</v>
      </c>
      <c r="I29" s="194">
        <f>IFERROR(IF($C29="",-0.00001,AVERAGEIFS(Database!K:K,Database!$E:$E,$C29,Database!$A:$A,$D$1)),-0.00001)</f>
        <v>0.75</v>
      </c>
      <c r="J29" s="194">
        <f>IFERROR(IF($C29="",-0.00001,AVERAGEIFS(Database!L:L,Database!$E:$E,$C29,Database!$A:$A,$D$1)),-0.00001)</f>
        <v>0.25</v>
      </c>
      <c r="K29" s="194">
        <f>IFERROR(IF($C29="",-0.00001,AVERAGEIFS(Database!M:M,Database!$E:$E,$C29,Database!$A:$A,$D$1)),-0.00001)</f>
        <v>0.5</v>
      </c>
      <c r="L29" s="194">
        <f>IFERROR(IF($C29="",-0.00001,AVERAGEIFS(Database!N:N,Database!$E:$E,$C29,Database!$A:$A,$D$1)),-0.00001)</f>
        <v>1</v>
      </c>
      <c r="M29" s="194">
        <f>IFERROR(IF($C29="",-0.00001,AVERAGEIFS(Database!O:O,Database!$E:$E,$C29,Database!$A:$A,$D$1)),-0.00001)</f>
        <v>3.75</v>
      </c>
      <c r="N29" s="194">
        <f>IFERROR(IF($C29="",-0.00001,AVERAGEIFS(Database!P:P,Database!$E:$E,$C29,Database!$A:$A,$D$1)),-0.00001)</f>
        <v>1.75</v>
      </c>
      <c r="O29" s="194">
        <f>IFERROR(IF($C29="",-0.00001,AVERAGEIFS(Database!Q:Q,Database!$E:$E,$C29,Database!$A:$A,$D$1)),-0.00001)</f>
        <v>5</v>
      </c>
      <c r="P29" s="186">
        <f>IFERROR(IF($C29="",-0.00001,AVERAGEIFS(Database!R:R,Database!$E:$E,$C29,Database!$A:$A,$D$1)),-0.00001)</f>
        <v>0.35714285714285715</v>
      </c>
      <c r="Q29" s="194">
        <f>IFERROR(IF($C29="",-0.00001,AVERAGEIFS(Database!S:S,Database!$E:$E,$C29,Database!$A:$A,$D$1)),-0.00001)</f>
        <v>2.25</v>
      </c>
      <c r="R29" s="194">
        <f>IFERROR(IF($C29="",-0.00001,AVERAGEIFS(Database!T:T,Database!$E:$E,$C29,Database!$A:$A,$D$1)),-0.00001)</f>
        <v>6.5</v>
      </c>
      <c r="S29" s="186">
        <f>IFERROR(IF($C29="",-0.00001,AVERAGEIFS(Database!U:U,Database!$E:$E,$C29,Database!$A:$A,$D$1)),-0.00001)</f>
        <v>0.35446428571428573</v>
      </c>
      <c r="T29" s="194">
        <f>IFERROR(IF($C29="",-0.00001,AVERAGEIFS(Database!V:V,Database!$E:$E,$C29,Database!$A:$A,$D$1)),-0.00001)</f>
        <v>0</v>
      </c>
      <c r="U29" s="194">
        <f>IFERROR(IF($C29="",-0.00001,AVERAGEIFS(Database!W:W,Database!$E:$E,$C29,Database!$A:$A,$D$1)),-0.00001)</f>
        <v>0</v>
      </c>
      <c r="V29" s="186">
        <f>IFERROR(IF($C29="",-0.00001,AVERAGEIFS(Database!X:X,Database!$E:$E,$C29,Database!$A:$A,$D$1)),-0.00001)</f>
        <v>-1.0000000000000001E-5</v>
      </c>
      <c r="W29" s="187"/>
      <c r="X29" s="187"/>
      <c r="Y29" s="187"/>
      <c r="Z29" s="187"/>
      <c r="AA29" s="187"/>
      <c r="AB29" s="187"/>
      <c r="AC29" s="187"/>
      <c r="AD29" s="187"/>
      <c r="AE29" s="187"/>
    </row>
    <row r="30" spans="1:31" x14ac:dyDescent="0.25">
      <c r="A30" s="187"/>
      <c r="B30" s="187">
        <f>IF($C30="","",MAX($B$4:$B29)+1)</f>
        <v>27</v>
      </c>
      <c r="C30" s="145" t="s">
        <v>230</v>
      </c>
      <c r="D30" s="183" t="str">
        <f>IFERROR(VLOOKUP($C30,Rosters!$C$4:$M$239,INDEX(Lists!$N$5:$O$80,MATCH($C30,Lists!$N$5:$N$80,FALSE),2)),"")</f>
        <v>Pistons</v>
      </c>
      <c r="E30" s="237">
        <f>IF($C30="",-0.00001,COUNTIFS(Database!E:E,$C30,Database!A:A,$D$1))</f>
        <v>2</v>
      </c>
      <c r="F30" s="194">
        <f>IFERROR(IF($C30="",-0.00001,AVERAGEIFS(Database!H:H,Database!$E:$E,$C30,Database!$A:$A,$D$1)),-0.00001)</f>
        <v>5</v>
      </c>
      <c r="G30" s="194">
        <f>IFERROR(IF($C30="",-0.00001,AVERAGEIFS(Database!I:I,Database!$E:$E,$C30,Database!$A:$A,$D$1)),-0.00001)</f>
        <v>10</v>
      </c>
      <c r="H30" s="194">
        <f>IFERROR(IF($C30="",-0.00001,AVERAGEIFS(Database!J:J,Database!$E:$E,$C30,Database!$A:$A,$D$1)),-0.00001)</f>
        <v>0</v>
      </c>
      <c r="I30" s="194">
        <f>IFERROR(IF($C30="",-0.00001,AVERAGEIFS(Database!K:K,Database!$E:$E,$C30,Database!$A:$A,$D$1)),-0.00001)</f>
        <v>0</v>
      </c>
      <c r="J30" s="194">
        <f>IFERROR(IF($C30="",-0.00001,AVERAGEIFS(Database!L:L,Database!$E:$E,$C30,Database!$A:$A,$D$1)),-0.00001)</f>
        <v>0.5</v>
      </c>
      <c r="K30" s="194">
        <f>IFERROR(IF($C30="",-0.00001,AVERAGEIFS(Database!M:M,Database!$E:$E,$C30,Database!$A:$A,$D$1)),-0.00001)</f>
        <v>3.5</v>
      </c>
      <c r="L30" s="194">
        <f>IFERROR(IF($C30="",-0.00001,AVERAGEIFS(Database!N:N,Database!$E:$E,$C30,Database!$A:$A,$D$1)),-0.00001)</f>
        <v>4</v>
      </c>
      <c r="M30" s="194">
        <f>IFERROR(IF($C30="",-0.00001,AVERAGEIFS(Database!O:O,Database!$E:$E,$C30,Database!$A:$A,$D$1)),-0.00001)</f>
        <v>6</v>
      </c>
      <c r="N30" s="194">
        <f>IFERROR(IF($C30="",-0.00001,AVERAGEIFS(Database!P:P,Database!$E:$E,$C30,Database!$A:$A,$D$1)),-0.00001)</f>
        <v>0</v>
      </c>
      <c r="O30" s="194">
        <f>IFERROR(IF($C30="",-0.00001,AVERAGEIFS(Database!Q:Q,Database!$E:$E,$C30,Database!$A:$A,$D$1)),-0.00001)</f>
        <v>0</v>
      </c>
      <c r="P30" s="186">
        <f>IFERROR(IF($C30="",-0.00001,AVERAGEIFS(Database!R:R,Database!$E:$E,$C30,Database!$A:$A,$D$1)),-0.00001)</f>
        <v>-1.0000000000000001E-5</v>
      </c>
      <c r="Q30" s="194">
        <f>IFERROR(IF($C30="",-0.00001,AVERAGEIFS(Database!S:S,Database!$E:$E,$C30,Database!$A:$A,$D$1)),-0.00001)</f>
        <v>2.5</v>
      </c>
      <c r="R30" s="194">
        <f>IFERROR(IF($C30="",-0.00001,AVERAGEIFS(Database!T:T,Database!$E:$E,$C30,Database!$A:$A,$D$1)),-0.00001)</f>
        <v>9</v>
      </c>
      <c r="S30" s="186">
        <f>IFERROR(IF($C30="",-0.00001,AVERAGEIFS(Database!U:U,Database!$E:$E,$C30,Database!$A:$A,$D$1)),-0.00001)</f>
        <v>0.35714285714285715</v>
      </c>
      <c r="T30" s="194">
        <f>IFERROR(IF($C30="",-0.00001,AVERAGEIFS(Database!V:V,Database!$E:$E,$C30,Database!$A:$A,$D$1)),-0.00001)</f>
        <v>0</v>
      </c>
      <c r="U30" s="194">
        <f>IFERROR(IF($C30="",-0.00001,AVERAGEIFS(Database!W:W,Database!$E:$E,$C30,Database!$A:$A,$D$1)),-0.00001)</f>
        <v>1</v>
      </c>
      <c r="V30" s="186">
        <f>IFERROR(IF($C30="",-0.00001,AVERAGEIFS(Database!X:X,Database!$E:$E,$C30,Database!$A:$A,$D$1)),-0.00001)</f>
        <v>0</v>
      </c>
      <c r="W30" s="187"/>
      <c r="X30" s="187"/>
      <c r="Y30" s="187"/>
      <c r="Z30" s="187"/>
      <c r="AA30" s="187"/>
      <c r="AB30" s="187"/>
      <c r="AC30" s="187"/>
      <c r="AD30" s="187"/>
      <c r="AE30" s="187"/>
    </row>
    <row r="31" spans="1:31" x14ac:dyDescent="0.25">
      <c r="A31" s="187"/>
      <c r="B31" s="187">
        <f>IF($C31="","",MAX($B$4:$B30)+1)</f>
        <v>28</v>
      </c>
      <c r="C31" s="145" t="s">
        <v>29</v>
      </c>
      <c r="D31" s="183" t="str">
        <f>IFERROR(VLOOKUP($C31,Rosters!$C$4:$M$239,INDEX(Lists!$N$5:$O$80,MATCH($C31,Lists!$N$5:$N$80,FALSE),2)),"")</f>
        <v>Hoopers</v>
      </c>
      <c r="E31" s="237">
        <f>IF($C31="",-0.00001,COUNTIFS(Database!E:E,$C31,Database!A:A,$D$1))</f>
        <v>3</v>
      </c>
      <c r="F31" s="194">
        <f>IFERROR(IF($C31="",-0.00001,AVERAGEIFS(Database!H:H,Database!$E:$E,$C31,Database!$A:$A,$D$1)),-0.00001)</f>
        <v>5</v>
      </c>
      <c r="G31" s="194">
        <f>IFERROR(IF($C31="",-0.00001,AVERAGEIFS(Database!I:I,Database!$E:$E,$C31,Database!$A:$A,$D$1)),-0.00001)</f>
        <v>9.3333333333333339</v>
      </c>
      <c r="H31" s="194">
        <f>IFERROR(IF($C31="",-0.00001,AVERAGEIFS(Database!J:J,Database!$E:$E,$C31,Database!$A:$A,$D$1)),-0.00001)</f>
        <v>2</v>
      </c>
      <c r="I31" s="194">
        <f>IFERROR(IF($C31="",-0.00001,AVERAGEIFS(Database!K:K,Database!$E:$E,$C31,Database!$A:$A,$D$1)),-0.00001)</f>
        <v>1.3333333333333333</v>
      </c>
      <c r="J31" s="194">
        <f>IFERROR(IF($C31="",-0.00001,AVERAGEIFS(Database!L:L,Database!$E:$E,$C31,Database!$A:$A,$D$1)),-0.00001)</f>
        <v>0.33333333333333331</v>
      </c>
      <c r="K31" s="194">
        <f>IFERROR(IF($C31="",-0.00001,AVERAGEIFS(Database!M:M,Database!$E:$E,$C31,Database!$A:$A,$D$1)),-0.00001)</f>
        <v>3</v>
      </c>
      <c r="L31" s="194">
        <f>IFERROR(IF($C31="",-0.00001,AVERAGEIFS(Database!N:N,Database!$E:$E,$C31,Database!$A:$A,$D$1)),-0.00001)</f>
        <v>4.666666666666667</v>
      </c>
      <c r="M31" s="194">
        <f>IFERROR(IF($C31="",-0.00001,AVERAGEIFS(Database!O:O,Database!$E:$E,$C31,Database!$A:$A,$D$1)),-0.00001)</f>
        <v>4.666666666666667</v>
      </c>
      <c r="N31" s="194">
        <f>IFERROR(IF($C31="",-0.00001,AVERAGEIFS(Database!P:P,Database!$E:$E,$C31,Database!$A:$A,$D$1)),-0.00001)</f>
        <v>0.33333333333333331</v>
      </c>
      <c r="O31" s="194">
        <f>IFERROR(IF($C31="",-0.00001,AVERAGEIFS(Database!Q:Q,Database!$E:$E,$C31,Database!$A:$A,$D$1)),-0.00001)</f>
        <v>2.3333333333333335</v>
      </c>
      <c r="P31" s="186">
        <f>IFERROR(IF($C31="",-0.00001,AVERAGEIFS(Database!R:R,Database!$E:$E,$C31,Database!$A:$A,$D$1)),-0.00001)</f>
        <v>8.3333333333333329E-2</v>
      </c>
      <c r="Q31" s="194">
        <f>IFERROR(IF($C31="",-0.00001,AVERAGEIFS(Database!S:S,Database!$E:$E,$C31,Database!$A:$A,$D$1)),-0.00001)</f>
        <v>2.3333333333333335</v>
      </c>
      <c r="R31" s="194">
        <f>IFERROR(IF($C31="",-0.00001,AVERAGEIFS(Database!T:T,Database!$E:$E,$C31,Database!$A:$A,$D$1)),-0.00001)</f>
        <v>9.3333333333333339</v>
      </c>
      <c r="S31" s="186">
        <f>IFERROR(IF($C31="",-0.00001,AVERAGEIFS(Database!U:U,Database!$E:$E,$C31,Database!$A:$A,$D$1)),-0.00001)</f>
        <v>0.23838383838383836</v>
      </c>
      <c r="T31" s="194">
        <f>IFERROR(IF($C31="",-0.00001,AVERAGEIFS(Database!V:V,Database!$E:$E,$C31,Database!$A:$A,$D$1)),-0.00001)</f>
        <v>0</v>
      </c>
      <c r="U31" s="194">
        <f>IFERROR(IF($C31="",-0.00001,AVERAGEIFS(Database!W:W,Database!$E:$E,$C31,Database!$A:$A,$D$1)),-0.00001)</f>
        <v>1.3333333333333333</v>
      </c>
      <c r="V31" s="186">
        <f>IFERROR(IF($C31="",-0.00001,AVERAGEIFS(Database!X:X,Database!$E:$E,$C31,Database!$A:$A,$D$1)),-0.00001)</f>
        <v>0</v>
      </c>
      <c r="W31" s="187"/>
      <c r="X31" s="187"/>
      <c r="Y31" s="187"/>
      <c r="Z31" s="187"/>
      <c r="AA31" s="187"/>
      <c r="AB31" s="187"/>
      <c r="AC31" s="187"/>
      <c r="AD31" s="187"/>
      <c r="AE31" s="187"/>
    </row>
    <row r="32" spans="1:31" x14ac:dyDescent="0.25">
      <c r="A32" s="187"/>
      <c r="B32" s="187">
        <f>IF($C32="","",MAX($B$4:$B31)+1)</f>
        <v>29</v>
      </c>
      <c r="C32" s="145" t="s">
        <v>10</v>
      </c>
      <c r="D32" s="183" t="str">
        <f>IFERROR(VLOOKUP($C32,Rosters!$C$4:$M$239,INDEX(Lists!$N$5:$O$80,MATCH($C32,Lists!$N$5:$N$80,FALSE),2)),"")</f>
        <v>Wombats</v>
      </c>
      <c r="E32" s="237">
        <f>IF($C32="",-0.00001,COUNTIFS(Database!E:E,$C32,Database!A:A,$D$1))</f>
        <v>4</v>
      </c>
      <c r="F32" s="194">
        <f>IFERROR(IF($C32="",-0.00001,AVERAGEIFS(Database!H:H,Database!$E:$E,$C32,Database!$A:$A,$D$1)),-0.00001)</f>
        <v>4.5</v>
      </c>
      <c r="G32" s="194">
        <f>IFERROR(IF($C32="",-0.00001,AVERAGEIFS(Database!I:I,Database!$E:$E,$C32,Database!$A:$A,$D$1)),-0.00001)</f>
        <v>3.75</v>
      </c>
      <c r="H32" s="194">
        <f>IFERROR(IF($C32="",-0.00001,AVERAGEIFS(Database!J:J,Database!$E:$E,$C32,Database!$A:$A,$D$1)),-0.00001)</f>
        <v>1</v>
      </c>
      <c r="I32" s="194">
        <f>IFERROR(IF($C32="",-0.00001,AVERAGEIFS(Database!K:K,Database!$E:$E,$C32,Database!$A:$A,$D$1)),-0.00001)</f>
        <v>0.75</v>
      </c>
      <c r="J32" s="194">
        <f>IFERROR(IF($C32="",-0.00001,AVERAGEIFS(Database!L:L,Database!$E:$E,$C32,Database!$A:$A,$D$1)),-0.00001)</f>
        <v>0</v>
      </c>
      <c r="K32" s="194">
        <f>IFERROR(IF($C32="",-0.00001,AVERAGEIFS(Database!M:M,Database!$E:$E,$C32,Database!$A:$A,$D$1)),-0.00001)</f>
        <v>1.75</v>
      </c>
      <c r="L32" s="194">
        <f>IFERROR(IF($C32="",-0.00001,AVERAGEIFS(Database!N:N,Database!$E:$E,$C32,Database!$A:$A,$D$1)),-0.00001)</f>
        <v>1</v>
      </c>
      <c r="M32" s="194">
        <f>IFERROR(IF($C32="",-0.00001,AVERAGEIFS(Database!O:O,Database!$E:$E,$C32,Database!$A:$A,$D$1)),-0.00001)</f>
        <v>2.75</v>
      </c>
      <c r="N32" s="194">
        <f>IFERROR(IF($C32="",-0.00001,AVERAGEIFS(Database!P:P,Database!$E:$E,$C32,Database!$A:$A,$D$1)),-0.00001)</f>
        <v>1.5</v>
      </c>
      <c r="O32" s="194">
        <f>IFERROR(IF($C32="",-0.00001,AVERAGEIFS(Database!Q:Q,Database!$E:$E,$C32,Database!$A:$A,$D$1)),-0.00001)</f>
        <v>4.75</v>
      </c>
      <c r="P32" s="186">
        <f>IFERROR(IF($C32="",-0.00001,AVERAGEIFS(Database!R:R,Database!$E:$E,$C32,Database!$A:$A,$D$1)),-0.00001)</f>
        <v>0.26250000000000001</v>
      </c>
      <c r="Q32" s="194">
        <f>IFERROR(IF($C32="",-0.00001,AVERAGEIFS(Database!S:S,Database!$E:$E,$C32,Database!$A:$A,$D$1)),-0.00001)</f>
        <v>1.5</v>
      </c>
      <c r="R32" s="194">
        <f>IFERROR(IF($C32="",-0.00001,AVERAGEIFS(Database!T:T,Database!$E:$E,$C32,Database!$A:$A,$D$1)),-0.00001)</f>
        <v>7.25</v>
      </c>
      <c r="S32" s="186">
        <f>IFERROR(IF($C32="",-0.00001,AVERAGEIFS(Database!U:U,Database!$E:$E,$C32,Database!$A:$A,$D$1)),-0.00001)</f>
        <v>0.20352564102564102</v>
      </c>
      <c r="T32" s="194">
        <f>IFERROR(IF($C32="",-0.00001,AVERAGEIFS(Database!V:V,Database!$E:$E,$C32,Database!$A:$A,$D$1)),-0.00001)</f>
        <v>0</v>
      </c>
      <c r="U32" s="194">
        <f>IFERROR(IF($C32="",-0.00001,AVERAGEIFS(Database!W:W,Database!$E:$E,$C32,Database!$A:$A,$D$1)),-0.00001)</f>
        <v>0</v>
      </c>
      <c r="V32" s="186">
        <f>IFERROR(IF($C32="",-0.00001,AVERAGEIFS(Database!X:X,Database!$E:$E,$C32,Database!$A:$A,$D$1)),-0.00001)</f>
        <v>-1.0000000000000001E-5</v>
      </c>
      <c r="W32" s="187"/>
      <c r="X32" s="187"/>
      <c r="Y32" s="187"/>
      <c r="Z32" s="187"/>
      <c r="AA32" s="187"/>
      <c r="AB32" s="187"/>
      <c r="AC32" s="187"/>
      <c r="AD32" s="187"/>
      <c r="AE32" s="187"/>
    </row>
    <row r="33" spans="1:31" x14ac:dyDescent="0.25">
      <c r="A33" s="187"/>
      <c r="B33" s="187">
        <f>IF($C33="","",MAX($B$4:$B32)+1)</f>
        <v>30</v>
      </c>
      <c r="C33" s="145" t="s">
        <v>100</v>
      </c>
      <c r="D33" s="183" t="str">
        <f>IFERROR(VLOOKUP($C33,Rosters!$C$4:$M$239,INDEX(Lists!$N$5:$O$80,MATCH($C33,Lists!$N$5:$N$80,FALSE),2)),"")</f>
        <v>Lightning</v>
      </c>
      <c r="E33" s="237">
        <f>IF($C33="",-0.00001,COUNTIFS(Database!E:E,$C33,Database!A:A,$D$1))</f>
        <v>1</v>
      </c>
      <c r="F33" s="194">
        <f>IFERROR(IF($C33="",-0.00001,AVERAGEIFS(Database!H:H,Database!$E:$E,$C33,Database!$A:$A,$D$1)),-0.00001)</f>
        <v>4</v>
      </c>
      <c r="G33" s="194">
        <f>IFERROR(IF($C33="",-0.00001,AVERAGEIFS(Database!I:I,Database!$E:$E,$C33,Database!$A:$A,$D$1)),-0.00001)</f>
        <v>5</v>
      </c>
      <c r="H33" s="194">
        <f>IFERROR(IF($C33="",-0.00001,AVERAGEIFS(Database!J:J,Database!$E:$E,$C33,Database!$A:$A,$D$1)),-0.00001)</f>
        <v>0</v>
      </c>
      <c r="I33" s="194">
        <f>IFERROR(IF($C33="",-0.00001,AVERAGEIFS(Database!K:K,Database!$E:$E,$C33,Database!$A:$A,$D$1)),-0.00001)</f>
        <v>3</v>
      </c>
      <c r="J33" s="194">
        <f>IFERROR(IF($C33="",-0.00001,AVERAGEIFS(Database!L:L,Database!$E:$E,$C33,Database!$A:$A,$D$1)),-0.00001)</f>
        <v>3</v>
      </c>
      <c r="K33" s="194">
        <f>IFERROR(IF($C33="",-0.00001,AVERAGEIFS(Database!M:M,Database!$E:$E,$C33,Database!$A:$A,$D$1)),-0.00001)</f>
        <v>1</v>
      </c>
      <c r="L33" s="194">
        <f>IFERROR(IF($C33="",-0.00001,AVERAGEIFS(Database!N:N,Database!$E:$E,$C33,Database!$A:$A,$D$1)),-0.00001)</f>
        <v>1</v>
      </c>
      <c r="M33" s="194">
        <f>IFERROR(IF($C33="",-0.00001,AVERAGEIFS(Database!O:O,Database!$E:$E,$C33,Database!$A:$A,$D$1)),-0.00001)</f>
        <v>4</v>
      </c>
      <c r="N33" s="194">
        <f>IFERROR(IF($C33="",-0.00001,AVERAGEIFS(Database!P:P,Database!$E:$E,$C33,Database!$A:$A,$D$1)),-0.00001)</f>
        <v>0</v>
      </c>
      <c r="O33" s="194">
        <f>IFERROR(IF($C33="",-0.00001,AVERAGEIFS(Database!Q:Q,Database!$E:$E,$C33,Database!$A:$A,$D$1)),-0.00001)</f>
        <v>1</v>
      </c>
      <c r="P33" s="186">
        <f>IFERROR(IF($C33="",-0.00001,AVERAGEIFS(Database!R:R,Database!$E:$E,$C33,Database!$A:$A,$D$1)),-0.00001)</f>
        <v>0</v>
      </c>
      <c r="Q33" s="194">
        <f>IFERROR(IF($C33="",-0.00001,AVERAGEIFS(Database!S:S,Database!$E:$E,$C33,Database!$A:$A,$D$1)),-0.00001)</f>
        <v>2</v>
      </c>
      <c r="R33" s="194">
        <f>IFERROR(IF($C33="",-0.00001,AVERAGEIFS(Database!T:T,Database!$E:$E,$C33,Database!$A:$A,$D$1)),-0.00001)</f>
        <v>4</v>
      </c>
      <c r="S33" s="186">
        <f>IFERROR(IF($C33="",-0.00001,AVERAGEIFS(Database!U:U,Database!$E:$E,$C33,Database!$A:$A,$D$1)),-0.00001)</f>
        <v>0.5</v>
      </c>
      <c r="T33" s="194">
        <f>IFERROR(IF($C33="",-0.00001,AVERAGEIFS(Database!V:V,Database!$E:$E,$C33,Database!$A:$A,$D$1)),-0.00001)</f>
        <v>0</v>
      </c>
      <c r="U33" s="194">
        <f>IFERROR(IF($C33="",-0.00001,AVERAGEIFS(Database!W:W,Database!$E:$E,$C33,Database!$A:$A,$D$1)),-0.00001)</f>
        <v>0</v>
      </c>
      <c r="V33" s="186">
        <f>IFERROR(IF($C33="",-0.00001,AVERAGEIFS(Database!X:X,Database!$E:$E,$C33,Database!$A:$A,$D$1)),-0.00001)</f>
        <v>-1.0000000000000001E-5</v>
      </c>
      <c r="W33" s="187"/>
      <c r="X33" s="187"/>
      <c r="Y33" s="187"/>
      <c r="Z33" s="187"/>
      <c r="AA33" s="187"/>
      <c r="AB33" s="187"/>
      <c r="AC33" s="187"/>
      <c r="AD33" s="187"/>
      <c r="AE33" s="187"/>
    </row>
    <row r="34" spans="1:31" x14ac:dyDescent="0.25">
      <c r="A34" s="187"/>
      <c r="B34" s="187">
        <f>IF($C34="","",MAX($B$4:$B33)+1)</f>
        <v>31</v>
      </c>
      <c r="C34" s="145" t="s">
        <v>11</v>
      </c>
      <c r="D34" s="183" t="str">
        <f>IFERROR(VLOOKUP($C34,Rosters!$C$4:$M$239,INDEX(Lists!$N$5:$O$80,MATCH($C34,Lists!$N$5:$N$80,FALSE),2)),"")</f>
        <v>Wombats</v>
      </c>
      <c r="E34" s="237">
        <f>IF($C34="",-0.00001,COUNTIFS(Database!E:E,$C34,Database!A:A,$D$1))</f>
        <v>3</v>
      </c>
      <c r="F34" s="194">
        <f>IFERROR(IF($C34="",-0.00001,AVERAGEIFS(Database!H:H,Database!$E:$E,$C34,Database!$A:$A,$D$1)),-0.00001)</f>
        <v>3.3333333333333335</v>
      </c>
      <c r="G34" s="194">
        <f>IFERROR(IF($C34="",-0.00001,AVERAGEIFS(Database!I:I,Database!$E:$E,$C34,Database!$A:$A,$D$1)),-0.00001)</f>
        <v>3</v>
      </c>
      <c r="H34" s="194">
        <f>IFERROR(IF($C34="",-0.00001,AVERAGEIFS(Database!J:J,Database!$E:$E,$C34,Database!$A:$A,$D$1)),-0.00001)</f>
        <v>0.66666666666666663</v>
      </c>
      <c r="I34" s="194">
        <f>IFERROR(IF($C34="",-0.00001,AVERAGEIFS(Database!K:K,Database!$E:$E,$C34,Database!$A:$A,$D$1)),-0.00001)</f>
        <v>1.3333333333333333</v>
      </c>
      <c r="J34" s="194">
        <f>IFERROR(IF($C34="",-0.00001,AVERAGEIFS(Database!L:L,Database!$E:$E,$C34,Database!$A:$A,$D$1)),-0.00001)</f>
        <v>0.33333333333333331</v>
      </c>
      <c r="K34" s="194">
        <f>IFERROR(IF($C34="",-0.00001,AVERAGEIFS(Database!M:M,Database!$E:$E,$C34,Database!$A:$A,$D$1)),-0.00001)</f>
        <v>0.66666666666666663</v>
      </c>
      <c r="L34" s="194">
        <f>IFERROR(IF($C34="",-0.00001,AVERAGEIFS(Database!N:N,Database!$E:$E,$C34,Database!$A:$A,$D$1)),-0.00001)</f>
        <v>1</v>
      </c>
      <c r="M34" s="194">
        <f>IFERROR(IF($C34="",-0.00001,AVERAGEIFS(Database!O:O,Database!$E:$E,$C34,Database!$A:$A,$D$1)),-0.00001)</f>
        <v>2</v>
      </c>
      <c r="N34" s="194">
        <f>IFERROR(IF($C34="",-0.00001,AVERAGEIFS(Database!P:P,Database!$E:$E,$C34,Database!$A:$A,$D$1)),-0.00001)</f>
        <v>0.66666666666666663</v>
      </c>
      <c r="O34" s="194">
        <f>IFERROR(IF($C34="",-0.00001,AVERAGEIFS(Database!Q:Q,Database!$E:$E,$C34,Database!$A:$A,$D$1)),-0.00001)</f>
        <v>1.6666666666666667</v>
      </c>
      <c r="P34" s="186">
        <f>IFERROR(IF($C34="",-0.00001,AVERAGEIFS(Database!R:R,Database!$E:$E,$C34,Database!$A:$A,$D$1)),-0.00001)</f>
        <v>0.33333333333333331</v>
      </c>
      <c r="Q34" s="194">
        <f>IFERROR(IF($C34="",-0.00001,AVERAGEIFS(Database!S:S,Database!$E:$E,$C34,Database!$A:$A,$D$1)),-0.00001)</f>
        <v>1.3333333333333333</v>
      </c>
      <c r="R34" s="194">
        <f>IFERROR(IF($C34="",-0.00001,AVERAGEIFS(Database!T:T,Database!$E:$E,$C34,Database!$A:$A,$D$1)),-0.00001)</f>
        <v>3.3333333333333335</v>
      </c>
      <c r="S34" s="186">
        <f>IFERROR(IF($C34="",-0.00001,AVERAGEIFS(Database!U:U,Database!$E:$E,$C34,Database!$A:$A,$D$1)),-0.00001)</f>
        <v>0.38888888888888884</v>
      </c>
      <c r="T34" s="194">
        <f>IFERROR(IF($C34="",-0.00001,AVERAGEIFS(Database!V:V,Database!$E:$E,$C34,Database!$A:$A,$D$1)),-0.00001)</f>
        <v>0</v>
      </c>
      <c r="U34" s="194">
        <f>IFERROR(IF($C34="",-0.00001,AVERAGEIFS(Database!W:W,Database!$E:$E,$C34,Database!$A:$A,$D$1)),-0.00001)</f>
        <v>0</v>
      </c>
      <c r="V34" s="186">
        <f>IFERROR(IF($C34="",-0.00001,AVERAGEIFS(Database!X:X,Database!$E:$E,$C34,Database!$A:$A,$D$1)),-0.00001)</f>
        <v>-1.0000000000000001E-5</v>
      </c>
      <c r="W34" s="187"/>
      <c r="X34" s="187"/>
      <c r="Y34" s="187"/>
      <c r="Z34" s="187"/>
      <c r="AA34" s="187"/>
      <c r="AB34" s="187"/>
      <c r="AC34" s="187"/>
      <c r="AD34" s="187"/>
      <c r="AE34" s="187"/>
    </row>
    <row r="35" spans="1:31" x14ac:dyDescent="0.25">
      <c r="A35" s="187"/>
      <c r="B35" s="187">
        <f>IF($C35="","",MAX($B$4:$B34)+1)</f>
        <v>32</v>
      </c>
      <c r="C35" s="145" t="s">
        <v>35</v>
      </c>
      <c r="D35" s="183" t="str">
        <f>IFERROR(VLOOKUP($C35,Rosters!$C$4:$M$239,INDEX(Lists!$N$5:$O$80,MATCH($C35,Lists!$N$5:$N$80,FALSE),2)),"")</f>
        <v>Vandals</v>
      </c>
      <c r="E35" s="237">
        <f>IF($C35="",-0.00001,COUNTIFS(Database!E:E,$C35,Database!A:A,$D$1))</f>
        <v>4</v>
      </c>
      <c r="F35" s="194">
        <f>IFERROR(IF($C35="",-0.00001,AVERAGEIFS(Database!H:H,Database!$E:$E,$C35,Database!$A:$A,$D$1)),-0.00001)</f>
        <v>3.25</v>
      </c>
      <c r="G35" s="194">
        <f>IFERROR(IF($C35="",-0.00001,AVERAGEIFS(Database!I:I,Database!$E:$E,$C35,Database!$A:$A,$D$1)),-0.00001)</f>
        <v>3.75</v>
      </c>
      <c r="H35" s="194">
        <f>IFERROR(IF($C35="",-0.00001,AVERAGEIFS(Database!J:J,Database!$E:$E,$C35,Database!$A:$A,$D$1)),-0.00001)</f>
        <v>0.75</v>
      </c>
      <c r="I35" s="194">
        <f>IFERROR(IF($C35="",-0.00001,AVERAGEIFS(Database!K:K,Database!$E:$E,$C35,Database!$A:$A,$D$1)),-0.00001)</f>
        <v>0</v>
      </c>
      <c r="J35" s="194">
        <f>IFERROR(IF($C35="",-0.00001,AVERAGEIFS(Database!L:L,Database!$E:$E,$C35,Database!$A:$A,$D$1)),-0.00001)</f>
        <v>0.25</v>
      </c>
      <c r="K35" s="194">
        <f>IFERROR(IF($C35="",-0.00001,AVERAGEIFS(Database!M:M,Database!$E:$E,$C35,Database!$A:$A,$D$1)),-0.00001)</f>
        <v>0.75</v>
      </c>
      <c r="L35" s="194">
        <f>IFERROR(IF($C35="",-0.00001,AVERAGEIFS(Database!N:N,Database!$E:$E,$C35,Database!$A:$A,$D$1)),-0.00001)</f>
        <v>0.25</v>
      </c>
      <c r="M35" s="194">
        <f>IFERROR(IF($C35="",-0.00001,AVERAGEIFS(Database!O:O,Database!$E:$E,$C35,Database!$A:$A,$D$1)),-0.00001)</f>
        <v>3</v>
      </c>
      <c r="N35" s="194">
        <f>IFERROR(IF($C35="",-0.00001,AVERAGEIFS(Database!P:P,Database!$E:$E,$C35,Database!$A:$A,$D$1)),-0.00001)</f>
        <v>0.5</v>
      </c>
      <c r="O35" s="194">
        <f>IFERROR(IF($C35="",-0.00001,AVERAGEIFS(Database!Q:Q,Database!$E:$E,$C35,Database!$A:$A,$D$1)),-0.00001)</f>
        <v>3</v>
      </c>
      <c r="P35" s="186">
        <f>IFERROR(IF($C35="",-0.00001,AVERAGEIFS(Database!R:R,Database!$E:$E,$C35,Database!$A:$A,$D$1)),-0.00001)</f>
        <v>0.14583333333333331</v>
      </c>
      <c r="Q35" s="194">
        <f>IFERROR(IF($C35="",-0.00001,AVERAGEIFS(Database!S:S,Database!$E:$E,$C35,Database!$A:$A,$D$1)),-0.00001)</f>
        <v>1.5</v>
      </c>
      <c r="R35" s="194">
        <f>IFERROR(IF($C35="",-0.00001,AVERAGEIFS(Database!T:T,Database!$E:$E,$C35,Database!$A:$A,$D$1)),-0.00001)</f>
        <v>4.75</v>
      </c>
      <c r="S35" s="186">
        <f>IFERROR(IF($C35="",-0.00001,AVERAGEIFS(Database!U:U,Database!$E:$E,$C35,Database!$A:$A,$D$1)),-0.00001)</f>
        <v>0.31666666666666665</v>
      </c>
      <c r="T35" s="194">
        <f>IFERROR(IF($C35="",-0.00001,AVERAGEIFS(Database!V:V,Database!$E:$E,$C35,Database!$A:$A,$D$1)),-0.00001)</f>
        <v>0</v>
      </c>
      <c r="U35" s="194">
        <f>IFERROR(IF($C35="",-0.00001,AVERAGEIFS(Database!W:W,Database!$E:$E,$C35,Database!$A:$A,$D$1)),-0.00001)</f>
        <v>0</v>
      </c>
      <c r="V35" s="186">
        <f>IFERROR(IF($C35="",-0.00001,AVERAGEIFS(Database!X:X,Database!$E:$E,$C35,Database!$A:$A,$D$1)),-0.00001)</f>
        <v>-1.0000000000000001E-5</v>
      </c>
      <c r="W35" s="187"/>
      <c r="X35" s="187"/>
      <c r="Y35" s="187"/>
      <c r="Z35" s="187"/>
      <c r="AA35" s="187"/>
      <c r="AB35" s="187"/>
      <c r="AC35" s="187"/>
      <c r="AD35" s="187"/>
      <c r="AE35" s="187"/>
    </row>
    <row r="36" spans="1:31" x14ac:dyDescent="0.25">
      <c r="A36" s="187"/>
      <c r="B36" s="187">
        <f>IF($C36="","",MAX($B$4:$B35)+1)</f>
        <v>33</v>
      </c>
      <c r="C36" s="145" t="s">
        <v>17</v>
      </c>
      <c r="D36" s="183" t="str">
        <f>IFERROR(VLOOKUP($C36,Rosters!$C$4:$M$239,INDEX(Lists!$N$5:$O$80,MATCH($C36,Lists!$N$5:$N$80,FALSE),2)),"")</f>
        <v>Pistons</v>
      </c>
      <c r="E36" s="237">
        <f>IF($C36="",-0.00001,COUNTIFS(Database!E:E,$C36,Database!A:A,$D$1))</f>
        <v>4</v>
      </c>
      <c r="F36" s="194">
        <f>IFERROR(IF($C36="",-0.00001,AVERAGEIFS(Database!H:H,Database!$E:$E,$C36,Database!$A:$A,$D$1)),-0.00001)</f>
        <v>3</v>
      </c>
      <c r="G36" s="194">
        <f>IFERROR(IF($C36="",-0.00001,AVERAGEIFS(Database!I:I,Database!$E:$E,$C36,Database!$A:$A,$D$1)),-0.00001)</f>
        <v>8.25</v>
      </c>
      <c r="H36" s="194">
        <f>IFERROR(IF($C36="",-0.00001,AVERAGEIFS(Database!J:J,Database!$E:$E,$C36,Database!$A:$A,$D$1)),-0.00001)</f>
        <v>0.25</v>
      </c>
      <c r="I36" s="194">
        <f>IFERROR(IF($C36="",-0.00001,AVERAGEIFS(Database!K:K,Database!$E:$E,$C36,Database!$A:$A,$D$1)),-0.00001)</f>
        <v>0.75</v>
      </c>
      <c r="J36" s="194">
        <f>IFERROR(IF($C36="",-0.00001,AVERAGEIFS(Database!L:L,Database!$E:$E,$C36,Database!$A:$A,$D$1)),-0.00001)</f>
        <v>0.5</v>
      </c>
      <c r="K36" s="194">
        <f>IFERROR(IF($C36="",-0.00001,AVERAGEIFS(Database!M:M,Database!$E:$E,$C36,Database!$A:$A,$D$1)),-0.00001)</f>
        <v>1.25</v>
      </c>
      <c r="L36" s="194">
        <f>IFERROR(IF($C36="",-0.00001,AVERAGEIFS(Database!N:N,Database!$E:$E,$C36,Database!$A:$A,$D$1)),-0.00001)</f>
        <v>0.5</v>
      </c>
      <c r="M36" s="194">
        <f>IFERROR(IF($C36="",-0.00001,AVERAGEIFS(Database!O:O,Database!$E:$E,$C36,Database!$A:$A,$D$1)),-0.00001)</f>
        <v>7.75</v>
      </c>
      <c r="N36" s="194">
        <f>IFERROR(IF($C36="",-0.00001,AVERAGEIFS(Database!P:P,Database!$E:$E,$C36,Database!$A:$A,$D$1)),-0.00001)</f>
        <v>0</v>
      </c>
      <c r="O36" s="194">
        <f>IFERROR(IF($C36="",-0.00001,AVERAGEIFS(Database!Q:Q,Database!$E:$E,$C36,Database!$A:$A,$D$1)),-0.00001)</f>
        <v>1.5</v>
      </c>
      <c r="P36" s="186">
        <f>IFERROR(IF($C36="",-0.00001,AVERAGEIFS(Database!R:R,Database!$E:$E,$C36,Database!$A:$A,$D$1)),-0.00001)</f>
        <v>0</v>
      </c>
      <c r="Q36" s="194">
        <f>IFERROR(IF($C36="",-0.00001,AVERAGEIFS(Database!S:S,Database!$E:$E,$C36,Database!$A:$A,$D$1)),-0.00001)</f>
        <v>1.5</v>
      </c>
      <c r="R36" s="194">
        <f>IFERROR(IF($C36="",-0.00001,AVERAGEIFS(Database!T:T,Database!$E:$E,$C36,Database!$A:$A,$D$1)),-0.00001)</f>
        <v>4.75</v>
      </c>
      <c r="S36" s="186">
        <f>IFERROR(IF($C36="",-0.00001,AVERAGEIFS(Database!U:U,Database!$E:$E,$C36,Database!$A:$A,$D$1)),-0.00001)</f>
        <v>0.29583333333333328</v>
      </c>
      <c r="T36" s="194">
        <f>IFERROR(IF($C36="",-0.00001,AVERAGEIFS(Database!V:V,Database!$E:$E,$C36,Database!$A:$A,$D$1)),-0.00001)</f>
        <v>0</v>
      </c>
      <c r="U36" s="194">
        <f>IFERROR(IF($C36="",-0.00001,AVERAGEIFS(Database!W:W,Database!$E:$E,$C36,Database!$A:$A,$D$1)),-0.00001)</f>
        <v>0</v>
      </c>
      <c r="V36" s="186">
        <f>IFERROR(IF($C36="",-0.00001,AVERAGEIFS(Database!X:X,Database!$E:$E,$C36,Database!$A:$A,$D$1)),-0.00001)</f>
        <v>-1.0000000000000001E-5</v>
      </c>
      <c r="W36" s="187"/>
      <c r="X36" s="187"/>
      <c r="Y36" s="187"/>
      <c r="Z36" s="187"/>
      <c r="AA36" s="187"/>
      <c r="AB36" s="187"/>
      <c r="AC36" s="187"/>
      <c r="AD36" s="187"/>
      <c r="AE36" s="187"/>
    </row>
    <row r="37" spans="1:31" x14ac:dyDescent="0.25">
      <c r="A37" s="187"/>
      <c r="B37" s="187">
        <f>IF($C37="","",MAX($B$4:$B36)+1)</f>
        <v>34</v>
      </c>
      <c r="C37" s="145" t="s">
        <v>12</v>
      </c>
      <c r="D37" s="183" t="str">
        <f>IFERROR(VLOOKUP($C37,Rosters!$C$4:$M$239,INDEX(Lists!$N$5:$O$80,MATCH($C37,Lists!$N$5:$N$80,FALSE),2)),"")</f>
        <v>Hoopers</v>
      </c>
      <c r="E37" s="237">
        <f>IF($C37="",-0.00001,COUNTIFS(Database!E:E,$C37,Database!A:A,$D$1))</f>
        <v>4</v>
      </c>
      <c r="F37" s="194">
        <f>IFERROR(IF($C37="",-0.00001,AVERAGEIFS(Database!H:H,Database!$E:$E,$C37,Database!$A:$A,$D$1)),-0.00001)</f>
        <v>2.75</v>
      </c>
      <c r="G37" s="194">
        <f>IFERROR(IF($C37="",-0.00001,AVERAGEIFS(Database!I:I,Database!$E:$E,$C37,Database!$A:$A,$D$1)),-0.00001)</f>
        <v>5.75</v>
      </c>
      <c r="H37" s="194">
        <f>IFERROR(IF($C37="",-0.00001,AVERAGEIFS(Database!J:J,Database!$E:$E,$C37,Database!$A:$A,$D$1)),-0.00001)</f>
        <v>0.75</v>
      </c>
      <c r="I37" s="194">
        <f>IFERROR(IF($C37="",-0.00001,AVERAGEIFS(Database!K:K,Database!$E:$E,$C37,Database!$A:$A,$D$1)),-0.00001)</f>
        <v>0.75</v>
      </c>
      <c r="J37" s="194">
        <f>IFERROR(IF($C37="",-0.00001,AVERAGEIFS(Database!L:L,Database!$E:$E,$C37,Database!$A:$A,$D$1)),-0.00001)</f>
        <v>1.5</v>
      </c>
      <c r="K37" s="194">
        <f>IFERROR(IF($C37="",-0.00001,AVERAGEIFS(Database!M:M,Database!$E:$E,$C37,Database!$A:$A,$D$1)),-0.00001)</f>
        <v>2.5</v>
      </c>
      <c r="L37" s="194">
        <f>IFERROR(IF($C37="",-0.00001,AVERAGEIFS(Database!N:N,Database!$E:$E,$C37,Database!$A:$A,$D$1)),-0.00001)</f>
        <v>2.75</v>
      </c>
      <c r="M37" s="194">
        <f>IFERROR(IF($C37="",-0.00001,AVERAGEIFS(Database!O:O,Database!$E:$E,$C37,Database!$A:$A,$D$1)),-0.00001)</f>
        <v>3</v>
      </c>
      <c r="N37" s="194">
        <f>IFERROR(IF($C37="",-0.00001,AVERAGEIFS(Database!P:P,Database!$E:$E,$C37,Database!$A:$A,$D$1)),-0.00001)</f>
        <v>0.25</v>
      </c>
      <c r="O37" s="194">
        <f>IFERROR(IF($C37="",-0.00001,AVERAGEIFS(Database!Q:Q,Database!$E:$E,$C37,Database!$A:$A,$D$1)),-0.00001)</f>
        <v>1.25</v>
      </c>
      <c r="P37" s="186">
        <f>IFERROR(IF($C37="",-0.00001,AVERAGEIFS(Database!R:R,Database!$E:$E,$C37,Database!$A:$A,$D$1)),-0.00001)</f>
        <v>0.125</v>
      </c>
      <c r="Q37" s="194">
        <f>IFERROR(IF($C37="",-0.00001,AVERAGEIFS(Database!S:S,Database!$E:$E,$C37,Database!$A:$A,$D$1)),-0.00001)</f>
        <v>1.25</v>
      </c>
      <c r="R37" s="194">
        <f>IFERROR(IF($C37="",-0.00001,AVERAGEIFS(Database!T:T,Database!$E:$E,$C37,Database!$A:$A,$D$1)),-0.00001)</f>
        <v>4.75</v>
      </c>
      <c r="S37" s="186">
        <f>IFERROR(IF($C37="",-0.00001,AVERAGEIFS(Database!U:U,Database!$E:$E,$C37,Database!$A:$A,$D$1)),-0.00001)</f>
        <v>0.1875</v>
      </c>
      <c r="T37" s="194">
        <f>IFERROR(IF($C37="",-0.00001,AVERAGEIFS(Database!V:V,Database!$E:$E,$C37,Database!$A:$A,$D$1)),-0.00001)</f>
        <v>0</v>
      </c>
      <c r="U37" s="194">
        <f>IFERROR(IF($C37="",-0.00001,AVERAGEIFS(Database!W:W,Database!$E:$E,$C37,Database!$A:$A,$D$1)),-0.00001)</f>
        <v>0</v>
      </c>
      <c r="V37" s="186">
        <f>IFERROR(IF($C37="",-0.00001,AVERAGEIFS(Database!X:X,Database!$E:$E,$C37,Database!$A:$A,$D$1)),-0.00001)</f>
        <v>-1.0000000000000001E-5</v>
      </c>
      <c r="W37" s="187"/>
      <c r="X37" s="187"/>
      <c r="Y37" s="187"/>
      <c r="Z37" s="187"/>
      <c r="AA37" s="187"/>
      <c r="AB37" s="187"/>
      <c r="AC37" s="187"/>
      <c r="AD37" s="187"/>
      <c r="AE37" s="187"/>
    </row>
    <row r="38" spans="1:31" x14ac:dyDescent="0.25">
      <c r="A38" s="187"/>
      <c r="B38" s="187">
        <f>IF($C38="","",MAX($B$4:$B37)+1)</f>
        <v>35</v>
      </c>
      <c r="C38" s="145" t="s">
        <v>18</v>
      </c>
      <c r="D38" s="183" t="str">
        <f>IFERROR(VLOOKUP($C38,Rosters!$C$4:$M$239,INDEX(Lists!$N$5:$O$80,MATCH($C38,Lists!$N$5:$N$80,FALSE),2)),"")</f>
        <v>Pistons</v>
      </c>
      <c r="E38" s="237">
        <f>IF($C38="",-0.00001,COUNTIFS(Database!E:E,$C38,Database!A:A,$D$1))</f>
        <v>4</v>
      </c>
      <c r="F38" s="194">
        <f>IFERROR(IF($C38="",-0.00001,AVERAGEIFS(Database!H:H,Database!$E:$E,$C38,Database!$A:$A,$D$1)),-0.00001)</f>
        <v>2.5</v>
      </c>
      <c r="G38" s="194">
        <f>IFERROR(IF($C38="",-0.00001,AVERAGEIFS(Database!I:I,Database!$E:$E,$C38,Database!$A:$A,$D$1)),-0.00001)</f>
        <v>4.25</v>
      </c>
      <c r="H38" s="194">
        <f>IFERROR(IF($C38="",-0.00001,AVERAGEIFS(Database!J:J,Database!$E:$E,$C38,Database!$A:$A,$D$1)),-0.00001)</f>
        <v>0.25</v>
      </c>
      <c r="I38" s="194">
        <f>IFERROR(IF($C38="",-0.00001,AVERAGEIFS(Database!K:K,Database!$E:$E,$C38,Database!$A:$A,$D$1)),-0.00001)</f>
        <v>0.5</v>
      </c>
      <c r="J38" s="194">
        <f>IFERROR(IF($C38="",-0.00001,AVERAGEIFS(Database!L:L,Database!$E:$E,$C38,Database!$A:$A,$D$1)),-0.00001)</f>
        <v>0</v>
      </c>
      <c r="K38" s="194">
        <f>IFERROR(IF($C38="",-0.00001,AVERAGEIFS(Database!M:M,Database!$E:$E,$C38,Database!$A:$A,$D$1)),-0.00001)</f>
        <v>2.25</v>
      </c>
      <c r="L38" s="194">
        <f>IFERROR(IF($C38="",-0.00001,AVERAGEIFS(Database!N:N,Database!$E:$E,$C38,Database!$A:$A,$D$1)),-0.00001)</f>
        <v>1.25</v>
      </c>
      <c r="M38" s="194">
        <f>IFERROR(IF($C38="",-0.00001,AVERAGEIFS(Database!O:O,Database!$E:$E,$C38,Database!$A:$A,$D$1)),-0.00001)</f>
        <v>3</v>
      </c>
      <c r="N38" s="194">
        <f>IFERROR(IF($C38="",-0.00001,AVERAGEIFS(Database!P:P,Database!$E:$E,$C38,Database!$A:$A,$D$1)),-0.00001)</f>
        <v>0</v>
      </c>
      <c r="O38" s="194">
        <f>IFERROR(IF($C38="",-0.00001,AVERAGEIFS(Database!Q:Q,Database!$E:$E,$C38,Database!$A:$A,$D$1)),-0.00001)</f>
        <v>2.25</v>
      </c>
      <c r="P38" s="186">
        <f>IFERROR(IF($C38="",-0.00001,AVERAGEIFS(Database!R:R,Database!$E:$E,$C38,Database!$A:$A,$D$1)),-0.00001)</f>
        <v>0</v>
      </c>
      <c r="Q38" s="194">
        <f>IFERROR(IF($C38="",-0.00001,AVERAGEIFS(Database!S:S,Database!$E:$E,$C38,Database!$A:$A,$D$1)),-0.00001)</f>
        <v>1.25</v>
      </c>
      <c r="R38" s="194">
        <f>IFERROR(IF($C38="",-0.00001,AVERAGEIFS(Database!T:T,Database!$E:$E,$C38,Database!$A:$A,$D$1)),-0.00001)</f>
        <v>4.5</v>
      </c>
      <c r="S38" s="186">
        <f>IFERROR(IF($C38="",-0.00001,AVERAGEIFS(Database!U:U,Database!$E:$E,$C38,Database!$A:$A,$D$1)),-0.00001)</f>
        <v>0.25476190476190474</v>
      </c>
      <c r="T38" s="194">
        <f>IFERROR(IF($C38="",-0.00001,AVERAGEIFS(Database!V:V,Database!$E:$E,$C38,Database!$A:$A,$D$1)),-0.00001)</f>
        <v>0</v>
      </c>
      <c r="U38" s="194">
        <f>IFERROR(IF($C38="",-0.00001,AVERAGEIFS(Database!W:W,Database!$E:$E,$C38,Database!$A:$A,$D$1)),-0.00001)</f>
        <v>0</v>
      </c>
      <c r="V38" s="186">
        <f>IFERROR(IF($C38="",-0.00001,AVERAGEIFS(Database!X:X,Database!$E:$E,$C38,Database!$A:$A,$D$1)),-0.00001)</f>
        <v>-1.0000000000000001E-5</v>
      </c>
      <c r="W38" s="187"/>
      <c r="X38" s="187"/>
      <c r="Y38" s="187"/>
      <c r="Z38" s="187"/>
      <c r="AA38" s="187"/>
      <c r="AB38" s="187"/>
      <c r="AC38" s="187"/>
      <c r="AD38" s="187"/>
      <c r="AE38" s="187"/>
    </row>
    <row r="39" spans="1:31" x14ac:dyDescent="0.25">
      <c r="A39" s="187"/>
      <c r="B39" s="187">
        <f>IF($C39="","",MAX($B$4:$B38)+1)</f>
        <v>36</v>
      </c>
      <c r="C39" s="145" t="s">
        <v>30</v>
      </c>
      <c r="D39" s="183" t="str">
        <f>IFERROR(VLOOKUP($C39,Rosters!$C$4:$M$239,INDEX(Lists!$N$5:$O$80,MATCH($C39,Lists!$N$5:$N$80,FALSE),2)),"")</f>
        <v>Wombats</v>
      </c>
      <c r="E39" s="237">
        <f>IF($C39="",-0.00001,COUNTIFS(Database!E:E,$C39,Database!A:A,$D$1))</f>
        <v>3</v>
      </c>
      <c r="F39" s="194">
        <f>IFERROR(IF($C39="",-0.00001,AVERAGEIFS(Database!H:H,Database!$E:$E,$C39,Database!$A:$A,$D$1)),-0.00001)</f>
        <v>2.3333333333333335</v>
      </c>
      <c r="G39" s="194">
        <f>IFERROR(IF($C39="",-0.00001,AVERAGEIFS(Database!I:I,Database!$E:$E,$C39,Database!$A:$A,$D$1)),-0.00001)</f>
        <v>3</v>
      </c>
      <c r="H39" s="194">
        <f>IFERROR(IF($C39="",-0.00001,AVERAGEIFS(Database!J:J,Database!$E:$E,$C39,Database!$A:$A,$D$1)),-0.00001)</f>
        <v>0.33333333333333331</v>
      </c>
      <c r="I39" s="194">
        <f>IFERROR(IF($C39="",-0.00001,AVERAGEIFS(Database!K:K,Database!$E:$E,$C39,Database!$A:$A,$D$1)),-0.00001)</f>
        <v>0.33333333333333331</v>
      </c>
      <c r="J39" s="194">
        <f>IFERROR(IF($C39="",-0.00001,AVERAGEIFS(Database!L:L,Database!$E:$E,$C39,Database!$A:$A,$D$1)),-0.00001)</f>
        <v>0.33333333333333331</v>
      </c>
      <c r="K39" s="194">
        <f>IFERROR(IF($C39="",-0.00001,AVERAGEIFS(Database!M:M,Database!$E:$E,$C39,Database!$A:$A,$D$1)),-0.00001)</f>
        <v>1.3333333333333333</v>
      </c>
      <c r="L39" s="194">
        <f>IFERROR(IF($C39="",-0.00001,AVERAGEIFS(Database!N:N,Database!$E:$E,$C39,Database!$A:$A,$D$1)),-0.00001)</f>
        <v>0.33333333333333331</v>
      </c>
      <c r="M39" s="194">
        <f>IFERROR(IF($C39="",-0.00001,AVERAGEIFS(Database!O:O,Database!$E:$E,$C39,Database!$A:$A,$D$1)),-0.00001)</f>
        <v>2.6666666666666665</v>
      </c>
      <c r="N39" s="194">
        <f>IFERROR(IF($C39="",-0.00001,AVERAGEIFS(Database!P:P,Database!$E:$E,$C39,Database!$A:$A,$D$1)),-0.00001)</f>
        <v>0.33333333333333331</v>
      </c>
      <c r="O39" s="194">
        <f>IFERROR(IF($C39="",-0.00001,AVERAGEIFS(Database!Q:Q,Database!$E:$E,$C39,Database!$A:$A,$D$1)),-0.00001)</f>
        <v>4.333333333333333</v>
      </c>
      <c r="P39" s="186">
        <f>IFERROR(IF($C39="",-0.00001,AVERAGEIFS(Database!R:R,Database!$E:$E,$C39,Database!$A:$A,$D$1)),-0.00001)</f>
        <v>8.3333333333333329E-2</v>
      </c>
      <c r="Q39" s="194">
        <f>IFERROR(IF($C39="",-0.00001,AVERAGEIFS(Database!S:S,Database!$E:$E,$C39,Database!$A:$A,$D$1)),-0.00001)</f>
        <v>1</v>
      </c>
      <c r="R39" s="194">
        <f>IFERROR(IF($C39="",-0.00001,AVERAGEIFS(Database!T:T,Database!$E:$E,$C39,Database!$A:$A,$D$1)),-0.00001)</f>
        <v>6</v>
      </c>
      <c r="S39" s="186">
        <f>IFERROR(IF($C39="",-0.00001,AVERAGEIFS(Database!U:U,Database!$E:$E,$C39,Database!$A:$A,$D$1)),-0.00001)</f>
        <v>0.16666666666666666</v>
      </c>
      <c r="T39" s="194">
        <f>IFERROR(IF($C39="",-0.00001,AVERAGEIFS(Database!V:V,Database!$E:$E,$C39,Database!$A:$A,$D$1)),-0.00001)</f>
        <v>0</v>
      </c>
      <c r="U39" s="194">
        <f>IFERROR(IF($C39="",-0.00001,AVERAGEIFS(Database!W:W,Database!$E:$E,$C39,Database!$A:$A,$D$1)),-0.00001)</f>
        <v>0</v>
      </c>
      <c r="V39" s="186">
        <f>IFERROR(IF($C39="",-0.00001,AVERAGEIFS(Database!X:X,Database!$E:$E,$C39,Database!$A:$A,$D$1)),-0.00001)</f>
        <v>-1.0000000000000001E-5</v>
      </c>
      <c r="W39" s="187"/>
      <c r="X39" s="187"/>
      <c r="Y39" s="187"/>
      <c r="Z39" s="187"/>
      <c r="AA39" s="187"/>
      <c r="AB39" s="187"/>
      <c r="AC39" s="187"/>
      <c r="AD39" s="187"/>
      <c r="AE39" s="187"/>
    </row>
    <row r="40" spans="1:31" x14ac:dyDescent="0.25">
      <c r="A40" s="187"/>
      <c r="B40" s="187">
        <f>IF($C40="","",MAX($B$4:$B39)+1)</f>
        <v>37</v>
      </c>
      <c r="C40" s="145" t="s">
        <v>24</v>
      </c>
      <c r="D40" s="183" t="str">
        <f>IFERROR(VLOOKUP($C40,Rosters!$C$4:$M$239,INDEX(Lists!$N$5:$O$80,MATCH($C40,Lists!$N$5:$N$80,FALSE),2)),"")</f>
        <v>Lightning</v>
      </c>
      <c r="E40" s="237">
        <f>IF($C40="",-0.00001,COUNTIFS(Database!E:E,$C40,Database!A:A,$D$1))</f>
        <v>3</v>
      </c>
      <c r="F40" s="194">
        <f>IFERROR(IF($C40="",-0.00001,AVERAGEIFS(Database!H:H,Database!$E:$E,$C40,Database!$A:$A,$D$1)),-0.00001)</f>
        <v>2</v>
      </c>
      <c r="G40" s="194">
        <f>IFERROR(IF($C40="",-0.00001,AVERAGEIFS(Database!I:I,Database!$E:$E,$C40,Database!$A:$A,$D$1)),-0.00001)</f>
        <v>2.6666666666666665</v>
      </c>
      <c r="H40" s="194">
        <f>IFERROR(IF($C40="",-0.00001,AVERAGEIFS(Database!J:J,Database!$E:$E,$C40,Database!$A:$A,$D$1)),-0.00001)</f>
        <v>1.6666666666666667</v>
      </c>
      <c r="I40" s="194">
        <f>IFERROR(IF($C40="",-0.00001,AVERAGEIFS(Database!K:K,Database!$E:$E,$C40,Database!$A:$A,$D$1)),-0.00001)</f>
        <v>0.66666666666666663</v>
      </c>
      <c r="J40" s="194">
        <f>IFERROR(IF($C40="",-0.00001,AVERAGEIFS(Database!L:L,Database!$E:$E,$C40,Database!$A:$A,$D$1)),-0.00001)</f>
        <v>0.33333333333333331</v>
      </c>
      <c r="K40" s="194">
        <f>IFERROR(IF($C40="",-0.00001,AVERAGEIFS(Database!M:M,Database!$E:$E,$C40,Database!$A:$A,$D$1)),-0.00001)</f>
        <v>0.33333333333333331</v>
      </c>
      <c r="L40" s="194">
        <f>IFERROR(IF($C40="",-0.00001,AVERAGEIFS(Database!N:N,Database!$E:$E,$C40,Database!$A:$A,$D$1)),-0.00001)</f>
        <v>1.3333333333333333</v>
      </c>
      <c r="M40" s="194">
        <f>IFERROR(IF($C40="",-0.00001,AVERAGEIFS(Database!O:O,Database!$E:$E,$C40,Database!$A:$A,$D$1)),-0.00001)</f>
        <v>1.3333333333333333</v>
      </c>
      <c r="N40" s="194">
        <f>IFERROR(IF($C40="",-0.00001,AVERAGEIFS(Database!P:P,Database!$E:$E,$C40,Database!$A:$A,$D$1)),-0.00001)</f>
        <v>0</v>
      </c>
      <c r="O40" s="194">
        <f>IFERROR(IF($C40="",-0.00001,AVERAGEIFS(Database!Q:Q,Database!$E:$E,$C40,Database!$A:$A,$D$1)),-0.00001)</f>
        <v>0</v>
      </c>
      <c r="P40" s="186">
        <f>IFERROR(IF($C40="",-0.00001,AVERAGEIFS(Database!R:R,Database!$E:$E,$C40,Database!$A:$A,$D$1)),-0.00001)</f>
        <v>-1.0000000000000001E-5</v>
      </c>
      <c r="Q40" s="194">
        <f>IFERROR(IF($C40="",-0.00001,AVERAGEIFS(Database!S:S,Database!$E:$E,$C40,Database!$A:$A,$D$1)),-0.00001)</f>
        <v>1</v>
      </c>
      <c r="R40" s="194">
        <f>IFERROR(IF($C40="",-0.00001,AVERAGEIFS(Database!T:T,Database!$E:$E,$C40,Database!$A:$A,$D$1)),-0.00001)</f>
        <v>3</v>
      </c>
      <c r="S40" s="186">
        <f>IFERROR(IF($C40="",-0.00001,AVERAGEIFS(Database!U:U,Database!$E:$E,$C40,Database!$A:$A,$D$1)),-0.00001)</f>
        <v>0.30555555555555552</v>
      </c>
      <c r="T40" s="194">
        <f>IFERROR(IF($C40="",-0.00001,AVERAGEIFS(Database!V:V,Database!$E:$E,$C40,Database!$A:$A,$D$1)),-0.00001)</f>
        <v>0</v>
      </c>
      <c r="U40" s="194">
        <f>IFERROR(IF($C40="",-0.00001,AVERAGEIFS(Database!W:W,Database!$E:$E,$C40,Database!$A:$A,$D$1)),-0.00001)</f>
        <v>0.66666666666666663</v>
      </c>
      <c r="V40" s="186">
        <f>IFERROR(IF($C40="",-0.00001,AVERAGEIFS(Database!X:X,Database!$E:$E,$C40,Database!$A:$A,$D$1)),-0.00001)</f>
        <v>0</v>
      </c>
      <c r="W40" s="187"/>
      <c r="X40" s="187"/>
      <c r="Y40" s="187"/>
      <c r="Z40" s="187"/>
      <c r="AA40" s="187"/>
      <c r="AB40" s="187"/>
      <c r="AC40" s="187"/>
      <c r="AD40" s="187"/>
      <c r="AE40" s="187"/>
    </row>
    <row r="41" spans="1:31" x14ac:dyDescent="0.25">
      <c r="A41" s="187"/>
      <c r="B41" s="187">
        <f>IF($C41="","",MAX($B$4:$B40)+1)</f>
        <v>38</v>
      </c>
      <c r="C41" s="145" t="s">
        <v>36</v>
      </c>
      <c r="D41" s="183" t="str">
        <f>IFERROR(VLOOKUP($C41,Rosters!$C$4:$M$239,INDEX(Lists!$N$5:$O$80,MATCH($C41,Lists!$N$5:$N$80,FALSE),2)),"")</f>
        <v>Vandals</v>
      </c>
      <c r="E41" s="237">
        <f>IF($C41="",-0.00001,COUNTIFS(Database!E:E,$C41,Database!A:A,$D$1))</f>
        <v>4</v>
      </c>
      <c r="F41" s="194">
        <f>IFERROR(IF($C41="",-0.00001,AVERAGEIFS(Database!H:H,Database!$E:$E,$C41,Database!$A:$A,$D$1)),-0.00001)</f>
        <v>0.75</v>
      </c>
      <c r="G41" s="194">
        <f>IFERROR(IF($C41="",-0.00001,AVERAGEIFS(Database!I:I,Database!$E:$E,$C41,Database!$A:$A,$D$1)),-0.00001)</f>
        <v>3.5</v>
      </c>
      <c r="H41" s="194">
        <f>IFERROR(IF($C41="",-0.00001,AVERAGEIFS(Database!J:J,Database!$E:$E,$C41,Database!$A:$A,$D$1)),-0.00001)</f>
        <v>1.25</v>
      </c>
      <c r="I41" s="194">
        <f>IFERROR(IF($C41="",-0.00001,AVERAGEIFS(Database!K:K,Database!$E:$E,$C41,Database!$A:$A,$D$1)),-0.00001)</f>
        <v>0.25</v>
      </c>
      <c r="J41" s="194">
        <f>IFERROR(IF($C41="",-0.00001,AVERAGEIFS(Database!L:L,Database!$E:$E,$C41,Database!$A:$A,$D$1)),-0.00001)</f>
        <v>0</v>
      </c>
      <c r="K41" s="194">
        <f>IFERROR(IF($C41="",-0.00001,AVERAGEIFS(Database!M:M,Database!$E:$E,$C41,Database!$A:$A,$D$1)),-0.00001)</f>
        <v>1.75</v>
      </c>
      <c r="L41" s="194">
        <f>IFERROR(IF($C41="",-0.00001,AVERAGEIFS(Database!N:N,Database!$E:$E,$C41,Database!$A:$A,$D$1)),-0.00001)</f>
        <v>0.25</v>
      </c>
      <c r="M41" s="194">
        <f>IFERROR(IF($C41="",-0.00001,AVERAGEIFS(Database!O:O,Database!$E:$E,$C41,Database!$A:$A,$D$1)),-0.00001)</f>
        <v>1.75</v>
      </c>
      <c r="N41" s="194">
        <f>IFERROR(IF($C41="",-0.00001,AVERAGEIFS(Database!P:P,Database!$E:$E,$C41,Database!$A:$A,$D$1)),-0.00001)</f>
        <v>0.25</v>
      </c>
      <c r="O41" s="194">
        <f>IFERROR(IF($C41="",-0.00001,AVERAGEIFS(Database!Q:Q,Database!$E:$E,$C41,Database!$A:$A,$D$1)),-0.00001)</f>
        <v>2.25</v>
      </c>
      <c r="P41" s="186">
        <f>IFERROR(IF($C41="",-0.00001,AVERAGEIFS(Database!R:R,Database!$E:$E,$C41,Database!$A:$A,$D$1)),-0.00001)</f>
        <v>8.3333333333333329E-2</v>
      </c>
      <c r="Q41" s="194">
        <f>IFERROR(IF($C41="",-0.00001,AVERAGEIFS(Database!S:S,Database!$E:$E,$C41,Database!$A:$A,$D$1)),-0.00001)</f>
        <v>0.25</v>
      </c>
      <c r="R41" s="194">
        <f>IFERROR(IF($C41="",-0.00001,AVERAGEIFS(Database!T:T,Database!$E:$E,$C41,Database!$A:$A,$D$1)),-0.00001)</f>
        <v>2.5</v>
      </c>
      <c r="S41" s="186">
        <f>IFERROR(IF($C41="",-0.00001,AVERAGEIFS(Database!U:U,Database!$E:$E,$C41,Database!$A:$A,$D$1)),-0.00001)</f>
        <v>8.3333333333333329E-2</v>
      </c>
      <c r="T41" s="194">
        <f>IFERROR(IF($C41="",-0.00001,AVERAGEIFS(Database!V:V,Database!$E:$E,$C41,Database!$A:$A,$D$1)),-0.00001)</f>
        <v>0</v>
      </c>
      <c r="U41" s="194">
        <f>IFERROR(IF($C41="",-0.00001,AVERAGEIFS(Database!W:W,Database!$E:$E,$C41,Database!$A:$A,$D$1)),-0.00001)</f>
        <v>0</v>
      </c>
      <c r="V41" s="186">
        <f>IFERROR(IF($C41="",-0.00001,AVERAGEIFS(Database!X:X,Database!$E:$E,$C41,Database!$A:$A,$D$1)),-0.00001)</f>
        <v>-1.0000000000000001E-5</v>
      </c>
      <c r="W41" s="187"/>
      <c r="X41" s="187"/>
      <c r="Y41" s="187"/>
      <c r="Z41" s="187"/>
      <c r="AA41" s="187"/>
      <c r="AB41" s="187"/>
      <c r="AC41" s="187"/>
      <c r="AD41" s="187"/>
      <c r="AE41" s="187"/>
    </row>
    <row r="42" spans="1:31" x14ac:dyDescent="0.25">
      <c r="A42" s="187"/>
      <c r="B42" s="187" t="str">
        <f>IF($C42="","",MAX($B$4:$B41)+1)</f>
        <v/>
      </c>
      <c r="C42" s="145"/>
      <c r="D42" s="183" t="str">
        <f>IFERROR(VLOOKUP($C42,Rosters!$C$4:$M$239,INDEX(Lists!$N$5:$O$80,MATCH($C42,Lists!$N$5:$N$80,FALSE),2)),"")</f>
        <v/>
      </c>
      <c r="E42" s="237">
        <f>IF($C42="",-0.00001,COUNTIFS(Database!E:E,$C42,Database!A:A,$D$1))</f>
        <v>-1.0000000000000001E-5</v>
      </c>
      <c r="F42" s="194">
        <f>IFERROR(IF($C42="",-0.00001,AVERAGEIFS(Database!H:H,Database!$E:$E,$C42,Database!$A:$A,$D$1)),-0.00001)</f>
        <v>-1.0000000000000001E-5</v>
      </c>
      <c r="G42" s="194">
        <f>IFERROR(IF($C42="",-0.00001,AVERAGEIFS(Database!I:I,Database!$E:$E,$C42,Database!$A:$A,$D$1)),-0.00001)</f>
        <v>-1.0000000000000001E-5</v>
      </c>
      <c r="H42" s="194">
        <f>IFERROR(IF($C42="",-0.00001,AVERAGEIFS(Database!J:J,Database!$E:$E,$C42,Database!$A:$A,$D$1)),-0.00001)</f>
        <v>-1.0000000000000001E-5</v>
      </c>
      <c r="I42" s="194">
        <f>IFERROR(IF($C42="",-0.00001,AVERAGEIFS(Database!K:K,Database!$E:$E,$C42,Database!$A:$A,$D$1)),-0.00001)</f>
        <v>-1.0000000000000001E-5</v>
      </c>
      <c r="J42" s="194">
        <f>IFERROR(IF($C42="",-0.00001,AVERAGEIFS(Database!L:L,Database!$E:$E,$C42,Database!$A:$A,$D$1)),-0.00001)</f>
        <v>-1.0000000000000001E-5</v>
      </c>
      <c r="K42" s="194">
        <f>IFERROR(IF($C42="",-0.00001,AVERAGEIFS(Database!M:M,Database!$E:$E,$C42,Database!$A:$A,$D$1)),-0.00001)</f>
        <v>-1.0000000000000001E-5</v>
      </c>
      <c r="L42" s="194">
        <f>IFERROR(IF($C42="",-0.00001,AVERAGEIFS(Database!N:N,Database!$E:$E,$C42,Database!$A:$A,$D$1)),-0.00001)</f>
        <v>-1.0000000000000001E-5</v>
      </c>
      <c r="M42" s="194">
        <f>IFERROR(IF($C42="",-0.00001,AVERAGEIFS(Database!O:O,Database!$E:$E,$C42,Database!$A:$A,$D$1)),-0.00001)</f>
        <v>-1.0000000000000001E-5</v>
      </c>
      <c r="N42" s="194">
        <f>IFERROR(IF($C42="",-0.00001,AVERAGEIFS(Database!P:P,Database!$E:$E,$C42,Database!$A:$A,$D$1)),-0.00001)</f>
        <v>-1.0000000000000001E-5</v>
      </c>
      <c r="O42" s="194">
        <f>IFERROR(IF($C42="",-0.00001,AVERAGEIFS(Database!Q:Q,Database!$E:$E,$C42,Database!$A:$A,$D$1)),-0.00001)</f>
        <v>-1.0000000000000001E-5</v>
      </c>
      <c r="P42" s="186">
        <f>IFERROR(IF($C42="",-0.00001,AVERAGEIFS(Database!R:R,Database!$E:$E,$C42,Database!$A:$A,$D$1)),-0.00001)</f>
        <v>-1.0000000000000001E-5</v>
      </c>
      <c r="Q42" s="194">
        <f>IFERROR(IF($C42="",-0.00001,AVERAGEIFS(Database!S:S,Database!$E:$E,$C42,Database!$A:$A,$D$1)),-0.00001)</f>
        <v>-1.0000000000000001E-5</v>
      </c>
      <c r="R42" s="194">
        <f>IFERROR(IF($C42="",-0.00001,AVERAGEIFS(Database!T:T,Database!$E:$E,$C42,Database!$A:$A,$D$1)),-0.00001)</f>
        <v>-1.0000000000000001E-5</v>
      </c>
      <c r="S42" s="186">
        <f>IFERROR(IF($C42="",-0.00001,AVERAGEIFS(Database!U:U,Database!$E:$E,$C42,Database!$A:$A,$D$1)),-0.00001)</f>
        <v>-1.0000000000000001E-5</v>
      </c>
      <c r="T42" s="194">
        <f>IFERROR(IF($C42="",-0.00001,AVERAGEIFS(Database!V:V,Database!$E:$E,$C42,Database!$A:$A,$D$1)),-0.00001)</f>
        <v>-1.0000000000000001E-5</v>
      </c>
      <c r="U42" s="194">
        <f>IFERROR(IF($C42="",-0.00001,AVERAGEIFS(Database!W:W,Database!$E:$E,$C42,Database!$A:$A,$D$1)),-0.00001)</f>
        <v>-1.0000000000000001E-5</v>
      </c>
      <c r="V42" s="186">
        <f>IFERROR(IF($C42="",-0.00001,AVERAGEIFS(Database!X:X,Database!$E:$E,$C42,Database!$A:$A,$D$1)),-0.00001)</f>
        <v>-1.0000000000000001E-5</v>
      </c>
      <c r="W42" s="187"/>
      <c r="X42" s="187"/>
      <c r="Y42" s="187"/>
      <c r="Z42" s="187"/>
      <c r="AA42" s="187"/>
      <c r="AB42" s="187"/>
      <c r="AC42" s="187"/>
      <c r="AD42" s="187"/>
      <c r="AE42" s="187"/>
    </row>
    <row r="43" spans="1:31" x14ac:dyDescent="0.25">
      <c r="A43" s="187"/>
      <c r="B43" s="187" t="str">
        <f>IF($C43="","",MAX($B$4:$B42)+1)</f>
        <v/>
      </c>
      <c r="C43" s="145"/>
      <c r="D43" s="183" t="str">
        <f>IFERROR(VLOOKUP($C43,Rosters!$C$4:$M$239,INDEX(Lists!$N$5:$O$80,MATCH($C43,Lists!$N$5:$N$80,FALSE),2)),"")</f>
        <v/>
      </c>
      <c r="E43" s="237">
        <f>IF($C43="",-0.00001,COUNTIFS(Database!E:E,$C43,Database!A:A,$D$1))</f>
        <v>-1.0000000000000001E-5</v>
      </c>
      <c r="F43" s="194">
        <f>IFERROR(IF($C43="",-0.00001,AVERAGEIFS(Database!H:H,Database!$E:$E,$C43,Database!$A:$A,$D$1)),-0.00001)</f>
        <v>-1.0000000000000001E-5</v>
      </c>
      <c r="G43" s="194">
        <f>IFERROR(IF($C43="",-0.00001,AVERAGEIFS(Database!I:I,Database!$E:$E,$C43,Database!$A:$A,$D$1)),-0.00001)</f>
        <v>-1.0000000000000001E-5</v>
      </c>
      <c r="H43" s="194">
        <f>IFERROR(IF($C43="",-0.00001,AVERAGEIFS(Database!J:J,Database!$E:$E,$C43,Database!$A:$A,$D$1)),-0.00001)</f>
        <v>-1.0000000000000001E-5</v>
      </c>
      <c r="I43" s="194">
        <f>IFERROR(IF($C43="",-0.00001,AVERAGEIFS(Database!K:K,Database!$E:$E,$C43,Database!$A:$A,$D$1)),-0.00001)</f>
        <v>-1.0000000000000001E-5</v>
      </c>
      <c r="J43" s="194">
        <f>IFERROR(IF($C43="",-0.00001,AVERAGEIFS(Database!L:L,Database!$E:$E,$C43,Database!$A:$A,$D$1)),-0.00001)</f>
        <v>-1.0000000000000001E-5</v>
      </c>
      <c r="K43" s="194">
        <f>IFERROR(IF($C43="",-0.00001,AVERAGEIFS(Database!M:M,Database!$E:$E,$C43,Database!$A:$A,$D$1)),-0.00001)</f>
        <v>-1.0000000000000001E-5</v>
      </c>
      <c r="L43" s="194">
        <f>IFERROR(IF($C43="",-0.00001,AVERAGEIFS(Database!N:N,Database!$E:$E,$C43,Database!$A:$A,$D$1)),-0.00001)</f>
        <v>-1.0000000000000001E-5</v>
      </c>
      <c r="M43" s="194">
        <f>IFERROR(IF($C43="",-0.00001,AVERAGEIFS(Database!O:O,Database!$E:$E,$C43,Database!$A:$A,$D$1)),-0.00001)</f>
        <v>-1.0000000000000001E-5</v>
      </c>
      <c r="N43" s="194">
        <f>IFERROR(IF($C43="",-0.00001,AVERAGEIFS(Database!P:P,Database!$E:$E,$C43,Database!$A:$A,$D$1)),-0.00001)</f>
        <v>-1.0000000000000001E-5</v>
      </c>
      <c r="O43" s="194">
        <f>IFERROR(IF($C43="",-0.00001,AVERAGEIFS(Database!Q:Q,Database!$E:$E,$C43,Database!$A:$A,$D$1)),-0.00001)</f>
        <v>-1.0000000000000001E-5</v>
      </c>
      <c r="P43" s="186">
        <f>IFERROR(IF($C43="",-0.00001,AVERAGEIFS(Database!R:R,Database!$E:$E,$C43,Database!$A:$A,$D$1)),-0.00001)</f>
        <v>-1.0000000000000001E-5</v>
      </c>
      <c r="Q43" s="194">
        <f>IFERROR(IF($C43="",-0.00001,AVERAGEIFS(Database!S:S,Database!$E:$E,$C43,Database!$A:$A,$D$1)),-0.00001)</f>
        <v>-1.0000000000000001E-5</v>
      </c>
      <c r="R43" s="194">
        <f>IFERROR(IF($C43="",-0.00001,AVERAGEIFS(Database!T:T,Database!$E:$E,$C43,Database!$A:$A,$D$1)),-0.00001)</f>
        <v>-1.0000000000000001E-5</v>
      </c>
      <c r="S43" s="186">
        <f>IFERROR(IF($C43="",-0.00001,AVERAGEIFS(Database!U:U,Database!$E:$E,$C43,Database!$A:$A,$D$1)),-0.00001)</f>
        <v>-1.0000000000000001E-5</v>
      </c>
      <c r="T43" s="194">
        <f>IFERROR(IF($C43="",-0.00001,AVERAGEIFS(Database!V:V,Database!$E:$E,$C43,Database!$A:$A,$D$1)),-0.00001)</f>
        <v>-1.0000000000000001E-5</v>
      </c>
      <c r="U43" s="194">
        <f>IFERROR(IF($C43="",-0.00001,AVERAGEIFS(Database!W:W,Database!$E:$E,$C43,Database!$A:$A,$D$1)),-0.00001)</f>
        <v>-1.0000000000000001E-5</v>
      </c>
      <c r="V43" s="186">
        <f>IFERROR(IF($C43="",-0.00001,AVERAGEIFS(Database!X:X,Database!$E:$E,$C43,Database!$A:$A,$D$1)),-0.00001)</f>
        <v>-1.0000000000000001E-5</v>
      </c>
      <c r="W43" s="187"/>
      <c r="X43" s="187"/>
      <c r="Y43" s="187"/>
      <c r="Z43" s="187"/>
      <c r="AA43" s="187"/>
      <c r="AB43" s="187"/>
      <c r="AC43" s="187"/>
      <c r="AD43" s="187"/>
      <c r="AE43" s="187"/>
    </row>
    <row r="44" spans="1:31" x14ac:dyDescent="0.25">
      <c r="A44" s="187"/>
      <c r="B44" s="187" t="str">
        <f>IF($C44="","",MAX($B$4:$B43)+1)</f>
        <v/>
      </c>
      <c r="C44" s="145"/>
      <c r="D44" s="183" t="str">
        <f>IFERROR(VLOOKUP($C44,Rosters!$C$4:$M$239,INDEX(Lists!$N$5:$O$80,MATCH($C44,Lists!$N$5:$N$80,FALSE),2)),"")</f>
        <v/>
      </c>
      <c r="E44" s="237">
        <f>IF($C44="",-0.00001,COUNTIFS(Database!E:E,$C44,Database!A:A,$D$1))</f>
        <v>-1.0000000000000001E-5</v>
      </c>
      <c r="F44" s="194">
        <f>IFERROR(IF($C44="",-0.00001,AVERAGEIFS(Database!H:H,Database!$E:$E,$C44,Database!$A:$A,$D$1)),-0.00001)</f>
        <v>-1.0000000000000001E-5</v>
      </c>
      <c r="G44" s="194">
        <f>IFERROR(IF($C44="",-0.00001,AVERAGEIFS(Database!I:I,Database!$E:$E,$C44,Database!$A:$A,$D$1)),-0.00001)</f>
        <v>-1.0000000000000001E-5</v>
      </c>
      <c r="H44" s="194">
        <f>IFERROR(IF($C44="",-0.00001,AVERAGEIFS(Database!J:J,Database!$E:$E,$C44,Database!$A:$A,$D$1)),-0.00001)</f>
        <v>-1.0000000000000001E-5</v>
      </c>
      <c r="I44" s="194">
        <f>IFERROR(IF($C44="",-0.00001,AVERAGEIFS(Database!K:K,Database!$E:$E,$C44,Database!$A:$A,$D$1)),-0.00001)</f>
        <v>-1.0000000000000001E-5</v>
      </c>
      <c r="J44" s="194">
        <f>IFERROR(IF($C44="",-0.00001,AVERAGEIFS(Database!L:L,Database!$E:$E,$C44,Database!$A:$A,$D$1)),-0.00001)</f>
        <v>-1.0000000000000001E-5</v>
      </c>
      <c r="K44" s="194">
        <f>IFERROR(IF($C44="",-0.00001,AVERAGEIFS(Database!M:M,Database!$E:$E,$C44,Database!$A:$A,$D$1)),-0.00001)</f>
        <v>-1.0000000000000001E-5</v>
      </c>
      <c r="L44" s="194">
        <f>IFERROR(IF($C44="",-0.00001,AVERAGEIFS(Database!N:N,Database!$E:$E,$C44,Database!$A:$A,$D$1)),-0.00001)</f>
        <v>-1.0000000000000001E-5</v>
      </c>
      <c r="M44" s="194">
        <f>IFERROR(IF($C44="",-0.00001,AVERAGEIFS(Database!O:O,Database!$E:$E,$C44,Database!$A:$A,$D$1)),-0.00001)</f>
        <v>-1.0000000000000001E-5</v>
      </c>
      <c r="N44" s="194">
        <f>IFERROR(IF($C44="",-0.00001,AVERAGEIFS(Database!P:P,Database!$E:$E,$C44,Database!$A:$A,$D$1)),-0.00001)</f>
        <v>-1.0000000000000001E-5</v>
      </c>
      <c r="O44" s="194">
        <f>IFERROR(IF($C44="",-0.00001,AVERAGEIFS(Database!Q:Q,Database!$E:$E,$C44,Database!$A:$A,$D$1)),-0.00001)</f>
        <v>-1.0000000000000001E-5</v>
      </c>
      <c r="P44" s="186">
        <f>IFERROR(IF($C44="",-0.00001,AVERAGEIFS(Database!R:R,Database!$E:$E,$C44,Database!$A:$A,$D$1)),-0.00001)</f>
        <v>-1.0000000000000001E-5</v>
      </c>
      <c r="Q44" s="194">
        <f>IFERROR(IF($C44="",-0.00001,AVERAGEIFS(Database!S:S,Database!$E:$E,$C44,Database!$A:$A,$D$1)),-0.00001)</f>
        <v>-1.0000000000000001E-5</v>
      </c>
      <c r="R44" s="194">
        <f>IFERROR(IF($C44="",-0.00001,AVERAGEIFS(Database!T:T,Database!$E:$E,$C44,Database!$A:$A,$D$1)),-0.00001)</f>
        <v>-1.0000000000000001E-5</v>
      </c>
      <c r="S44" s="186">
        <f>IFERROR(IF($C44="",-0.00001,AVERAGEIFS(Database!U:U,Database!$E:$E,$C44,Database!$A:$A,$D$1)),-0.00001)</f>
        <v>-1.0000000000000001E-5</v>
      </c>
      <c r="T44" s="194">
        <f>IFERROR(IF($C44="",-0.00001,AVERAGEIFS(Database!V:V,Database!$E:$E,$C44,Database!$A:$A,$D$1)),-0.00001)</f>
        <v>-1.0000000000000001E-5</v>
      </c>
      <c r="U44" s="194">
        <f>IFERROR(IF($C44="",-0.00001,AVERAGEIFS(Database!W:W,Database!$E:$E,$C44,Database!$A:$A,$D$1)),-0.00001)</f>
        <v>-1.0000000000000001E-5</v>
      </c>
      <c r="V44" s="186">
        <f>IFERROR(IF($C44="",-0.00001,AVERAGEIFS(Database!X:X,Database!$E:$E,$C44,Database!$A:$A,$D$1)),-0.00001)</f>
        <v>-1.0000000000000001E-5</v>
      </c>
      <c r="W44" s="187"/>
      <c r="X44" s="187"/>
      <c r="Y44" s="187"/>
      <c r="Z44" s="187"/>
      <c r="AA44" s="187"/>
      <c r="AB44" s="187"/>
      <c r="AC44" s="187"/>
      <c r="AD44" s="187"/>
      <c r="AE44" s="187"/>
    </row>
    <row r="45" spans="1:31" x14ac:dyDescent="0.25">
      <c r="A45" s="187"/>
      <c r="B45" s="187" t="str">
        <f>IF($C45="","",MAX($B$4:$B44)+1)</f>
        <v/>
      </c>
      <c r="C45" s="145"/>
      <c r="D45" s="183" t="str">
        <f>IFERROR(VLOOKUP($C45,Rosters!$C$4:$M$239,INDEX(Lists!$N$5:$O$80,MATCH($C45,Lists!$N$5:$N$80,FALSE),2)),"")</f>
        <v/>
      </c>
      <c r="E45" s="237">
        <f>IF($C45="",-0.00001,COUNTIFS(Database!E:E,$C45,Database!A:A,$D$1))</f>
        <v>-1.0000000000000001E-5</v>
      </c>
      <c r="F45" s="194">
        <f>IFERROR(IF($C45="",-0.00001,AVERAGEIFS(Database!H:H,Database!$E:$E,$C45,Database!$A:$A,$D$1)),-0.00001)</f>
        <v>-1.0000000000000001E-5</v>
      </c>
      <c r="G45" s="194">
        <f>IFERROR(IF($C45="",-0.00001,AVERAGEIFS(Database!I:I,Database!$E:$E,$C45,Database!$A:$A,$D$1)),-0.00001)</f>
        <v>-1.0000000000000001E-5</v>
      </c>
      <c r="H45" s="194">
        <f>IFERROR(IF($C45="",-0.00001,AVERAGEIFS(Database!J:J,Database!$E:$E,$C45,Database!$A:$A,$D$1)),-0.00001)</f>
        <v>-1.0000000000000001E-5</v>
      </c>
      <c r="I45" s="194">
        <f>IFERROR(IF($C45="",-0.00001,AVERAGEIFS(Database!K:K,Database!$E:$E,$C45,Database!$A:$A,$D$1)),-0.00001)</f>
        <v>-1.0000000000000001E-5</v>
      </c>
      <c r="J45" s="194">
        <f>IFERROR(IF($C45="",-0.00001,AVERAGEIFS(Database!L:L,Database!$E:$E,$C45,Database!$A:$A,$D$1)),-0.00001)</f>
        <v>-1.0000000000000001E-5</v>
      </c>
      <c r="K45" s="194">
        <f>IFERROR(IF($C45="",-0.00001,AVERAGEIFS(Database!M:M,Database!$E:$E,$C45,Database!$A:$A,$D$1)),-0.00001)</f>
        <v>-1.0000000000000001E-5</v>
      </c>
      <c r="L45" s="194">
        <f>IFERROR(IF($C45="",-0.00001,AVERAGEIFS(Database!N:N,Database!$E:$E,$C45,Database!$A:$A,$D$1)),-0.00001)</f>
        <v>-1.0000000000000001E-5</v>
      </c>
      <c r="M45" s="194">
        <f>IFERROR(IF($C45="",-0.00001,AVERAGEIFS(Database!O:O,Database!$E:$E,$C45,Database!$A:$A,$D$1)),-0.00001)</f>
        <v>-1.0000000000000001E-5</v>
      </c>
      <c r="N45" s="194">
        <f>IFERROR(IF($C45="",-0.00001,AVERAGEIFS(Database!P:P,Database!$E:$E,$C45,Database!$A:$A,$D$1)),-0.00001)</f>
        <v>-1.0000000000000001E-5</v>
      </c>
      <c r="O45" s="194">
        <f>IFERROR(IF($C45="",-0.00001,AVERAGEIFS(Database!Q:Q,Database!$E:$E,$C45,Database!$A:$A,$D$1)),-0.00001)</f>
        <v>-1.0000000000000001E-5</v>
      </c>
      <c r="P45" s="186">
        <f>IFERROR(IF($C45="",-0.00001,AVERAGEIFS(Database!R:R,Database!$E:$E,$C45,Database!$A:$A,$D$1)),-0.00001)</f>
        <v>-1.0000000000000001E-5</v>
      </c>
      <c r="Q45" s="194">
        <f>IFERROR(IF($C45="",-0.00001,AVERAGEIFS(Database!S:S,Database!$E:$E,$C45,Database!$A:$A,$D$1)),-0.00001)</f>
        <v>-1.0000000000000001E-5</v>
      </c>
      <c r="R45" s="194">
        <f>IFERROR(IF($C45="",-0.00001,AVERAGEIFS(Database!T:T,Database!$E:$E,$C45,Database!$A:$A,$D$1)),-0.00001)</f>
        <v>-1.0000000000000001E-5</v>
      </c>
      <c r="S45" s="186">
        <f>IFERROR(IF($C45="",-0.00001,AVERAGEIFS(Database!U:U,Database!$E:$E,$C45,Database!$A:$A,$D$1)),-0.00001)</f>
        <v>-1.0000000000000001E-5</v>
      </c>
      <c r="T45" s="194">
        <f>IFERROR(IF($C45="",-0.00001,AVERAGEIFS(Database!V:V,Database!$E:$E,$C45,Database!$A:$A,$D$1)),-0.00001)</f>
        <v>-1.0000000000000001E-5</v>
      </c>
      <c r="U45" s="194">
        <f>IFERROR(IF($C45="",-0.00001,AVERAGEIFS(Database!W:W,Database!$E:$E,$C45,Database!$A:$A,$D$1)),-0.00001)</f>
        <v>-1.0000000000000001E-5</v>
      </c>
      <c r="V45" s="186">
        <f>IFERROR(IF($C45="",-0.00001,AVERAGEIFS(Database!X:X,Database!$E:$E,$C45,Database!$A:$A,$D$1)),-0.00001)</f>
        <v>-1.0000000000000001E-5</v>
      </c>
      <c r="W45" s="187"/>
      <c r="X45" s="187"/>
      <c r="Y45" s="187"/>
      <c r="Z45" s="187"/>
      <c r="AA45" s="187"/>
      <c r="AB45" s="187"/>
      <c r="AC45" s="187"/>
      <c r="AD45" s="187"/>
      <c r="AE45" s="187"/>
    </row>
    <row r="46" spans="1:31" x14ac:dyDescent="0.25">
      <c r="A46" s="187"/>
      <c r="B46" s="187" t="str">
        <f>IF($C46="","",MAX($B$4:$B45)+1)</f>
        <v/>
      </c>
      <c r="C46" s="145"/>
      <c r="D46" s="183" t="str">
        <f>IFERROR(VLOOKUP($C46,Rosters!$C$4:$M$239,INDEX(Lists!$N$5:$O$80,MATCH($C46,Lists!$N$5:$N$80,FALSE),2)),"")</f>
        <v/>
      </c>
      <c r="E46" s="237">
        <f>IF($C46="",-0.00001,COUNTIFS(Database!E:E,$C46,Database!A:A,$D$1))</f>
        <v>-1.0000000000000001E-5</v>
      </c>
      <c r="F46" s="194">
        <f>IFERROR(IF($C46="",-0.00001,AVERAGEIFS(Database!H:H,Database!$E:$E,$C46,Database!$A:$A,$D$1)),-0.00001)</f>
        <v>-1.0000000000000001E-5</v>
      </c>
      <c r="G46" s="194">
        <f>IFERROR(IF($C46="",-0.00001,AVERAGEIFS(Database!I:I,Database!$E:$E,$C46,Database!$A:$A,$D$1)),-0.00001)</f>
        <v>-1.0000000000000001E-5</v>
      </c>
      <c r="H46" s="194">
        <f>IFERROR(IF($C46="",-0.00001,AVERAGEIFS(Database!J:J,Database!$E:$E,$C46,Database!$A:$A,$D$1)),-0.00001)</f>
        <v>-1.0000000000000001E-5</v>
      </c>
      <c r="I46" s="194">
        <f>IFERROR(IF($C46="",-0.00001,AVERAGEIFS(Database!K:K,Database!$E:$E,$C46,Database!$A:$A,$D$1)),-0.00001)</f>
        <v>-1.0000000000000001E-5</v>
      </c>
      <c r="J46" s="194">
        <f>IFERROR(IF($C46="",-0.00001,AVERAGEIFS(Database!L:L,Database!$E:$E,$C46,Database!$A:$A,$D$1)),-0.00001)</f>
        <v>-1.0000000000000001E-5</v>
      </c>
      <c r="K46" s="194">
        <f>IFERROR(IF($C46="",-0.00001,AVERAGEIFS(Database!M:M,Database!$E:$E,$C46,Database!$A:$A,$D$1)),-0.00001)</f>
        <v>-1.0000000000000001E-5</v>
      </c>
      <c r="L46" s="194">
        <f>IFERROR(IF($C46="",-0.00001,AVERAGEIFS(Database!N:N,Database!$E:$E,$C46,Database!$A:$A,$D$1)),-0.00001)</f>
        <v>-1.0000000000000001E-5</v>
      </c>
      <c r="M46" s="194">
        <f>IFERROR(IF($C46="",-0.00001,AVERAGEIFS(Database!O:O,Database!$E:$E,$C46,Database!$A:$A,$D$1)),-0.00001)</f>
        <v>-1.0000000000000001E-5</v>
      </c>
      <c r="N46" s="194">
        <f>IFERROR(IF($C46="",-0.00001,AVERAGEIFS(Database!P:P,Database!$E:$E,$C46,Database!$A:$A,$D$1)),-0.00001)</f>
        <v>-1.0000000000000001E-5</v>
      </c>
      <c r="O46" s="194">
        <f>IFERROR(IF($C46="",-0.00001,AVERAGEIFS(Database!Q:Q,Database!$E:$E,$C46,Database!$A:$A,$D$1)),-0.00001)</f>
        <v>-1.0000000000000001E-5</v>
      </c>
      <c r="P46" s="186">
        <f>IFERROR(IF($C46="",-0.00001,AVERAGEIFS(Database!R:R,Database!$E:$E,$C46,Database!$A:$A,$D$1)),-0.00001)</f>
        <v>-1.0000000000000001E-5</v>
      </c>
      <c r="Q46" s="194">
        <f>IFERROR(IF($C46="",-0.00001,AVERAGEIFS(Database!S:S,Database!$E:$E,$C46,Database!$A:$A,$D$1)),-0.00001)</f>
        <v>-1.0000000000000001E-5</v>
      </c>
      <c r="R46" s="194">
        <f>IFERROR(IF($C46="",-0.00001,AVERAGEIFS(Database!T:T,Database!$E:$E,$C46,Database!$A:$A,$D$1)),-0.00001)</f>
        <v>-1.0000000000000001E-5</v>
      </c>
      <c r="S46" s="186">
        <f>IFERROR(IF($C46="",-0.00001,AVERAGEIFS(Database!U:U,Database!$E:$E,$C46,Database!$A:$A,$D$1)),-0.00001)</f>
        <v>-1.0000000000000001E-5</v>
      </c>
      <c r="T46" s="194">
        <f>IFERROR(IF($C46="",-0.00001,AVERAGEIFS(Database!V:V,Database!$E:$E,$C46,Database!$A:$A,$D$1)),-0.00001)</f>
        <v>-1.0000000000000001E-5</v>
      </c>
      <c r="U46" s="194">
        <f>IFERROR(IF($C46="",-0.00001,AVERAGEIFS(Database!W:W,Database!$E:$E,$C46,Database!$A:$A,$D$1)),-0.00001)</f>
        <v>-1.0000000000000001E-5</v>
      </c>
      <c r="V46" s="186">
        <f>IFERROR(IF($C46="",-0.00001,AVERAGEIFS(Database!X:X,Database!$E:$E,$C46,Database!$A:$A,$D$1)),-0.00001)</f>
        <v>-1.0000000000000001E-5</v>
      </c>
      <c r="W46" s="187"/>
      <c r="X46" s="187"/>
      <c r="Y46" s="187"/>
      <c r="Z46" s="187"/>
      <c r="AA46" s="187"/>
      <c r="AB46" s="187"/>
      <c r="AC46" s="187"/>
      <c r="AD46" s="187"/>
      <c r="AE46" s="187"/>
    </row>
    <row r="47" spans="1:31" x14ac:dyDescent="0.25">
      <c r="A47" s="187"/>
      <c r="B47" s="187" t="str">
        <f>IF($C47="","",MAX($B$4:$B46)+1)</f>
        <v/>
      </c>
      <c r="C47" s="145"/>
      <c r="D47" s="183" t="str">
        <f>IFERROR(VLOOKUP($C47,Rosters!$C$4:$M$239,INDEX(Lists!$N$5:$O$80,MATCH($C47,Lists!$N$5:$N$80,FALSE),2)),"")</f>
        <v/>
      </c>
      <c r="E47" s="237">
        <f>IF($C47="",-0.00001,COUNTIFS(Database!E:E,$C47,Database!A:A,$D$1))</f>
        <v>-1.0000000000000001E-5</v>
      </c>
      <c r="F47" s="194">
        <f>IFERROR(IF($C47="",-0.00001,AVERAGEIFS(Database!H:H,Database!$E:$E,$C47,Database!$A:$A,$D$1)),-0.00001)</f>
        <v>-1.0000000000000001E-5</v>
      </c>
      <c r="G47" s="194">
        <f>IFERROR(IF($C47="",-0.00001,AVERAGEIFS(Database!I:I,Database!$E:$E,$C47,Database!$A:$A,$D$1)),-0.00001)</f>
        <v>-1.0000000000000001E-5</v>
      </c>
      <c r="H47" s="194">
        <f>IFERROR(IF($C47="",-0.00001,AVERAGEIFS(Database!J:J,Database!$E:$E,$C47,Database!$A:$A,$D$1)),-0.00001)</f>
        <v>-1.0000000000000001E-5</v>
      </c>
      <c r="I47" s="194">
        <f>IFERROR(IF($C47="",-0.00001,AVERAGEIFS(Database!K:K,Database!$E:$E,$C47,Database!$A:$A,$D$1)),-0.00001)</f>
        <v>-1.0000000000000001E-5</v>
      </c>
      <c r="J47" s="194">
        <f>IFERROR(IF($C47="",-0.00001,AVERAGEIFS(Database!L:L,Database!$E:$E,$C47,Database!$A:$A,$D$1)),-0.00001)</f>
        <v>-1.0000000000000001E-5</v>
      </c>
      <c r="K47" s="194">
        <f>IFERROR(IF($C47="",-0.00001,AVERAGEIFS(Database!M:M,Database!$E:$E,$C47,Database!$A:$A,$D$1)),-0.00001)</f>
        <v>-1.0000000000000001E-5</v>
      </c>
      <c r="L47" s="194">
        <f>IFERROR(IF($C47="",-0.00001,AVERAGEIFS(Database!N:N,Database!$E:$E,$C47,Database!$A:$A,$D$1)),-0.00001)</f>
        <v>-1.0000000000000001E-5</v>
      </c>
      <c r="M47" s="194">
        <f>IFERROR(IF($C47="",-0.00001,AVERAGEIFS(Database!O:O,Database!$E:$E,$C47,Database!$A:$A,$D$1)),-0.00001)</f>
        <v>-1.0000000000000001E-5</v>
      </c>
      <c r="N47" s="194">
        <f>IFERROR(IF($C47="",-0.00001,AVERAGEIFS(Database!P:P,Database!$E:$E,$C47,Database!$A:$A,$D$1)),-0.00001)</f>
        <v>-1.0000000000000001E-5</v>
      </c>
      <c r="O47" s="194">
        <f>IFERROR(IF($C47="",-0.00001,AVERAGEIFS(Database!Q:Q,Database!$E:$E,$C47,Database!$A:$A,$D$1)),-0.00001)</f>
        <v>-1.0000000000000001E-5</v>
      </c>
      <c r="P47" s="186">
        <f>IFERROR(IF($C47="",-0.00001,AVERAGEIFS(Database!R:R,Database!$E:$E,$C47,Database!$A:$A,$D$1)),-0.00001)</f>
        <v>-1.0000000000000001E-5</v>
      </c>
      <c r="Q47" s="194">
        <f>IFERROR(IF($C47="",-0.00001,AVERAGEIFS(Database!S:S,Database!$E:$E,$C47,Database!$A:$A,$D$1)),-0.00001)</f>
        <v>-1.0000000000000001E-5</v>
      </c>
      <c r="R47" s="194">
        <f>IFERROR(IF($C47="",-0.00001,AVERAGEIFS(Database!T:T,Database!$E:$E,$C47,Database!$A:$A,$D$1)),-0.00001)</f>
        <v>-1.0000000000000001E-5</v>
      </c>
      <c r="S47" s="186">
        <f>IFERROR(IF($C47="",-0.00001,AVERAGEIFS(Database!U:U,Database!$E:$E,$C47,Database!$A:$A,$D$1)),-0.00001)</f>
        <v>-1.0000000000000001E-5</v>
      </c>
      <c r="T47" s="194">
        <f>IFERROR(IF($C47="",-0.00001,AVERAGEIFS(Database!V:V,Database!$E:$E,$C47,Database!$A:$A,$D$1)),-0.00001)</f>
        <v>-1.0000000000000001E-5</v>
      </c>
      <c r="U47" s="194">
        <f>IFERROR(IF($C47="",-0.00001,AVERAGEIFS(Database!W:W,Database!$E:$E,$C47,Database!$A:$A,$D$1)),-0.00001)</f>
        <v>-1.0000000000000001E-5</v>
      </c>
      <c r="V47" s="186">
        <f>IFERROR(IF($C47="",-0.00001,AVERAGEIFS(Database!X:X,Database!$E:$E,$C47,Database!$A:$A,$D$1)),-0.00001)</f>
        <v>-1.0000000000000001E-5</v>
      </c>
      <c r="W47" s="187"/>
      <c r="X47" s="187"/>
      <c r="Y47" s="187"/>
      <c r="Z47" s="187"/>
      <c r="AA47" s="187"/>
      <c r="AB47" s="187"/>
      <c r="AC47" s="187"/>
      <c r="AD47" s="187"/>
      <c r="AE47" s="187"/>
    </row>
    <row r="48" spans="1:31" x14ac:dyDescent="0.25">
      <c r="A48" s="187"/>
      <c r="B48" s="187" t="str">
        <f>IF($C48="","",MAX($B$4:$B47)+1)</f>
        <v/>
      </c>
      <c r="C48" s="145"/>
      <c r="D48" s="183" t="str">
        <f>IFERROR(VLOOKUP($C48,Rosters!$C$4:$M$239,INDEX(Lists!$N$5:$O$80,MATCH($C48,Lists!$N$5:$N$80,FALSE),2)),"")</f>
        <v/>
      </c>
      <c r="E48" s="237">
        <f>IF($C48="",-0.00001,COUNTIFS(Database!E:E,$C48,Database!A:A,$D$1))</f>
        <v>-1.0000000000000001E-5</v>
      </c>
      <c r="F48" s="194">
        <f>IFERROR(IF($C48="",-0.00001,AVERAGEIFS(Database!H:H,Database!$E:$E,$C48,Database!$A:$A,$D$1)),-0.00001)</f>
        <v>-1.0000000000000001E-5</v>
      </c>
      <c r="G48" s="194">
        <f>IFERROR(IF($C48="",-0.00001,AVERAGEIFS(Database!I:I,Database!$E:$E,$C48,Database!$A:$A,$D$1)),-0.00001)</f>
        <v>-1.0000000000000001E-5</v>
      </c>
      <c r="H48" s="194">
        <f>IFERROR(IF($C48="",-0.00001,AVERAGEIFS(Database!J:J,Database!$E:$E,$C48,Database!$A:$A,$D$1)),-0.00001)</f>
        <v>-1.0000000000000001E-5</v>
      </c>
      <c r="I48" s="194">
        <f>IFERROR(IF($C48="",-0.00001,AVERAGEIFS(Database!K:K,Database!$E:$E,$C48,Database!$A:$A,$D$1)),-0.00001)</f>
        <v>-1.0000000000000001E-5</v>
      </c>
      <c r="J48" s="194">
        <f>IFERROR(IF($C48="",-0.00001,AVERAGEIFS(Database!L:L,Database!$E:$E,$C48,Database!$A:$A,$D$1)),-0.00001)</f>
        <v>-1.0000000000000001E-5</v>
      </c>
      <c r="K48" s="194">
        <f>IFERROR(IF($C48="",-0.00001,AVERAGEIFS(Database!M:M,Database!$E:$E,$C48,Database!$A:$A,$D$1)),-0.00001)</f>
        <v>-1.0000000000000001E-5</v>
      </c>
      <c r="L48" s="194">
        <f>IFERROR(IF($C48="",-0.00001,AVERAGEIFS(Database!N:N,Database!$E:$E,$C48,Database!$A:$A,$D$1)),-0.00001)</f>
        <v>-1.0000000000000001E-5</v>
      </c>
      <c r="M48" s="194">
        <f>IFERROR(IF($C48="",-0.00001,AVERAGEIFS(Database!O:O,Database!$E:$E,$C48,Database!$A:$A,$D$1)),-0.00001)</f>
        <v>-1.0000000000000001E-5</v>
      </c>
      <c r="N48" s="194">
        <f>IFERROR(IF($C48="",-0.00001,AVERAGEIFS(Database!P:P,Database!$E:$E,$C48,Database!$A:$A,$D$1)),-0.00001)</f>
        <v>-1.0000000000000001E-5</v>
      </c>
      <c r="O48" s="194">
        <f>IFERROR(IF($C48="",-0.00001,AVERAGEIFS(Database!Q:Q,Database!$E:$E,$C48,Database!$A:$A,$D$1)),-0.00001)</f>
        <v>-1.0000000000000001E-5</v>
      </c>
      <c r="P48" s="186">
        <f>IFERROR(IF($C48="",-0.00001,AVERAGEIFS(Database!R:R,Database!$E:$E,$C48,Database!$A:$A,$D$1)),-0.00001)</f>
        <v>-1.0000000000000001E-5</v>
      </c>
      <c r="Q48" s="194">
        <f>IFERROR(IF($C48="",-0.00001,AVERAGEIFS(Database!S:S,Database!$E:$E,$C48,Database!$A:$A,$D$1)),-0.00001)</f>
        <v>-1.0000000000000001E-5</v>
      </c>
      <c r="R48" s="194">
        <f>IFERROR(IF($C48="",-0.00001,AVERAGEIFS(Database!T:T,Database!$E:$E,$C48,Database!$A:$A,$D$1)),-0.00001)</f>
        <v>-1.0000000000000001E-5</v>
      </c>
      <c r="S48" s="186">
        <f>IFERROR(IF($C48="",-0.00001,AVERAGEIFS(Database!U:U,Database!$E:$E,$C48,Database!$A:$A,$D$1)),-0.00001)</f>
        <v>-1.0000000000000001E-5</v>
      </c>
      <c r="T48" s="194">
        <f>IFERROR(IF($C48="",-0.00001,AVERAGEIFS(Database!V:V,Database!$E:$E,$C48,Database!$A:$A,$D$1)),-0.00001)</f>
        <v>-1.0000000000000001E-5</v>
      </c>
      <c r="U48" s="194">
        <f>IFERROR(IF($C48="",-0.00001,AVERAGEIFS(Database!W:W,Database!$E:$E,$C48,Database!$A:$A,$D$1)),-0.00001)</f>
        <v>-1.0000000000000001E-5</v>
      </c>
      <c r="V48" s="186">
        <f>IFERROR(IF($C48="",-0.00001,AVERAGEIFS(Database!X:X,Database!$E:$E,$C48,Database!$A:$A,$D$1)),-0.00001)</f>
        <v>-1.0000000000000001E-5</v>
      </c>
      <c r="W48" s="187"/>
      <c r="X48" s="187"/>
      <c r="Y48" s="187"/>
      <c r="Z48" s="187"/>
      <c r="AA48" s="187"/>
      <c r="AB48" s="187"/>
      <c r="AC48" s="187"/>
      <c r="AD48" s="187"/>
      <c r="AE48" s="187"/>
    </row>
    <row r="49" spans="1:31" x14ac:dyDescent="0.25">
      <c r="A49" s="187"/>
      <c r="B49" s="187" t="str">
        <f>IF($C49="","",MAX($B$4:$B48)+1)</f>
        <v/>
      </c>
      <c r="C49" s="145"/>
      <c r="D49" s="183" t="str">
        <f>IFERROR(VLOOKUP($C49,Rosters!$C$4:$M$239,INDEX(Lists!$N$5:$O$80,MATCH($C49,Lists!$N$5:$N$80,FALSE),2)),"")</f>
        <v/>
      </c>
      <c r="E49" s="237">
        <f>IF($C49="",-0.00001,COUNTIFS(Database!E:E,$C49,Database!A:A,$D$1))</f>
        <v>-1.0000000000000001E-5</v>
      </c>
      <c r="F49" s="194">
        <f>IFERROR(IF($C49="",-0.00001,AVERAGEIFS(Database!H:H,Database!$E:$E,$C49,Database!$A:$A,$D$1)),-0.00001)</f>
        <v>-1.0000000000000001E-5</v>
      </c>
      <c r="G49" s="194">
        <f>IFERROR(IF($C49="",-0.00001,AVERAGEIFS(Database!I:I,Database!$E:$E,$C49,Database!$A:$A,$D$1)),-0.00001)</f>
        <v>-1.0000000000000001E-5</v>
      </c>
      <c r="H49" s="194">
        <f>IFERROR(IF($C49="",-0.00001,AVERAGEIFS(Database!J:J,Database!$E:$E,$C49,Database!$A:$A,$D$1)),-0.00001)</f>
        <v>-1.0000000000000001E-5</v>
      </c>
      <c r="I49" s="194">
        <f>IFERROR(IF($C49="",-0.00001,AVERAGEIFS(Database!K:K,Database!$E:$E,$C49,Database!$A:$A,$D$1)),-0.00001)</f>
        <v>-1.0000000000000001E-5</v>
      </c>
      <c r="J49" s="194">
        <f>IFERROR(IF($C49="",-0.00001,AVERAGEIFS(Database!L:L,Database!$E:$E,$C49,Database!$A:$A,$D$1)),-0.00001)</f>
        <v>-1.0000000000000001E-5</v>
      </c>
      <c r="K49" s="194">
        <f>IFERROR(IF($C49="",-0.00001,AVERAGEIFS(Database!M:M,Database!$E:$E,$C49,Database!$A:$A,$D$1)),-0.00001)</f>
        <v>-1.0000000000000001E-5</v>
      </c>
      <c r="L49" s="194">
        <f>IFERROR(IF($C49="",-0.00001,AVERAGEIFS(Database!N:N,Database!$E:$E,$C49,Database!$A:$A,$D$1)),-0.00001)</f>
        <v>-1.0000000000000001E-5</v>
      </c>
      <c r="M49" s="194">
        <f>IFERROR(IF($C49="",-0.00001,AVERAGEIFS(Database!O:O,Database!$E:$E,$C49,Database!$A:$A,$D$1)),-0.00001)</f>
        <v>-1.0000000000000001E-5</v>
      </c>
      <c r="N49" s="194">
        <f>IFERROR(IF($C49="",-0.00001,AVERAGEIFS(Database!P:P,Database!$E:$E,$C49,Database!$A:$A,$D$1)),-0.00001)</f>
        <v>-1.0000000000000001E-5</v>
      </c>
      <c r="O49" s="194">
        <f>IFERROR(IF($C49="",-0.00001,AVERAGEIFS(Database!Q:Q,Database!$E:$E,$C49,Database!$A:$A,$D$1)),-0.00001)</f>
        <v>-1.0000000000000001E-5</v>
      </c>
      <c r="P49" s="186">
        <f>IFERROR(IF($C49="",-0.00001,AVERAGEIFS(Database!R:R,Database!$E:$E,$C49,Database!$A:$A,$D$1)),-0.00001)</f>
        <v>-1.0000000000000001E-5</v>
      </c>
      <c r="Q49" s="194">
        <f>IFERROR(IF($C49="",-0.00001,AVERAGEIFS(Database!S:S,Database!$E:$E,$C49,Database!$A:$A,$D$1)),-0.00001)</f>
        <v>-1.0000000000000001E-5</v>
      </c>
      <c r="R49" s="194">
        <f>IFERROR(IF($C49="",-0.00001,AVERAGEIFS(Database!T:T,Database!$E:$E,$C49,Database!$A:$A,$D$1)),-0.00001)</f>
        <v>-1.0000000000000001E-5</v>
      </c>
      <c r="S49" s="186">
        <f>IFERROR(IF($C49="",-0.00001,AVERAGEIFS(Database!U:U,Database!$E:$E,$C49,Database!$A:$A,$D$1)),-0.00001)</f>
        <v>-1.0000000000000001E-5</v>
      </c>
      <c r="T49" s="194">
        <f>IFERROR(IF($C49="",-0.00001,AVERAGEIFS(Database!V:V,Database!$E:$E,$C49,Database!$A:$A,$D$1)),-0.00001)</f>
        <v>-1.0000000000000001E-5</v>
      </c>
      <c r="U49" s="194">
        <f>IFERROR(IF($C49="",-0.00001,AVERAGEIFS(Database!W:W,Database!$E:$E,$C49,Database!$A:$A,$D$1)),-0.00001)</f>
        <v>-1.0000000000000001E-5</v>
      </c>
      <c r="V49" s="186">
        <f>IFERROR(IF($C49="",-0.00001,AVERAGEIFS(Database!X:X,Database!$E:$E,$C49,Database!$A:$A,$D$1)),-0.00001)</f>
        <v>-1.0000000000000001E-5</v>
      </c>
      <c r="W49" s="187"/>
      <c r="X49" s="187"/>
      <c r="Y49" s="187"/>
      <c r="Z49" s="187"/>
      <c r="AA49" s="187"/>
      <c r="AB49" s="187"/>
      <c r="AC49" s="187"/>
      <c r="AD49" s="187"/>
      <c r="AE49" s="187"/>
    </row>
    <row r="50" spans="1:31" x14ac:dyDescent="0.25">
      <c r="A50" s="187"/>
      <c r="B50" s="187" t="str">
        <f>IF($C50="","",MAX($B$4:$B49)+1)</f>
        <v/>
      </c>
      <c r="C50" s="145"/>
      <c r="D50" s="183" t="str">
        <f>IFERROR(VLOOKUP($C50,Rosters!$C$4:$M$239,INDEX(Lists!$N$5:$O$80,MATCH($C50,Lists!$N$5:$N$80,FALSE),2)),"")</f>
        <v/>
      </c>
      <c r="E50" s="237">
        <f>IF($C50="",-0.00001,COUNTIFS(Database!E:E,$C50,Database!A:A,$D$1))</f>
        <v>-1.0000000000000001E-5</v>
      </c>
      <c r="F50" s="194">
        <f>IFERROR(IF($C50="",-0.00001,AVERAGEIFS(Database!H:H,Database!$E:$E,$C50,Database!$A:$A,$D$1)),-0.00001)</f>
        <v>-1.0000000000000001E-5</v>
      </c>
      <c r="G50" s="194">
        <f>IFERROR(IF($C50="",-0.00001,AVERAGEIFS(Database!I:I,Database!$E:$E,$C50,Database!$A:$A,$D$1)),-0.00001)</f>
        <v>-1.0000000000000001E-5</v>
      </c>
      <c r="H50" s="194">
        <f>IFERROR(IF($C50="",-0.00001,AVERAGEIFS(Database!J:J,Database!$E:$E,$C50,Database!$A:$A,$D$1)),-0.00001)</f>
        <v>-1.0000000000000001E-5</v>
      </c>
      <c r="I50" s="194">
        <f>IFERROR(IF($C50="",-0.00001,AVERAGEIFS(Database!K:K,Database!$E:$E,$C50,Database!$A:$A,$D$1)),-0.00001)</f>
        <v>-1.0000000000000001E-5</v>
      </c>
      <c r="J50" s="194">
        <f>IFERROR(IF($C50="",-0.00001,AVERAGEIFS(Database!L:L,Database!$E:$E,$C50,Database!$A:$A,$D$1)),-0.00001)</f>
        <v>-1.0000000000000001E-5</v>
      </c>
      <c r="K50" s="194">
        <f>IFERROR(IF($C50="",-0.00001,AVERAGEIFS(Database!M:M,Database!$E:$E,$C50,Database!$A:$A,$D$1)),-0.00001)</f>
        <v>-1.0000000000000001E-5</v>
      </c>
      <c r="L50" s="194">
        <f>IFERROR(IF($C50="",-0.00001,AVERAGEIFS(Database!N:N,Database!$E:$E,$C50,Database!$A:$A,$D$1)),-0.00001)</f>
        <v>-1.0000000000000001E-5</v>
      </c>
      <c r="M50" s="194">
        <f>IFERROR(IF($C50="",-0.00001,AVERAGEIFS(Database!O:O,Database!$E:$E,$C50,Database!$A:$A,$D$1)),-0.00001)</f>
        <v>-1.0000000000000001E-5</v>
      </c>
      <c r="N50" s="194">
        <f>IFERROR(IF($C50="",-0.00001,AVERAGEIFS(Database!P:P,Database!$E:$E,$C50,Database!$A:$A,$D$1)),-0.00001)</f>
        <v>-1.0000000000000001E-5</v>
      </c>
      <c r="O50" s="194">
        <f>IFERROR(IF($C50="",-0.00001,AVERAGEIFS(Database!Q:Q,Database!$E:$E,$C50,Database!$A:$A,$D$1)),-0.00001)</f>
        <v>-1.0000000000000001E-5</v>
      </c>
      <c r="P50" s="186">
        <f>IFERROR(IF($C50="",-0.00001,AVERAGEIFS(Database!R:R,Database!$E:$E,$C50,Database!$A:$A,$D$1)),-0.00001)</f>
        <v>-1.0000000000000001E-5</v>
      </c>
      <c r="Q50" s="194">
        <f>IFERROR(IF($C50="",-0.00001,AVERAGEIFS(Database!S:S,Database!$E:$E,$C50,Database!$A:$A,$D$1)),-0.00001)</f>
        <v>-1.0000000000000001E-5</v>
      </c>
      <c r="R50" s="194">
        <f>IFERROR(IF($C50="",-0.00001,AVERAGEIFS(Database!T:T,Database!$E:$E,$C50,Database!$A:$A,$D$1)),-0.00001)</f>
        <v>-1.0000000000000001E-5</v>
      </c>
      <c r="S50" s="186">
        <f>IFERROR(IF($C50="",-0.00001,AVERAGEIFS(Database!U:U,Database!$E:$E,$C50,Database!$A:$A,$D$1)),-0.00001)</f>
        <v>-1.0000000000000001E-5</v>
      </c>
      <c r="T50" s="194">
        <f>IFERROR(IF($C50="",-0.00001,AVERAGEIFS(Database!V:V,Database!$E:$E,$C50,Database!$A:$A,$D$1)),-0.00001)</f>
        <v>-1.0000000000000001E-5</v>
      </c>
      <c r="U50" s="194">
        <f>IFERROR(IF($C50="",-0.00001,AVERAGEIFS(Database!W:W,Database!$E:$E,$C50,Database!$A:$A,$D$1)),-0.00001)</f>
        <v>-1.0000000000000001E-5</v>
      </c>
      <c r="V50" s="186">
        <f>IFERROR(IF($C50="",-0.00001,AVERAGEIFS(Database!X:X,Database!$E:$E,$C50,Database!$A:$A,$D$1)),-0.00001)</f>
        <v>-1.0000000000000001E-5</v>
      </c>
      <c r="W50" s="187"/>
      <c r="X50" s="187"/>
      <c r="Y50" s="187"/>
      <c r="Z50" s="187"/>
      <c r="AA50" s="187"/>
      <c r="AB50" s="187"/>
      <c r="AC50" s="187"/>
      <c r="AD50" s="187"/>
      <c r="AE50" s="187"/>
    </row>
    <row r="51" spans="1:31" x14ac:dyDescent="0.25">
      <c r="A51" s="187"/>
      <c r="B51" s="187" t="str">
        <f>IF($C51="","",MAX($B$4:$B50)+1)</f>
        <v/>
      </c>
      <c r="C51" s="145"/>
      <c r="D51" s="183" t="str">
        <f>IFERROR(VLOOKUP($C51,Rosters!$C$4:$M$239,INDEX(Lists!$N$5:$O$80,MATCH($C51,Lists!$N$5:$N$80,FALSE),2)),"")</f>
        <v/>
      </c>
      <c r="E51" s="237">
        <f>IF($C51="",-0.00001,COUNTIFS(Database!E:E,$C51,Database!A:A,$D$1))</f>
        <v>-1.0000000000000001E-5</v>
      </c>
      <c r="F51" s="194">
        <f>IFERROR(IF($C51="",-0.00001,AVERAGEIFS(Database!H:H,Database!$E:$E,$C51,Database!$A:$A,$D$1)),-0.00001)</f>
        <v>-1.0000000000000001E-5</v>
      </c>
      <c r="G51" s="194">
        <f>IFERROR(IF($C51="",-0.00001,AVERAGEIFS(Database!I:I,Database!$E:$E,$C51,Database!$A:$A,$D$1)),-0.00001)</f>
        <v>-1.0000000000000001E-5</v>
      </c>
      <c r="H51" s="194">
        <f>IFERROR(IF($C51="",-0.00001,AVERAGEIFS(Database!J:J,Database!$E:$E,$C51,Database!$A:$A,$D$1)),-0.00001)</f>
        <v>-1.0000000000000001E-5</v>
      </c>
      <c r="I51" s="194">
        <f>IFERROR(IF($C51="",-0.00001,AVERAGEIFS(Database!K:K,Database!$E:$E,$C51,Database!$A:$A,$D$1)),-0.00001)</f>
        <v>-1.0000000000000001E-5</v>
      </c>
      <c r="J51" s="194">
        <f>IFERROR(IF($C51="",-0.00001,AVERAGEIFS(Database!L:L,Database!$E:$E,$C51,Database!$A:$A,$D$1)),-0.00001)</f>
        <v>-1.0000000000000001E-5</v>
      </c>
      <c r="K51" s="194">
        <f>IFERROR(IF($C51="",-0.00001,AVERAGEIFS(Database!M:M,Database!$E:$E,$C51,Database!$A:$A,$D$1)),-0.00001)</f>
        <v>-1.0000000000000001E-5</v>
      </c>
      <c r="L51" s="194">
        <f>IFERROR(IF($C51="",-0.00001,AVERAGEIFS(Database!N:N,Database!$E:$E,$C51,Database!$A:$A,$D$1)),-0.00001)</f>
        <v>-1.0000000000000001E-5</v>
      </c>
      <c r="M51" s="194">
        <f>IFERROR(IF($C51="",-0.00001,AVERAGEIFS(Database!O:O,Database!$E:$E,$C51,Database!$A:$A,$D$1)),-0.00001)</f>
        <v>-1.0000000000000001E-5</v>
      </c>
      <c r="N51" s="194">
        <f>IFERROR(IF($C51="",-0.00001,AVERAGEIFS(Database!P:P,Database!$E:$E,$C51,Database!$A:$A,$D$1)),-0.00001)</f>
        <v>-1.0000000000000001E-5</v>
      </c>
      <c r="O51" s="194">
        <f>IFERROR(IF($C51="",-0.00001,AVERAGEIFS(Database!Q:Q,Database!$E:$E,$C51,Database!$A:$A,$D$1)),-0.00001)</f>
        <v>-1.0000000000000001E-5</v>
      </c>
      <c r="P51" s="186">
        <f>IFERROR(IF($C51="",-0.00001,AVERAGEIFS(Database!R:R,Database!$E:$E,$C51,Database!$A:$A,$D$1)),-0.00001)</f>
        <v>-1.0000000000000001E-5</v>
      </c>
      <c r="Q51" s="194">
        <f>IFERROR(IF($C51="",-0.00001,AVERAGEIFS(Database!S:S,Database!$E:$E,$C51,Database!$A:$A,$D$1)),-0.00001)</f>
        <v>-1.0000000000000001E-5</v>
      </c>
      <c r="R51" s="194">
        <f>IFERROR(IF($C51="",-0.00001,AVERAGEIFS(Database!T:T,Database!$E:$E,$C51,Database!$A:$A,$D$1)),-0.00001)</f>
        <v>-1.0000000000000001E-5</v>
      </c>
      <c r="S51" s="186">
        <f>IFERROR(IF($C51="",-0.00001,AVERAGEIFS(Database!U:U,Database!$E:$E,$C51,Database!$A:$A,$D$1)),-0.00001)</f>
        <v>-1.0000000000000001E-5</v>
      </c>
      <c r="T51" s="194">
        <f>IFERROR(IF($C51="",-0.00001,AVERAGEIFS(Database!V:V,Database!$E:$E,$C51,Database!$A:$A,$D$1)),-0.00001)</f>
        <v>-1.0000000000000001E-5</v>
      </c>
      <c r="U51" s="194">
        <f>IFERROR(IF($C51="",-0.00001,AVERAGEIFS(Database!W:W,Database!$E:$E,$C51,Database!$A:$A,$D$1)),-0.00001)</f>
        <v>-1.0000000000000001E-5</v>
      </c>
      <c r="V51" s="186">
        <f>IFERROR(IF($C51="",-0.00001,AVERAGEIFS(Database!X:X,Database!$E:$E,$C51,Database!$A:$A,$D$1)),-0.00001)</f>
        <v>-1.0000000000000001E-5</v>
      </c>
      <c r="W51" s="187"/>
      <c r="X51" s="187"/>
      <c r="Y51" s="187"/>
      <c r="Z51" s="187"/>
      <c r="AA51" s="187"/>
      <c r="AB51" s="187"/>
      <c r="AC51" s="187"/>
      <c r="AD51" s="187"/>
      <c r="AE51" s="187"/>
    </row>
    <row r="52" spans="1:31" x14ac:dyDescent="0.25">
      <c r="A52" s="187"/>
      <c r="B52" s="187" t="str">
        <f>IF($C52="","",MAX($B$4:$B51)+1)</f>
        <v/>
      </c>
      <c r="C52" s="145"/>
      <c r="D52" s="183" t="str">
        <f>IFERROR(VLOOKUP($C52,Rosters!$C$4:$M$239,INDEX(Lists!$N$5:$O$80,MATCH($C52,Lists!$N$5:$N$80,FALSE),2)),"")</f>
        <v/>
      </c>
      <c r="E52" s="237">
        <f>IF($C52="",-0.00001,COUNTIFS(Database!E:E,$C52,Database!A:A,$D$1))</f>
        <v>-1.0000000000000001E-5</v>
      </c>
      <c r="F52" s="194">
        <f>IFERROR(IF($C52="",-0.00001,AVERAGEIFS(Database!H:H,Database!$E:$E,$C52,Database!$A:$A,$D$1)),-0.00001)</f>
        <v>-1.0000000000000001E-5</v>
      </c>
      <c r="G52" s="194">
        <f>IFERROR(IF($C52="",-0.00001,AVERAGEIFS(Database!I:I,Database!$E:$E,$C52,Database!$A:$A,$D$1)),-0.00001)</f>
        <v>-1.0000000000000001E-5</v>
      </c>
      <c r="H52" s="194">
        <f>IFERROR(IF($C52="",-0.00001,AVERAGEIFS(Database!J:J,Database!$E:$E,$C52,Database!$A:$A,$D$1)),-0.00001)</f>
        <v>-1.0000000000000001E-5</v>
      </c>
      <c r="I52" s="194">
        <f>IFERROR(IF($C52="",-0.00001,AVERAGEIFS(Database!K:K,Database!$E:$E,$C52,Database!$A:$A,$D$1)),-0.00001)</f>
        <v>-1.0000000000000001E-5</v>
      </c>
      <c r="J52" s="194">
        <f>IFERROR(IF($C52="",-0.00001,AVERAGEIFS(Database!L:L,Database!$E:$E,$C52,Database!$A:$A,$D$1)),-0.00001)</f>
        <v>-1.0000000000000001E-5</v>
      </c>
      <c r="K52" s="194">
        <f>IFERROR(IF($C52="",-0.00001,AVERAGEIFS(Database!M:M,Database!$E:$E,$C52,Database!$A:$A,$D$1)),-0.00001)</f>
        <v>-1.0000000000000001E-5</v>
      </c>
      <c r="L52" s="194">
        <f>IFERROR(IF($C52="",-0.00001,AVERAGEIFS(Database!N:N,Database!$E:$E,$C52,Database!$A:$A,$D$1)),-0.00001)</f>
        <v>-1.0000000000000001E-5</v>
      </c>
      <c r="M52" s="194">
        <f>IFERROR(IF($C52="",-0.00001,AVERAGEIFS(Database!O:O,Database!$E:$E,$C52,Database!$A:$A,$D$1)),-0.00001)</f>
        <v>-1.0000000000000001E-5</v>
      </c>
      <c r="N52" s="194">
        <f>IFERROR(IF($C52="",-0.00001,AVERAGEIFS(Database!P:P,Database!$E:$E,$C52,Database!$A:$A,$D$1)),-0.00001)</f>
        <v>-1.0000000000000001E-5</v>
      </c>
      <c r="O52" s="194">
        <f>IFERROR(IF($C52="",-0.00001,AVERAGEIFS(Database!Q:Q,Database!$E:$E,$C52,Database!$A:$A,$D$1)),-0.00001)</f>
        <v>-1.0000000000000001E-5</v>
      </c>
      <c r="P52" s="186">
        <f>IFERROR(IF($C52="",-0.00001,AVERAGEIFS(Database!R:R,Database!$E:$E,$C52,Database!$A:$A,$D$1)),-0.00001)</f>
        <v>-1.0000000000000001E-5</v>
      </c>
      <c r="Q52" s="194">
        <f>IFERROR(IF($C52="",-0.00001,AVERAGEIFS(Database!S:S,Database!$E:$E,$C52,Database!$A:$A,$D$1)),-0.00001)</f>
        <v>-1.0000000000000001E-5</v>
      </c>
      <c r="R52" s="194">
        <f>IFERROR(IF($C52="",-0.00001,AVERAGEIFS(Database!T:T,Database!$E:$E,$C52,Database!$A:$A,$D$1)),-0.00001)</f>
        <v>-1.0000000000000001E-5</v>
      </c>
      <c r="S52" s="186">
        <f>IFERROR(IF($C52="",-0.00001,AVERAGEIFS(Database!U:U,Database!$E:$E,$C52,Database!$A:$A,$D$1)),-0.00001)</f>
        <v>-1.0000000000000001E-5</v>
      </c>
      <c r="T52" s="194">
        <f>IFERROR(IF($C52="",-0.00001,AVERAGEIFS(Database!V:V,Database!$E:$E,$C52,Database!$A:$A,$D$1)),-0.00001)</f>
        <v>-1.0000000000000001E-5</v>
      </c>
      <c r="U52" s="194">
        <f>IFERROR(IF($C52="",-0.00001,AVERAGEIFS(Database!W:W,Database!$E:$E,$C52,Database!$A:$A,$D$1)),-0.00001)</f>
        <v>-1.0000000000000001E-5</v>
      </c>
      <c r="V52" s="186">
        <f>IFERROR(IF($C52="",-0.00001,AVERAGEIFS(Database!X:X,Database!$E:$E,$C52,Database!$A:$A,$D$1)),-0.00001)</f>
        <v>-1.0000000000000001E-5</v>
      </c>
      <c r="W52" s="187"/>
      <c r="X52" s="187"/>
      <c r="Y52" s="187"/>
      <c r="Z52" s="187"/>
      <c r="AA52" s="187"/>
      <c r="AB52" s="187"/>
      <c r="AC52" s="187"/>
      <c r="AD52" s="187"/>
      <c r="AE52" s="187"/>
    </row>
    <row r="53" spans="1:31" x14ac:dyDescent="0.25">
      <c r="A53" s="187"/>
      <c r="B53" s="187" t="str">
        <f>IF($C53="","",MAX($B$4:$B52)+1)</f>
        <v/>
      </c>
      <c r="C53" s="145"/>
      <c r="D53" s="183" t="str">
        <f>IFERROR(VLOOKUP($C53,Rosters!$C$4:$M$239,INDEX(Lists!$N$5:$O$80,MATCH($C53,Lists!$N$5:$N$80,FALSE),2)),"")</f>
        <v/>
      </c>
      <c r="E53" s="237">
        <f>IF($C53="",-0.00001,COUNTIFS(Database!E:E,$C53,Database!A:A,$D$1))</f>
        <v>-1.0000000000000001E-5</v>
      </c>
      <c r="F53" s="194">
        <f>IFERROR(IF($C53="",-0.00001,AVERAGEIFS(Database!H:H,Database!$E:$E,$C53,Database!$A:$A,$D$1)),-0.00001)</f>
        <v>-1.0000000000000001E-5</v>
      </c>
      <c r="G53" s="194">
        <f>IFERROR(IF($C53="",-0.00001,AVERAGEIFS(Database!I:I,Database!$E:$E,$C53,Database!$A:$A,$D$1)),-0.00001)</f>
        <v>-1.0000000000000001E-5</v>
      </c>
      <c r="H53" s="194">
        <f>IFERROR(IF($C53="",-0.00001,AVERAGEIFS(Database!J:J,Database!$E:$E,$C53,Database!$A:$A,$D$1)),-0.00001)</f>
        <v>-1.0000000000000001E-5</v>
      </c>
      <c r="I53" s="194">
        <f>IFERROR(IF($C53="",-0.00001,AVERAGEIFS(Database!K:K,Database!$E:$E,$C53,Database!$A:$A,$D$1)),-0.00001)</f>
        <v>-1.0000000000000001E-5</v>
      </c>
      <c r="J53" s="194">
        <f>IFERROR(IF($C53="",-0.00001,AVERAGEIFS(Database!L:L,Database!$E:$E,$C53,Database!$A:$A,$D$1)),-0.00001)</f>
        <v>-1.0000000000000001E-5</v>
      </c>
      <c r="K53" s="194">
        <f>IFERROR(IF($C53="",-0.00001,AVERAGEIFS(Database!M:M,Database!$E:$E,$C53,Database!$A:$A,$D$1)),-0.00001)</f>
        <v>-1.0000000000000001E-5</v>
      </c>
      <c r="L53" s="194">
        <f>IFERROR(IF($C53="",-0.00001,AVERAGEIFS(Database!N:N,Database!$E:$E,$C53,Database!$A:$A,$D$1)),-0.00001)</f>
        <v>-1.0000000000000001E-5</v>
      </c>
      <c r="M53" s="194">
        <f>IFERROR(IF($C53="",-0.00001,AVERAGEIFS(Database!O:O,Database!$E:$E,$C53,Database!$A:$A,$D$1)),-0.00001)</f>
        <v>-1.0000000000000001E-5</v>
      </c>
      <c r="N53" s="194">
        <f>IFERROR(IF($C53="",-0.00001,AVERAGEIFS(Database!P:P,Database!$E:$E,$C53,Database!$A:$A,$D$1)),-0.00001)</f>
        <v>-1.0000000000000001E-5</v>
      </c>
      <c r="O53" s="194">
        <f>IFERROR(IF($C53="",-0.00001,AVERAGEIFS(Database!Q:Q,Database!$E:$E,$C53,Database!$A:$A,$D$1)),-0.00001)</f>
        <v>-1.0000000000000001E-5</v>
      </c>
      <c r="P53" s="186">
        <f>IFERROR(IF($C53="",-0.00001,AVERAGEIFS(Database!R:R,Database!$E:$E,$C53,Database!$A:$A,$D$1)),-0.00001)</f>
        <v>-1.0000000000000001E-5</v>
      </c>
      <c r="Q53" s="194">
        <f>IFERROR(IF($C53="",-0.00001,AVERAGEIFS(Database!S:S,Database!$E:$E,$C53,Database!$A:$A,$D$1)),-0.00001)</f>
        <v>-1.0000000000000001E-5</v>
      </c>
      <c r="R53" s="194">
        <f>IFERROR(IF($C53="",-0.00001,AVERAGEIFS(Database!T:T,Database!$E:$E,$C53,Database!$A:$A,$D$1)),-0.00001)</f>
        <v>-1.0000000000000001E-5</v>
      </c>
      <c r="S53" s="186">
        <f>IFERROR(IF($C53="",-0.00001,AVERAGEIFS(Database!U:U,Database!$E:$E,$C53,Database!$A:$A,$D$1)),-0.00001)</f>
        <v>-1.0000000000000001E-5</v>
      </c>
      <c r="T53" s="194">
        <f>IFERROR(IF($C53="",-0.00001,AVERAGEIFS(Database!V:V,Database!$E:$E,$C53,Database!$A:$A,$D$1)),-0.00001)</f>
        <v>-1.0000000000000001E-5</v>
      </c>
      <c r="U53" s="194">
        <f>IFERROR(IF($C53="",-0.00001,AVERAGEIFS(Database!W:W,Database!$E:$E,$C53,Database!$A:$A,$D$1)),-0.00001)</f>
        <v>-1.0000000000000001E-5</v>
      </c>
      <c r="V53" s="186">
        <f>IFERROR(IF($C53="",-0.00001,AVERAGEIFS(Database!X:X,Database!$E:$E,$C53,Database!$A:$A,$D$1)),-0.00001)</f>
        <v>-1.0000000000000001E-5</v>
      </c>
      <c r="W53" s="187"/>
      <c r="X53" s="187"/>
      <c r="Y53" s="187"/>
      <c r="Z53" s="187"/>
      <c r="AA53" s="187"/>
      <c r="AB53" s="187"/>
      <c r="AC53" s="187"/>
      <c r="AD53" s="187"/>
      <c r="AE53" s="187"/>
    </row>
    <row r="54" spans="1:31" x14ac:dyDescent="0.25">
      <c r="A54" s="187"/>
      <c r="B54" s="187" t="str">
        <f>IF($C54="","",MAX($B$4:$B53)+1)</f>
        <v/>
      </c>
      <c r="C54" s="145"/>
      <c r="D54" s="183" t="str">
        <f>IFERROR(VLOOKUP($C54,Rosters!$C$4:$M$239,INDEX(Lists!$N$5:$O$80,MATCH($C54,Lists!$N$5:$N$80,FALSE),2)),"")</f>
        <v/>
      </c>
      <c r="E54" s="237">
        <f>IF($C54="",-0.00001,COUNTIFS(Database!E:E,$C54,Database!A:A,$D$1))</f>
        <v>-1.0000000000000001E-5</v>
      </c>
      <c r="F54" s="194">
        <f>IFERROR(IF($C54="",-0.00001,AVERAGEIFS(Database!H:H,Database!$E:$E,$C54,Database!$A:$A,$D$1)),-0.00001)</f>
        <v>-1.0000000000000001E-5</v>
      </c>
      <c r="G54" s="194">
        <f>IFERROR(IF($C54="",-0.00001,AVERAGEIFS(Database!I:I,Database!$E:$E,$C54,Database!$A:$A,$D$1)),-0.00001)</f>
        <v>-1.0000000000000001E-5</v>
      </c>
      <c r="H54" s="194">
        <f>IFERROR(IF($C54="",-0.00001,AVERAGEIFS(Database!J:J,Database!$E:$E,$C54,Database!$A:$A,$D$1)),-0.00001)</f>
        <v>-1.0000000000000001E-5</v>
      </c>
      <c r="I54" s="194">
        <f>IFERROR(IF($C54="",-0.00001,AVERAGEIFS(Database!K:K,Database!$E:$E,$C54,Database!$A:$A,$D$1)),-0.00001)</f>
        <v>-1.0000000000000001E-5</v>
      </c>
      <c r="J54" s="194">
        <f>IFERROR(IF($C54="",-0.00001,AVERAGEIFS(Database!L:L,Database!$E:$E,$C54,Database!$A:$A,$D$1)),-0.00001)</f>
        <v>-1.0000000000000001E-5</v>
      </c>
      <c r="K54" s="194">
        <f>IFERROR(IF($C54="",-0.00001,AVERAGEIFS(Database!M:M,Database!$E:$E,$C54,Database!$A:$A,$D$1)),-0.00001)</f>
        <v>-1.0000000000000001E-5</v>
      </c>
      <c r="L54" s="194">
        <f>IFERROR(IF($C54="",-0.00001,AVERAGEIFS(Database!N:N,Database!$E:$E,$C54,Database!$A:$A,$D$1)),-0.00001)</f>
        <v>-1.0000000000000001E-5</v>
      </c>
      <c r="M54" s="194">
        <f>IFERROR(IF($C54="",-0.00001,AVERAGEIFS(Database!O:O,Database!$E:$E,$C54,Database!$A:$A,$D$1)),-0.00001)</f>
        <v>-1.0000000000000001E-5</v>
      </c>
      <c r="N54" s="194">
        <f>IFERROR(IF($C54="",-0.00001,AVERAGEIFS(Database!P:P,Database!$E:$E,$C54,Database!$A:$A,$D$1)),-0.00001)</f>
        <v>-1.0000000000000001E-5</v>
      </c>
      <c r="O54" s="194">
        <f>IFERROR(IF($C54="",-0.00001,AVERAGEIFS(Database!Q:Q,Database!$E:$E,$C54,Database!$A:$A,$D$1)),-0.00001)</f>
        <v>-1.0000000000000001E-5</v>
      </c>
      <c r="P54" s="186">
        <f>IFERROR(IF($C54="",-0.00001,AVERAGEIFS(Database!R:R,Database!$E:$E,$C54,Database!$A:$A,$D$1)),-0.00001)</f>
        <v>-1.0000000000000001E-5</v>
      </c>
      <c r="Q54" s="194">
        <f>IFERROR(IF($C54="",-0.00001,AVERAGEIFS(Database!S:S,Database!$E:$E,$C54,Database!$A:$A,$D$1)),-0.00001)</f>
        <v>-1.0000000000000001E-5</v>
      </c>
      <c r="R54" s="194">
        <f>IFERROR(IF($C54="",-0.00001,AVERAGEIFS(Database!T:T,Database!$E:$E,$C54,Database!$A:$A,$D$1)),-0.00001)</f>
        <v>-1.0000000000000001E-5</v>
      </c>
      <c r="S54" s="186">
        <f>IFERROR(IF($C54="",-0.00001,AVERAGEIFS(Database!U:U,Database!$E:$E,$C54,Database!$A:$A,$D$1)),-0.00001)</f>
        <v>-1.0000000000000001E-5</v>
      </c>
      <c r="T54" s="194">
        <f>IFERROR(IF($C54="",-0.00001,AVERAGEIFS(Database!V:V,Database!$E:$E,$C54,Database!$A:$A,$D$1)),-0.00001)</f>
        <v>-1.0000000000000001E-5</v>
      </c>
      <c r="U54" s="194">
        <f>IFERROR(IF($C54="",-0.00001,AVERAGEIFS(Database!W:W,Database!$E:$E,$C54,Database!$A:$A,$D$1)),-0.00001)</f>
        <v>-1.0000000000000001E-5</v>
      </c>
      <c r="V54" s="186">
        <f>IFERROR(IF($C54="",-0.00001,AVERAGEIFS(Database!X:X,Database!$E:$E,$C54,Database!$A:$A,$D$1)),-0.00001)</f>
        <v>-1.0000000000000001E-5</v>
      </c>
      <c r="W54" s="187"/>
      <c r="X54" s="187"/>
      <c r="Y54" s="187"/>
      <c r="Z54" s="187"/>
      <c r="AA54" s="187"/>
      <c r="AB54" s="187"/>
      <c r="AC54" s="187"/>
      <c r="AD54" s="187"/>
      <c r="AE54" s="187"/>
    </row>
    <row r="55" spans="1:31" x14ac:dyDescent="0.25">
      <c r="A55" s="187"/>
      <c r="B55" s="187" t="str">
        <f>IF($C55="","",MAX($B$4:$B54)+1)</f>
        <v/>
      </c>
      <c r="C55" s="145"/>
      <c r="D55" s="183" t="str">
        <f>IFERROR(VLOOKUP($C55,Rosters!$C$4:$M$239,INDEX(Lists!$N$5:$O$80,MATCH($C55,Lists!$N$5:$N$80,FALSE),2)),"")</f>
        <v/>
      </c>
      <c r="E55" s="237">
        <f>IF($C55="",-0.00001,COUNTIFS(Database!E:E,$C55,Database!A:A,$D$1))</f>
        <v>-1.0000000000000001E-5</v>
      </c>
      <c r="F55" s="194">
        <f>IFERROR(IF($C55="",-0.00001,AVERAGEIFS(Database!H:H,Database!$E:$E,$C55,Database!$A:$A,$D$1)),-0.00001)</f>
        <v>-1.0000000000000001E-5</v>
      </c>
      <c r="G55" s="194">
        <f>IFERROR(IF($C55="",-0.00001,AVERAGEIFS(Database!I:I,Database!$E:$E,$C55,Database!$A:$A,$D$1)),-0.00001)</f>
        <v>-1.0000000000000001E-5</v>
      </c>
      <c r="H55" s="194">
        <f>IFERROR(IF($C55="",-0.00001,AVERAGEIFS(Database!J:J,Database!$E:$E,$C55,Database!$A:$A,$D$1)),-0.00001)</f>
        <v>-1.0000000000000001E-5</v>
      </c>
      <c r="I55" s="194">
        <f>IFERROR(IF($C55="",-0.00001,AVERAGEIFS(Database!K:K,Database!$E:$E,$C55,Database!$A:$A,$D$1)),-0.00001)</f>
        <v>-1.0000000000000001E-5</v>
      </c>
      <c r="J55" s="194">
        <f>IFERROR(IF($C55="",-0.00001,AVERAGEIFS(Database!L:L,Database!$E:$E,$C55,Database!$A:$A,$D$1)),-0.00001)</f>
        <v>-1.0000000000000001E-5</v>
      </c>
      <c r="K55" s="194">
        <f>IFERROR(IF($C55="",-0.00001,AVERAGEIFS(Database!M:M,Database!$E:$E,$C55,Database!$A:$A,$D$1)),-0.00001)</f>
        <v>-1.0000000000000001E-5</v>
      </c>
      <c r="L55" s="194">
        <f>IFERROR(IF($C55="",-0.00001,AVERAGEIFS(Database!N:N,Database!$E:$E,$C55,Database!$A:$A,$D$1)),-0.00001)</f>
        <v>-1.0000000000000001E-5</v>
      </c>
      <c r="M55" s="194">
        <f>IFERROR(IF($C55="",-0.00001,AVERAGEIFS(Database!O:O,Database!$E:$E,$C55,Database!$A:$A,$D$1)),-0.00001)</f>
        <v>-1.0000000000000001E-5</v>
      </c>
      <c r="N55" s="194">
        <f>IFERROR(IF($C55="",-0.00001,AVERAGEIFS(Database!P:P,Database!$E:$E,$C55,Database!$A:$A,$D$1)),-0.00001)</f>
        <v>-1.0000000000000001E-5</v>
      </c>
      <c r="O55" s="194">
        <f>IFERROR(IF($C55="",-0.00001,AVERAGEIFS(Database!Q:Q,Database!$E:$E,$C55,Database!$A:$A,$D$1)),-0.00001)</f>
        <v>-1.0000000000000001E-5</v>
      </c>
      <c r="P55" s="186">
        <f>IFERROR(IF($C55="",-0.00001,AVERAGEIFS(Database!R:R,Database!$E:$E,$C55,Database!$A:$A,$D$1)),-0.00001)</f>
        <v>-1.0000000000000001E-5</v>
      </c>
      <c r="Q55" s="194">
        <f>IFERROR(IF($C55="",-0.00001,AVERAGEIFS(Database!S:S,Database!$E:$E,$C55,Database!$A:$A,$D$1)),-0.00001)</f>
        <v>-1.0000000000000001E-5</v>
      </c>
      <c r="R55" s="194">
        <f>IFERROR(IF($C55="",-0.00001,AVERAGEIFS(Database!T:T,Database!$E:$E,$C55,Database!$A:$A,$D$1)),-0.00001)</f>
        <v>-1.0000000000000001E-5</v>
      </c>
      <c r="S55" s="186">
        <f>IFERROR(IF($C55="",-0.00001,AVERAGEIFS(Database!U:U,Database!$E:$E,$C55,Database!$A:$A,$D$1)),-0.00001)</f>
        <v>-1.0000000000000001E-5</v>
      </c>
      <c r="T55" s="194">
        <f>IFERROR(IF($C55="",-0.00001,AVERAGEIFS(Database!V:V,Database!$E:$E,$C55,Database!$A:$A,$D$1)),-0.00001)</f>
        <v>-1.0000000000000001E-5</v>
      </c>
      <c r="U55" s="194">
        <f>IFERROR(IF($C55="",-0.00001,AVERAGEIFS(Database!W:W,Database!$E:$E,$C55,Database!$A:$A,$D$1)),-0.00001)</f>
        <v>-1.0000000000000001E-5</v>
      </c>
      <c r="V55" s="186">
        <f>IFERROR(IF($C55="",-0.00001,AVERAGEIFS(Database!X:X,Database!$E:$E,$C55,Database!$A:$A,$D$1)),-0.00001)</f>
        <v>-1.0000000000000001E-5</v>
      </c>
      <c r="W55" s="187"/>
      <c r="X55" s="187"/>
      <c r="Y55" s="187"/>
      <c r="Z55" s="187"/>
      <c r="AA55" s="187"/>
      <c r="AB55" s="187"/>
      <c r="AC55" s="187"/>
      <c r="AD55" s="187"/>
      <c r="AE55" s="187"/>
    </row>
    <row r="56" spans="1:31" x14ac:dyDescent="0.25">
      <c r="A56" s="187"/>
      <c r="B56" s="187" t="str">
        <f>IF($C56="","",MAX($B$4:$B55)+1)</f>
        <v/>
      </c>
      <c r="C56" s="145"/>
      <c r="D56" s="183" t="str">
        <f>IFERROR(VLOOKUP($C56,Rosters!$C$4:$M$239,INDEX(Lists!$N$5:$O$80,MATCH($C56,Lists!$N$5:$N$80,FALSE),2)),"")</f>
        <v/>
      </c>
      <c r="E56" s="237">
        <f>IF($C56="",-0.00001,COUNTIFS(Database!E:E,$C56,Database!A:A,$D$1))</f>
        <v>-1.0000000000000001E-5</v>
      </c>
      <c r="F56" s="194">
        <f>IFERROR(IF($C56="",-0.00001,AVERAGEIFS(Database!H:H,Database!$E:$E,$C56,Database!$A:$A,$D$1)),-0.00001)</f>
        <v>-1.0000000000000001E-5</v>
      </c>
      <c r="G56" s="194">
        <f>IFERROR(IF($C56="",-0.00001,AVERAGEIFS(Database!I:I,Database!$E:$E,$C56,Database!$A:$A,$D$1)),-0.00001)</f>
        <v>-1.0000000000000001E-5</v>
      </c>
      <c r="H56" s="194">
        <f>IFERROR(IF($C56="",-0.00001,AVERAGEIFS(Database!J:J,Database!$E:$E,$C56,Database!$A:$A,$D$1)),-0.00001)</f>
        <v>-1.0000000000000001E-5</v>
      </c>
      <c r="I56" s="194">
        <f>IFERROR(IF($C56="",-0.00001,AVERAGEIFS(Database!K:K,Database!$E:$E,$C56,Database!$A:$A,$D$1)),-0.00001)</f>
        <v>-1.0000000000000001E-5</v>
      </c>
      <c r="J56" s="194">
        <f>IFERROR(IF($C56="",-0.00001,AVERAGEIFS(Database!L:L,Database!$E:$E,$C56,Database!$A:$A,$D$1)),-0.00001)</f>
        <v>-1.0000000000000001E-5</v>
      </c>
      <c r="K56" s="194">
        <f>IFERROR(IF($C56="",-0.00001,AVERAGEIFS(Database!M:M,Database!$E:$E,$C56,Database!$A:$A,$D$1)),-0.00001)</f>
        <v>-1.0000000000000001E-5</v>
      </c>
      <c r="L56" s="194">
        <f>IFERROR(IF($C56="",-0.00001,AVERAGEIFS(Database!N:N,Database!$E:$E,$C56,Database!$A:$A,$D$1)),-0.00001)</f>
        <v>-1.0000000000000001E-5</v>
      </c>
      <c r="M56" s="194">
        <f>IFERROR(IF($C56="",-0.00001,AVERAGEIFS(Database!O:O,Database!$E:$E,$C56,Database!$A:$A,$D$1)),-0.00001)</f>
        <v>-1.0000000000000001E-5</v>
      </c>
      <c r="N56" s="194">
        <f>IFERROR(IF($C56="",-0.00001,AVERAGEIFS(Database!P:P,Database!$E:$E,$C56,Database!$A:$A,$D$1)),-0.00001)</f>
        <v>-1.0000000000000001E-5</v>
      </c>
      <c r="O56" s="194">
        <f>IFERROR(IF($C56="",-0.00001,AVERAGEIFS(Database!Q:Q,Database!$E:$E,$C56,Database!$A:$A,$D$1)),-0.00001)</f>
        <v>-1.0000000000000001E-5</v>
      </c>
      <c r="P56" s="186">
        <f>IFERROR(IF($C56="",-0.00001,AVERAGEIFS(Database!R:R,Database!$E:$E,$C56,Database!$A:$A,$D$1)),-0.00001)</f>
        <v>-1.0000000000000001E-5</v>
      </c>
      <c r="Q56" s="194">
        <f>IFERROR(IF($C56="",-0.00001,AVERAGEIFS(Database!S:S,Database!$E:$E,$C56,Database!$A:$A,$D$1)),-0.00001)</f>
        <v>-1.0000000000000001E-5</v>
      </c>
      <c r="R56" s="194">
        <f>IFERROR(IF($C56="",-0.00001,AVERAGEIFS(Database!T:T,Database!$E:$E,$C56,Database!$A:$A,$D$1)),-0.00001)</f>
        <v>-1.0000000000000001E-5</v>
      </c>
      <c r="S56" s="186">
        <f>IFERROR(IF($C56="",-0.00001,AVERAGEIFS(Database!U:U,Database!$E:$E,$C56,Database!$A:$A,$D$1)),-0.00001)</f>
        <v>-1.0000000000000001E-5</v>
      </c>
      <c r="T56" s="194">
        <f>IFERROR(IF($C56="",-0.00001,AVERAGEIFS(Database!V:V,Database!$E:$E,$C56,Database!$A:$A,$D$1)),-0.00001)</f>
        <v>-1.0000000000000001E-5</v>
      </c>
      <c r="U56" s="194">
        <f>IFERROR(IF($C56="",-0.00001,AVERAGEIFS(Database!W:W,Database!$E:$E,$C56,Database!$A:$A,$D$1)),-0.00001)</f>
        <v>-1.0000000000000001E-5</v>
      </c>
      <c r="V56" s="186">
        <f>IFERROR(IF($C56="",-0.00001,AVERAGEIFS(Database!X:X,Database!$E:$E,$C56,Database!$A:$A,$D$1)),-0.00001)</f>
        <v>-1.0000000000000001E-5</v>
      </c>
      <c r="W56" s="187"/>
      <c r="X56" s="187"/>
      <c r="Y56" s="187"/>
      <c r="Z56" s="187"/>
      <c r="AA56" s="187"/>
      <c r="AB56" s="187"/>
      <c r="AC56" s="187"/>
      <c r="AD56" s="187"/>
      <c r="AE56" s="187"/>
    </row>
    <row r="57" spans="1:31" x14ac:dyDescent="0.25">
      <c r="A57" s="187"/>
      <c r="B57" s="187" t="str">
        <f>IF($C57="","",MAX($B$4:$B56)+1)</f>
        <v/>
      </c>
      <c r="C57" s="145"/>
      <c r="D57" s="183" t="str">
        <f>IFERROR(VLOOKUP($C57,Rosters!$C$4:$M$239,INDEX(Lists!$N$5:$O$80,MATCH($C57,Lists!$N$5:$N$80,FALSE),2)),"")</f>
        <v/>
      </c>
      <c r="E57" s="237">
        <f>IF($C57="",-0.00001,COUNTIFS(Database!E:E,$C57,Database!A:A,$D$1))</f>
        <v>-1.0000000000000001E-5</v>
      </c>
      <c r="F57" s="194">
        <f>IFERROR(IF($C57="",-0.00001,AVERAGEIFS(Database!H:H,Database!$E:$E,$C57,Database!$A:$A,$D$1)),-0.00001)</f>
        <v>-1.0000000000000001E-5</v>
      </c>
      <c r="G57" s="194">
        <f>IFERROR(IF($C57="",-0.00001,AVERAGEIFS(Database!I:I,Database!$E:$E,$C57,Database!$A:$A,$D$1)),-0.00001)</f>
        <v>-1.0000000000000001E-5</v>
      </c>
      <c r="H57" s="194">
        <f>IFERROR(IF($C57="",-0.00001,AVERAGEIFS(Database!J:J,Database!$E:$E,$C57,Database!$A:$A,$D$1)),-0.00001)</f>
        <v>-1.0000000000000001E-5</v>
      </c>
      <c r="I57" s="194">
        <f>IFERROR(IF($C57="",-0.00001,AVERAGEIFS(Database!K:K,Database!$E:$E,$C57,Database!$A:$A,$D$1)),-0.00001)</f>
        <v>-1.0000000000000001E-5</v>
      </c>
      <c r="J57" s="194">
        <f>IFERROR(IF($C57="",-0.00001,AVERAGEIFS(Database!L:L,Database!$E:$E,$C57,Database!$A:$A,$D$1)),-0.00001)</f>
        <v>-1.0000000000000001E-5</v>
      </c>
      <c r="K57" s="194">
        <f>IFERROR(IF($C57="",-0.00001,AVERAGEIFS(Database!M:M,Database!$E:$E,$C57,Database!$A:$A,$D$1)),-0.00001)</f>
        <v>-1.0000000000000001E-5</v>
      </c>
      <c r="L57" s="194">
        <f>IFERROR(IF($C57="",-0.00001,AVERAGEIFS(Database!N:N,Database!$E:$E,$C57,Database!$A:$A,$D$1)),-0.00001)</f>
        <v>-1.0000000000000001E-5</v>
      </c>
      <c r="M57" s="194">
        <f>IFERROR(IF($C57="",-0.00001,AVERAGEIFS(Database!O:O,Database!$E:$E,$C57,Database!$A:$A,$D$1)),-0.00001)</f>
        <v>-1.0000000000000001E-5</v>
      </c>
      <c r="N57" s="194">
        <f>IFERROR(IF($C57="",-0.00001,AVERAGEIFS(Database!P:P,Database!$E:$E,$C57,Database!$A:$A,$D$1)),-0.00001)</f>
        <v>-1.0000000000000001E-5</v>
      </c>
      <c r="O57" s="194">
        <f>IFERROR(IF($C57="",-0.00001,AVERAGEIFS(Database!Q:Q,Database!$E:$E,$C57,Database!$A:$A,$D$1)),-0.00001)</f>
        <v>-1.0000000000000001E-5</v>
      </c>
      <c r="P57" s="186">
        <f>IFERROR(IF($C57="",-0.00001,AVERAGEIFS(Database!R:R,Database!$E:$E,$C57,Database!$A:$A,$D$1)),-0.00001)</f>
        <v>-1.0000000000000001E-5</v>
      </c>
      <c r="Q57" s="194">
        <f>IFERROR(IF($C57="",-0.00001,AVERAGEIFS(Database!S:S,Database!$E:$E,$C57,Database!$A:$A,$D$1)),-0.00001)</f>
        <v>-1.0000000000000001E-5</v>
      </c>
      <c r="R57" s="194">
        <f>IFERROR(IF($C57="",-0.00001,AVERAGEIFS(Database!T:T,Database!$E:$E,$C57,Database!$A:$A,$D$1)),-0.00001)</f>
        <v>-1.0000000000000001E-5</v>
      </c>
      <c r="S57" s="186">
        <f>IFERROR(IF($C57="",-0.00001,AVERAGEIFS(Database!U:U,Database!$E:$E,$C57,Database!$A:$A,$D$1)),-0.00001)</f>
        <v>-1.0000000000000001E-5</v>
      </c>
      <c r="T57" s="194">
        <f>IFERROR(IF($C57="",-0.00001,AVERAGEIFS(Database!V:V,Database!$E:$E,$C57,Database!$A:$A,$D$1)),-0.00001)</f>
        <v>-1.0000000000000001E-5</v>
      </c>
      <c r="U57" s="194">
        <f>IFERROR(IF($C57="",-0.00001,AVERAGEIFS(Database!W:W,Database!$E:$E,$C57,Database!$A:$A,$D$1)),-0.00001)</f>
        <v>-1.0000000000000001E-5</v>
      </c>
      <c r="V57" s="186">
        <f>IFERROR(IF($C57="",-0.00001,AVERAGEIFS(Database!X:X,Database!$E:$E,$C57,Database!$A:$A,$D$1)),-0.00001)</f>
        <v>-1.0000000000000001E-5</v>
      </c>
      <c r="W57" s="187"/>
      <c r="X57" s="187"/>
      <c r="Y57" s="187"/>
      <c r="Z57" s="187"/>
      <c r="AA57" s="187"/>
      <c r="AB57" s="187"/>
      <c r="AC57" s="187"/>
      <c r="AD57" s="187"/>
      <c r="AE57" s="187"/>
    </row>
    <row r="58" spans="1:31" x14ac:dyDescent="0.25">
      <c r="A58" s="187"/>
      <c r="B58" s="187" t="str">
        <f>IF($C58="","",MAX($B$4:$B57)+1)</f>
        <v/>
      </c>
      <c r="C58" s="145"/>
      <c r="D58" s="183" t="str">
        <f>IFERROR(VLOOKUP($C58,Rosters!$C$4:$M$239,INDEX(Lists!$N$5:$O$80,MATCH($C58,Lists!$N$5:$N$80,FALSE),2)),"")</f>
        <v/>
      </c>
      <c r="E58" s="237">
        <f>IF($C58="",-0.00001,COUNTIFS(Database!E:E,$C58,Database!A:A,$D$1))</f>
        <v>-1.0000000000000001E-5</v>
      </c>
      <c r="F58" s="194">
        <f>IFERROR(IF($C58="",-0.00001,AVERAGEIFS(Database!H:H,Database!$E:$E,$C58,Database!$A:$A,$D$1)),-0.00001)</f>
        <v>-1.0000000000000001E-5</v>
      </c>
      <c r="G58" s="194">
        <f>IFERROR(IF($C58="",-0.00001,AVERAGEIFS(Database!I:I,Database!$E:$E,$C58,Database!$A:$A,$D$1)),-0.00001)</f>
        <v>-1.0000000000000001E-5</v>
      </c>
      <c r="H58" s="194">
        <f>IFERROR(IF($C58="",-0.00001,AVERAGEIFS(Database!J:J,Database!$E:$E,$C58,Database!$A:$A,$D$1)),-0.00001)</f>
        <v>-1.0000000000000001E-5</v>
      </c>
      <c r="I58" s="194">
        <f>IFERROR(IF($C58="",-0.00001,AVERAGEIFS(Database!K:K,Database!$E:$E,$C58,Database!$A:$A,$D$1)),-0.00001)</f>
        <v>-1.0000000000000001E-5</v>
      </c>
      <c r="J58" s="194">
        <f>IFERROR(IF($C58="",-0.00001,AVERAGEIFS(Database!L:L,Database!$E:$E,$C58,Database!$A:$A,$D$1)),-0.00001)</f>
        <v>-1.0000000000000001E-5</v>
      </c>
      <c r="K58" s="194">
        <f>IFERROR(IF($C58="",-0.00001,AVERAGEIFS(Database!M:M,Database!$E:$E,$C58,Database!$A:$A,$D$1)),-0.00001)</f>
        <v>-1.0000000000000001E-5</v>
      </c>
      <c r="L58" s="194">
        <f>IFERROR(IF($C58="",-0.00001,AVERAGEIFS(Database!N:N,Database!$E:$E,$C58,Database!$A:$A,$D$1)),-0.00001)</f>
        <v>-1.0000000000000001E-5</v>
      </c>
      <c r="M58" s="194">
        <f>IFERROR(IF($C58="",-0.00001,AVERAGEIFS(Database!O:O,Database!$E:$E,$C58,Database!$A:$A,$D$1)),-0.00001)</f>
        <v>-1.0000000000000001E-5</v>
      </c>
      <c r="N58" s="194">
        <f>IFERROR(IF($C58="",-0.00001,AVERAGEIFS(Database!P:P,Database!$E:$E,$C58,Database!$A:$A,$D$1)),-0.00001)</f>
        <v>-1.0000000000000001E-5</v>
      </c>
      <c r="O58" s="194">
        <f>IFERROR(IF($C58="",-0.00001,AVERAGEIFS(Database!Q:Q,Database!$E:$E,$C58,Database!$A:$A,$D$1)),-0.00001)</f>
        <v>-1.0000000000000001E-5</v>
      </c>
      <c r="P58" s="186">
        <f>IFERROR(IF($C58="",-0.00001,AVERAGEIFS(Database!R:R,Database!$E:$E,$C58,Database!$A:$A,$D$1)),-0.00001)</f>
        <v>-1.0000000000000001E-5</v>
      </c>
      <c r="Q58" s="194">
        <f>IFERROR(IF($C58="",-0.00001,AVERAGEIFS(Database!S:S,Database!$E:$E,$C58,Database!$A:$A,$D$1)),-0.00001)</f>
        <v>-1.0000000000000001E-5</v>
      </c>
      <c r="R58" s="194">
        <f>IFERROR(IF($C58="",-0.00001,AVERAGEIFS(Database!T:T,Database!$E:$E,$C58,Database!$A:$A,$D$1)),-0.00001)</f>
        <v>-1.0000000000000001E-5</v>
      </c>
      <c r="S58" s="186">
        <f>IFERROR(IF($C58="",-0.00001,AVERAGEIFS(Database!U:U,Database!$E:$E,$C58,Database!$A:$A,$D$1)),-0.00001)</f>
        <v>-1.0000000000000001E-5</v>
      </c>
      <c r="T58" s="194">
        <f>IFERROR(IF($C58="",-0.00001,AVERAGEIFS(Database!V:V,Database!$E:$E,$C58,Database!$A:$A,$D$1)),-0.00001)</f>
        <v>-1.0000000000000001E-5</v>
      </c>
      <c r="U58" s="194">
        <f>IFERROR(IF($C58="",-0.00001,AVERAGEIFS(Database!W:W,Database!$E:$E,$C58,Database!$A:$A,$D$1)),-0.00001)</f>
        <v>-1.0000000000000001E-5</v>
      </c>
      <c r="V58" s="186">
        <f>IFERROR(IF($C58="",-0.00001,AVERAGEIFS(Database!X:X,Database!$E:$E,$C58,Database!$A:$A,$D$1)),-0.00001)</f>
        <v>-1.0000000000000001E-5</v>
      </c>
      <c r="W58" s="187"/>
      <c r="X58" s="187"/>
      <c r="Y58" s="187"/>
      <c r="Z58" s="187"/>
      <c r="AA58" s="187"/>
      <c r="AB58" s="187"/>
      <c r="AC58" s="187"/>
      <c r="AD58" s="187"/>
      <c r="AE58" s="187"/>
    </row>
    <row r="59" spans="1:31" x14ac:dyDescent="0.25">
      <c r="A59" s="187"/>
      <c r="B59" s="187" t="str">
        <f>IF($C59="","",MAX($B$4:$B58)+1)</f>
        <v/>
      </c>
      <c r="C59" s="145"/>
      <c r="D59" s="183" t="str">
        <f>IFERROR(VLOOKUP($C59,Rosters!$C$4:$M$239,INDEX(Lists!$N$5:$O$80,MATCH($C59,Lists!$N$5:$N$80,FALSE),2)),"")</f>
        <v/>
      </c>
      <c r="E59" s="237">
        <f>IF($C59="",-0.00001,COUNTIFS(Database!E:E,$C59,Database!A:A,$D$1))</f>
        <v>-1.0000000000000001E-5</v>
      </c>
      <c r="F59" s="194">
        <f>IFERROR(IF($C59="",-0.00001,AVERAGEIFS(Database!H:H,Database!$E:$E,$C59,Database!$A:$A,$D$1)),-0.00001)</f>
        <v>-1.0000000000000001E-5</v>
      </c>
      <c r="G59" s="194">
        <f>IFERROR(IF($C59="",-0.00001,AVERAGEIFS(Database!I:I,Database!$E:$E,$C59,Database!$A:$A,$D$1)),-0.00001)</f>
        <v>-1.0000000000000001E-5</v>
      </c>
      <c r="H59" s="194">
        <f>IFERROR(IF($C59="",-0.00001,AVERAGEIFS(Database!J:J,Database!$E:$E,$C59,Database!$A:$A,$D$1)),-0.00001)</f>
        <v>-1.0000000000000001E-5</v>
      </c>
      <c r="I59" s="194">
        <f>IFERROR(IF($C59="",-0.00001,AVERAGEIFS(Database!K:K,Database!$E:$E,$C59,Database!$A:$A,$D$1)),-0.00001)</f>
        <v>-1.0000000000000001E-5</v>
      </c>
      <c r="J59" s="194">
        <f>IFERROR(IF($C59="",-0.00001,AVERAGEIFS(Database!L:L,Database!$E:$E,$C59,Database!$A:$A,$D$1)),-0.00001)</f>
        <v>-1.0000000000000001E-5</v>
      </c>
      <c r="K59" s="194">
        <f>IFERROR(IF($C59="",-0.00001,AVERAGEIFS(Database!M:M,Database!$E:$E,$C59,Database!$A:$A,$D$1)),-0.00001)</f>
        <v>-1.0000000000000001E-5</v>
      </c>
      <c r="L59" s="194">
        <f>IFERROR(IF($C59="",-0.00001,AVERAGEIFS(Database!N:N,Database!$E:$E,$C59,Database!$A:$A,$D$1)),-0.00001)</f>
        <v>-1.0000000000000001E-5</v>
      </c>
      <c r="M59" s="194">
        <f>IFERROR(IF($C59="",-0.00001,AVERAGEIFS(Database!O:O,Database!$E:$E,$C59,Database!$A:$A,$D$1)),-0.00001)</f>
        <v>-1.0000000000000001E-5</v>
      </c>
      <c r="N59" s="194">
        <f>IFERROR(IF($C59="",-0.00001,AVERAGEIFS(Database!P:P,Database!$E:$E,$C59,Database!$A:$A,$D$1)),-0.00001)</f>
        <v>-1.0000000000000001E-5</v>
      </c>
      <c r="O59" s="194">
        <f>IFERROR(IF($C59="",-0.00001,AVERAGEIFS(Database!Q:Q,Database!$E:$E,$C59,Database!$A:$A,$D$1)),-0.00001)</f>
        <v>-1.0000000000000001E-5</v>
      </c>
      <c r="P59" s="186">
        <f>IFERROR(IF($C59="",-0.00001,AVERAGEIFS(Database!R:R,Database!$E:$E,$C59,Database!$A:$A,$D$1)),-0.00001)</f>
        <v>-1.0000000000000001E-5</v>
      </c>
      <c r="Q59" s="194">
        <f>IFERROR(IF($C59="",-0.00001,AVERAGEIFS(Database!S:S,Database!$E:$E,$C59,Database!$A:$A,$D$1)),-0.00001)</f>
        <v>-1.0000000000000001E-5</v>
      </c>
      <c r="R59" s="194">
        <f>IFERROR(IF($C59="",-0.00001,AVERAGEIFS(Database!T:T,Database!$E:$E,$C59,Database!$A:$A,$D$1)),-0.00001)</f>
        <v>-1.0000000000000001E-5</v>
      </c>
      <c r="S59" s="186">
        <f>IFERROR(IF($C59="",-0.00001,AVERAGEIFS(Database!U:U,Database!$E:$E,$C59,Database!$A:$A,$D$1)),-0.00001)</f>
        <v>-1.0000000000000001E-5</v>
      </c>
      <c r="T59" s="194">
        <f>IFERROR(IF($C59="",-0.00001,AVERAGEIFS(Database!V:V,Database!$E:$E,$C59,Database!$A:$A,$D$1)),-0.00001)</f>
        <v>-1.0000000000000001E-5</v>
      </c>
      <c r="U59" s="194">
        <f>IFERROR(IF($C59="",-0.00001,AVERAGEIFS(Database!W:W,Database!$E:$E,$C59,Database!$A:$A,$D$1)),-0.00001)</f>
        <v>-1.0000000000000001E-5</v>
      </c>
      <c r="V59" s="186">
        <f>IFERROR(IF($C59="",-0.00001,AVERAGEIFS(Database!X:X,Database!$E:$E,$C59,Database!$A:$A,$D$1)),-0.00001)</f>
        <v>-1.0000000000000001E-5</v>
      </c>
      <c r="W59" s="187"/>
      <c r="X59" s="187"/>
      <c r="Y59" s="187"/>
      <c r="Z59" s="187"/>
      <c r="AA59" s="187"/>
      <c r="AB59" s="187"/>
      <c r="AC59" s="187"/>
      <c r="AD59" s="187"/>
      <c r="AE59" s="187"/>
    </row>
    <row r="60" spans="1:31" x14ac:dyDescent="0.25">
      <c r="A60" s="187"/>
      <c r="B60" s="187" t="str">
        <f>IF($C60="","",MAX($B$4:$B59)+1)</f>
        <v/>
      </c>
      <c r="C60" s="145"/>
      <c r="D60" s="183" t="str">
        <f>IFERROR(VLOOKUP($C60,Rosters!$C$4:$M$239,INDEX(Lists!$N$5:$O$80,MATCH($C60,Lists!$N$5:$N$80,FALSE),2)),"")</f>
        <v/>
      </c>
      <c r="E60" s="237">
        <f>IF($C60="",-0.00001,COUNTIFS(Database!E:E,$C60,Database!A:A,$D$1))</f>
        <v>-1.0000000000000001E-5</v>
      </c>
      <c r="F60" s="194">
        <f>IFERROR(IF($C60="",-0.00001,AVERAGEIFS(Database!H:H,Database!$E:$E,$C60,Database!$A:$A,$D$1)),-0.00001)</f>
        <v>-1.0000000000000001E-5</v>
      </c>
      <c r="G60" s="194">
        <f>IFERROR(IF($C60="",-0.00001,AVERAGEIFS(Database!I:I,Database!$E:$E,$C60,Database!$A:$A,$D$1)),-0.00001)</f>
        <v>-1.0000000000000001E-5</v>
      </c>
      <c r="H60" s="194">
        <f>IFERROR(IF($C60="",-0.00001,AVERAGEIFS(Database!J:J,Database!$E:$E,$C60,Database!$A:$A,$D$1)),-0.00001)</f>
        <v>-1.0000000000000001E-5</v>
      </c>
      <c r="I60" s="194">
        <f>IFERROR(IF($C60="",-0.00001,AVERAGEIFS(Database!K:K,Database!$E:$E,$C60,Database!$A:$A,$D$1)),-0.00001)</f>
        <v>-1.0000000000000001E-5</v>
      </c>
      <c r="J60" s="194">
        <f>IFERROR(IF($C60="",-0.00001,AVERAGEIFS(Database!L:L,Database!$E:$E,$C60,Database!$A:$A,$D$1)),-0.00001)</f>
        <v>-1.0000000000000001E-5</v>
      </c>
      <c r="K60" s="194">
        <f>IFERROR(IF($C60="",-0.00001,AVERAGEIFS(Database!M:M,Database!$E:$E,$C60,Database!$A:$A,$D$1)),-0.00001)</f>
        <v>-1.0000000000000001E-5</v>
      </c>
      <c r="L60" s="194">
        <f>IFERROR(IF($C60="",-0.00001,AVERAGEIFS(Database!N:N,Database!$E:$E,$C60,Database!$A:$A,$D$1)),-0.00001)</f>
        <v>-1.0000000000000001E-5</v>
      </c>
      <c r="M60" s="194">
        <f>IFERROR(IF($C60="",-0.00001,AVERAGEIFS(Database!O:O,Database!$E:$E,$C60,Database!$A:$A,$D$1)),-0.00001)</f>
        <v>-1.0000000000000001E-5</v>
      </c>
      <c r="N60" s="194">
        <f>IFERROR(IF($C60="",-0.00001,AVERAGEIFS(Database!P:P,Database!$E:$E,$C60,Database!$A:$A,$D$1)),-0.00001)</f>
        <v>-1.0000000000000001E-5</v>
      </c>
      <c r="O60" s="194">
        <f>IFERROR(IF($C60="",-0.00001,AVERAGEIFS(Database!Q:Q,Database!$E:$E,$C60,Database!$A:$A,$D$1)),-0.00001)</f>
        <v>-1.0000000000000001E-5</v>
      </c>
      <c r="P60" s="186">
        <f>IFERROR(IF($C60="",-0.00001,AVERAGEIFS(Database!R:R,Database!$E:$E,$C60,Database!$A:$A,$D$1)),-0.00001)</f>
        <v>-1.0000000000000001E-5</v>
      </c>
      <c r="Q60" s="194">
        <f>IFERROR(IF($C60="",-0.00001,AVERAGEIFS(Database!S:S,Database!$E:$E,$C60,Database!$A:$A,$D$1)),-0.00001)</f>
        <v>-1.0000000000000001E-5</v>
      </c>
      <c r="R60" s="194">
        <f>IFERROR(IF($C60="",-0.00001,AVERAGEIFS(Database!T:T,Database!$E:$E,$C60,Database!$A:$A,$D$1)),-0.00001)</f>
        <v>-1.0000000000000001E-5</v>
      </c>
      <c r="S60" s="186">
        <f>IFERROR(IF($C60="",-0.00001,AVERAGEIFS(Database!U:U,Database!$E:$E,$C60,Database!$A:$A,$D$1)),-0.00001)</f>
        <v>-1.0000000000000001E-5</v>
      </c>
      <c r="T60" s="194">
        <f>IFERROR(IF($C60="",-0.00001,AVERAGEIFS(Database!V:V,Database!$E:$E,$C60,Database!$A:$A,$D$1)),-0.00001)</f>
        <v>-1.0000000000000001E-5</v>
      </c>
      <c r="U60" s="194">
        <f>IFERROR(IF($C60="",-0.00001,AVERAGEIFS(Database!W:W,Database!$E:$E,$C60,Database!$A:$A,$D$1)),-0.00001)</f>
        <v>-1.0000000000000001E-5</v>
      </c>
      <c r="V60" s="186">
        <f>IFERROR(IF($C60="",-0.00001,AVERAGEIFS(Database!X:X,Database!$E:$E,$C60,Database!$A:$A,$D$1)),-0.00001)</f>
        <v>-1.0000000000000001E-5</v>
      </c>
      <c r="W60" s="187"/>
      <c r="X60" s="187"/>
      <c r="Y60" s="187"/>
      <c r="Z60" s="187"/>
      <c r="AA60" s="187"/>
      <c r="AB60" s="187"/>
      <c r="AC60" s="187"/>
      <c r="AD60" s="187"/>
      <c r="AE60" s="187"/>
    </row>
    <row r="61" spans="1:31" x14ac:dyDescent="0.25">
      <c r="A61" s="187"/>
      <c r="B61" s="187" t="str">
        <f>IF($C61="","",MAX($B$4:$B60)+1)</f>
        <v/>
      </c>
      <c r="C61" s="145"/>
      <c r="D61" s="183" t="str">
        <f>IFERROR(VLOOKUP($C61,Rosters!$C$4:$M$239,INDEX(Lists!$N$5:$O$80,MATCH($C61,Lists!$N$5:$N$80,FALSE),2)),"")</f>
        <v/>
      </c>
      <c r="E61" s="237">
        <f>IF($C61="",-0.00001,COUNTIFS(Database!E:E,$C61,Database!A:A,$D$1))</f>
        <v>-1.0000000000000001E-5</v>
      </c>
      <c r="F61" s="194">
        <f>IFERROR(IF($C61="",-0.00001,AVERAGEIFS(Database!H:H,Database!$E:$E,$C61,Database!$A:$A,$D$1)),-0.00001)</f>
        <v>-1.0000000000000001E-5</v>
      </c>
      <c r="G61" s="194">
        <f>IFERROR(IF($C61="",-0.00001,AVERAGEIFS(Database!I:I,Database!$E:$E,$C61,Database!$A:$A,$D$1)),-0.00001)</f>
        <v>-1.0000000000000001E-5</v>
      </c>
      <c r="H61" s="194">
        <f>IFERROR(IF($C61="",-0.00001,AVERAGEIFS(Database!J:J,Database!$E:$E,$C61,Database!$A:$A,$D$1)),-0.00001)</f>
        <v>-1.0000000000000001E-5</v>
      </c>
      <c r="I61" s="194">
        <f>IFERROR(IF($C61="",-0.00001,AVERAGEIFS(Database!K:K,Database!$E:$E,$C61,Database!$A:$A,$D$1)),-0.00001)</f>
        <v>-1.0000000000000001E-5</v>
      </c>
      <c r="J61" s="194">
        <f>IFERROR(IF($C61="",-0.00001,AVERAGEIFS(Database!L:L,Database!$E:$E,$C61,Database!$A:$A,$D$1)),-0.00001)</f>
        <v>-1.0000000000000001E-5</v>
      </c>
      <c r="K61" s="194">
        <f>IFERROR(IF($C61="",-0.00001,AVERAGEIFS(Database!M:M,Database!$E:$E,$C61,Database!$A:$A,$D$1)),-0.00001)</f>
        <v>-1.0000000000000001E-5</v>
      </c>
      <c r="L61" s="194">
        <f>IFERROR(IF($C61="",-0.00001,AVERAGEIFS(Database!N:N,Database!$E:$E,$C61,Database!$A:$A,$D$1)),-0.00001)</f>
        <v>-1.0000000000000001E-5</v>
      </c>
      <c r="M61" s="194">
        <f>IFERROR(IF($C61="",-0.00001,AVERAGEIFS(Database!O:O,Database!$E:$E,$C61,Database!$A:$A,$D$1)),-0.00001)</f>
        <v>-1.0000000000000001E-5</v>
      </c>
      <c r="N61" s="194">
        <f>IFERROR(IF($C61="",-0.00001,AVERAGEIFS(Database!P:P,Database!$E:$E,$C61,Database!$A:$A,$D$1)),-0.00001)</f>
        <v>-1.0000000000000001E-5</v>
      </c>
      <c r="O61" s="194">
        <f>IFERROR(IF($C61="",-0.00001,AVERAGEIFS(Database!Q:Q,Database!$E:$E,$C61,Database!$A:$A,$D$1)),-0.00001)</f>
        <v>-1.0000000000000001E-5</v>
      </c>
      <c r="P61" s="186">
        <f>IFERROR(IF($C61="",-0.00001,AVERAGEIFS(Database!R:R,Database!$E:$E,$C61,Database!$A:$A,$D$1)),-0.00001)</f>
        <v>-1.0000000000000001E-5</v>
      </c>
      <c r="Q61" s="194">
        <f>IFERROR(IF($C61="",-0.00001,AVERAGEIFS(Database!S:S,Database!$E:$E,$C61,Database!$A:$A,$D$1)),-0.00001)</f>
        <v>-1.0000000000000001E-5</v>
      </c>
      <c r="R61" s="194">
        <f>IFERROR(IF($C61="",-0.00001,AVERAGEIFS(Database!T:T,Database!$E:$E,$C61,Database!$A:$A,$D$1)),-0.00001)</f>
        <v>-1.0000000000000001E-5</v>
      </c>
      <c r="S61" s="186">
        <f>IFERROR(IF($C61="",-0.00001,AVERAGEIFS(Database!U:U,Database!$E:$E,$C61,Database!$A:$A,$D$1)),-0.00001)</f>
        <v>-1.0000000000000001E-5</v>
      </c>
      <c r="T61" s="194">
        <f>IFERROR(IF($C61="",-0.00001,AVERAGEIFS(Database!V:V,Database!$E:$E,$C61,Database!$A:$A,$D$1)),-0.00001)</f>
        <v>-1.0000000000000001E-5</v>
      </c>
      <c r="U61" s="194">
        <f>IFERROR(IF($C61="",-0.00001,AVERAGEIFS(Database!W:W,Database!$E:$E,$C61,Database!$A:$A,$D$1)),-0.00001)</f>
        <v>-1.0000000000000001E-5</v>
      </c>
      <c r="V61" s="186">
        <f>IFERROR(IF($C61="",-0.00001,AVERAGEIFS(Database!X:X,Database!$E:$E,$C61,Database!$A:$A,$D$1)),-0.00001)</f>
        <v>-1.0000000000000001E-5</v>
      </c>
      <c r="W61" s="187"/>
      <c r="X61" s="187"/>
      <c r="Y61" s="187"/>
      <c r="Z61" s="187"/>
      <c r="AA61" s="187"/>
      <c r="AB61" s="187"/>
      <c r="AC61" s="187"/>
      <c r="AD61" s="187"/>
      <c r="AE61" s="187"/>
    </row>
    <row r="62" spans="1:31" x14ac:dyDescent="0.25">
      <c r="A62" s="187"/>
      <c r="B62" s="187" t="str">
        <f>IF($C62="","",MAX($B$4:$B61)+1)</f>
        <v/>
      </c>
      <c r="C62" s="145"/>
      <c r="D62" s="183" t="str">
        <f>IFERROR(VLOOKUP($C62,Rosters!$C$4:$M$239,INDEX(Lists!$N$5:$O$80,MATCH($C62,Lists!$N$5:$N$80,FALSE),2)),"")</f>
        <v/>
      </c>
      <c r="E62" s="237">
        <f>IF($C62="",-0.00001,COUNTIFS(Database!E:E,$C62,Database!A:A,$D$1))</f>
        <v>-1.0000000000000001E-5</v>
      </c>
      <c r="F62" s="194">
        <f>IFERROR(IF($C62="",-0.00001,AVERAGEIFS(Database!H:H,Database!$E:$E,$C62,Database!$A:$A,$D$1)),-0.00001)</f>
        <v>-1.0000000000000001E-5</v>
      </c>
      <c r="G62" s="194">
        <f>IFERROR(IF($C62="",-0.00001,AVERAGEIFS(Database!I:I,Database!$E:$E,$C62,Database!$A:$A,$D$1)),-0.00001)</f>
        <v>-1.0000000000000001E-5</v>
      </c>
      <c r="H62" s="194">
        <f>IFERROR(IF($C62="",-0.00001,AVERAGEIFS(Database!J:J,Database!$E:$E,$C62,Database!$A:$A,$D$1)),-0.00001)</f>
        <v>-1.0000000000000001E-5</v>
      </c>
      <c r="I62" s="194">
        <f>IFERROR(IF($C62="",-0.00001,AVERAGEIFS(Database!K:K,Database!$E:$E,$C62,Database!$A:$A,$D$1)),-0.00001)</f>
        <v>-1.0000000000000001E-5</v>
      </c>
      <c r="J62" s="194">
        <f>IFERROR(IF($C62="",-0.00001,AVERAGEIFS(Database!L:L,Database!$E:$E,$C62,Database!$A:$A,$D$1)),-0.00001)</f>
        <v>-1.0000000000000001E-5</v>
      </c>
      <c r="K62" s="194">
        <f>IFERROR(IF($C62="",-0.00001,AVERAGEIFS(Database!M:M,Database!$E:$E,$C62,Database!$A:$A,$D$1)),-0.00001)</f>
        <v>-1.0000000000000001E-5</v>
      </c>
      <c r="L62" s="194">
        <f>IFERROR(IF($C62="",-0.00001,AVERAGEIFS(Database!N:N,Database!$E:$E,$C62,Database!$A:$A,$D$1)),-0.00001)</f>
        <v>-1.0000000000000001E-5</v>
      </c>
      <c r="M62" s="194">
        <f>IFERROR(IF($C62="",-0.00001,AVERAGEIFS(Database!O:O,Database!$E:$E,$C62,Database!$A:$A,$D$1)),-0.00001)</f>
        <v>-1.0000000000000001E-5</v>
      </c>
      <c r="N62" s="194">
        <f>IFERROR(IF($C62="",-0.00001,AVERAGEIFS(Database!P:P,Database!$E:$E,$C62,Database!$A:$A,$D$1)),-0.00001)</f>
        <v>-1.0000000000000001E-5</v>
      </c>
      <c r="O62" s="194">
        <f>IFERROR(IF($C62="",-0.00001,AVERAGEIFS(Database!Q:Q,Database!$E:$E,$C62,Database!$A:$A,$D$1)),-0.00001)</f>
        <v>-1.0000000000000001E-5</v>
      </c>
      <c r="P62" s="186">
        <f>IFERROR(IF($C62="",-0.00001,AVERAGEIFS(Database!R:R,Database!$E:$E,$C62,Database!$A:$A,$D$1)),-0.00001)</f>
        <v>-1.0000000000000001E-5</v>
      </c>
      <c r="Q62" s="194">
        <f>IFERROR(IF($C62="",-0.00001,AVERAGEIFS(Database!S:S,Database!$E:$E,$C62,Database!$A:$A,$D$1)),-0.00001)</f>
        <v>-1.0000000000000001E-5</v>
      </c>
      <c r="R62" s="194">
        <f>IFERROR(IF($C62="",-0.00001,AVERAGEIFS(Database!T:T,Database!$E:$E,$C62,Database!$A:$A,$D$1)),-0.00001)</f>
        <v>-1.0000000000000001E-5</v>
      </c>
      <c r="S62" s="186">
        <f>IFERROR(IF($C62="",-0.00001,AVERAGEIFS(Database!U:U,Database!$E:$E,$C62,Database!$A:$A,$D$1)),-0.00001)</f>
        <v>-1.0000000000000001E-5</v>
      </c>
      <c r="T62" s="194">
        <f>IFERROR(IF($C62="",-0.00001,AVERAGEIFS(Database!V:V,Database!$E:$E,$C62,Database!$A:$A,$D$1)),-0.00001)</f>
        <v>-1.0000000000000001E-5</v>
      </c>
      <c r="U62" s="194">
        <f>IFERROR(IF($C62="",-0.00001,AVERAGEIFS(Database!W:W,Database!$E:$E,$C62,Database!$A:$A,$D$1)),-0.00001)</f>
        <v>-1.0000000000000001E-5</v>
      </c>
      <c r="V62" s="186">
        <f>IFERROR(IF($C62="",-0.00001,AVERAGEIFS(Database!X:X,Database!$E:$E,$C62,Database!$A:$A,$D$1)),-0.00001)</f>
        <v>-1.0000000000000001E-5</v>
      </c>
      <c r="W62" s="187"/>
      <c r="X62" s="187"/>
      <c r="Y62" s="187"/>
      <c r="Z62" s="187"/>
      <c r="AA62" s="187"/>
      <c r="AB62" s="187"/>
      <c r="AC62" s="187"/>
      <c r="AD62" s="187"/>
      <c r="AE62" s="187"/>
    </row>
    <row r="63" spans="1:31" x14ac:dyDescent="0.25">
      <c r="A63" s="187"/>
      <c r="B63" s="187" t="str">
        <f>IF($C63="","",MAX($B$4:$B62)+1)</f>
        <v/>
      </c>
      <c r="C63" s="145"/>
      <c r="D63" s="183" t="str">
        <f>IFERROR(VLOOKUP($C63,Rosters!$C$4:$M$239,INDEX(Lists!$N$5:$O$80,MATCH($C63,Lists!$N$5:$N$80,FALSE),2)),"")</f>
        <v/>
      </c>
      <c r="E63" s="237">
        <f>IF($C63="",-0.00001,COUNTIFS(Database!E:E,$C63,Database!A:A,$D$1))</f>
        <v>-1.0000000000000001E-5</v>
      </c>
      <c r="F63" s="194">
        <f>IFERROR(IF($C63="",-0.00001,AVERAGEIFS(Database!H:H,Database!$E:$E,$C63,Database!$A:$A,$D$1)),-0.00001)</f>
        <v>-1.0000000000000001E-5</v>
      </c>
      <c r="G63" s="194">
        <f>IFERROR(IF($C63="",-0.00001,AVERAGEIFS(Database!I:I,Database!$E:$E,$C63,Database!$A:$A,$D$1)),-0.00001)</f>
        <v>-1.0000000000000001E-5</v>
      </c>
      <c r="H63" s="194">
        <f>IFERROR(IF($C63="",-0.00001,AVERAGEIFS(Database!J:J,Database!$E:$E,$C63,Database!$A:$A,$D$1)),-0.00001)</f>
        <v>-1.0000000000000001E-5</v>
      </c>
      <c r="I63" s="194">
        <f>IFERROR(IF($C63="",-0.00001,AVERAGEIFS(Database!K:K,Database!$E:$E,$C63,Database!$A:$A,$D$1)),-0.00001)</f>
        <v>-1.0000000000000001E-5</v>
      </c>
      <c r="J63" s="194">
        <f>IFERROR(IF($C63="",-0.00001,AVERAGEIFS(Database!L:L,Database!$E:$E,$C63,Database!$A:$A,$D$1)),-0.00001)</f>
        <v>-1.0000000000000001E-5</v>
      </c>
      <c r="K63" s="194">
        <f>IFERROR(IF($C63="",-0.00001,AVERAGEIFS(Database!M:M,Database!$E:$E,$C63,Database!$A:$A,$D$1)),-0.00001)</f>
        <v>-1.0000000000000001E-5</v>
      </c>
      <c r="L63" s="194">
        <f>IFERROR(IF($C63="",-0.00001,AVERAGEIFS(Database!N:N,Database!$E:$E,$C63,Database!$A:$A,$D$1)),-0.00001)</f>
        <v>-1.0000000000000001E-5</v>
      </c>
      <c r="M63" s="194">
        <f>IFERROR(IF($C63="",-0.00001,AVERAGEIFS(Database!O:O,Database!$E:$E,$C63,Database!$A:$A,$D$1)),-0.00001)</f>
        <v>-1.0000000000000001E-5</v>
      </c>
      <c r="N63" s="194">
        <f>IFERROR(IF($C63="",-0.00001,AVERAGEIFS(Database!P:P,Database!$E:$E,$C63,Database!$A:$A,$D$1)),-0.00001)</f>
        <v>-1.0000000000000001E-5</v>
      </c>
      <c r="O63" s="194">
        <f>IFERROR(IF($C63="",-0.00001,AVERAGEIFS(Database!Q:Q,Database!$E:$E,$C63,Database!$A:$A,$D$1)),-0.00001)</f>
        <v>-1.0000000000000001E-5</v>
      </c>
      <c r="P63" s="186">
        <f>IFERROR(IF($C63="",-0.00001,AVERAGEIFS(Database!R:R,Database!$E:$E,$C63,Database!$A:$A,$D$1)),-0.00001)</f>
        <v>-1.0000000000000001E-5</v>
      </c>
      <c r="Q63" s="194">
        <f>IFERROR(IF($C63="",-0.00001,AVERAGEIFS(Database!S:S,Database!$E:$E,$C63,Database!$A:$A,$D$1)),-0.00001)</f>
        <v>-1.0000000000000001E-5</v>
      </c>
      <c r="R63" s="194">
        <f>IFERROR(IF($C63="",-0.00001,AVERAGEIFS(Database!T:T,Database!$E:$E,$C63,Database!$A:$A,$D$1)),-0.00001)</f>
        <v>-1.0000000000000001E-5</v>
      </c>
      <c r="S63" s="186">
        <f>IFERROR(IF($C63="",-0.00001,AVERAGEIFS(Database!U:U,Database!$E:$E,$C63,Database!$A:$A,$D$1)),-0.00001)</f>
        <v>-1.0000000000000001E-5</v>
      </c>
      <c r="T63" s="194">
        <f>IFERROR(IF($C63="",-0.00001,AVERAGEIFS(Database!V:V,Database!$E:$E,$C63,Database!$A:$A,$D$1)),-0.00001)</f>
        <v>-1.0000000000000001E-5</v>
      </c>
      <c r="U63" s="194">
        <f>IFERROR(IF($C63="",-0.00001,AVERAGEIFS(Database!W:W,Database!$E:$E,$C63,Database!$A:$A,$D$1)),-0.00001)</f>
        <v>-1.0000000000000001E-5</v>
      </c>
      <c r="V63" s="186">
        <f>IFERROR(IF($C63="",-0.00001,AVERAGEIFS(Database!X:X,Database!$E:$E,$C63,Database!$A:$A,$D$1)),-0.00001)</f>
        <v>-1.0000000000000001E-5</v>
      </c>
      <c r="W63" s="187"/>
      <c r="X63" s="187"/>
      <c r="Y63" s="187"/>
      <c r="Z63" s="187"/>
      <c r="AA63" s="187"/>
      <c r="AB63" s="187"/>
      <c r="AC63" s="187"/>
      <c r="AD63" s="187"/>
      <c r="AE63" s="187"/>
    </row>
    <row r="64" spans="1:31" x14ac:dyDescent="0.25">
      <c r="A64" s="187"/>
      <c r="B64" s="187" t="str">
        <f>IF($C64="","",MAX($B$4:$B63)+1)</f>
        <v/>
      </c>
      <c r="C64" s="145"/>
      <c r="D64" s="183" t="str">
        <f>IFERROR(VLOOKUP($C64,Rosters!$C$4:$M$239,INDEX(Lists!$N$5:$O$80,MATCH($C64,Lists!$N$5:$N$80,FALSE),2)),"")</f>
        <v/>
      </c>
      <c r="E64" s="237">
        <f>IF($C64="",-0.00001,COUNTIFS(Database!E:E,$C64,Database!A:A,$D$1))</f>
        <v>-1.0000000000000001E-5</v>
      </c>
      <c r="F64" s="194">
        <f>IFERROR(IF($C64="",-0.00001,AVERAGEIFS(Database!H:H,Database!$E:$E,$C64,Database!$A:$A,$D$1)),-0.00001)</f>
        <v>-1.0000000000000001E-5</v>
      </c>
      <c r="G64" s="194">
        <f>IFERROR(IF($C64="",-0.00001,AVERAGEIFS(Database!I:I,Database!$E:$E,$C64,Database!$A:$A,$D$1)),-0.00001)</f>
        <v>-1.0000000000000001E-5</v>
      </c>
      <c r="H64" s="194">
        <f>IFERROR(IF($C64="",-0.00001,AVERAGEIFS(Database!J:J,Database!$E:$E,$C64,Database!$A:$A,$D$1)),-0.00001)</f>
        <v>-1.0000000000000001E-5</v>
      </c>
      <c r="I64" s="194">
        <f>IFERROR(IF($C64="",-0.00001,AVERAGEIFS(Database!K:K,Database!$E:$E,$C64,Database!$A:$A,$D$1)),-0.00001)</f>
        <v>-1.0000000000000001E-5</v>
      </c>
      <c r="J64" s="194">
        <f>IFERROR(IF($C64="",-0.00001,AVERAGEIFS(Database!L:L,Database!$E:$E,$C64,Database!$A:$A,$D$1)),-0.00001)</f>
        <v>-1.0000000000000001E-5</v>
      </c>
      <c r="K64" s="194">
        <f>IFERROR(IF($C64="",-0.00001,AVERAGEIFS(Database!M:M,Database!$E:$E,$C64,Database!$A:$A,$D$1)),-0.00001)</f>
        <v>-1.0000000000000001E-5</v>
      </c>
      <c r="L64" s="194">
        <f>IFERROR(IF($C64="",-0.00001,AVERAGEIFS(Database!N:N,Database!$E:$E,$C64,Database!$A:$A,$D$1)),-0.00001)</f>
        <v>-1.0000000000000001E-5</v>
      </c>
      <c r="M64" s="194">
        <f>IFERROR(IF($C64="",-0.00001,AVERAGEIFS(Database!O:O,Database!$E:$E,$C64,Database!$A:$A,$D$1)),-0.00001)</f>
        <v>-1.0000000000000001E-5</v>
      </c>
      <c r="N64" s="194">
        <f>IFERROR(IF($C64="",-0.00001,AVERAGEIFS(Database!P:P,Database!$E:$E,$C64,Database!$A:$A,$D$1)),-0.00001)</f>
        <v>-1.0000000000000001E-5</v>
      </c>
      <c r="O64" s="194">
        <f>IFERROR(IF($C64="",-0.00001,AVERAGEIFS(Database!Q:Q,Database!$E:$E,$C64,Database!$A:$A,$D$1)),-0.00001)</f>
        <v>-1.0000000000000001E-5</v>
      </c>
      <c r="P64" s="186">
        <f>IFERROR(IF($C64="",-0.00001,AVERAGEIFS(Database!R:R,Database!$E:$E,$C64,Database!$A:$A,$D$1)),-0.00001)</f>
        <v>-1.0000000000000001E-5</v>
      </c>
      <c r="Q64" s="194">
        <f>IFERROR(IF($C64="",-0.00001,AVERAGEIFS(Database!S:S,Database!$E:$E,$C64,Database!$A:$A,$D$1)),-0.00001)</f>
        <v>-1.0000000000000001E-5</v>
      </c>
      <c r="R64" s="194">
        <f>IFERROR(IF($C64="",-0.00001,AVERAGEIFS(Database!T:T,Database!$E:$E,$C64,Database!$A:$A,$D$1)),-0.00001)</f>
        <v>-1.0000000000000001E-5</v>
      </c>
      <c r="S64" s="186">
        <f>IFERROR(IF($C64="",-0.00001,AVERAGEIFS(Database!U:U,Database!$E:$E,$C64,Database!$A:$A,$D$1)),-0.00001)</f>
        <v>-1.0000000000000001E-5</v>
      </c>
      <c r="T64" s="194">
        <f>IFERROR(IF($C64="",-0.00001,AVERAGEIFS(Database!V:V,Database!$E:$E,$C64,Database!$A:$A,$D$1)),-0.00001)</f>
        <v>-1.0000000000000001E-5</v>
      </c>
      <c r="U64" s="194">
        <f>IFERROR(IF($C64="",-0.00001,AVERAGEIFS(Database!W:W,Database!$E:$E,$C64,Database!$A:$A,$D$1)),-0.00001)</f>
        <v>-1.0000000000000001E-5</v>
      </c>
      <c r="V64" s="186">
        <f>IFERROR(IF($C64="",-0.00001,AVERAGEIFS(Database!X:X,Database!$E:$E,$C64,Database!$A:$A,$D$1)),-0.00001)</f>
        <v>-1.0000000000000001E-5</v>
      </c>
      <c r="W64" s="187"/>
      <c r="X64" s="187"/>
      <c r="Y64" s="187"/>
      <c r="Z64" s="187"/>
      <c r="AA64" s="187"/>
      <c r="AB64" s="187"/>
      <c r="AC64" s="187"/>
      <c r="AD64" s="187"/>
      <c r="AE64" s="187"/>
    </row>
    <row r="65" spans="1:31" x14ac:dyDescent="0.25">
      <c r="A65" s="187"/>
      <c r="B65" s="187" t="str">
        <f>IF($C65="","",MAX($B$4:$B64)+1)</f>
        <v/>
      </c>
      <c r="C65" s="145"/>
      <c r="D65" s="183" t="str">
        <f>IFERROR(VLOOKUP($C65,Rosters!$C$4:$M$239,INDEX(Lists!$N$5:$O$80,MATCH($C65,Lists!$N$5:$N$80,FALSE),2)),"")</f>
        <v/>
      </c>
      <c r="E65" s="237">
        <f>IF($C65="",-0.00001,COUNTIFS(Database!E:E,$C65,Database!A:A,$D$1))</f>
        <v>-1.0000000000000001E-5</v>
      </c>
      <c r="F65" s="194">
        <f>IFERROR(IF($C65="",-0.00001,AVERAGEIFS(Database!H:H,Database!$E:$E,$C65,Database!$A:$A,$D$1)),-0.00001)</f>
        <v>-1.0000000000000001E-5</v>
      </c>
      <c r="G65" s="194">
        <f>IFERROR(IF($C65="",-0.00001,AVERAGEIFS(Database!I:I,Database!$E:$E,$C65,Database!$A:$A,$D$1)),-0.00001)</f>
        <v>-1.0000000000000001E-5</v>
      </c>
      <c r="H65" s="194">
        <f>IFERROR(IF($C65="",-0.00001,AVERAGEIFS(Database!J:J,Database!$E:$E,$C65,Database!$A:$A,$D$1)),-0.00001)</f>
        <v>-1.0000000000000001E-5</v>
      </c>
      <c r="I65" s="194">
        <f>IFERROR(IF($C65="",-0.00001,AVERAGEIFS(Database!K:K,Database!$E:$E,$C65,Database!$A:$A,$D$1)),-0.00001)</f>
        <v>-1.0000000000000001E-5</v>
      </c>
      <c r="J65" s="194">
        <f>IFERROR(IF($C65="",-0.00001,AVERAGEIFS(Database!L:L,Database!$E:$E,$C65,Database!$A:$A,$D$1)),-0.00001)</f>
        <v>-1.0000000000000001E-5</v>
      </c>
      <c r="K65" s="194">
        <f>IFERROR(IF($C65="",-0.00001,AVERAGEIFS(Database!M:M,Database!$E:$E,$C65,Database!$A:$A,$D$1)),-0.00001)</f>
        <v>-1.0000000000000001E-5</v>
      </c>
      <c r="L65" s="194">
        <f>IFERROR(IF($C65="",-0.00001,AVERAGEIFS(Database!N:N,Database!$E:$E,$C65,Database!$A:$A,$D$1)),-0.00001)</f>
        <v>-1.0000000000000001E-5</v>
      </c>
      <c r="M65" s="194">
        <f>IFERROR(IF($C65="",-0.00001,AVERAGEIFS(Database!O:O,Database!$E:$E,$C65,Database!$A:$A,$D$1)),-0.00001)</f>
        <v>-1.0000000000000001E-5</v>
      </c>
      <c r="N65" s="194">
        <f>IFERROR(IF($C65="",-0.00001,AVERAGEIFS(Database!P:P,Database!$E:$E,$C65,Database!$A:$A,$D$1)),-0.00001)</f>
        <v>-1.0000000000000001E-5</v>
      </c>
      <c r="O65" s="194">
        <f>IFERROR(IF($C65="",-0.00001,AVERAGEIFS(Database!Q:Q,Database!$E:$E,$C65,Database!$A:$A,$D$1)),-0.00001)</f>
        <v>-1.0000000000000001E-5</v>
      </c>
      <c r="P65" s="186">
        <f>IFERROR(IF($C65="",-0.00001,AVERAGEIFS(Database!R:R,Database!$E:$E,$C65,Database!$A:$A,$D$1)),-0.00001)</f>
        <v>-1.0000000000000001E-5</v>
      </c>
      <c r="Q65" s="194">
        <f>IFERROR(IF($C65="",-0.00001,AVERAGEIFS(Database!S:S,Database!$E:$E,$C65,Database!$A:$A,$D$1)),-0.00001)</f>
        <v>-1.0000000000000001E-5</v>
      </c>
      <c r="R65" s="194">
        <f>IFERROR(IF($C65="",-0.00001,AVERAGEIFS(Database!T:T,Database!$E:$E,$C65,Database!$A:$A,$D$1)),-0.00001)</f>
        <v>-1.0000000000000001E-5</v>
      </c>
      <c r="S65" s="186">
        <f>IFERROR(IF($C65="",-0.00001,AVERAGEIFS(Database!U:U,Database!$E:$E,$C65,Database!$A:$A,$D$1)),-0.00001)</f>
        <v>-1.0000000000000001E-5</v>
      </c>
      <c r="T65" s="194">
        <f>IFERROR(IF($C65="",-0.00001,AVERAGEIFS(Database!V:V,Database!$E:$E,$C65,Database!$A:$A,$D$1)),-0.00001)</f>
        <v>-1.0000000000000001E-5</v>
      </c>
      <c r="U65" s="194">
        <f>IFERROR(IF($C65="",-0.00001,AVERAGEIFS(Database!W:W,Database!$E:$E,$C65,Database!$A:$A,$D$1)),-0.00001)</f>
        <v>-1.0000000000000001E-5</v>
      </c>
      <c r="V65" s="186">
        <f>IFERROR(IF($C65="",-0.00001,AVERAGEIFS(Database!X:X,Database!$E:$E,$C65,Database!$A:$A,$D$1)),-0.00001)</f>
        <v>-1.0000000000000001E-5</v>
      </c>
      <c r="W65" s="187"/>
      <c r="X65" s="187"/>
      <c r="Y65" s="187"/>
      <c r="Z65" s="187"/>
      <c r="AA65" s="187"/>
      <c r="AB65" s="187"/>
      <c r="AC65" s="187"/>
      <c r="AD65" s="187"/>
      <c r="AE65" s="187"/>
    </row>
    <row r="66" spans="1:31" x14ac:dyDescent="0.25">
      <c r="A66" s="187"/>
      <c r="B66" s="187" t="str">
        <f>IF($C66="","",MAX($B$4:$B65)+1)</f>
        <v/>
      </c>
      <c r="C66" s="145"/>
      <c r="D66" s="183" t="str">
        <f>IFERROR(VLOOKUP($C66,Rosters!$C$4:$M$239,INDEX(Lists!$N$5:$O$80,MATCH($C66,Lists!$N$5:$N$80,FALSE),2)),"")</f>
        <v/>
      </c>
      <c r="E66" s="237">
        <f>IF($C66="",-0.00001,COUNTIFS(Database!E:E,$C66,Database!A:A,$D$1))</f>
        <v>-1.0000000000000001E-5</v>
      </c>
      <c r="F66" s="194">
        <f>IFERROR(IF($C66="",-0.00001,AVERAGEIFS(Database!H:H,Database!$E:$E,$C66,Database!$A:$A,$D$1)),-0.00001)</f>
        <v>-1.0000000000000001E-5</v>
      </c>
      <c r="G66" s="194">
        <f>IFERROR(IF($C66="",-0.00001,AVERAGEIFS(Database!I:I,Database!$E:$E,$C66,Database!$A:$A,$D$1)),-0.00001)</f>
        <v>-1.0000000000000001E-5</v>
      </c>
      <c r="H66" s="194">
        <f>IFERROR(IF($C66="",-0.00001,AVERAGEIFS(Database!J:J,Database!$E:$E,$C66,Database!$A:$A,$D$1)),-0.00001)</f>
        <v>-1.0000000000000001E-5</v>
      </c>
      <c r="I66" s="194">
        <f>IFERROR(IF($C66="",-0.00001,AVERAGEIFS(Database!K:K,Database!$E:$E,$C66,Database!$A:$A,$D$1)),-0.00001)</f>
        <v>-1.0000000000000001E-5</v>
      </c>
      <c r="J66" s="194">
        <f>IFERROR(IF($C66="",-0.00001,AVERAGEIFS(Database!L:L,Database!$E:$E,$C66,Database!$A:$A,$D$1)),-0.00001)</f>
        <v>-1.0000000000000001E-5</v>
      </c>
      <c r="K66" s="194">
        <f>IFERROR(IF($C66="",-0.00001,AVERAGEIFS(Database!M:M,Database!$E:$E,$C66,Database!$A:$A,$D$1)),-0.00001)</f>
        <v>-1.0000000000000001E-5</v>
      </c>
      <c r="L66" s="194">
        <f>IFERROR(IF($C66="",-0.00001,AVERAGEIFS(Database!N:N,Database!$E:$E,$C66,Database!$A:$A,$D$1)),-0.00001)</f>
        <v>-1.0000000000000001E-5</v>
      </c>
      <c r="M66" s="194">
        <f>IFERROR(IF($C66="",-0.00001,AVERAGEIFS(Database!O:O,Database!$E:$E,$C66,Database!$A:$A,$D$1)),-0.00001)</f>
        <v>-1.0000000000000001E-5</v>
      </c>
      <c r="N66" s="194">
        <f>IFERROR(IF($C66="",-0.00001,AVERAGEIFS(Database!P:P,Database!$E:$E,$C66,Database!$A:$A,$D$1)),-0.00001)</f>
        <v>-1.0000000000000001E-5</v>
      </c>
      <c r="O66" s="194">
        <f>IFERROR(IF($C66="",-0.00001,AVERAGEIFS(Database!Q:Q,Database!$E:$E,$C66,Database!$A:$A,$D$1)),-0.00001)</f>
        <v>-1.0000000000000001E-5</v>
      </c>
      <c r="P66" s="186">
        <f>IFERROR(IF($C66="",-0.00001,AVERAGEIFS(Database!R:R,Database!$E:$E,$C66,Database!$A:$A,$D$1)),-0.00001)</f>
        <v>-1.0000000000000001E-5</v>
      </c>
      <c r="Q66" s="194">
        <f>IFERROR(IF($C66="",-0.00001,AVERAGEIFS(Database!S:S,Database!$E:$E,$C66,Database!$A:$A,$D$1)),-0.00001)</f>
        <v>-1.0000000000000001E-5</v>
      </c>
      <c r="R66" s="194">
        <f>IFERROR(IF($C66="",-0.00001,AVERAGEIFS(Database!T:T,Database!$E:$E,$C66,Database!$A:$A,$D$1)),-0.00001)</f>
        <v>-1.0000000000000001E-5</v>
      </c>
      <c r="S66" s="186">
        <f>IFERROR(IF($C66="",-0.00001,AVERAGEIFS(Database!U:U,Database!$E:$E,$C66,Database!$A:$A,$D$1)),-0.00001)</f>
        <v>-1.0000000000000001E-5</v>
      </c>
      <c r="T66" s="194">
        <f>IFERROR(IF($C66="",-0.00001,AVERAGEIFS(Database!V:V,Database!$E:$E,$C66,Database!$A:$A,$D$1)),-0.00001)</f>
        <v>-1.0000000000000001E-5</v>
      </c>
      <c r="U66" s="194">
        <f>IFERROR(IF($C66="",-0.00001,AVERAGEIFS(Database!W:W,Database!$E:$E,$C66,Database!$A:$A,$D$1)),-0.00001)</f>
        <v>-1.0000000000000001E-5</v>
      </c>
      <c r="V66" s="186">
        <f>IFERROR(IF($C66="",-0.00001,AVERAGEIFS(Database!X:X,Database!$E:$E,$C66,Database!$A:$A,$D$1)),-0.00001)</f>
        <v>-1.0000000000000001E-5</v>
      </c>
      <c r="W66" s="187"/>
      <c r="X66" s="187"/>
      <c r="Y66" s="187"/>
      <c r="Z66" s="187"/>
      <c r="AA66" s="187"/>
      <c r="AB66" s="187"/>
      <c r="AC66" s="187"/>
      <c r="AD66" s="187"/>
      <c r="AE66" s="187"/>
    </row>
    <row r="67" spans="1:31" x14ac:dyDescent="0.25">
      <c r="A67" s="187"/>
      <c r="B67" s="187" t="str">
        <f>IF($C67="","",MAX($B$4:$B66)+1)</f>
        <v/>
      </c>
      <c r="C67" s="145"/>
      <c r="D67" s="183" t="str">
        <f>IFERROR(VLOOKUP($C67,Rosters!$C$4:$M$239,INDEX(Lists!$N$5:$O$80,MATCH($C67,Lists!$N$5:$N$80,FALSE),2)),"")</f>
        <v/>
      </c>
      <c r="E67" s="237">
        <f>IF($C67="",-0.00001,COUNTIFS(Database!E:E,$C67,Database!A:A,$D$1))</f>
        <v>-1.0000000000000001E-5</v>
      </c>
      <c r="F67" s="194">
        <f>IFERROR(IF($C67="",-0.00001,AVERAGEIFS(Database!H:H,Database!$E:$E,$C67,Database!$A:$A,$D$1)),-0.00001)</f>
        <v>-1.0000000000000001E-5</v>
      </c>
      <c r="G67" s="194">
        <f>IFERROR(IF($C67="",-0.00001,AVERAGEIFS(Database!I:I,Database!$E:$E,$C67,Database!$A:$A,$D$1)),-0.00001)</f>
        <v>-1.0000000000000001E-5</v>
      </c>
      <c r="H67" s="194">
        <f>IFERROR(IF($C67="",-0.00001,AVERAGEIFS(Database!J:J,Database!$E:$E,$C67,Database!$A:$A,$D$1)),-0.00001)</f>
        <v>-1.0000000000000001E-5</v>
      </c>
      <c r="I67" s="194">
        <f>IFERROR(IF($C67="",-0.00001,AVERAGEIFS(Database!K:K,Database!$E:$E,$C67,Database!$A:$A,$D$1)),-0.00001)</f>
        <v>-1.0000000000000001E-5</v>
      </c>
      <c r="J67" s="194">
        <f>IFERROR(IF($C67="",-0.00001,AVERAGEIFS(Database!L:L,Database!$E:$E,$C67,Database!$A:$A,$D$1)),-0.00001)</f>
        <v>-1.0000000000000001E-5</v>
      </c>
      <c r="K67" s="194">
        <f>IFERROR(IF($C67="",-0.00001,AVERAGEIFS(Database!M:M,Database!$E:$E,$C67,Database!$A:$A,$D$1)),-0.00001)</f>
        <v>-1.0000000000000001E-5</v>
      </c>
      <c r="L67" s="194">
        <f>IFERROR(IF($C67="",-0.00001,AVERAGEIFS(Database!N:N,Database!$E:$E,$C67,Database!$A:$A,$D$1)),-0.00001)</f>
        <v>-1.0000000000000001E-5</v>
      </c>
      <c r="M67" s="194">
        <f>IFERROR(IF($C67="",-0.00001,AVERAGEIFS(Database!O:O,Database!$E:$E,$C67,Database!$A:$A,$D$1)),-0.00001)</f>
        <v>-1.0000000000000001E-5</v>
      </c>
      <c r="N67" s="194">
        <f>IFERROR(IF($C67="",-0.00001,AVERAGEIFS(Database!P:P,Database!$E:$E,$C67,Database!$A:$A,$D$1)),-0.00001)</f>
        <v>-1.0000000000000001E-5</v>
      </c>
      <c r="O67" s="194">
        <f>IFERROR(IF($C67="",-0.00001,AVERAGEIFS(Database!Q:Q,Database!$E:$E,$C67,Database!$A:$A,$D$1)),-0.00001)</f>
        <v>-1.0000000000000001E-5</v>
      </c>
      <c r="P67" s="186">
        <f>IFERROR(IF($C67="",-0.00001,AVERAGEIFS(Database!R:R,Database!$E:$E,$C67,Database!$A:$A,$D$1)),-0.00001)</f>
        <v>-1.0000000000000001E-5</v>
      </c>
      <c r="Q67" s="194">
        <f>IFERROR(IF($C67="",-0.00001,AVERAGEIFS(Database!S:S,Database!$E:$E,$C67,Database!$A:$A,$D$1)),-0.00001)</f>
        <v>-1.0000000000000001E-5</v>
      </c>
      <c r="R67" s="194">
        <f>IFERROR(IF($C67="",-0.00001,AVERAGEIFS(Database!T:T,Database!$E:$E,$C67,Database!$A:$A,$D$1)),-0.00001)</f>
        <v>-1.0000000000000001E-5</v>
      </c>
      <c r="S67" s="186">
        <f>IFERROR(IF($C67="",-0.00001,AVERAGEIFS(Database!U:U,Database!$E:$E,$C67,Database!$A:$A,$D$1)),-0.00001)</f>
        <v>-1.0000000000000001E-5</v>
      </c>
      <c r="T67" s="194">
        <f>IFERROR(IF($C67="",-0.00001,AVERAGEIFS(Database!V:V,Database!$E:$E,$C67,Database!$A:$A,$D$1)),-0.00001)</f>
        <v>-1.0000000000000001E-5</v>
      </c>
      <c r="U67" s="194">
        <f>IFERROR(IF($C67="",-0.00001,AVERAGEIFS(Database!W:W,Database!$E:$E,$C67,Database!$A:$A,$D$1)),-0.00001)</f>
        <v>-1.0000000000000001E-5</v>
      </c>
      <c r="V67" s="186">
        <f>IFERROR(IF($C67="",-0.00001,AVERAGEIFS(Database!X:X,Database!$E:$E,$C67,Database!$A:$A,$D$1)),-0.00001)</f>
        <v>-1.0000000000000001E-5</v>
      </c>
      <c r="W67" s="187"/>
      <c r="X67" s="187"/>
      <c r="Y67" s="187"/>
      <c r="Z67" s="187"/>
      <c r="AA67" s="187"/>
      <c r="AB67" s="187"/>
      <c r="AC67" s="187"/>
      <c r="AD67" s="187"/>
      <c r="AE67" s="187"/>
    </row>
    <row r="68" spans="1:31" x14ac:dyDescent="0.25">
      <c r="A68" s="187"/>
      <c r="B68" s="187" t="str">
        <f>IF($C68="","",MAX($B$4:$B67)+1)</f>
        <v/>
      </c>
      <c r="C68" s="145"/>
      <c r="D68" s="183" t="str">
        <f>IFERROR(VLOOKUP($C68,Rosters!$C$4:$M$239,INDEX(Lists!$N$5:$O$80,MATCH($C68,Lists!$N$5:$N$80,FALSE),2)),"")</f>
        <v/>
      </c>
      <c r="E68" s="237">
        <f>IF($C68="",-0.00001,COUNTIFS(Database!E:E,$C68,Database!A:A,$D$1))</f>
        <v>-1.0000000000000001E-5</v>
      </c>
      <c r="F68" s="194">
        <f>IFERROR(IF($C68="",-0.00001,AVERAGEIFS(Database!H:H,Database!$E:$E,$C68,Database!$A:$A,$D$1)),-0.00001)</f>
        <v>-1.0000000000000001E-5</v>
      </c>
      <c r="G68" s="194">
        <f>IFERROR(IF($C68="",-0.00001,AVERAGEIFS(Database!I:I,Database!$E:$E,$C68,Database!$A:$A,$D$1)),-0.00001)</f>
        <v>-1.0000000000000001E-5</v>
      </c>
      <c r="H68" s="194">
        <f>IFERROR(IF($C68="",-0.00001,AVERAGEIFS(Database!J:J,Database!$E:$E,$C68,Database!$A:$A,$D$1)),-0.00001)</f>
        <v>-1.0000000000000001E-5</v>
      </c>
      <c r="I68" s="194">
        <f>IFERROR(IF($C68="",-0.00001,AVERAGEIFS(Database!K:K,Database!$E:$E,$C68,Database!$A:$A,$D$1)),-0.00001)</f>
        <v>-1.0000000000000001E-5</v>
      </c>
      <c r="J68" s="194">
        <f>IFERROR(IF($C68="",-0.00001,AVERAGEIFS(Database!L:L,Database!$E:$E,$C68,Database!$A:$A,$D$1)),-0.00001)</f>
        <v>-1.0000000000000001E-5</v>
      </c>
      <c r="K68" s="194">
        <f>IFERROR(IF($C68="",-0.00001,AVERAGEIFS(Database!M:M,Database!$E:$E,$C68,Database!$A:$A,$D$1)),-0.00001)</f>
        <v>-1.0000000000000001E-5</v>
      </c>
      <c r="L68" s="194">
        <f>IFERROR(IF($C68="",-0.00001,AVERAGEIFS(Database!N:N,Database!$E:$E,$C68,Database!$A:$A,$D$1)),-0.00001)</f>
        <v>-1.0000000000000001E-5</v>
      </c>
      <c r="M68" s="194">
        <f>IFERROR(IF($C68="",-0.00001,AVERAGEIFS(Database!O:O,Database!$E:$E,$C68,Database!$A:$A,$D$1)),-0.00001)</f>
        <v>-1.0000000000000001E-5</v>
      </c>
      <c r="N68" s="194">
        <f>IFERROR(IF($C68="",-0.00001,AVERAGEIFS(Database!P:P,Database!$E:$E,$C68,Database!$A:$A,$D$1)),-0.00001)</f>
        <v>-1.0000000000000001E-5</v>
      </c>
      <c r="O68" s="194">
        <f>IFERROR(IF($C68="",-0.00001,AVERAGEIFS(Database!Q:Q,Database!$E:$E,$C68,Database!$A:$A,$D$1)),-0.00001)</f>
        <v>-1.0000000000000001E-5</v>
      </c>
      <c r="P68" s="186">
        <f>IFERROR(IF($C68="",-0.00001,AVERAGEIFS(Database!R:R,Database!$E:$E,$C68,Database!$A:$A,$D$1)),-0.00001)</f>
        <v>-1.0000000000000001E-5</v>
      </c>
      <c r="Q68" s="194">
        <f>IFERROR(IF($C68="",-0.00001,AVERAGEIFS(Database!S:S,Database!$E:$E,$C68,Database!$A:$A,$D$1)),-0.00001)</f>
        <v>-1.0000000000000001E-5</v>
      </c>
      <c r="R68" s="194">
        <f>IFERROR(IF($C68="",-0.00001,AVERAGEIFS(Database!T:T,Database!$E:$E,$C68,Database!$A:$A,$D$1)),-0.00001)</f>
        <v>-1.0000000000000001E-5</v>
      </c>
      <c r="S68" s="186">
        <f>IFERROR(IF($C68="",-0.00001,AVERAGEIFS(Database!U:U,Database!$E:$E,$C68,Database!$A:$A,$D$1)),-0.00001)</f>
        <v>-1.0000000000000001E-5</v>
      </c>
      <c r="T68" s="194">
        <f>IFERROR(IF($C68="",-0.00001,AVERAGEIFS(Database!V:V,Database!$E:$E,$C68,Database!$A:$A,$D$1)),-0.00001)</f>
        <v>-1.0000000000000001E-5</v>
      </c>
      <c r="U68" s="194">
        <f>IFERROR(IF($C68="",-0.00001,AVERAGEIFS(Database!W:W,Database!$E:$E,$C68,Database!$A:$A,$D$1)),-0.00001)</f>
        <v>-1.0000000000000001E-5</v>
      </c>
      <c r="V68" s="186">
        <f>IFERROR(IF($C68="",-0.00001,AVERAGEIFS(Database!X:X,Database!$E:$E,$C68,Database!$A:$A,$D$1)),-0.00001)</f>
        <v>-1.0000000000000001E-5</v>
      </c>
      <c r="W68" s="187"/>
      <c r="X68" s="187"/>
      <c r="Y68" s="187"/>
      <c r="Z68" s="187"/>
      <c r="AA68" s="187"/>
      <c r="AB68" s="187"/>
      <c r="AC68" s="187"/>
      <c r="AD68" s="187"/>
      <c r="AE68" s="187"/>
    </row>
    <row r="69" spans="1:31" x14ac:dyDescent="0.25">
      <c r="A69" s="187"/>
      <c r="B69" s="187" t="str">
        <f>IF($C69="","",MAX($B$4:$B68)+1)</f>
        <v/>
      </c>
      <c r="C69" s="145"/>
      <c r="D69" s="183" t="str">
        <f>IFERROR(VLOOKUP($C69,Rosters!$C$4:$M$239,INDEX(Lists!$N$5:$O$80,MATCH($C69,Lists!$N$5:$N$80,FALSE),2)),"")</f>
        <v/>
      </c>
      <c r="E69" s="237">
        <f>IF($C69="",-0.00001,COUNTIFS(Database!E:E,$C69,Database!A:A,$D$1))</f>
        <v>-1.0000000000000001E-5</v>
      </c>
      <c r="F69" s="194">
        <f>IFERROR(IF($C69="",-0.00001,AVERAGEIFS(Database!H:H,Database!$E:$E,$C69,Database!$A:$A,$D$1)),-0.00001)</f>
        <v>-1.0000000000000001E-5</v>
      </c>
      <c r="G69" s="194">
        <f>IFERROR(IF($C69="",-0.00001,AVERAGEIFS(Database!I:I,Database!$E:$E,$C69,Database!$A:$A,$D$1)),-0.00001)</f>
        <v>-1.0000000000000001E-5</v>
      </c>
      <c r="H69" s="194">
        <f>IFERROR(IF($C69="",-0.00001,AVERAGEIFS(Database!J:J,Database!$E:$E,$C69,Database!$A:$A,$D$1)),-0.00001)</f>
        <v>-1.0000000000000001E-5</v>
      </c>
      <c r="I69" s="194">
        <f>IFERROR(IF($C69="",-0.00001,AVERAGEIFS(Database!K:K,Database!$E:$E,$C69,Database!$A:$A,$D$1)),-0.00001)</f>
        <v>-1.0000000000000001E-5</v>
      </c>
      <c r="J69" s="194">
        <f>IFERROR(IF($C69="",-0.00001,AVERAGEIFS(Database!L:L,Database!$E:$E,$C69,Database!$A:$A,$D$1)),-0.00001)</f>
        <v>-1.0000000000000001E-5</v>
      </c>
      <c r="K69" s="194">
        <f>IFERROR(IF($C69="",-0.00001,AVERAGEIFS(Database!M:M,Database!$E:$E,$C69,Database!$A:$A,$D$1)),-0.00001)</f>
        <v>-1.0000000000000001E-5</v>
      </c>
      <c r="L69" s="194">
        <f>IFERROR(IF($C69="",-0.00001,AVERAGEIFS(Database!N:N,Database!$E:$E,$C69,Database!$A:$A,$D$1)),-0.00001)</f>
        <v>-1.0000000000000001E-5</v>
      </c>
      <c r="M69" s="194">
        <f>IFERROR(IF($C69="",-0.00001,AVERAGEIFS(Database!O:O,Database!$E:$E,$C69,Database!$A:$A,$D$1)),-0.00001)</f>
        <v>-1.0000000000000001E-5</v>
      </c>
      <c r="N69" s="194">
        <f>IFERROR(IF($C69="",-0.00001,AVERAGEIFS(Database!P:P,Database!$E:$E,$C69,Database!$A:$A,$D$1)),-0.00001)</f>
        <v>-1.0000000000000001E-5</v>
      </c>
      <c r="O69" s="194">
        <f>IFERROR(IF($C69="",-0.00001,AVERAGEIFS(Database!Q:Q,Database!$E:$E,$C69,Database!$A:$A,$D$1)),-0.00001)</f>
        <v>-1.0000000000000001E-5</v>
      </c>
      <c r="P69" s="186">
        <f>IFERROR(IF($C69="",-0.00001,AVERAGEIFS(Database!R:R,Database!$E:$E,$C69,Database!$A:$A,$D$1)),-0.00001)</f>
        <v>-1.0000000000000001E-5</v>
      </c>
      <c r="Q69" s="194">
        <f>IFERROR(IF($C69="",-0.00001,AVERAGEIFS(Database!S:S,Database!$E:$E,$C69,Database!$A:$A,$D$1)),-0.00001)</f>
        <v>-1.0000000000000001E-5</v>
      </c>
      <c r="R69" s="194">
        <f>IFERROR(IF($C69="",-0.00001,AVERAGEIFS(Database!T:T,Database!$E:$E,$C69,Database!$A:$A,$D$1)),-0.00001)</f>
        <v>-1.0000000000000001E-5</v>
      </c>
      <c r="S69" s="186">
        <f>IFERROR(IF($C69="",-0.00001,AVERAGEIFS(Database!U:U,Database!$E:$E,$C69,Database!$A:$A,$D$1)),-0.00001)</f>
        <v>-1.0000000000000001E-5</v>
      </c>
      <c r="T69" s="194">
        <f>IFERROR(IF($C69="",-0.00001,AVERAGEIFS(Database!V:V,Database!$E:$E,$C69,Database!$A:$A,$D$1)),-0.00001)</f>
        <v>-1.0000000000000001E-5</v>
      </c>
      <c r="U69" s="194">
        <f>IFERROR(IF($C69="",-0.00001,AVERAGEIFS(Database!W:W,Database!$E:$E,$C69,Database!$A:$A,$D$1)),-0.00001)</f>
        <v>-1.0000000000000001E-5</v>
      </c>
      <c r="V69" s="186">
        <f>IFERROR(IF($C69="",-0.00001,AVERAGEIFS(Database!X:X,Database!$E:$E,$C69,Database!$A:$A,$D$1)),-0.00001)</f>
        <v>-1.0000000000000001E-5</v>
      </c>
      <c r="W69" s="187"/>
      <c r="X69" s="187"/>
      <c r="Y69" s="187"/>
      <c r="Z69" s="187"/>
      <c r="AA69" s="187"/>
      <c r="AB69" s="187"/>
      <c r="AC69" s="187"/>
      <c r="AD69" s="187"/>
      <c r="AE69" s="187"/>
    </row>
    <row r="70" spans="1:31" x14ac:dyDescent="0.25">
      <c r="A70" s="187"/>
      <c r="B70" s="187" t="str">
        <f>IF($C70="","",MAX($B$4:$B69)+1)</f>
        <v/>
      </c>
      <c r="C70" s="145"/>
      <c r="D70" s="183" t="str">
        <f>IFERROR(VLOOKUP($C70,Rosters!$C$4:$M$239,INDEX(Lists!$N$5:$O$80,MATCH($C70,Lists!$N$5:$N$80,FALSE),2)),"")</f>
        <v/>
      </c>
      <c r="E70" s="237">
        <f>IF($C70="",-0.00001,COUNTIFS(Database!E:E,$C70,Database!A:A,$D$1))</f>
        <v>-1.0000000000000001E-5</v>
      </c>
      <c r="F70" s="194">
        <f>IFERROR(IF($C70="",-0.00001,AVERAGEIFS(Database!H:H,Database!$E:$E,$C70,Database!$A:$A,$D$1)),-0.00001)</f>
        <v>-1.0000000000000001E-5</v>
      </c>
      <c r="G70" s="194">
        <f>IFERROR(IF($C70="",-0.00001,AVERAGEIFS(Database!I:I,Database!$E:$E,$C70,Database!$A:$A,$D$1)),-0.00001)</f>
        <v>-1.0000000000000001E-5</v>
      </c>
      <c r="H70" s="194">
        <f>IFERROR(IF($C70="",-0.00001,AVERAGEIFS(Database!J:J,Database!$E:$E,$C70,Database!$A:$A,$D$1)),-0.00001)</f>
        <v>-1.0000000000000001E-5</v>
      </c>
      <c r="I70" s="194">
        <f>IFERROR(IF($C70="",-0.00001,AVERAGEIFS(Database!K:K,Database!$E:$E,$C70,Database!$A:$A,$D$1)),-0.00001)</f>
        <v>-1.0000000000000001E-5</v>
      </c>
      <c r="J70" s="194">
        <f>IFERROR(IF($C70="",-0.00001,AVERAGEIFS(Database!L:L,Database!$E:$E,$C70,Database!$A:$A,$D$1)),-0.00001)</f>
        <v>-1.0000000000000001E-5</v>
      </c>
      <c r="K70" s="194">
        <f>IFERROR(IF($C70="",-0.00001,AVERAGEIFS(Database!M:M,Database!$E:$E,$C70,Database!$A:$A,$D$1)),-0.00001)</f>
        <v>-1.0000000000000001E-5</v>
      </c>
      <c r="L70" s="194">
        <f>IFERROR(IF($C70="",-0.00001,AVERAGEIFS(Database!N:N,Database!$E:$E,$C70,Database!$A:$A,$D$1)),-0.00001)</f>
        <v>-1.0000000000000001E-5</v>
      </c>
      <c r="M70" s="194">
        <f>IFERROR(IF($C70="",-0.00001,AVERAGEIFS(Database!O:O,Database!$E:$E,$C70,Database!$A:$A,$D$1)),-0.00001)</f>
        <v>-1.0000000000000001E-5</v>
      </c>
      <c r="N70" s="194">
        <f>IFERROR(IF($C70="",-0.00001,AVERAGEIFS(Database!P:P,Database!$E:$E,$C70,Database!$A:$A,$D$1)),-0.00001)</f>
        <v>-1.0000000000000001E-5</v>
      </c>
      <c r="O70" s="194">
        <f>IFERROR(IF($C70="",-0.00001,AVERAGEIFS(Database!Q:Q,Database!$E:$E,$C70,Database!$A:$A,$D$1)),-0.00001)</f>
        <v>-1.0000000000000001E-5</v>
      </c>
      <c r="P70" s="186">
        <f>IFERROR(IF($C70="",-0.00001,AVERAGEIFS(Database!R:R,Database!$E:$E,$C70,Database!$A:$A,$D$1)),-0.00001)</f>
        <v>-1.0000000000000001E-5</v>
      </c>
      <c r="Q70" s="194">
        <f>IFERROR(IF($C70="",-0.00001,AVERAGEIFS(Database!S:S,Database!$E:$E,$C70,Database!$A:$A,$D$1)),-0.00001)</f>
        <v>-1.0000000000000001E-5</v>
      </c>
      <c r="R70" s="194">
        <f>IFERROR(IF($C70="",-0.00001,AVERAGEIFS(Database!T:T,Database!$E:$E,$C70,Database!$A:$A,$D$1)),-0.00001)</f>
        <v>-1.0000000000000001E-5</v>
      </c>
      <c r="S70" s="186">
        <f>IFERROR(IF($C70="",-0.00001,AVERAGEIFS(Database!U:U,Database!$E:$E,$C70,Database!$A:$A,$D$1)),-0.00001)</f>
        <v>-1.0000000000000001E-5</v>
      </c>
      <c r="T70" s="194">
        <f>IFERROR(IF($C70="",-0.00001,AVERAGEIFS(Database!V:V,Database!$E:$E,$C70,Database!$A:$A,$D$1)),-0.00001)</f>
        <v>-1.0000000000000001E-5</v>
      </c>
      <c r="U70" s="194">
        <f>IFERROR(IF($C70="",-0.00001,AVERAGEIFS(Database!W:W,Database!$E:$E,$C70,Database!$A:$A,$D$1)),-0.00001)</f>
        <v>-1.0000000000000001E-5</v>
      </c>
      <c r="V70" s="186">
        <f>IFERROR(IF($C70="",-0.00001,AVERAGEIFS(Database!X:X,Database!$E:$E,$C70,Database!$A:$A,$D$1)),-0.00001)</f>
        <v>-1.0000000000000001E-5</v>
      </c>
      <c r="W70" s="187"/>
      <c r="X70" s="187"/>
      <c r="Y70" s="187"/>
      <c r="Z70" s="187"/>
      <c r="AA70" s="187"/>
      <c r="AB70" s="187"/>
      <c r="AC70" s="187"/>
      <c r="AD70" s="187"/>
      <c r="AE70" s="187"/>
    </row>
    <row r="71" spans="1:31" x14ac:dyDescent="0.25">
      <c r="A71" s="187"/>
      <c r="B71" s="187" t="str">
        <f>IF($C71="","",MAX($B$4:$B70)+1)</f>
        <v/>
      </c>
      <c r="C71" s="145"/>
      <c r="D71" s="183" t="str">
        <f>IFERROR(VLOOKUP($C71,Rosters!$C$4:$M$239,INDEX(Lists!$N$5:$O$80,MATCH($C71,Lists!$N$5:$N$80,FALSE),2)),"")</f>
        <v/>
      </c>
      <c r="E71" s="237">
        <f>IF($C71="",-0.00001,COUNTIFS(Database!E:E,$C71,Database!A:A,$D$1))</f>
        <v>-1.0000000000000001E-5</v>
      </c>
      <c r="F71" s="194">
        <f>IFERROR(IF($C71="",-0.00001,AVERAGEIFS(Database!H:H,Database!$E:$E,$C71,Database!$A:$A,$D$1)),-0.00001)</f>
        <v>-1.0000000000000001E-5</v>
      </c>
      <c r="G71" s="194">
        <f>IFERROR(IF($C71="",-0.00001,AVERAGEIFS(Database!I:I,Database!$E:$E,$C71,Database!$A:$A,$D$1)),-0.00001)</f>
        <v>-1.0000000000000001E-5</v>
      </c>
      <c r="H71" s="194">
        <f>IFERROR(IF($C71="",-0.00001,AVERAGEIFS(Database!J:J,Database!$E:$E,$C71,Database!$A:$A,$D$1)),-0.00001)</f>
        <v>-1.0000000000000001E-5</v>
      </c>
      <c r="I71" s="194">
        <f>IFERROR(IF($C71="",-0.00001,AVERAGEIFS(Database!K:K,Database!$E:$E,$C71,Database!$A:$A,$D$1)),-0.00001)</f>
        <v>-1.0000000000000001E-5</v>
      </c>
      <c r="J71" s="194">
        <f>IFERROR(IF($C71="",-0.00001,AVERAGEIFS(Database!L:L,Database!$E:$E,$C71,Database!$A:$A,$D$1)),-0.00001)</f>
        <v>-1.0000000000000001E-5</v>
      </c>
      <c r="K71" s="194">
        <f>IFERROR(IF($C71="",-0.00001,AVERAGEIFS(Database!M:M,Database!$E:$E,$C71,Database!$A:$A,$D$1)),-0.00001)</f>
        <v>-1.0000000000000001E-5</v>
      </c>
      <c r="L71" s="194">
        <f>IFERROR(IF($C71="",-0.00001,AVERAGEIFS(Database!N:N,Database!$E:$E,$C71,Database!$A:$A,$D$1)),-0.00001)</f>
        <v>-1.0000000000000001E-5</v>
      </c>
      <c r="M71" s="194">
        <f>IFERROR(IF($C71="",-0.00001,AVERAGEIFS(Database!O:O,Database!$E:$E,$C71,Database!$A:$A,$D$1)),-0.00001)</f>
        <v>-1.0000000000000001E-5</v>
      </c>
      <c r="N71" s="194">
        <f>IFERROR(IF($C71="",-0.00001,AVERAGEIFS(Database!P:P,Database!$E:$E,$C71,Database!$A:$A,$D$1)),-0.00001)</f>
        <v>-1.0000000000000001E-5</v>
      </c>
      <c r="O71" s="194">
        <f>IFERROR(IF($C71="",-0.00001,AVERAGEIFS(Database!Q:Q,Database!$E:$E,$C71,Database!$A:$A,$D$1)),-0.00001)</f>
        <v>-1.0000000000000001E-5</v>
      </c>
      <c r="P71" s="186">
        <f>IFERROR(IF($C71="",-0.00001,AVERAGEIFS(Database!R:R,Database!$E:$E,$C71,Database!$A:$A,$D$1)),-0.00001)</f>
        <v>-1.0000000000000001E-5</v>
      </c>
      <c r="Q71" s="194">
        <f>IFERROR(IF($C71="",-0.00001,AVERAGEIFS(Database!S:S,Database!$E:$E,$C71,Database!$A:$A,$D$1)),-0.00001)</f>
        <v>-1.0000000000000001E-5</v>
      </c>
      <c r="R71" s="194">
        <f>IFERROR(IF($C71="",-0.00001,AVERAGEIFS(Database!T:T,Database!$E:$E,$C71,Database!$A:$A,$D$1)),-0.00001)</f>
        <v>-1.0000000000000001E-5</v>
      </c>
      <c r="S71" s="186">
        <f>IFERROR(IF($C71="",-0.00001,AVERAGEIFS(Database!U:U,Database!$E:$E,$C71,Database!$A:$A,$D$1)),-0.00001)</f>
        <v>-1.0000000000000001E-5</v>
      </c>
      <c r="T71" s="194">
        <f>IFERROR(IF($C71="",-0.00001,AVERAGEIFS(Database!V:V,Database!$E:$E,$C71,Database!$A:$A,$D$1)),-0.00001)</f>
        <v>-1.0000000000000001E-5</v>
      </c>
      <c r="U71" s="194">
        <f>IFERROR(IF($C71="",-0.00001,AVERAGEIFS(Database!W:W,Database!$E:$E,$C71,Database!$A:$A,$D$1)),-0.00001)</f>
        <v>-1.0000000000000001E-5</v>
      </c>
      <c r="V71" s="186">
        <f>IFERROR(IF($C71="",-0.00001,AVERAGEIFS(Database!X:X,Database!$E:$E,$C71,Database!$A:$A,$D$1)),-0.00001)</f>
        <v>-1.0000000000000001E-5</v>
      </c>
      <c r="W71" s="187"/>
      <c r="X71" s="187"/>
      <c r="Y71" s="187"/>
      <c r="Z71" s="187"/>
      <c r="AA71" s="187"/>
      <c r="AB71" s="187"/>
      <c r="AC71" s="187"/>
      <c r="AD71" s="187"/>
      <c r="AE71" s="187"/>
    </row>
    <row r="72" spans="1:31" x14ac:dyDescent="0.25">
      <c r="A72" s="187"/>
      <c r="B72" s="187" t="str">
        <f>IF($C72="","",MAX($B$4:$B71)+1)</f>
        <v/>
      </c>
      <c r="C72" s="145"/>
      <c r="D72" s="183" t="str">
        <f>IFERROR(VLOOKUP($C72,Rosters!$C$4:$M$239,INDEX(Lists!$N$5:$O$80,MATCH($C72,Lists!$N$5:$N$80,FALSE),2)),"")</f>
        <v/>
      </c>
      <c r="E72" s="237">
        <f>IF($C72="",-0.00001,COUNTIFS(Database!E:E,$C72,Database!A:A,$D$1))</f>
        <v>-1.0000000000000001E-5</v>
      </c>
      <c r="F72" s="194">
        <f>IFERROR(IF($C72="",-0.00001,AVERAGEIFS(Database!H:H,Database!$E:$E,$C72,Database!$A:$A,$D$1)),-0.00001)</f>
        <v>-1.0000000000000001E-5</v>
      </c>
      <c r="G72" s="194">
        <f>IFERROR(IF($C72="",-0.00001,AVERAGEIFS(Database!I:I,Database!$E:$E,$C72,Database!$A:$A,$D$1)),-0.00001)</f>
        <v>-1.0000000000000001E-5</v>
      </c>
      <c r="H72" s="194">
        <f>IFERROR(IF($C72="",-0.00001,AVERAGEIFS(Database!J:J,Database!$E:$E,$C72,Database!$A:$A,$D$1)),-0.00001)</f>
        <v>-1.0000000000000001E-5</v>
      </c>
      <c r="I72" s="194">
        <f>IFERROR(IF($C72="",-0.00001,AVERAGEIFS(Database!K:K,Database!$E:$E,$C72,Database!$A:$A,$D$1)),-0.00001)</f>
        <v>-1.0000000000000001E-5</v>
      </c>
      <c r="J72" s="194">
        <f>IFERROR(IF($C72="",-0.00001,AVERAGEIFS(Database!L:L,Database!$E:$E,$C72,Database!$A:$A,$D$1)),-0.00001)</f>
        <v>-1.0000000000000001E-5</v>
      </c>
      <c r="K72" s="194">
        <f>IFERROR(IF($C72="",-0.00001,AVERAGEIFS(Database!M:M,Database!$E:$E,$C72,Database!$A:$A,$D$1)),-0.00001)</f>
        <v>-1.0000000000000001E-5</v>
      </c>
      <c r="L72" s="194">
        <f>IFERROR(IF($C72="",-0.00001,AVERAGEIFS(Database!N:N,Database!$E:$E,$C72,Database!$A:$A,$D$1)),-0.00001)</f>
        <v>-1.0000000000000001E-5</v>
      </c>
      <c r="M72" s="194">
        <f>IFERROR(IF($C72="",-0.00001,AVERAGEIFS(Database!O:O,Database!$E:$E,$C72,Database!$A:$A,$D$1)),-0.00001)</f>
        <v>-1.0000000000000001E-5</v>
      </c>
      <c r="N72" s="194">
        <f>IFERROR(IF($C72="",-0.00001,AVERAGEIFS(Database!P:P,Database!$E:$E,$C72,Database!$A:$A,$D$1)),-0.00001)</f>
        <v>-1.0000000000000001E-5</v>
      </c>
      <c r="O72" s="194">
        <f>IFERROR(IF($C72="",-0.00001,AVERAGEIFS(Database!Q:Q,Database!$E:$E,$C72,Database!$A:$A,$D$1)),-0.00001)</f>
        <v>-1.0000000000000001E-5</v>
      </c>
      <c r="P72" s="186">
        <f>IFERROR(IF($C72="",-0.00001,AVERAGEIFS(Database!R:R,Database!$E:$E,$C72,Database!$A:$A,$D$1)),-0.00001)</f>
        <v>-1.0000000000000001E-5</v>
      </c>
      <c r="Q72" s="194">
        <f>IFERROR(IF($C72="",-0.00001,AVERAGEIFS(Database!S:S,Database!$E:$E,$C72,Database!$A:$A,$D$1)),-0.00001)</f>
        <v>-1.0000000000000001E-5</v>
      </c>
      <c r="R72" s="194">
        <f>IFERROR(IF($C72="",-0.00001,AVERAGEIFS(Database!T:T,Database!$E:$E,$C72,Database!$A:$A,$D$1)),-0.00001)</f>
        <v>-1.0000000000000001E-5</v>
      </c>
      <c r="S72" s="186">
        <f>IFERROR(IF($C72="",-0.00001,AVERAGEIFS(Database!U:U,Database!$E:$E,$C72,Database!$A:$A,$D$1)),-0.00001)</f>
        <v>-1.0000000000000001E-5</v>
      </c>
      <c r="T72" s="194">
        <f>IFERROR(IF($C72="",-0.00001,AVERAGEIFS(Database!V:V,Database!$E:$E,$C72,Database!$A:$A,$D$1)),-0.00001)</f>
        <v>-1.0000000000000001E-5</v>
      </c>
      <c r="U72" s="194">
        <f>IFERROR(IF($C72="",-0.00001,AVERAGEIFS(Database!W:W,Database!$E:$E,$C72,Database!$A:$A,$D$1)),-0.00001)</f>
        <v>-1.0000000000000001E-5</v>
      </c>
      <c r="V72" s="186">
        <f>IFERROR(IF($C72="",-0.00001,AVERAGEIFS(Database!X:X,Database!$E:$E,$C72,Database!$A:$A,$D$1)),-0.00001)</f>
        <v>-1.0000000000000001E-5</v>
      </c>
      <c r="W72" s="187"/>
      <c r="X72" s="187"/>
      <c r="Y72" s="187"/>
      <c r="Z72" s="187"/>
      <c r="AA72" s="187"/>
      <c r="AB72" s="187"/>
      <c r="AC72" s="187"/>
      <c r="AD72" s="187"/>
      <c r="AE72" s="187"/>
    </row>
    <row r="73" spans="1:31" x14ac:dyDescent="0.25">
      <c r="A73" s="187"/>
      <c r="B73" s="187" t="str">
        <f>IF($C73="","",MAX($B$4:$B72)+1)</f>
        <v/>
      </c>
      <c r="C73" s="145"/>
      <c r="D73" s="183" t="str">
        <f>IFERROR(VLOOKUP($C73,Rosters!$C$4:$M$239,INDEX(Lists!$N$5:$O$80,MATCH($C73,Lists!$N$5:$N$80,FALSE),2)),"")</f>
        <v/>
      </c>
      <c r="E73" s="237">
        <f>IF($C73="",-0.00001,COUNTIFS(Database!E:E,$C73,Database!A:A,$D$1))</f>
        <v>-1.0000000000000001E-5</v>
      </c>
      <c r="F73" s="194">
        <f>IFERROR(IF($C73="",-0.00001,AVERAGEIFS(Database!H:H,Database!$E:$E,$C73,Database!$A:$A,$D$1)),-0.00001)</f>
        <v>-1.0000000000000001E-5</v>
      </c>
      <c r="G73" s="194">
        <f>IFERROR(IF($C73="",-0.00001,AVERAGEIFS(Database!I:I,Database!$E:$E,$C73,Database!$A:$A,$D$1)),-0.00001)</f>
        <v>-1.0000000000000001E-5</v>
      </c>
      <c r="H73" s="194">
        <f>IFERROR(IF($C73="",-0.00001,AVERAGEIFS(Database!J:J,Database!$E:$E,$C73,Database!$A:$A,$D$1)),-0.00001)</f>
        <v>-1.0000000000000001E-5</v>
      </c>
      <c r="I73" s="194">
        <f>IFERROR(IF($C73="",-0.00001,AVERAGEIFS(Database!K:K,Database!$E:$E,$C73,Database!$A:$A,$D$1)),-0.00001)</f>
        <v>-1.0000000000000001E-5</v>
      </c>
      <c r="J73" s="194">
        <f>IFERROR(IF($C73="",-0.00001,AVERAGEIFS(Database!L:L,Database!$E:$E,$C73,Database!$A:$A,$D$1)),-0.00001)</f>
        <v>-1.0000000000000001E-5</v>
      </c>
      <c r="K73" s="194">
        <f>IFERROR(IF($C73="",-0.00001,AVERAGEIFS(Database!M:M,Database!$E:$E,$C73,Database!$A:$A,$D$1)),-0.00001)</f>
        <v>-1.0000000000000001E-5</v>
      </c>
      <c r="L73" s="194">
        <f>IFERROR(IF($C73="",-0.00001,AVERAGEIFS(Database!N:N,Database!$E:$E,$C73,Database!$A:$A,$D$1)),-0.00001)</f>
        <v>-1.0000000000000001E-5</v>
      </c>
      <c r="M73" s="194">
        <f>IFERROR(IF($C73="",-0.00001,AVERAGEIFS(Database!O:O,Database!$E:$E,$C73,Database!$A:$A,$D$1)),-0.00001)</f>
        <v>-1.0000000000000001E-5</v>
      </c>
      <c r="N73" s="194">
        <f>IFERROR(IF($C73="",-0.00001,AVERAGEIFS(Database!P:P,Database!$E:$E,$C73,Database!$A:$A,$D$1)),-0.00001)</f>
        <v>-1.0000000000000001E-5</v>
      </c>
      <c r="O73" s="194">
        <f>IFERROR(IF($C73="",-0.00001,AVERAGEIFS(Database!Q:Q,Database!$E:$E,$C73,Database!$A:$A,$D$1)),-0.00001)</f>
        <v>-1.0000000000000001E-5</v>
      </c>
      <c r="P73" s="186">
        <f>IFERROR(IF($C73="",-0.00001,AVERAGEIFS(Database!R:R,Database!$E:$E,$C73,Database!$A:$A,$D$1)),-0.00001)</f>
        <v>-1.0000000000000001E-5</v>
      </c>
      <c r="Q73" s="194">
        <f>IFERROR(IF($C73="",-0.00001,AVERAGEIFS(Database!S:S,Database!$E:$E,$C73,Database!$A:$A,$D$1)),-0.00001)</f>
        <v>-1.0000000000000001E-5</v>
      </c>
      <c r="R73" s="194">
        <f>IFERROR(IF($C73="",-0.00001,AVERAGEIFS(Database!T:T,Database!$E:$E,$C73,Database!$A:$A,$D$1)),-0.00001)</f>
        <v>-1.0000000000000001E-5</v>
      </c>
      <c r="S73" s="186">
        <f>IFERROR(IF($C73="",-0.00001,AVERAGEIFS(Database!U:U,Database!$E:$E,$C73,Database!$A:$A,$D$1)),-0.00001)</f>
        <v>-1.0000000000000001E-5</v>
      </c>
      <c r="T73" s="194">
        <f>IFERROR(IF($C73="",-0.00001,AVERAGEIFS(Database!V:V,Database!$E:$E,$C73,Database!$A:$A,$D$1)),-0.00001)</f>
        <v>-1.0000000000000001E-5</v>
      </c>
      <c r="U73" s="194">
        <f>IFERROR(IF($C73="",-0.00001,AVERAGEIFS(Database!W:W,Database!$E:$E,$C73,Database!$A:$A,$D$1)),-0.00001)</f>
        <v>-1.0000000000000001E-5</v>
      </c>
      <c r="V73" s="186">
        <f>IFERROR(IF($C73="",-0.00001,AVERAGEIFS(Database!X:X,Database!$E:$E,$C73,Database!$A:$A,$D$1)),-0.00001)</f>
        <v>-1.0000000000000001E-5</v>
      </c>
      <c r="W73" s="187"/>
      <c r="X73" s="187"/>
      <c r="Y73" s="187"/>
      <c r="Z73" s="187"/>
      <c r="AA73" s="187"/>
      <c r="AB73" s="187"/>
      <c r="AC73" s="187"/>
      <c r="AD73" s="187"/>
      <c r="AE73" s="187"/>
    </row>
    <row r="74" spans="1:31" x14ac:dyDescent="0.25">
      <c r="A74" s="187"/>
      <c r="B74" s="187" t="str">
        <f>IF($C74="","",MAX($B$4:$B73)+1)</f>
        <v/>
      </c>
      <c r="C74" s="145"/>
      <c r="D74" s="183" t="str">
        <f>IFERROR(VLOOKUP($C74,Rosters!$C$4:$M$239,INDEX(Lists!$N$5:$O$80,MATCH($C74,Lists!$N$5:$N$80,FALSE),2)),"")</f>
        <v/>
      </c>
      <c r="E74" s="237">
        <f>IF($C74="",-0.00001,COUNTIFS(Database!E:E,$C74,Database!A:A,$D$1))</f>
        <v>-1.0000000000000001E-5</v>
      </c>
      <c r="F74" s="194">
        <f>IFERROR(IF($C74="",-0.00001,AVERAGEIFS(Database!H:H,Database!$E:$E,$C74,Database!$A:$A,$D$1)),-0.00001)</f>
        <v>-1.0000000000000001E-5</v>
      </c>
      <c r="G74" s="194">
        <f>IFERROR(IF($C74="",-0.00001,AVERAGEIFS(Database!I:I,Database!$E:$E,$C74,Database!$A:$A,$D$1)),-0.00001)</f>
        <v>-1.0000000000000001E-5</v>
      </c>
      <c r="H74" s="194">
        <f>IFERROR(IF($C74="",-0.00001,AVERAGEIFS(Database!J:J,Database!$E:$E,$C74,Database!$A:$A,$D$1)),-0.00001)</f>
        <v>-1.0000000000000001E-5</v>
      </c>
      <c r="I74" s="194">
        <f>IFERROR(IF($C74="",-0.00001,AVERAGEIFS(Database!K:K,Database!$E:$E,$C74,Database!$A:$A,$D$1)),-0.00001)</f>
        <v>-1.0000000000000001E-5</v>
      </c>
      <c r="J74" s="194">
        <f>IFERROR(IF($C74="",-0.00001,AVERAGEIFS(Database!L:L,Database!$E:$E,$C74,Database!$A:$A,$D$1)),-0.00001)</f>
        <v>-1.0000000000000001E-5</v>
      </c>
      <c r="K74" s="194">
        <f>IFERROR(IF($C74="",-0.00001,AVERAGEIFS(Database!M:M,Database!$E:$E,$C74,Database!$A:$A,$D$1)),-0.00001)</f>
        <v>-1.0000000000000001E-5</v>
      </c>
      <c r="L74" s="194">
        <f>IFERROR(IF($C74="",-0.00001,AVERAGEIFS(Database!N:N,Database!$E:$E,$C74,Database!$A:$A,$D$1)),-0.00001)</f>
        <v>-1.0000000000000001E-5</v>
      </c>
      <c r="M74" s="194">
        <f>IFERROR(IF($C74="",-0.00001,AVERAGEIFS(Database!O:O,Database!$E:$E,$C74,Database!$A:$A,$D$1)),-0.00001)</f>
        <v>-1.0000000000000001E-5</v>
      </c>
      <c r="N74" s="194">
        <f>IFERROR(IF($C74="",-0.00001,AVERAGEIFS(Database!P:P,Database!$E:$E,$C74,Database!$A:$A,$D$1)),-0.00001)</f>
        <v>-1.0000000000000001E-5</v>
      </c>
      <c r="O74" s="194">
        <f>IFERROR(IF($C74="",-0.00001,AVERAGEIFS(Database!Q:Q,Database!$E:$E,$C74,Database!$A:$A,$D$1)),-0.00001)</f>
        <v>-1.0000000000000001E-5</v>
      </c>
      <c r="P74" s="186">
        <f>IFERROR(IF($C74="",-0.00001,AVERAGEIFS(Database!R:R,Database!$E:$E,$C74,Database!$A:$A,$D$1)),-0.00001)</f>
        <v>-1.0000000000000001E-5</v>
      </c>
      <c r="Q74" s="194">
        <f>IFERROR(IF($C74="",-0.00001,AVERAGEIFS(Database!S:S,Database!$E:$E,$C74,Database!$A:$A,$D$1)),-0.00001)</f>
        <v>-1.0000000000000001E-5</v>
      </c>
      <c r="R74" s="194">
        <f>IFERROR(IF($C74="",-0.00001,AVERAGEIFS(Database!T:T,Database!$E:$E,$C74,Database!$A:$A,$D$1)),-0.00001)</f>
        <v>-1.0000000000000001E-5</v>
      </c>
      <c r="S74" s="186">
        <f>IFERROR(IF($C74="",-0.00001,AVERAGEIFS(Database!U:U,Database!$E:$E,$C74,Database!$A:$A,$D$1)),-0.00001)</f>
        <v>-1.0000000000000001E-5</v>
      </c>
      <c r="T74" s="194">
        <f>IFERROR(IF($C74="",-0.00001,AVERAGEIFS(Database!V:V,Database!$E:$E,$C74,Database!$A:$A,$D$1)),-0.00001)</f>
        <v>-1.0000000000000001E-5</v>
      </c>
      <c r="U74" s="194">
        <f>IFERROR(IF($C74="",-0.00001,AVERAGEIFS(Database!W:W,Database!$E:$E,$C74,Database!$A:$A,$D$1)),-0.00001)</f>
        <v>-1.0000000000000001E-5</v>
      </c>
      <c r="V74" s="186">
        <f>IFERROR(IF($C74="",-0.00001,AVERAGEIFS(Database!X:X,Database!$E:$E,$C74,Database!$A:$A,$D$1)),-0.00001)</f>
        <v>-1.0000000000000001E-5</v>
      </c>
      <c r="W74" s="187"/>
      <c r="X74" s="187"/>
      <c r="Y74" s="187"/>
      <c r="Z74" s="187"/>
      <c r="AA74" s="187"/>
      <c r="AB74" s="187"/>
      <c r="AC74" s="187"/>
      <c r="AD74" s="187"/>
      <c r="AE74" s="187"/>
    </row>
    <row r="75" spans="1:31" x14ac:dyDescent="0.25">
      <c r="A75" s="187"/>
      <c r="B75" s="187" t="str">
        <f>IF($C75="","",MAX($B$4:$B74)+1)</f>
        <v/>
      </c>
      <c r="C75" s="145"/>
      <c r="D75" s="183" t="str">
        <f>IFERROR(VLOOKUP($C75,Rosters!$C$4:$M$239,INDEX(Lists!$N$5:$O$80,MATCH($C75,Lists!$N$5:$N$80,FALSE),2)),"")</f>
        <v/>
      </c>
      <c r="E75" s="237">
        <f>IF($C75="",-0.00001,COUNTIFS(Database!E:E,$C75,Database!A:A,$D$1))</f>
        <v>-1.0000000000000001E-5</v>
      </c>
      <c r="F75" s="194">
        <f>IFERROR(IF($C75="",-0.00001,AVERAGEIFS(Database!H:H,Database!$E:$E,$C75,Database!$A:$A,$D$1)),-0.00001)</f>
        <v>-1.0000000000000001E-5</v>
      </c>
      <c r="G75" s="194">
        <f>IFERROR(IF($C75="",-0.00001,AVERAGEIFS(Database!I:I,Database!$E:$E,$C75,Database!$A:$A,$D$1)),-0.00001)</f>
        <v>-1.0000000000000001E-5</v>
      </c>
      <c r="H75" s="194">
        <f>IFERROR(IF($C75="",-0.00001,AVERAGEIFS(Database!J:J,Database!$E:$E,$C75,Database!$A:$A,$D$1)),-0.00001)</f>
        <v>-1.0000000000000001E-5</v>
      </c>
      <c r="I75" s="194">
        <f>IFERROR(IF($C75="",-0.00001,AVERAGEIFS(Database!K:K,Database!$E:$E,$C75,Database!$A:$A,$D$1)),-0.00001)</f>
        <v>-1.0000000000000001E-5</v>
      </c>
      <c r="J75" s="194">
        <f>IFERROR(IF($C75="",-0.00001,AVERAGEIFS(Database!L:L,Database!$E:$E,$C75,Database!$A:$A,$D$1)),-0.00001)</f>
        <v>-1.0000000000000001E-5</v>
      </c>
      <c r="K75" s="194">
        <f>IFERROR(IF($C75="",-0.00001,AVERAGEIFS(Database!M:M,Database!$E:$E,$C75,Database!$A:$A,$D$1)),-0.00001)</f>
        <v>-1.0000000000000001E-5</v>
      </c>
      <c r="L75" s="194">
        <f>IFERROR(IF($C75="",-0.00001,AVERAGEIFS(Database!N:N,Database!$E:$E,$C75,Database!$A:$A,$D$1)),-0.00001)</f>
        <v>-1.0000000000000001E-5</v>
      </c>
      <c r="M75" s="194">
        <f>IFERROR(IF($C75="",-0.00001,AVERAGEIFS(Database!O:O,Database!$E:$E,$C75,Database!$A:$A,$D$1)),-0.00001)</f>
        <v>-1.0000000000000001E-5</v>
      </c>
      <c r="N75" s="194">
        <f>IFERROR(IF($C75="",-0.00001,AVERAGEIFS(Database!P:P,Database!$E:$E,$C75,Database!$A:$A,$D$1)),-0.00001)</f>
        <v>-1.0000000000000001E-5</v>
      </c>
      <c r="O75" s="194">
        <f>IFERROR(IF($C75="",-0.00001,AVERAGEIFS(Database!Q:Q,Database!$E:$E,$C75,Database!$A:$A,$D$1)),-0.00001)</f>
        <v>-1.0000000000000001E-5</v>
      </c>
      <c r="P75" s="186">
        <f>IFERROR(IF($C75="",-0.00001,AVERAGEIFS(Database!R:R,Database!$E:$E,$C75,Database!$A:$A,$D$1)),-0.00001)</f>
        <v>-1.0000000000000001E-5</v>
      </c>
      <c r="Q75" s="194">
        <f>IFERROR(IF($C75="",-0.00001,AVERAGEIFS(Database!S:S,Database!$E:$E,$C75,Database!$A:$A,$D$1)),-0.00001)</f>
        <v>-1.0000000000000001E-5</v>
      </c>
      <c r="R75" s="194">
        <f>IFERROR(IF($C75="",-0.00001,AVERAGEIFS(Database!T:T,Database!$E:$E,$C75,Database!$A:$A,$D$1)),-0.00001)</f>
        <v>-1.0000000000000001E-5</v>
      </c>
      <c r="S75" s="186">
        <f>IFERROR(IF($C75="",-0.00001,AVERAGEIFS(Database!U:U,Database!$E:$E,$C75,Database!$A:$A,$D$1)),-0.00001)</f>
        <v>-1.0000000000000001E-5</v>
      </c>
      <c r="T75" s="194">
        <f>IFERROR(IF($C75="",-0.00001,AVERAGEIFS(Database!V:V,Database!$E:$E,$C75,Database!$A:$A,$D$1)),-0.00001)</f>
        <v>-1.0000000000000001E-5</v>
      </c>
      <c r="U75" s="194">
        <f>IFERROR(IF($C75="",-0.00001,AVERAGEIFS(Database!W:W,Database!$E:$E,$C75,Database!$A:$A,$D$1)),-0.00001)</f>
        <v>-1.0000000000000001E-5</v>
      </c>
      <c r="V75" s="186">
        <f>IFERROR(IF($C75="",-0.00001,AVERAGEIFS(Database!X:X,Database!$E:$E,$C75,Database!$A:$A,$D$1)),-0.00001)</f>
        <v>-1.0000000000000001E-5</v>
      </c>
      <c r="W75" s="187"/>
      <c r="X75" s="187"/>
      <c r="Y75" s="187"/>
      <c r="Z75" s="187"/>
      <c r="AA75" s="187"/>
      <c r="AB75" s="187"/>
      <c r="AC75" s="187"/>
      <c r="AD75" s="187"/>
      <c r="AE75" s="187"/>
    </row>
    <row r="76" spans="1:31" x14ac:dyDescent="0.25">
      <c r="A76" s="187"/>
      <c r="B76" s="187" t="str">
        <f>IF($C76="","",MAX($B$4:$B75)+1)</f>
        <v/>
      </c>
      <c r="C76" s="145"/>
      <c r="D76" s="183" t="str">
        <f>IFERROR(VLOOKUP($C76,Rosters!$C$4:$M$239,INDEX(Lists!$N$5:$O$80,MATCH($C76,Lists!$N$5:$N$80,FALSE),2)),"")</f>
        <v/>
      </c>
      <c r="E76" s="237">
        <f>IF($C76="",-0.00001,COUNTIFS(Database!E:E,$C76,Database!A:A,$D$1))</f>
        <v>-1.0000000000000001E-5</v>
      </c>
      <c r="F76" s="194">
        <f>IFERROR(IF($C76="",-0.00001,AVERAGEIFS(Database!H:H,Database!$E:$E,$C76,Database!$A:$A,$D$1)),-0.00001)</f>
        <v>-1.0000000000000001E-5</v>
      </c>
      <c r="G76" s="194">
        <f>IFERROR(IF($C76="",-0.00001,AVERAGEIFS(Database!I:I,Database!$E:$E,$C76,Database!$A:$A,$D$1)),-0.00001)</f>
        <v>-1.0000000000000001E-5</v>
      </c>
      <c r="H76" s="194">
        <f>IFERROR(IF($C76="",-0.00001,AVERAGEIFS(Database!J:J,Database!$E:$E,$C76,Database!$A:$A,$D$1)),-0.00001)</f>
        <v>-1.0000000000000001E-5</v>
      </c>
      <c r="I76" s="194">
        <f>IFERROR(IF($C76="",-0.00001,AVERAGEIFS(Database!K:K,Database!$E:$E,$C76,Database!$A:$A,$D$1)),-0.00001)</f>
        <v>-1.0000000000000001E-5</v>
      </c>
      <c r="J76" s="194">
        <f>IFERROR(IF($C76="",-0.00001,AVERAGEIFS(Database!L:L,Database!$E:$E,$C76,Database!$A:$A,$D$1)),-0.00001)</f>
        <v>-1.0000000000000001E-5</v>
      </c>
      <c r="K76" s="194">
        <f>IFERROR(IF($C76="",-0.00001,AVERAGEIFS(Database!M:M,Database!$E:$E,$C76,Database!$A:$A,$D$1)),-0.00001)</f>
        <v>-1.0000000000000001E-5</v>
      </c>
      <c r="L76" s="194">
        <f>IFERROR(IF($C76="",-0.00001,AVERAGEIFS(Database!N:N,Database!$E:$E,$C76,Database!$A:$A,$D$1)),-0.00001)</f>
        <v>-1.0000000000000001E-5</v>
      </c>
      <c r="M76" s="194">
        <f>IFERROR(IF($C76="",-0.00001,AVERAGEIFS(Database!O:O,Database!$E:$E,$C76,Database!$A:$A,$D$1)),-0.00001)</f>
        <v>-1.0000000000000001E-5</v>
      </c>
      <c r="N76" s="194">
        <f>IFERROR(IF($C76="",-0.00001,AVERAGEIFS(Database!P:P,Database!$E:$E,$C76,Database!$A:$A,$D$1)),-0.00001)</f>
        <v>-1.0000000000000001E-5</v>
      </c>
      <c r="O76" s="194">
        <f>IFERROR(IF($C76="",-0.00001,AVERAGEIFS(Database!Q:Q,Database!$E:$E,$C76,Database!$A:$A,$D$1)),-0.00001)</f>
        <v>-1.0000000000000001E-5</v>
      </c>
      <c r="P76" s="186">
        <f>IFERROR(IF($C76="",-0.00001,AVERAGEIFS(Database!R:R,Database!$E:$E,$C76,Database!$A:$A,$D$1)),-0.00001)</f>
        <v>-1.0000000000000001E-5</v>
      </c>
      <c r="Q76" s="194">
        <f>IFERROR(IF($C76="",-0.00001,AVERAGEIFS(Database!S:S,Database!$E:$E,$C76,Database!$A:$A,$D$1)),-0.00001)</f>
        <v>-1.0000000000000001E-5</v>
      </c>
      <c r="R76" s="194">
        <f>IFERROR(IF($C76="",-0.00001,AVERAGEIFS(Database!T:T,Database!$E:$E,$C76,Database!$A:$A,$D$1)),-0.00001)</f>
        <v>-1.0000000000000001E-5</v>
      </c>
      <c r="S76" s="186">
        <f>IFERROR(IF($C76="",-0.00001,AVERAGEIFS(Database!U:U,Database!$E:$E,$C76,Database!$A:$A,$D$1)),-0.00001)</f>
        <v>-1.0000000000000001E-5</v>
      </c>
      <c r="T76" s="194">
        <f>IFERROR(IF($C76="",-0.00001,AVERAGEIFS(Database!V:V,Database!$E:$E,$C76,Database!$A:$A,$D$1)),-0.00001)</f>
        <v>-1.0000000000000001E-5</v>
      </c>
      <c r="U76" s="194">
        <f>IFERROR(IF($C76="",-0.00001,AVERAGEIFS(Database!W:W,Database!$E:$E,$C76,Database!$A:$A,$D$1)),-0.00001)</f>
        <v>-1.0000000000000001E-5</v>
      </c>
      <c r="V76" s="186">
        <f>IFERROR(IF($C76="",-0.00001,AVERAGEIFS(Database!X:X,Database!$E:$E,$C76,Database!$A:$A,$D$1)),-0.00001)</f>
        <v>-1.0000000000000001E-5</v>
      </c>
      <c r="W76" s="187"/>
      <c r="X76" s="187"/>
      <c r="Y76" s="187"/>
      <c r="Z76" s="187"/>
      <c r="AA76" s="187"/>
      <c r="AB76" s="187"/>
      <c r="AC76" s="187"/>
      <c r="AD76" s="187"/>
      <c r="AE76" s="187"/>
    </row>
    <row r="77" spans="1:31" x14ac:dyDescent="0.25">
      <c r="A77" s="187"/>
      <c r="B77" s="187" t="str">
        <f>IF($C77="","",MAX($B$4:$B76)+1)</f>
        <v/>
      </c>
      <c r="C77" s="145"/>
      <c r="D77" s="183" t="str">
        <f>IFERROR(VLOOKUP($C77,Rosters!$C$4:$M$239,INDEX(Lists!$N$5:$O$80,MATCH($C77,Lists!$N$5:$N$80,FALSE),2)),"")</f>
        <v/>
      </c>
      <c r="E77" s="237">
        <f>IF($C77="",-0.00001,COUNTIFS(Database!E:E,$C77,Database!A:A,$D$1))</f>
        <v>-1.0000000000000001E-5</v>
      </c>
      <c r="F77" s="194">
        <f>IFERROR(IF($C77="",-0.00001,AVERAGEIFS(Database!H:H,Database!$E:$E,$C77,Database!$A:$A,$D$1)),-0.00001)</f>
        <v>-1.0000000000000001E-5</v>
      </c>
      <c r="G77" s="194">
        <f>IFERROR(IF($C77="",-0.00001,AVERAGEIFS(Database!I:I,Database!$E:$E,$C77,Database!$A:$A,$D$1)),-0.00001)</f>
        <v>-1.0000000000000001E-5</v>
      </c>
      <c r="H77" s="194">
        <f>IFERROR(IF($C77="",-0.00001,AVERAGEIFS(Database!J:J,Database!$E:$E,$C77,Database!$A:$A,$D$1)),-0.00001)</f>
        <v>-1.0000000000000001E-5</v>
      </c>
      <c r="I77" s="194">
        <f>IFERROR(IF($C77="",-0.00001,AVERAGEIFS(Database!K:K,Database!$E:$E,$C77,Database!$A:$A,$D$1)),-0.00001)</f>
        <v>-1.0000000000000001E-5</v>
      </c>
      <c r="J77" s="194">
        <f>IFERROR(IF($C77="",-0.00001,AVERAGEIFS(Database!L:L,Database!$E:$E,$C77,Database!$A:$A,$D$1)),-0.00001)</f>
        <v>-1.0000000000000001E-5</v>
      </c>
      <c r="K77" s="194">
        <f>IFERROR(IF($C77="",-0.00001,AVERAGEIFS(Database!M:M,Database!$E:$E,$C77,Database!$A:$A,$D$1)),-0.00001)</f>
        <v>-1.0000000000000001E-5</v>
      </c>
      <c r="L77" s="194">
        <f>IFERROR(IF($C77="",-0.00001,AVERAGEIFS(Database!N:N,Database!$E:$E,$C77,Database!$A:$A,$D$1)),-0.00001)</f>
        <v>-1.0000000000000001E-5</v>
      </c>
      <c r="M77" s="194">
        <f>IFERROR(IF($C77="",-0.00001,AVERAGEIFS(Database!O:O,Database!$E:$E,$C77,Database!$A:$A,$D$1)),-0.00001)</f>
        <v>-1.0000000000000001E-5</v>
      </c>
      <c r="N77" s="194">
        <f>IFERROR(IF($C77="",-0.00001,AVERAGEIFS(Database!P:P,Database!$E:$E,$C77,Database!$A:$A,$D$1)),-0.00001)</f>
        <v>-1.0000000000000001E-5</v>
      </c>
      <c r="O77" s="194">
        <f>IFERROR(IF($C77="",-0.00001,AVERAGEIFS(Database!Q:Q,Database!$E:$E,$C77,Database!$A:$A,$D$1)),-0.00001)</f>
        <v>-1.0000000000000001E-5</v>
      </c>
      <c r="P77" s="186">
        <f>IFERROR(IF($C77="",-0.00001,AVERAGEIFS(Database!R:R,Database!$E:$E,$C77,Database!$A:$A,$D$1)),-0.00001)</f>
        <v>-1.0000000000000001E-5</v>
      </c>
      <c r="Q77" s="194">
        <f>IFERROR(IF($C77="",-0.00001,AVERAGEIFS(Database!S:S,Database!$E:$E,$C77,Database!$A:$A,$D$1)),-0.00001)</f>
        <v>-1.0000000000000001E-5</v>
      </c>
      <c r="R77" s="194">
        <f>IFERROR(IF($C77="",-0.00001,AVERAGEIFS(Database!T:T,Database!$E:$E,$C77,Database!$A:$A,$D$1)),-0.00001)</f>
        <v>-1.0000000000000001E-5</v>
      </c>
      <c r="S77" s="186">
        <f>IFERROR(IF($C77="",-0.00001,AVERAGEIFS(Database!U:U,Database!$E:$E,$C77,Database!$A:$A,$D$1)),-0.00001)</f>
        <v>-1.0000000000000001E-5</v>
      </c>
      <c r="T77" s="194">
        <f>IFERROR(IF($C77="",-0.00001,AVERAGEIFS(Database!V:V,Database!$E:$E,$C77,Database!$A:$A,$D$1)),-0.00001)</f>
        <v>-1.0000000000000001E-5</v>
      </c>
      <c r="U77" s="194">
        <f>IFERROR(IF($C77="",-0.00001,AVERAGEIFS(Database!W:W,Database!$E:$E,$C77,Database!$A:$A,$D$1)),-0.00001)</f>
        <v>-1.0000000000000001E-5</v>
      </c>
      <c r="V77" s="186">
        <f>IFERROR(IF($C77="",-0.00001,AVERAGEIFS(Database!X:X,Database!$E:$E,$C77,Database!$A:$A,$D$1)),-0.00001)</f>
        <v>-1.0000000000000001E-5</v>
      </c>
      <c r="W77" s="187"/>
      <c r="X77" s="187"/>
      <c r="Y77" s="187"/>
      <c r="Z77" s="187"/>
      <c r="AA77" s="187"/>
      <c r="AB77" s="187"/>
      <c r="AC77" s="187"/>
      <c r="AD77" s="187"/>
      <c r="AE77" s="187"/>
    </row>
    <row r="78" spans="1:31" x14ac:dyDescent="0.25">
      <c r="A78" s="187"/>
      <c r="B78" s="187" t="str">
        <f>IF($C78="","",MAX($B$4:$B77)+1)</f>
        <v/>
      </c>
      <c r="C78" s="145"/>
      <c r="D78" s="183" t="str">
        <f>IFERROR(VLOOKUP($C78,Rosters!$C$4:$M$239,INDEX(Lists!$N$5:$O$80,MATCH($C78,Lists!$N$5:$N$80,FALSE),2)),"")</f>
        <v/>
      </c>
      <c r="E78" s="237">
        <f>IF($C78="",-0.00001,COUNTIFS(Database!E:E,$C78,Database!A:A,$D$1))</f>
        <v>-1.0000000000000001E-5</v>
      </c>
      <c r="F78" s="194">
        <f>IFERROR(IF($C78="",-0.00001,AVERAGEIFS(Database!H:H,Database!$E:$E,$C78,Database!$A:$A,$D$1)),-0.00001)</f>
        <v>-1.0000000000000001E-5</v>
      </c>
      <c r="G78" s="194">
        <f>IFERROR(IF($C78="",-0.00001,AVERAGEIFS(Database!I:I,Database!$E:$E,$C78,Database!$A:$A,$D$1)),-0.00001)</f>
        <v>-1.0000000000000001E-5</v>
      </c>
      <c r="H78" s="194">
        <f>IFERROR(IF($C78="",-0.00001,AVERAGEIFS(Database!J:J,Database!$E:$E,$C78,Database!$A:$A,$D$1)),-0.00001)</f>
        <v>-1.0000000000000001E-5</v>
      </c>
      <c r="I78" s="194">
        <f>IFERROR(IF($C78="",-0.00001,AVERAGEIFS(Database!K:K,Database!$E:$E,$C78,Database!$A:$A,$D$1)),-0.00001)</f>
        <v>-1.0000000000000001E-5</v>
      </c>
      <c r="J78" s="194">
        <f>IFERROR(IF($C78="",-0.00001,AVERAGEIFS(Database!L:L,Database!$E:$E,$C78,Database!$A:$A,$D$1)),-0.00001)</f>
        <v>-1.0000000000000001E-5</v>
      </c>
      <c r="K78" s="194">
        <f>IFERROR(IF($C78="",-0.00001,AVERAGEIFS(Database!M:M,Database!$E:$E,$C78,Database!$A:$A,$D$1)),-0.00001)</f>
        <v>-1.0000000000000001E-5</v>
      </c>
      <c r="L78" s="194">
        <f>IFERROR(IF($C78="",-0.00001,AVERAGEIFS(Database!N:N,Database!$E:$E,$C78,Database!$A:$A,$D$1)),-0.00001)</f>
        <v>-1.0000000000000001E-5</v>
      </c>
      <c r="M78" s="194">
        <f>IFERROR(IF($C78="",-0.00001,AVERAGEIFS(Database!O:O,Database!$E:$E,$C78,Database!$A:$A,$D$1)),-0.00001)</f>
        <v>-1.0000000000000001E-5</v>
      </c>
      <c r="N78" s="194">
        <f>IFERROR(IF($C78="",-0.00001,AVERAGEIFS(Database!P:P,Database!$E:$E,$C78,Database!$A:$A,$D$1)),-0.00001)</f>
        <v>-1.0000000000000001E-5</v>
      </c>
      <c r="O78" s="194">
        <f>IFERROR(IF($C78="",-0.00001,AVERAGEIFS(Database!Q:Q,Database!$E:$E,$C78,Database!$A:$A,$D$1)),-0.00001)</f>
        <v>-1.0000000000000001E-5</v>
      </c>
      <c r="P78" s="186">
        <f>IFERROR(IF($C78="",-0.00001,AVERAGEIFS(Database!R:R,Database!$E:$E,$C78,Database!$A:$A,$D$1)),-0.00001)</f>
        <v>-1.0000000000000001E-5</v>
      </c>
      <c r="Q78" s="194">
        <f>IFERROR(IF($C78="",-0.00001,AVERAGEIFS(Database!S:S,Database!$E:$E,$C78,Database!$A:$A,$D$1)),-0.00001)</f>
        <v>-1.0000000000000001E-5</v>
      </c>
      <c r="R78" s="194">
        <f>IFERROR(IF($C78="",-0.00001,AVERAGEIFS(Database!T:T,Database!$E:$E,$C78,Database!$A:$A,$D$1)),-0.00001)</f>
        <v>-1.0000000000000001E-5</v>
      </c>
      <c r="S78" s="186">
        <f>IFERROR(IF($C78="",-0.00001,AVERAGEIFS(Database!U:U,Database!$E:$E,$C78,Database!$A:$A,$D$1)),-0.00001)</f>
        <v>-1.0000000000000001E-5</v>
      </c>
      <c r="T78" s="194">
        <f>IFERROR(IF($C78="",-0.00001,AVERAGEIFS(Database!V:V,Database!$E:$E,$C78,Database!$A:$A,$D$1)),-0.00001)</f>
        <v>-1.0000000000000001E-5</v>
      </c>
      <c r="U78" s="194">
        <f>IFERROR(IF($C78="",-0.00001,AVERAGEIFS(Database!W:W,Database!$E:$E,$C78,Database!$A:$A,$D$1)),-0.00001)</f>
        <v>-1.0000000000000001E-5</v>
      </c>
      <c r="V78" s="186">
        <f>IFERROR(IF($C78="",-0.00001,AVERAGEIFS(Database!X:X,Database!$E:$E,$C78,Database!$A:$A,$D$1)),-0.00001)</f>
        <v>-1.0000000000000001E-5</v>
      </c>
      <c r="W78" s="187"/>
      <c r="X78" s="187"/>
      <c r="Y78" s="187"/>
      <c r="Z78" s="187"/>
      <c r="AA78" s="187"/>
      <c r="AB78" s="187"/>
      <c r="AC78" s="187"/>
      <c r="AD78" s="187"/>
      <c r="AE78" s="187"/>
    </row>
    <row r="79" spans="1:31" x14ac:dyDescent="0.25">
      <c r="A79" s="187"/>
      <c r="B79" s="187" t="str">
        <f>IF($C79="","",MAX($B$4:$B78)+1)</f>
        <v/>
      </c>
      <c r="C79" s="145"/>
      <c r="D79" s="183" t="str">
        <f>IFERROR(VLOOKUP($C79,Rosters!$C$4:$M$239,INDEX(Lists!$N$5:$O$80,MATCH($C79,Lists!$N$5:$N$80,FALSE),2)),"")</f>
        <v/>
      </c>
      <c r="E79" s="237">
        <f>IF($C79="",-0.00001,COUNTIFS(Database!E:E,$C79,Database!A:A,$D$1))</f>
        <v>-1.0000000000000001E-5</v>
      </c>
      <c r="F79" s="194">
        <f>IFERROR(IF($C79="",-0.00001,AVERAGEIFS(Database!H:H,Database!$E:$E,$C79,Database!$A:$A,$D$1)),-0.00001)</f>
        <v>-1.0000000000000001E-5</v>
      </c>
      <c r="G79" s="194">
        <f>IFERROR(IF($C79="",-0.00001,AVERAGEIFS(Database!I:I,Database!$E:$E,$C79,Database!$A:$A,$D$1)),-0.00001)</f>
        <v>-1.0000000000000001E-5</v>
      </c>
      <c r="H79" s="194">
        <f>IFERROR(IF($C79="",-0.00001,AVERAGEIFS(Database!J:J,Database!$E:$E,$C79,Database!$A:$A,$D$1)),-0.00001)</f>
        <v>-1.0000000000000001E-5</v>
      </c>
      <c r="I79" s="194">
        <f>IFERROR(IF($C79="",-0.00001,AVERAGEIFS(Database!K:K,Database!$E:$E,$C79,Database!$A:$A,$D$1)),-0.00001)</f>
        <v>-1.0000000000000001E-5</v>
      </c>
      <c r="J79" s="194">
        <f>IFERROR(IF($C79="",-0.00001,AVERAGEIFS(Database!L:L,Database!$E:$E,$C79,Database!$A:$A,$D$1)),-0.00001)</f>
        <v>-1.0000000000000001E-5</v>
      </c>
      <c r="K79" s="194">
        <f>IFERROR(IF($C79="",-0.00001,AVERAGEIFS(Database!M:M,Database!$E:$E,$C79,Database!$A:$A,$D$1)),-0.00001)</f>
        <v>-1.0000000000000001E-5</v>
      </c>
      <c r="L79" s="194">
        <f>IFERROR(IF($C79="",-0.00001,AVERAGEIFS(Database!N:N,Database!$E:$E,$C79,Database!$A:$A,$D$1)),-0.00001)</f>
        <v>-1.0000000000000001E-5</v>
      </c>
      <c r="M79" s="194">
        <f>IFERROR(IF($C79="",-0.00001,AVERAGEIFS(Database!O:O,Database!$E:$E,$C79,Database!$A:$A,$D$1)),-0.00001)</f>
        <v>-1.0000000000000001E-5</v>
      </c>
      <c r="N79" s="194">
        <f>IFERROR(IF($C79="",-0.00001,AVERAGEIFS(Database!P:P,Database!$E:$E,$C79,Database!$A:$A,$D$1)),-0.00001)</f>
        <v>-1.0000000000000001E-5</v>
      </c>
      <c r="O79" s="194">
        <f>IFERROR(IF($C79="",-0.00001,AVERAGEIFS(Database!Q:Q,Database!$E:$E,$C79,Database!$A:$A,$D$1)),-0.00001)</f>
        <v>-1.0000000000000001E-5</v>
      </c>
      <c r="P79" s="186">
        <f>IFERROR(IF($C79="",-0.00001,AVERAGEIFS(Database!R:R,Database!$E:$E,$C79,Database!$A:$A,$D$1)),-0.00001)</f>
        <v>-1.0000000000000001E-5</v>
      </c>
      <c r="Q79" s="194">
        <f>IFERROR(IF($C79="",-0.00001,AVERAGEIFS(Database!S:S,Database!$E:$E,$C79,Database!$A:$A,$D$1)),-0.00001)</f>
        <v>-1.0000000000000001E-5</v>
      </c>
      <c r="R79" s="194">
        <f>IFERROR(IF($C79="",-0.00001,AVERAGEIFS(Database!T:T,Database!$E:$E,$C79,Database!$A:$A,$D$1)),-0.00001)</f>
        <v>-1.0000000000000001E-5</v>
      </c>
      <c r="S79" s="186">
        <f>IFERROR(IF($C79="",-0.00001,AVERAGEIFS(Database!U:U,Database!$E:$E,$C79,Database!$A:$A,$D$1)),-0.00001)</f>
        <v>-1.0000000000000001E-5</v>
      </c>
      <c r="T79" s="194">
        <f>IFERROR(IF($C79="",-0.00001,AVERAGEIFS(Database!V:V,Database!$E:$E,$C79,Database!$A:$A,$D$1)),-0.00001)</f>
        <v>-1.0000000000000001E-5</v>
      </c>
      <c r="U79" s="194">
        <f>IFERROR(IF($C79="",-0.00001,AVERAGEIFS(Database!W:W,Database!$E:$E,$C79,Database!$A:$A,$D$1)),-0.00001)</f>
        <v>-1.0000000000000001E-5</v>
      </c>
      <c r="V79" s="186">
        <f>IFERROR(IF($C79="",-0.00001,AVERAGEIFS(Database!X:X,Database!$E:$E,$C79,Database!$A:$A,$D$1)),-0.00001)</f>
        <v>-1.0000000000000001E-5</v>
      </c>
      <c r="W79" s="187"/>
      <c r="X79" s="187"/>
      <c r="Y79" s="187"/>
      <c r="Z79" s="187"/>
      <c r="AA79" s="187"/>
      <c r="AB79" s="187"/>
      <c r="AC79" s="187"/>
      <c r="AD79" s="187"/>
      <c r="AE79" s="187"/>
    </row>
    <row r="80" spans="1:31" x14ac:dyDescent="0.25">
      <c r="A80" s="187"/>
      <c r="B80" s="187" t="str">
        <f>IF($C80="","",MAX($B$4:$B79)+1)</f>
        <v/>
      </c>
      <c r="C80" s="145"/>
      <c r="D80" s="183" t="str">
        <f>IFERROR(VLOOKUP($C80,Rosters!$C$4:$M$239,INDEX(Lists!$N$5:$O$80,MATCH($C80,Lists!$N$5:$N$80,FALSE),2)),"")</f>
        <v/>
      </c>
      <c r="E80" s="237">
        <f>IF($C80="",-0.00001,COUNTIFS(Database!E:E,$C80,Database!A:A,$D$1))</f>
        <v>-1.0000000000000001E-5</v>
      </c>
      <c r="F80" s="194">
        <f>IFERROR(IF($C80="",-0.00001,AVERAGEIFS(Database!H:H,Database!$E:$E,$C80,Database!$A:$A,$D$1)),-0.00001)</f>
        <v>-1.0000000000000001E-5</v>
      </c>
      <c r="G80" s="194">
        <f>IFERROR(IF($C80="",-0.00001,AVERAGEIFS(Database!I:I,Database!$E:$E,$C80,Database!$A:$A,$D$1)),-0.00001)</f>
        <v>-1.0000000000000001E-5</v>
      </c>
      <c r="H80" s="194">
        <f>IFERROR(IF($C80="",-0.00001,AVERAGEIFS(Database!J:J,Database!$E:$E,$C80,Database!$A:$A,$D$1)),-0.00001)</f>
        <v>-1.0000000000000001E-5</v>
      </c>
      <c r="I80" s="194">
        <f>IFERROR(IF($C80="",-0.00001,AVERAGEIFS(Database!K:K,Database!$E:$E,$C80,Database!$A:$A,$D$1)),-0.00001)</f>
        <v>-1.0000000000000001E-5</v>
      </c>
      <c r="J80" s="194">
        <f>IFERROR(IF($C80="",-0.00001,AVERAGEIFS(Database!L:L,Database!$E:$E,$C80,Database!$A:$A,$D$1)),-0.00001)</f>
        <v>-1.0000000000000001E-5</v>
      </c>
      <c r="K80" s="194">
        <f>IFERROR(IF($C80="",-0.00001,AVERAGEIFS(Database!M:M,Database!$E:$E,$C80,Database!$A:$A,$D$1)),-0.00001)</f>
        <v>-1.0000000000000001E-5</v>
      </c>
      <c r="L80" s="194">
        <f>IFERROR(IF($C80="",-0.00001,AVERAGEIFS(Database!N:N,Database!$E:$E,$C80,Database!$A:$A,$D$1)),-0.00001)</f>
        <v>-1.0000000000000001E-5</v>
      </c>
      <c r="M80" s="194">
        <f>IFERROR(IF($C80="",-0.00001,AVERAGEIFS(Database!O:O,Database!$E:$E,$C80,Database!$A:$A,$D$1)),-0.00001)</f>
        <v>-1.0000000000000001E-5</v>
      </c>
      <c r="N80" s="194">
        <f>IFERROR(IF($C80="",-0.00001,AVERAGEIFS(Database!P:P,Database!$E:$E,$C80,Database!$A:$A,$D$1)),-0.00001)</f>
        <v>-1.0000000000000001E-5</v>
      </c>
      <c r="O80" s="194">
        <f>IFERROR(IF($C80="",-0.00001,AVERAGEIFS(Database!Q:Q,Database!$E:$E,$C80,Database!$A:$A,$D$1)),-0.00001)</f>
        <v>-1.0000000000000001E-5</v>
      </c>
      <c r="P80" s="186">
        <f>IFERROR(IF($C80="",-0.00001,AVERAGEIFS(Database!R:R,Database!$E:$E,$C80,Database!$A:$A,$D$1)),-0.00001)</f>
        <v>-1.0000000000000001E-5</v>
      </c>
      <c r="Q80" s="194">
        <f>IFERROR(IF($C80="",-0.00001,AVERAGEIFS(Database!S:S,Database!$E:$E,$C80,Database!$A:$A,$D$1)),-0.00001)</f>
        <v>-1.0000000000000001E-5</v>
      </c>
      <c r="R80" s="194">
        <f>IFERROR(IF($C80="",-0.00001,AVERAGEIFS(Database!T:T,Database!$E:$E,$C80,Database!$A:$A,$D$1)),-0.00001)</f>
        <v>-1.0000000000000001E-5</v>
      </c>
      <c r="S80" s="186">
        <f>IFERROR(IF($C80="",-0.00001,AVERAGEIFS(Database!U:U,Database!$E:$E,$C80,Database!$A:$A,$D$1)),-0.00001)</f>
        <v>-1.0000000000000001E-5</v>
      </c>
      <c r="T80" s="194">
        <f>IFERROR(IF($C80="",-0.00001,AVERAGEIFS(Database!V:V,Database!$E:$E,$C80,Database!$A:$A,$D$1)),-0.00001)</f>
        <v>-1.0000000000000001E-5</v>
      </c>
      <c r="U80" s="194">
        <f>IFERROR(IF($C80="",-0.00001,AVERAGEIFS(Database!W:W,Database!$E:$E,$C80,Database!$A:$A,$D$1)),-0.00001)</f>
        <v>-1.0000000000000001E-5</v>
      </c>
      <c r="V80" s="186">
        <f>IFERROR(IF($C80="",-0.00001,AVERAGEIFS(Database!X:X,Database!$E:$E,$C80,Database!$A:$A,$D$1)),-0.00001)</f>
        <v>-1.0000000000000001E-5</v>
      </c>
      <c r="W80" s="187"/>
      <c r="X80" s="187"/>
      <c r="Y80" s="187"/>
      <c r="Z80" s="187"/>
      <c r="AA80" s="187"/>
      <c r="AB80" s="187"/>
      <c r="AC80" s="187"/>
      <c r="AD80" s="187"/>
      <c r="AE80" s="187"/>
    </row>
    <row r="81" spans="1:31" x14ac:dyDescent="0.25">
      <c r="A81" s="187"/>
      <c r="B81" s="187"/>
      <c r="C81" s="187"/>
      <c r="D81" s="187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190"/>
      <c r="Q81" s="234"/>
      <c r="R81" s="234"/>
      <c r="S81" s="190"/>
      <c r="T81" s="234"/>
      <c r="U81" s="234"/>
      <c r="V81" s="190"/>
      <c r="W81" s="187"/>
      <c r="X81" s="187"/>
      <c r="Y81" s="187"/>
      <c r="Z81" s="187"/>
      <c r="AA81" s="187"/>
      <c r="AB81" s="187"/>
      <c r="AC81" s="187"/>
      <c r="AD81" s="187"/>
      <c r="AE81" s="187"/>
    </row>
    <row r="82" spans="1:31" x14ac:dyDescent="0.25">
      <c r="A82" s="187"/>
      <c r="B82" s="187"/>
      <c r="C82" s="187"/>
      <c r="D82" s="187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190"/>
      <c r="Q82" s="234"/>
      <c r="R82" s="234"/>
      <c r="S82" s="190"/>
      <c r="T82" s="234"/>
      <c r="U82" s="234"/>
      <c r="V82" s="190"/>
      <c r="W82" s="187"/>
      <c r="X82" s="187"/>
      <c r="Y82" s="187"/>
      <c r="Z82" s="187"/>
      <c r="AA82" s="187"/>
      <c r="AB82" s="187"/>
      <c r="AC82" s="187"/>
      <c r="AD82" s="187"/>
      <c r="AE82" s="187"/>
    </row>
  </sheetData>
  <sheetProtection algorithmName="SHA-512" hashValue="yIFm0vLDWxE/ztXRy3csjQ3AaEK2JFxlxw6BDEZzDn/1KF9psKf9v8EMkqHInVzX7OUt93IRSvy13zMrfdyDdQ==" saltValue="KGe3O6XgD0IFj6XvK42nTg==" spinCount="100000" sheet="1" objects="1" scenarios="1" selectLockedCells="1"/>
  <conditionalFormatting sqref="E4:V80">
    <cfRule type="cellIs" dxfId="29" priority="1" operator="equal">
      <formula>-0.00001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DropDown="1" showInputMessage="1" showErrorMessage="1" xr:uid="{BB33420F-52A2-4318-B6CF-5EF0DBF26DCB}">
          <x14:formula1>
            <xm:f>Lists!$Q$5:$Q$14</xm:f>
          </x14:formula1>
          <xm:sqref>D1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92D050"/>
  </sheetPr>
  <dimension ref="A1:AX82"/>
  <sheetViews>
    <sheetView showGridLines="0" showRowColHeaders="0" workbookViewId="0">
      <pane xSplit="3" ySplit="3" topLeftCell="D4" activePane="bottomRight" state="frozen"/>
      <selection activeCell="D4" sqref="D4"/>
      <selection pane="topRight" activeCell="D4" sqref="D4"/>
      <selection pane="bottomLeft" activeCell="D4" sqref="D4"/>
      <selection pane="bottomRight" activeCell="C4" sqref="C4"/>
    </sheetView>
  </sheetViews>
  <sheetFormatPr defaultColWidth="8.85546875" defaultRowHeight="15" x14ac:dyDescent="0.25"/>
  <cols>
    <col min="1" max="2" width="2.85546875" customWidth="1"/>
    <col min="3" max="3" width="19.42578125" bestFit="1" customWidth="1"/>
    <col min="4" max="6" width="6.42578125" style="1" customWidth="1"/>
    <col min="7" max="7" width="8.7109375" style="1" bestFit="1" customWidth="1"/>
    <col min="8" max="17" width="7.85546875" style="1" customWidth="1"/>
    <col min="18" max="18" width="7.85546875" style="105" customWidth="1"/>
    <col min="19" max="20" width="7.85546875" style="1" customWidth="1"/>
    <col min="21" max="21" width="7.85546875" style="105" customWidth="1"/>
    <col min="22" max="23" width="7.85546875" style="1" customWidth="1"/>
    <col min="24" max="24" width="7.85546875" style="105" customWidth="1"/>
    <col min="25" max="25" width="0.7109375" style="105" customWidth="1"/>
    <col min="40" max="41" width="2.85546875" customWidth="1"/>
  </cols>
  <sheetData>
    <row r="1" spans="1:50" ht="60" customHeight="1" thickBot="1" x14ac:dyDescent="0.45">
      <c r="A1" s="187"/>
      <c r="B1" s="187"/>
      <c r="C1" s="238" t="str">
        <f>Lists!$E$5</f>
        <v>Season 2</v>
      </c>
      <c r="D1" s="232"/>
      <c r="E1" s="232"/>
      <c r="F1" s="232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90"/>
      <c r="S1" s="189"/>
      <c r="T1" s="189"/>
      <c r="U1" s="190"/>
      <c r="V1" s="189"/>
      <c r="W1" s="189"/>
      <c r="X1" s="190"/>
      <c r="Y1" s="190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</row>
    <row r="2" spans="1:50" x14ac:dyDescent="0.25">
      <c r="A2" s="187"/>
      <c r="B2" s="187"/>
      <c r="C2" s="187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90"/>
      <c r="S2" s="189"/>
      <c r="T2" s="189"/>
      <c r="U2" s="190"/>
      <c r="V2" s="189"/>
      <c r="W2" s="189"/>
      <c r="X2" s="190"/>
      <c r="Y2" s="292"/>
      <c r="Z2" s="431" t="s">
        <v>229</v>
      </c>
      <c r="AA2" s="432"/>
      <c r="AB2" s="432"/>
      <c r="AC2" s="432"/>
      <c r="AD2" s="432"/>
      <c r="AE2" s="432"/>
      <c r="AF2" s="432"/>
      <c r="AG2" s="432"/>
      <c r="AH2" s="432"/>
      <c r="AI2" s="432"/>
      <c r="AJ2" s="432"/>
      <c r="AK2" s="432"/>
      <c r="AL2" s="432"/>
      <c r="AM2" s="433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</row>
    <row r="3" spans="1:50" s="178" customFormat="1" ht="32.25" thickBot="1" x14ac:dyDescent="0.3">
      <c r="A3" s="188"/>
      <c r="B3" s="188"/>
      <c r="C3" s="180" t="s">
        <v>70</v>
      </c>
      <c r="D3" s="180" t="s">
        <v>174</v>
      </c>
      <c r="E3" s="180" t="s">
        <v>175</v>
      </c>
      <c r="F3" s="180" t="s">
        <v>176</v>
      </c>
      <c r="G3" s="180" t="s">
        <v>71</v>
      </c>
      <c r="H3" s="180" t="s">
        <v>72</v>
      </c>
      <c r="I3" s="180" t="s">
        <v>73</v>
      </c>
      <c r="J3" s="180" t="s">
        <v>74</v>
      </c>
      <c r="K3" s="180" t="s">
        <v>75</v>
      </c>
      <c r="L3" s="180" t="s">
        <v>76</v>
      </c>
      <c r="M3" s="180" t="s">
        <v>77</v>
      </c>
      <c r="N3" s="180" t="s">
        <v>78</v>
      </c>
      <c r="O3" s="180" t="s">
        <v>79</v>
      </c>
      <c r="P3" s="180" t="s">
        <v>80</v>
      </c>
      <c r="Q3" s="180" t="s">
        <v>124</v>
      </c>
      <c r="R3" s="181" t="s">
        <v>82</v>
      </c>
      <c r="S3" s="180" t="s">
        <v>125</v>
      </c>
      <c r="T3" s="180" t="s">
        <v>126</v>
      </c>
      <c r="U3" s="181" t="s">
        <v>85</v>
      </c>
      <c r="V3" s="180" t="s">
        <v>127</v>
      </c>
      <c r="W3" s="180" t="s">
        <v>128</v>
      </c>
      <c r="X3" s="182" t="s">
        <v>88</v>
      </c>
      <c r="Y3" s="290"/>
      <c r="Z3" s="180" t="s">
        <v>72</v>
      </c>
      <c r="AA3" s="180" t="s">
        <v>73</v>
      </c>
      <c r="AB3" s="180" t="s">
        <v>74</v>
      </c>
      <c r="AC3" s="180" t="s">
        <v>75</v>
      </c>
      <c r="AD3" s="180" t="s">
        <v>76</v>
      </c>
      <c r="AE3" s="180" t="s">
        <v>77</v>
      </c>
      <c r="AF3" s="180" t="s">
        <v>78</v>
      </c>
      <c r="AG3" s="180" t="s">
        <v>79</v>
      </c>
      <c r="AH3" s="180" t="s">
        <v>80</v>
      </c>
      <c r="AI3" s="180" t="s">
        <v>124</v>
      </c>
      <c r="AJ3" s="180" t="s">
        <v>125</v>
      </c>
      <c r="AK3" s="180" t="s">
        <v>126</v>
      </c>
      <c r="AL3" s="180" t="s">
        <v>127</v>
      </c>
      <c r="AM3" s="180" t="s">
        <v>128</v>
      </c>
      <c r="AN3" s="188"/>
      <c r="AO3" s="188"/>
      <c r="AP3" s="188"/>
      <c r="AQ3" s="188"/>
      <c r="AR3" s="188"/>
      <c r="AS3" s="188"/>
      <c r="AT3" s="188"/>
      <c r="AU3" s="188"/>
      <c r="AV3" s="188"/>
      <c r="AW3" s="188"/>
      <c r="AX3" s="188"/>
    </row>
    <row r="4" spans="1:50" x14ac:dyDescent="0.25">
      <c r="A4" s="187"/>
      <c r="B4" s="187">
        <v>1</v>
      </c>
      <c r="C4" s="145" t="s">
        <v>38</v>
      </c>
      <c r="D4" s="233">
        <f>IF($C4="",-0.00001,COUNTIFS(Database!$AD:$AD,$C4,Database!$A:$A,$C$1,Database!$AE:$AE,"W"))</f>
        <v>4</v>
      </c>
      <c r="E4" s="233">
        <f>IF($C4="",-0.00001,COUNTIFS(Database!$AD:$AD,$C4,Database!$A:$A,$C$1,Database!$AE:$AE,"L"))</f>
        <v>0</v>
      </c>
      <c r="F4" s="233" t="str">
        <f t="shared" ref="F4:F35" si="0">IF($C4="",-0.00001,IF($D4=MAX($D$4:$D$80),"-",$D4-MAX($D$4:$D$80)))</f>
        <v>-</v>
      </c>
      <c r="G4" s="185">
        <f>IF($C4="",-0.00001,COUNTIFS(Database!AD:AD,$C4,Database!A:A,$C$1))</f>
        <v>4</v>
      </c>
      <c r="H4" s="185">
        <f>IFERROR(IF($C4="",-0.00001,SUMIFS(Database!AG:AG,Database!$AD:$AD,$C4,Database!$A:$A,$C$1)),-0.00001)</f>
        <v>247</v>
      </c>
      <c r="I4" s="185">
        <f>IFERROR(IF($C4="",-0.00001,SUMIFS(Database!AH:AH,Database!$AD:$AD,$C4,Database!$A:$A,$C$1)),-0.00001)</f>
        <v>146</v>
      </c>
      <c r="J4" s="185">
        <f>IFERROR(IF($C4="",-0.00001,SUMIFS(Database!AI:AI,Database!$AD:$AD,$C4,Database!$A:$A,$C$1)),-0.00001)</f>
        <v>55</v>
      </c>
      <c r="K4" s="185">
        <f>IFERROR(IF($C4="",-0.00001,SUMIFS(Database!AJ:AJ,Database!$AD:$AD,$C4,Database!$A:$A,$C$1)),-0.00001)</f>
        <v>41</v>
      </c>
      <c r="L4" s="185">
        <f>IFERROR(IF($C4="",-0.00001,SUMIFS(Database!AK:AK,Database!$AD:$AD,$C4,Database!$A:$A,$C$1)),-0.00001)</f>
        <v>19</v>
      </c>
      <c r="M4" s="185">
        <f>IFERROR(IF($C4="",-0.00001,SUMIFS(Database!AL:AL,Database!$AD:$AD,$C4,Database!$A:$A,$C$1)),-0.00001)</f>
        <v>31</v>
      </c>
      <c r="N4" s="185">
        <f>IFERROR(IF($C4="",-0.00001,SUMIFS(Database!AM:AM,Database!$AD:$AD,$C4,Database!$A:$A,$C$1)),-0.00001)</f>
        <v>40</v>
      </c>
      <c r="O4" s="185">
        <f>IFERROR(IF($C4="",-0.00001,SUMIFS(Database!AN:AN,Database!$AD:$AD,$C4,Database!$A:$A,$C$1)),-0.00001)</f>
        <v>106</v>
      </c>
      <c r="P4" s="185">
        <f>IFERROR(IF($C4="",-0.00001,SUMIFS(Database!AO:AO,Database!$AD:$AD,$C4,Database!$A:$A,$C$1)),-0.00001)</f>
        <v>23</v>
      </c>
      <c r="Q4" s="185">
        <f>IFERROR(IF($C4="",-0.00001,SUMIFS(Database!AP:AP,Database!$AD:$AD,$C4,Database!$A:$A,$C$1)),-0.00001)</f>
        <v>76</v>
      </c>
      <c r="R4" s="186">
        <f t="shared" ref="R4:R35" si="1">IFERROR(IF($C4="",-0.00001,$P4/$Q4),-0.00001)</f>
        <v>0.30263157894736842</v>
      </c>
      <c r="S4" s="185">
        <f>IFERROR(IF($C4="",-0.00001,SUMIFS(Database!AR:AR,Database!$AD:$AD,$C4,Database!$A:$A,$C$1)),-0.00001)</f>
        <v>105</v>
      </c>
      <c r="T4" s="185">
        <f>IFERROR(IF($C4="",-0.00001,SUMIFS(Database!AS:AS,Database!$AD:$AD,$C4,Database!$A:$A,$C$1)),-0.00001)</f>
        <v>254</v>
      </c>
      <c r="U4" s="186">
        <f t="shared" ref="U4:U35" si="2">IFERROR(IF($C4="",-0.00001,$S4/$T4),-0.00001)</f>
        <v>0.41338582677165353</v>
      </c>
      <c r="V4" s="185">
        <f>IFERROR(IF($C4="",-0.00001,SUMIFS(Database!AU:AU,Database!$AD:$AD,$C4,Database!$A:$A,$C$1)),-0.00001)</f>
        <v>14</v>
      </c>
      <c r="W4" s="185">
        <f>IFERROR(IF($C4="",-0.00001,SUMIFS(Database!AV:AV,Database!$AD:$AD,$C4,Database!$A:$A,$C$1)),-0.00001)</f>
        <v>28</v>
      </c>
      <c r="X4" s="186">
        <f t="shared" ref="X4:X35" si="3">IFERROR(IF($C4="",-0.00001,$V4/$W4),-0.00001)</f>
        <v>0.5</v>
      </c>
      <c r="Y4" s="291"/>
      <c r="Z4" s="293">
        <f>IFERROR(IF($C4="",-0.00001,SUMIFS(Database!AG:AG,Database!$AD:$AD,$C4,Database!$A:$A,$C$1)/$G4),-0.00001)</f>
        <v>61.75</v>
      </c>
      <c r="AA4" s="293">
        <f>IFERROR(IF($C4="",-0.00001,SUMIFS(Database!AH:AH,Database!$AD:$AD,$C4,Database!$A:$A,$C$1)/$G4),-0.00001)</f>
        <v>36.5</v>
      </c>
      <c r="AB4" s="293">
        <f>IFERROR(IF($C4="",-0.00001,SUMIFS(Database!AI:AI,Database!$AD:$AD,$C4,Database!$A:$A,$C$1)/$G4),-0.00001)</f>
        <v>13.75</v>
      </c>
      <c r="AC4" s="293">
        <f>IFERROR(IF($C4="",-0.00001,SUMIFS(Database!AJ:AJ,Database!$AD:$AD,$C4,Database!$A:$A,$C$1)/$G4),-0.00001)</f>
        <v>10.25</v>
      </c>
      <c r="AD4" s="293">
        <f>IFERROR(IF($C4="",-0.00001,SUMIFS(Database!AK:AK,Database!$AD:$AD,$C4,Database!$A:$A,$C$1)/$G4),-0.00001)</f>
        <v>4.75</v>
      </c>
      <c r="AE4" s="293">
        <f>IFERROR(IF($C4="",-0.00001,SUMIFS(Database!AL:AL,Database!$AD:$AD,$C4,Database!$A:$A,$C$1)/$G4),-0.00001)</f>
        <v>7.75</v>
      </c>
      <c r="AF4" s="293">
        <f>IFERROR(IF($C4="",-0.00001,SUMIFS(Database!AM:AM,Database!$AD:$AD,$C4,Database!$A:$A,$C$1)/$G4),-0.00001)</f>
        <v>10</v>
      </c>
      <c r="AG4" s="293">
        <f>IFERROR(IF($C4="",-0.00001,SUMIFS(Database!AN:AN,Database!$AD:$AD,$C4,Database!$A:$A,$C$1)/$G4),-0.00001)</f>
        <v>26.5</v>
      </c>
      <c r="AH4" s="293">
        <f>IFERROR(IF($C4="",-0.00001,SUMIFS(Database!AO:AO,Database!$AD:$AD,$C4,Database!$A:$A,$C$1)/$G4),-0.00001)</f>
        <v>5.75</v>
      </c>
      <c r="AI4" s="293">
        <f>IFERROR(IF($C4="",-0.00001,SUMIFS(Database!AP:AP,Database!$AD:$AD,$C4,Database!$A:$A,$C$1)/$G4),-0.00001)</f>
        <v>19</v>
      </c>
      <c r="AJ4" s="293">
        <f>IFERROR(IF($C4="",-0.00001,SUMIFS(Database!AR:AR,Database!$AD:$AD,$C4,Database!$A:$A,$C$1)/$G4),-0.00001)</f>
        <v>26.25</v>
      </c>
      <c r="AK4" s="293">
        <f>IFERROR(IF($C4="",-0.00001,SUMIFS(Database!AS:AS,Database!$AD:$AD,$C4,Database!$A:$A,$C$1)/$G4),-0.00001)</f>
        <v>63.5</v>
      </c>
      <c r="AL4" s="293">
        <f>IFERROR(IF($C4="",-0.00001,SUMIFS(Database!AU:AU,Database!$AD:$AD,$C4,Database!$A:$A,$C$1)/$G4),-0.00001)</f>
        <v>3.5</v>
      </c>
      <c r="AM4" s="293">
        <f>IFERROR(IF($C4="",-0.00001,SUMIFS(Database!AV:AV,Database!$AD:$AD,$C4,Database!$A:$A,$C$1)/$G4),-0.00001)</f>
        <v>7</v>
      </c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</row>
    <row r="5" spans="1:50" x14ac:dyDescent="0.25">
      <c r="A5" s="187"/>
      <c r="B5" s="187">
        <f>IF($C5="","",MAX($B$4:$B4)+1)</f>
        <v>2</v>
      </c>
      <c r="C5" s="145" t="s">
        <v>39</v>
      </c>
      <c r="D5" s="233">
        <f>IF($C5="",-0.00001,COUNTIFS(Database!$AD:$AD,$C5,Database!$A:$A,$C$1,Database!$AE:$AE,"W"))</f>
        <v>3</v>
      </c>
      <c r="E5" s="233">
        <f>IF($C5="",-0.00001,COUNTIFS(Database!$AD:$AD,$C5,Database!$A:$A,$C$1,Database!$AE:$AE,"L"))</f>
        <v>1</v>
      </c>
      <c r="F5" s="233">
        <f t="shared" si="0"/>
        <v>-1</v>
      </c>
      <c r="G5" s="185">
        <f>IF($C5="",-0.00001,COUNTIFS(Database!AD:AD,$C5,Database!A:A,$C$1))</f>
        <v>4</v>
      </c>
      <c r="H5" s="185">
        <f>IFERROR(IF($C5="",-0.00001,SUMIFS(Database!AG:AG,Database!$AD:$AD,$C5,Database!$A:$A,$C$1)),-0.00001)</f>
        <v>282</v>
      </c>
      <c r="I5" s="185">
        <f>IFERROR(IF($C5="",-0.00001,SUMIFS(Database!AH:AH,Database!$AD:$AD,$C5,Database!$A:$A,$C$1)),-0.00001)</f>
        <v>145</v>
      </c>
      <c r="J5" s="185">
        <f>IFERROR(IF($C5="",-0.00001,SUMIFS(Database!AI:AI,Database!$AD:$AD,$C5,Database!$A:$A,$C$1)),-0.00001)</f>
        <v>56</v>
      </c>
      <c r="K5" s="185">
        <f>IFERROR(IF($C5="",-0.00001,SUMIFS(Database!AJ:AJ,Database!$AD:$AD,$C5,Database!$A:$A,$C$1)),-0.00001)</f>
        <v>37</v>
      </c>
      <c r="L5" s="185">
        <f>IFERROR(IF($C5="",-0.00001,SUMIFS(Database!AK:AK,Database!$AD:$AD,$C5,Database!$A:$A,$C$1)),-0.00001)</f>
        <v>5</v>
      </c>
      <c r="M5" s="185">
        <f>IFERROR(IF($C5="",-0.00001,SUMIFS(Database!AL:AL,Database!$AD:$AD,$C5,Database!$A:$A,$C$1)),-0.00001)</f>
        <v>41</v>
      </c>
      <c r="N5" s="185">
        <f>IFERROR(IF($C5="",-0.00001,SUMIFS(Database!AM:AM,Database!$AD:$AD,$C5,Database!$A:$A,$C$1)),-0.00001)</f>
        <v>36</v>
      </c>
      <c r="O5" s="185">
        <f>IFERROR(IF($C5="",-0.00001,SUMIFS(Database!AN:AN,Database!$AD:$AD,$C5,Database!$A:$A,$C$1)),-0.00001)</f>
        <v>72</v>
      </c>
      <c r="P5" s="185">
        <f>IFERROR(IF($C5="",-0.00001,SUMIFS(Database!AO:AO,Database!$AD:$AD,$C5,Database!$A:$A,$C$1)),-0.00001)</f>
        <v>45</v>
      </c>
      <c r="Q5" s="185">
        <f>IFERROR(IF($C5="",-0.00001,SUMIFS(Database!AP:AP,Database!$AD:$AD,$C5,Database!$A:$A,$C$1)),-0.00001)</f>
        <v>143</v>
      </c>
      <c r="R5" s="186">
        <f t="shared" si="1"/>
        <v>0.31468531468531469</v>
      </c>
      <c r="S5" s="185">
        <f>IFERROR(IF($C5="",-0.00001,SUMIFS(Database!AR:AR,Database!$AD:$AD,$C5,Database!$A:$A,$C$1)),-0.00001)</f>
        <v>113</v>
      </c>
      <c r="T5" s="185">
        <f>IFERROR(IF($C5="",-0.00001,SUMIFS(Database!AS:AS,Database!$AD:$AD,$C5,Database!$A:$A,$C$1)),-0.00001)</f>
        <v>269</v>
      </c>
      <c r="U5" s="186">
        <f t="shared" si="2"/>
        <v>0.4200743494423792</v>
      </c>
      <c r="V5" s="185">
        <f>IFERROR(IF($C5="",-0.00001,SUMIFS(Database!AU:AU,Database!$AD:$AD,$C5,Database!$A:$A,$C$1)),-0.00001)</f>
        <v>11</v>
      </c>
      <c r="W5" s="185">
        <f>IFERROR(IF($C5="",-0.00001,SUMIFS(Database!AV:AV,Database!$AD:$AD,$C5,Database!$A:$A,$C$1)),-0.00001)</f>
        <v>15</v>
      </c>
      <c r="X5" s="186">
        <f t="shared" si="3"/>
        <v>0.73333333333333328</v>
      </c>
      <c r="Y5" s="291"/>
      <c r="Z5" s="293">
        <f>IFERROR(IF($C5="",-0.00001,SUMIFS(Database!AG:AG,Database!$AD:$AD,$C5,Database!$A:$A,$C$1)/$G5),-0.00001)</f>
        <v>70.5</v>
      </c>
      <c r="AA5" s="293">
        <f>IFERROR(IF($C5="",-0.00001,SUMIFS(Database!AH:AH,Database!$AD:$AD,$C5,Database!$A:$A,$C$1)/$G5),-0.00001)</f>
        <v>36.25</v>
      </c>
      <c r="AB5" s="293">
        <f>IFERROR(IF($C5="",-0.00001,SUMIFS(Database!AI:AI,Database!$AD:$AD,$C5,Database!$A:$A,$C$1)/$G5),-0.00001)</f>
        <v>14</v>
      </c>
      <c r="AC5" s="293">
        <f>IFERROR(IF($C5="",-0.00001,SUMIFS(Database!AJ:AJ,Database!$AD:$AD,$C5,Database!$A:$A,$C$1)/$G5),-0.00001)</f>
        <v>9.25</v>
      </c>
      <c r="AD5" s="293">
        <f>IFERROR(IF($C5="",-0.00001,SUMIFS(Database!AK:AK,Database!$AD:$AD,$C5,Database!$A:$A,$C$1)/$G5),-0.00001)</f>
        <v>1.25</v>
      </c>
      <c r="AE5" s="293">
        <f>IFERROR(IF($C5="",-0.00001,SUMIFS(Database!AL:AL,Database!$AD:$AD,$C5,Database!$A:$A,$C$1)/$G5),-0.00001)</f>
        <v>10.25</v>
      </c>
      <c r="AF5" s="293">
        <f>IFERROR(IF($C5="",-0.00001,SUMIFS(Database!AM:AM,Database!$AD:$AD,$C5,Database!$A:$A,$C$1)/$G5),-0.00001)</f>
        <v>9</v>
      </c>
      <c r="AG5" s="293">
        <f>IFERROR(IF($C5="",-0.00001,SUMIFS(Database!AN:AN,Database!$AD:$AD,$C5,Database!$A:$A,$C$1)/$G5),-0.00001)</f>
        <v>18</v>
      </c>
      <c r="AH5" s="293">
        <f>IFERROR(IF($C5="",-0.00001,SUMIFS(Database!AO:AO,Database!$AD:$AD,$C5,Database!$A:$A,$C$1)/$G5),-0.00001)</f>
        <v>11.25</v>
      </c>
      <c r="AI5" s="293">
        <f>IFERROR(IF($C5="",-0.00001,SUMIFS(Database!AP:AP,Database!$AD:$AD,$C5,Database!$A:$A,$C$1)/$G5),-0.00001)</f>
        <v>35.75</v>
      </c>
      <c r="AJ5" s="293">
        <f>IFERROR(IF($C5="",-0.00001,SUMIFS(Database!AR:AR,Database!$AD:$AD,$C5,Database!$A:$A,$C$1)/$G5),-0.00001)</f>
        <v>28.25</v>
      </c>
      <c r="AK5" s="293">
        <f>IFERROR(IF($C5="",-0.00001,SUMIFS(Database!AS:AS,Database!$AD:$AD,$C5,Database!$A:$A,$C$1)/$G5),-0.00001)</f>
        <v>67.25</v>
      </c>
      <c r="AL5" s="293">
        <f>IFERROR(IF($C5="",-0.00001,SUMIFS(Database!AU:AU,Database!$AD:$AD,$C5,Database!$A:$A,$C$1)/$G5),-0.00001)</f>
        <v>2.75</v>
      </c>
      <c r="AM5" s="293">
        <f>IFERROR(IF($C5="",-0.00001,SUMIFS(Database!AV:AV,Database!$AD:$AD,$C5,Database!$A:$A,$C$1)/$G5),-0.00001)</f>
        <v>3.75</v>
      </c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</row>
    <row r="6" spans="1:50" x14ac:dyDescent="0.25">
      <c r="A6" s="187"/>
      <c r="B6" s="187">
        <f>IF($C6="","",MAX($B$4:$B5)+1)</f>
        <v>3</v>
      </c>
      <c r="C6" s="145" t="s">
        <v>43</v>
      </c>
      <c r="D6" s="233">
        <f>IF($C6="",-0.00001,COUNTIFS(Database!$AD:$AD,$C6,Database!$A:$A,$C$1,Database!$AE:$AE,"W"))</f>
        <v>2</v>
      </c>
      <c r="E6" s="233">
        <f>IF($C6="",-0.00001,COUNTIFS(Database!$AD:$AD,$C6,Database!$A:$A,$C$1,Database!$AE:$AE,"L"))</f>
        <v>2</v>
      </c>
      <c r="F6" s="233">
        <f t="shared" si="0"/>
        <v>-2</v>
      </c>
      <c r="G6" s="185">
        <f>IF($C6="",-0.00001,COUNTIFS(Database!AD:AD,$C6,Database!A:A,$C$1))</f>
        <v>4</v>
      </c>
      <c r="H6" s="185">
        <f>IFERROR(IF($C6="",-0.00001,SUMIFS(Database!AG:AG,Database!$AD:$AD,$C6,Database!$A:$A,$C$1)),-0.00001)</f>
        <v>229</v>
      </c>
      <c r="I6" s="185">
        <f>IFERROR(IF($C6="",-0.00001,SUMIFS(Database!AH:AH,Database!$AD:$AD,$C6,Database!$A:$A,$C$1)),-0.00001)</f>
        <v>157</v>
      </c>
      <c r="J6" s="185">
        <f>IFERROR(IF($C6="",-0.00001,SUMIFS(Database!AI:AI,Database!$AD:$AD,$C6,Database!$A:$A,$C$1)),-0.00001)</f>
        <v>45</v>
      </c>
      <c r="K6" s="185">
        <f>IFERROR(IF($C6="",-0.00001,SUMIFS(Database!AJ:AJ,Database!$AD:$AD,$C6,Database!$A:$A,$C$1)),-0.00001)</f>
        <v>39</v>
      </c>
      <c r="L6" s="185">
        <f>IFERROR(IF($C6="",-0.00001,SUMIFS(Database!AK:AK,Database!$AD:$AD,$C6,Database!$A:$A,$C$1)),-0.00001)</f>
        <v>9</v>
      </c>
      <c r="M6" s="185">
        <f>IFERROR(IF($C6="",-0.00001,SUMIFS(Database!AL:AL,Database!$AD:$AD,$C6,Database!$A:$A,$C$1)),-0.00001)</f>
        <v>60</v>
      </c>
      <c r="N6" s="185">
        <f>IFERROR(IF($C6="",-0.00001,SUMIFS(Database!AM:AM,Database!$AD:$AD,$C6,Database!$A:$A,$C$1)),-0.00001)</f>
        <v>26</v>
      </c>
      <c r="O6" s="185">
        <f>IFERROR(IF($C6="",-0.00001,SUMIFS(Database!AN:AN,Database!$AD:$AD,$C6,Database!$A:$A,$C$1)),-0.00001)</f>
        <v>97</v>
      </c>
      <c r="P6" s="185">
        <f>IFERROR(IF($C6="",-0.00001,SUMIFS(Database!AO:AO,Database!$AD:$AD,$C6,Database!$A:$A,$C$1)),-0.00001)</f>
        <v>22</v>
      </c>
      <c r="Q6" s="185">
        <f>IFERROR(IF($C6="",-0.00001,SUMIFS(Database!AP:AP,Database!$AD:$AD,$C6,Database!$A:$A,$C$1)),-0.00001)</f>
        <v>94</v>
      </c>
      <c r="R6" s="186">
        <f t="shared" si="1"/>
        <v>0.23404255319148937</v>
      </c>
      <c r="S6" s="185">
        <f>IFERROR(IF($C6="",-0.00001,SUMIFS(Database!AR:AR,Database!$AD:$AD,$C6,Database!$A:$A,$C$1)),-0.00001)</f>
        <v>94</v>
      </c>
      <c r="T6" s="185">
        <f>IFERROR(IF($C6="",-0.00001,SUMIFS(Database!AS:AS,Database!$AD:$AD,$C6,Database!$A:$A,$C$1)),-0.00001)</f>
        <v>260</v>
      </c>
      <c r="U6" s="186">
        <f t="shared" si="2"/>
        <v>0.36153846153846153</v>
      </c>
      <c r="V6" s="185">
        <f>IFERROR(IF($C6="",-0.00001,SUMIFS(Database!AU:AU,Database!$AD:$AD,$C6,Database!$A:$A,$C$1)),-0.00001)</f>
        <v>20</v>
      </c>
      <c r="W6" s="185">
        <f>IFERROR(IF($C6="",-0.00001,SUMIFS(Database!AV:AV,Database!$AD:$AD,$C6,Database!$A:$A,$C$1)),-0.00001)</f>
        <v>27</v>
      </c>
      <c r="X6" s="186">
        <f t="shared" si="3"/>
        <v>0.7407407407407407</v>
      </c>
      <c r="Y6" s="291"/>
      <c r="Z6" s="293">
        <f>IFERROR(IF($C6="",-0.00001,SUMIFS(Database!AG:AG,Database!$AD:$AD,$C6,Database!$A:$A,$C$1)/$G6),-0.00001)</f>
        <v>57.25</v>
      </c>
      <c r="AA6" s="293">
        <f>IFERROR(IF($C6="",-0.00001,SUMIFS(Database!AH:AH,Database!$AD:$AD,$C6,Database!$A:$A,$C$1)/$G6),-0.00001)</f>
        <v>39.25</v>
      </c>
      <c r="AB6" s="293">
        <f>IFERROR(IF($C6="",-0.00001,SUMIFS(Database!AI:AI,Database!$AD:$AD,$C6,Database!$A:$A,$C$1)/$G6),-0.00001)</f>
        <v>11.25</v>
      </c>
      <c r="AC6" s="293">
        <f>IFERROR(IF($C6="",-0.00001,SUMIFS(Database!AJ:AJ,Database!$AD:$AD,$C6,Database!$A:$A,$C$1)/$G6),-0.00001)</f>
        <v>9.75</v>
      </c>
      <c r="AD6" s="293">
        <f>IFERROR(IF($C6="",-0.00001,SUMIFS(Database!AK:AK,Database!$AD:$AD,$C6,Database!$A:$A,$C$1)/$G6),-0.00001)</f>
        <v>2.25</v>
      </c>
      <c r="AE6" s="293">
        <f>IFERROR(IF($C6="",-0.00001,SUMIFS(Database!AL:AL,Database!$AD:$AD,$C6,Database!$A:$A,$C$1)/$G6),-0.00001)</f>
        <v>15</v>
      </c>
      <c r="AF6" s="293">
        <f>IFERROR(IF($C6="",-0.00001,SUMIFS(Database!AM:AM,Database!$AD:$AD,$C6,Database!$A:$A,$C$1)/$G6),-0.00001)</f>
        <v>6.5</v>
      </c>
      <c r="AG6" s="293">
        <f>IFERROR(IF($C6="",-0.00001,SUMIFS(Database!AN:AN,Database!$AD:$AD,$C6,Database!$A:$A,$C$1)/$G6),-0.00001)</f>
        <v>24.25</v>
      </c>
      <c r="AH6" s="293">
        <f>IFERROR(IF($C6="",-0.00001,SUMIFS(Database!AO:AO,Database!$AD:$AD,$C6,Database!$A:$A,$C$1)/$G6),-0.00001)</f>
        <v>5.5</v>
      </c>
      <c r="AI6" s="293">
        <f>IFERROR(IF($C6="",-0.00001,SUMIFS(Database!AP:AP,Database!$AD:$AD,$C6,Database!$A:$A,$C$1)/$G6),-0.00001)</f>
        <v>23.5</v>
      </c>
      <c r="AJ6" s="293">
        <f>IFERROR(IF($C6="",-0.00001,SUMIFS(Database!AR:AR,Database!$AD:$AD,$C6,Database!$A:$A,$C$1)/$G6),-0.00001)</f>
        <v>23.5</v>
      </c>
      <c r="AK6" s="293">
        <f>IFERROR(IF($C6="",-0.00001,SUMIFS(Database!AS:AS,Database!$AD:$AD,$C6,Database!$A:$A,$C$1)/$G6),-0.00001)</f>
        <v>65</v>
      </c>
      <c r="AL6" s="293">
        <f>IFERROR(IF($C6="",-0.00001,SUMIFS(Database!AU:AU,Database!$AD:$AD,$C6,Database!$A:$A,$C$1)/$G6),-0.00001)</f>
        <v>5</v>
      </c>
      <c r="AM6" s="293">
        <f>IFERROR(IF($C6="",-0.00001,SUMIFS(Database!AV:AV,Database!$AD:$AD,$C6,Database!$A:$A,$C$1)/$G6),-0.00001)</f>
        <v>6.75</v>
      </c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</row>
    <row r="7" spans="1:50" x14ac:dyDescent="0.25">
      <c r="A7" s="187"/>
      <c r="B7" s="187">
        <f>IF($C7="","",MAX($B$4:$B6)+1)</f>
        <v>4</v>
      </c>
      <c r="C7" s="145" t="s">
        <v>222</v>
      </c>
      <c r="D7" s="233">
        <f>IF($C7="",-0.00001,COUNTIFS(Database!$AD:$AD,$C7,Database!$A:$A,$C$1,Database!$AE:$AE,"W"))</f>
        <v>2</v>
      </c>
      <c r="E7" s="233">
        <f>IF($C7="",-0.00001,COUNTIFS(Database!$AD:$AD,$C7,Database!$A:$A,$C$1,Database!$AE:$AE,"L"))</f>
        <v>2</v>
      </c>
      <c r="F7" s="233">
        <f t="shared" si="0"/>
        <v>-2</v>
      </c>
      <c r="G7" s="185">
        <f>IF($C7="",-0.00001,COUNTIFS(Database!AD:AD,$C7,Database!A:A,$C$1))</f>
        <v>4</v>
      </c>
      <c r="H7" s="185">
        <f>IFERROR(IF($C7="",-0.00001,SUMIFS(Database!AG:AG,Database!$AD:$AD,$C7,Database!$A:$A,$C$1)),-0.00001)</f>
        <v>181</v>
      </c>
      <c r="I7" s="185">
        <f>IFERROR(IF($C7="",-0.00001,SUMIFS(Database!AH:AH,Database!$AD:$AD,$C7,Database!$A:$A,$C$1)),-0.00001)</f>
        <v>141</v>
      </c>
      <c r="J7" s="185">
        <f>IFERROR(IF($C7="",-0.00001,SUMIFS(Database!AI:AI,Database!$AD:$AD,$C7,Database!$A:$A,$C$1)),-0.00001)</f>
        <v>30</v>
      </c>
      <c r="K7" s="185">
        <f>IFERROR(IF($C7="",-0.00001,SUMIFS(Database!AJ:AJ,Database!$AD:$AD,$C7,Database!$A:$A,$C$1)),-0.00001)</f>
        <v>19</v>
      </c>
      <c r="L7" s="185">
        <f>IFERROR(IF($C7="",-0.00001,SUMIFS(Database!AK:AK,Database!$AD:$AD,$C7,Database!$A:$A,$C$1)),-0.00001)</f>
        <v>5</v>
      </c>
      <c r="M7" s="185">
        <f>IFERROR(IF($C7="",-0.00001,SUMIFS(Database!AL:AL,Database!$AD:$AD,$C7,Database!$A:$A,$C$1)),-0.00001)</f>
        <v>50</v>
      </c>
      <c r="N7" s="185">
        <f>IFERROR(IF($C7="",-0.00001,SUMIFS(Database!AM:AM,Database!$AD:$AD,$C7,Database!$A:$A,$C$1)),-0.00001)</f>
        <v>30</v>
      </c>
      <c r="O7" s="185">
        <f>IFERROR(IF($C7="",-0.00001,SUMIFS(Database!AN:AN,Database!$AD:$AD,$C7,Database!$A:$A,$C$1)),-0.00001)</f>
        <v>111</v>
      </c>
      <c r="P7" s="185">
        <f>IFERROR(IF($C7="",-0.00001,SUMIFS(Database!AO:AO,Database!$AD:$AD,$C7,Database!$A:$A,$C$1)),-0.00001)</f>
        <v>22</v>
      </c>
      <c r="Q7" s="185">
        <f>IFERROR(IF($C7="",-0.00001,SUMIFS(Database!AP:AP,Database!$AD:$AD,$C7,Database!$A:$A,$C$1)),-0.00001)</f>
        <v>100</v>
      </c>
      <c r="R7" s="186">
        <f t="shared" si="1"/>
        <v>0.22</v>
      </c>
      <c r="S7" s="185">
        <f>IFERROR(IF($C7="",-0.00001,SUMIFS(Database!AR:AR,Database!$AD:$AD,$C7,Database!$A:$A,$C$1)),-0.00001)</f>
        <v>77</v>
      </c>
      <c r="T7" s="185">
        <f>IFERROR(IF($C7="",-0.00001,SUMIFS(Database!AS:AS,Database!$AD:$AD,$C7,Database!$A:$A,$C$1)),-0.00001)</f>
        <v>236</v>
      </c>
      <c r="U7" s="186">
        <f t="shared" si="2"/>
        <v>0.32627118644067798</v>
      </c>
      <c r="V7" s="185">
        <f>IFERROR(IF($C7="",-0.00001,SUMIFS(Database!AU:AU,Database!$AD:$AD,$C7,Database!$A:$A,$C$1)),-0.00001)</f>
        <v>3</v>
      </c>
      <c r="W7" s="185">
        <f>IFERROR(IF($C7="",-0.00001,SUMIFS(Database!AV:AV,Database!$AD:$AD,$C7,Database!$A:$A,$C$1)),-0.00001)</f>
        <v>10</v>
      </c>
      <c r="X7" s="186">
        <f t="shared" si="3"/>
        <v>0.3</v>
      </c>
      <c r="Y7" s="291"/>
      <c r="Z7" s="293">
        <f>IFERROR(IF($C7="",-0.00001,SUMIFS(Database!AG:AG,Database!$AD:$AD,$C7,Database!$A:$A,$C$1)/$G7),-0.00001)</f>
        <v>45.25</v>
      </c>
      <c r="AA7" s="293">
        <f>IFERROR(IF($C7="",-0.00001,SUMIFS(Database!AH:AH,Database!$AD:$AD,$C7,Database!$A:$A,$C$1)/$G7),-0.00001)</f>
        <v>35.25</v>
      </c>
      <c r="AB7" s="293">
        <f>IFERROR(IF($C7="",-0.00001,SUMIFS(Database!AI:AI,Database!$AD:$AD,$C7,Database!$A:$A,$C$1)/$G7),-0.00001)</f>
        <v>7.5</v>
      </c>
      <c r="AC7" s="293">
        <f>IFERROR(IF($C7="",-0.00001,SUMIFS(Database!AJ:AJ,Database!$AD:$AD,$C7,Database!$A:$A,$C$1)/$G7),-0.00001)</f>
        <v>4.75</v>
      </c>
      <c r="AD7" s="293">
        <f>IFERROR(IF($C7="",-0.00001,SUMIFS(Database!AK:AK,Database!$AD:$AD,$C7,Database!$A:$A,$C$1)/$G7),-0.00001)</f>
        <v>1.25</v>
      </c>
      <c r="AE7" s="293">
        <f>IFERROR(IF($C7="",-0.00001,SUMIFS(Database!AL:AL,Database!$AD:$AD,$C7,Database!$A:$A,$C$1)/$G7),-0.00001)</f>
        <v>12.5</v>
      </c>
      <c r="AF7" s="293">
        <f>IFERROR(IF($C7="",-0.00001,SUMIFS(Database!AM:AM,Database!$AD:$AD,$C7,Database!$A:$A,$C$1)/$G7),-0.00001)</f>
        <v>7.5</v>
      </c>
      <c r="AG7" s="293">
        <f>IFERROR(IF($C7="",-0.00001,SUMIFS(Database!AN:AN,Database!$AD:$AD,$C7,Database!$A:$A,$C$1)/$G7),-0.00001)</f>
        <v>27.75</v>
      </c>
      <c r="AH7" s="293">
        <f>IFERROR(IF($C7="",-0.00001,SUMIFS(Database!AO:AO,Database!$AD:$AD,$C7,Database!$A:$A,$C$1)/$G7),-0.00001)</f>
        <v>5.5</v>
      </c>
      <c r="AI7" s="293">
        <f>IFERROR(IF($C7="",-0.00001,SUMIFS(Database!AP:AP,Database!$AD:$AD,$C7,Database!$A:$A,$C$1)/$G7),-0.00001)</f>
        <v>25</v>
      </c>
      <c r="AJ7" s="293">
        <f>IFERROR(IF($C7="",-0.00001,SUMIFS(Database!AR:AR,Database!$AD:$AD,$C7,Database!$A:$A,$C$1)/$G7),-0.00001)</f>
        <v>19.25</v>
      </c>
      <c r="AK7" s="293">
        <f>IFERROR(IF($C7="",-0.00001,SUMIFS(Database!AS:AS,Database!$AD:$AD,$C7,Database!$A:$A,$C$1)/$G7),-0.00001)</f>
        <v>59</v>
      </c>
      <c r="AL7" s="293">
        <f>IFERROR(IF($C7="",-0.00001,SUMIFS(Database!AU:AU,Database!$AD:$AD,$C7,Database!$A:$A,$C$1)/$G7),-0.00001)</f>
        <v>0.75</v>
      </c>
      <c r="AM7" s="293">
        <f>IFERROR(IF($C7="",-0.00001,SUMIFS(Database!AV:AV,Database!$AD:$AD,$C7,Database!$A:$A,$C$1)/$G7),-0.00001)</f>
        <v>2.5</v>
      </c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X7" s="187"/>
    </row>
    <row r="8" spans="1:50" x14ac:dyDescent="0.25">
      <c r="A8" s="187"/>
      <c r="B8" s="187">
        <f>IF($C8="","",MAX($B$4:$B7)+1)</f>
        <v>5</v>
      </c>
      <c r="C8" s="145" t="s">
        <v>42</v>
      </c>
      <c r="D8" s="233">
        <f>IF($C8="",-0.00001,COUNTIFS(Database!$AD:$AD,$C8,Database!$A:$A,$C$1,Database!$AE:$AE,"W"))</f>
        <v>1</v>
      </c>
      <c r="E8" s="233">
        <f>IF($C8="",-0.00001,COUNTIFS(Database!$AD:$AD,$C8,Database!$A:$A,$C$1,Database!$AE:$AE,"L"))</f>
        <v>3</v>
      </c>
      <c r="F8" s="233">
        <f t="shared" si="0"/>
        <v>-3</v>
      </c>
      <c r="G8" s="185">
        <f>IF($C8="",-0.00001,COUNTIFS(Database!AD:AD,$C8,Database!A:A,$C$1))</f>
        <v>4</v>
      </c>
      <c r="H8" s="185">
        <f>IFERROR(IF($C8="",-0.00001,SUMIFS(Database!AG:AG,Database!$AD:$AD,$C8,Database!$A:$A,$C$1)),-0.00001)</f>
        <v>220</v>
      </c>
      <c r="I8" s="185">
        <f>IFERROR(IF($C8="",-0.00001,SUMIFS(Database!AH:AH,Database!$AD:$AD,$C8,Database!$A:$A,$C$1)),-0.00001)</f>
        <v>136</v>
      </c>
      <c r="J8" s="185">
        <f>IFERROR(IF($C8="",-0.00001,SUMIFS(Database!AI:AI,Database!$AD:$AD,$C8,Database!$A:$A,$C$1)),-0.00001)</f>
        <v>24</v>
      </c>
      <c r="K8" s="185">
        <f>IFERROR(IF($C8="",-0.00001,SUMIFS(Database!AJ:AJ,Database!$AD:$AD,$C8,Database!$A:$A,$C$1)),-0.00001)</f>
        <v>24</v>
      </c>
      <c r="L8" s="185">
        <f>IFERROR(IF($C8="",-0.00001,SUMIFS(Database!AK:AK,Database!$AD:$AD,$C8,Database!$A:$A,$C$1)),-0.00001)</f>
        <v>5</v>
      </c>
      <c r="M8" s="185">
        <f>IFERROR(IF($C8="",-0.00001,SUMIFS(Database!AL:AL,Database!$AD:$AD,$C8,Database!$A:$A,$C$1)),-0.00001)</f>
        <v>29</v>
      </c>
      <c r="N8" s="185">
        <f>IFERROR(IF($C8="",-0.00001,SUMIFS(Database!AM:AM,Database!$AD:$AD,$C8,Database!$A:$A,$C$1)),-0.00001)</f>
        <v>44</v>
      </c>
      <c r="O8" s="185">
        <f>IFERROR(IF($C8="",-0.00001,SUMIFS(Database!AN:AN,Database!$AD:$AD,$C8,Database!$A:$A,$C$1)),-0.00001)</f>
        <v>92</v>
      </c>
      <c r="P8" s="185">
        <f>IFERROR(IF($C8="",-0.00001,SUMIFS(Database!AO:AO,Database!$AD:$AD,$C8,Database!$A:$A,$C$1)),-0.00001)</f>
        <v>34</v>
      </c>
      <c r="Q8" s="185">
        <f>IFERROR(IF($C8="",-0.00001,SUMIFS(Database!AP:AP,Database!$AD:$AD,$C8,Database!$A:$A,$C$1)),-0.00001)</f>
        <v>111</v>
      </c>
      <c r="R8" s="186">
        <f t="shared" si="1"/>
        <v>0.30630630630630629</v>
      </c>
      <c r="S8" s="185">
        <f>IFERROR(IF($C8="",-0.00001,SUMIFS(Database!AR:AR,Database!$AD:$AD,$C8,Database!$A:$A,$C$1)),-0.00001)</f>
        <v>90</v>
      </c>
      <c r="T8" s="185">
        <f>IFERROR(IF($C8="",-0.00001,SUMIFS(Database!AS:AS,Database!$AD:$AD,$C8,Database!$A:$A,$C$1)),-0.00001)</f>
        <v>264</v>
      </c>
      <c r="U8" s="186">
        <f t="shared" si="2"/>
        <v>0.34090909090909088</v>
      </c>
      <c r="V8" s="185">
        <f>IFERROR(IF($C8="",-0.00001,SUMIFS(Database!AU:AU,Database!$AD:$AD,$C8,Database!$A:$A,$C$1)),-0.00001)</f>
        <v>6</v>
      </c>
      <c r="W8" s="185">
        <f>IFERROR(IF($C8="",-0.00001,SUMIFS(Database!AV:AV,Database!$AD:$AD,$C8,Database!$A:$A,$C$1)),-0.00001)</f>
        <v>19</v>
      </c>
      <c r="X8" s="186">
        <f t="shared" si="3"/>
        <v>0.31578947368421051</v>
      </c>
      <c r="Y8" s="291"/>
      <c r="Z8" s="293">
        <f>IFERROR(IF($C8="",-0.00001,SUMIFS(Database!AG:AG,Database!$AD:$AD,$C8,Database!$A:$A,$C$1)/$G8),-0.00001)</f>
        <v>55</v>
      </c>
      <c r="AA8" s="293">
        <f>IFERROR(IF($C8="",-0.00001,SUMIFS(Database!AH:AH,Database!$AD:$AD,$C8,Database!$A:$A,$C$1)/$G8),-0.00001)</f>
        <v>34</v>
      </c>
      <c r="AB8" s="293">
        <f>IFERROR(IF($C8="",-0.00001,SUMIFS(Database!AI:AI,Database!$AD:$AD,$C8,Database!$A:$A,$C$1)/$G8),-0.00001)</f>
        <v>6</v>
      </c>
      <c r="AC8" s="293">
        <f>IFERROR(IF($C8="",-0.00001,SUMIFS(Database!AJ:AJ,Database!$AD:$AD,$C8,Database!$A:$A,$C$1)/$G8),-0.00001)</f>
        <v>6</v>
      </c>
      <c r="AD8" s="293">
        <f>IFERROR(IF($C8="",-0.00001,SUMIFS(Database!AK:AK,Database!$AD:$AD,$C8,Database!$A:$A,$C$1)/$G8),-0.00001)</f>
        <v>1.25</v>
      </c>
      <c r="AE8" s="293">
        <f>IFERROR(IF($C8="",-0.00001,SUMIFS(Database!AL:AL,Database!$AD:$AD,$C8,Database!$A:$A,$C$1)/$G8),-0.00001)</f>
        <v>7.25</v>
      </c>
      <c r="AF8" s="293">
        <f>IFERROR(IF($C8="",-0.00001,SUMIFS(Database!AM:AM,Database!$AD:$AD,$C8,Database!$A:$A,$C$1)/$G8),-0.00001)</f>
        <v>11</v>
      </c>
      <c r="AG8" s="293">
        <f>IFERROR(IF($C8="",-0.00001,SUMIFS(Database!AN:AN,Database!$AD:$AD,$C8,Database!$A:$A,$C$1)/$G8),-0.00001)</f>
        <v>23</v>
      </c>
      <c r="AH8" s="293">
        <f>IFERROR(IF($C8="",-0.00001,SUMIFS(Database!AO:AO,Database!$AD:$AD,$C8,Database!$A:$A,$C$1)/$G8),-0.00001)</f>
        <v>8.5</v>
      </c>
      <c r="AI8" s="293">
        <f>IFERROR(IF($C8="",-0.00001,SUMIFS(Database!AP:AP,Database!$AD:$AD,$C8,Database!$A:$A,$C$1)/$G8),-0.00001)</f>
        <v>27.75</v>
      </c>
      <c r="AJ8" s="293">
        <f>IFERROR(IF($C8="",-0.00001,SUMIFS(Database!AR:AR,Database!$AD:$AD,$C8,Database!$A:$A,$C$1)/$G8),-0.00001)</f>
        <v>22.5</v>
      </c>
      <c r="AK8" s="293">
        <f>IFERROR(IF($C8="",-0.00001,SUMIFS(Database!AS:AS,Database!$AD:$AD,$C8,Database!$A:$A,$C$1)/$G8),-0.00001)</f>
        <v>66</v>
      </c>
      <c r="AL8" s="293">
        <f>IFERROR(IF($C8="",-0.00001,SUMIFS(Database!AU:AU,Database!$AD:$AD,$C8,Database!$A:$A,$C$1)/$G8),-0.00001)</f>
        <v>1.5</v>
      </c>
      <c r="AM8" s="293">
        <f>IFERROR(IF($C8="",-0.00001,SUMIFS(Database!AV:AV,Database!$AD:$AD,$C8,Database!$A:$A,$C$1)/$G8),-0.00001)</f>
        <v>4.75</v>
      </c>
      <c r="AN8" s="187"/>
      <c r="AO8" s="187"/>
      <c r="AP8" s="187"/>
      <c r="AQ8" s="187"/>
      <c r="AR8" s="187"/>
      <c r="AS8" s="187"/>
      <c r="AT8" s="187"/>
      <c r="AU8" s="187"/>
      <c r="AV8" s="187"/>
      <c r="AW8" s="187"/>
      <c r="AX8" s="187"/>
    </row>
    <row r="9" spans="1:50" x14ac:dyDescent="0.25">
      <c r="A9" s="187"/>
      <c r="B9" s="187">
        <f>IF($C9="","",MAX($B$4:$B8)+1)</f>
        <v>6</v>
      </c>
      <c r="C9" s="145" t="s">
        <v>40</v>
      </c>
      <c r="D9" s="233">
        <f>IF($C9="",-0.00001,COUNTIFS(Database!$AD:$AD,$C9,Database!$A:$A,$C$1,Database!$AE:$AE,"W"))</f>
        <v>0</v>
      </c>
      <c r="E9" s="233">
        <f>IF($C9="",-0.00001,COUNTIFS(Database!$AD:$AD,$C9,Database!$A:$A,$C$1,Database!$AE:$AE,"L"))</f>
        <v>4</v>
      </c>
      <c r="F9" s="233">
        <f t="shared" si="0"/>
        <v>-4</v>
      </c>
      <c r="G9" s="185">
        <f>IF($C9="",-0.00001,COUNTIFS(Database!AD:AD,$C9,Database!A:A,$C$1))</f>
        <v>4</v>
      </c>
      <c r="H9" s="185">
        <f>IFERROR(IF($C9="",-0.00001,SUMIFS(Database!AG:AG,Database!$AD:$AD,$C9,Database!$A:$A,$C$1)),-0.00001)</f>
        <v>232</v>
      </c>
      <c r="I9" s="185">
        <f>IFERROR(IF($C9="",-0.00001,SUMIFS(Database!AH:AH,Database!$AD:$AD,$C9,Database!$A:$A,$C$1)),-0.00001)</f>
        <v>121</v>
      </c>
      <c r="J9" s="185">
        <f>IFERROR(IF($C9="",-0.00001,SUMIFS(Database!AI:AI,Database!$AD:$AD,$C9,Database!$A:$A,$C$1)),-0.00001)</f>
        <v>43</v>
      </c>
      <c r="K9" s="185">
        <f>IFERROR(IF($C9="",-0.00001,SUMIFS(Database!AJ:AJ,Database!$AD:$AD,$C9,Database!$A:$A,$C$1)),-0.00001)</f>
        <v>16</v>
      </c>
      <c r="L9" s="185">
        <f>IFERROR(IF($C9="",-0.00001,SUMIFS(Database!AK:AK,Database!$AD:$AD,$C9,Database!$A:$A,$C$1)),-0.00001)</f>
        <v>7</v>
      </c>
      <c r="M9" s="185">
        <f>IFERROR(IF($C9="",-0.00001,SUMIFS(Database!AL:AL,Database!$AD:$AD,$C9,Database!$A:$A,$C$1)),-0.00001)</f>
        <v>48</v>
      </c>
      <c r="N9" s="185">
        <f>IFERROR(IF($C9="",-0.00001,SUMIFS(Database!AM:AM,Database!$AD:$AD,$C9,Database!$A:$A,$C$1)),-0.00001)</f>
        <v>42</v>
      </c>
      <c r="O9" s="185">
        <f>IFERROR(IF($C9="",-0.00001,SUMIFS(Database!AN:AN,Database!$AD:$AD,$C9,Database!$A:$A,$C$1)),-0.00001)</f>
        <v>79</v>
      </c>
      <c r="P9" s="185">
        <f>IFERROR(IF($C9="",-0.00001,SUMIFS(Database!AO:AO,Database!$AD:$AD,$C9,Database!$A:$A,$C$1)),-0.00001)</f>
        <v>38</v>
      </c>
      <c r="Q9" s="185">
        <f>IFERROR(IF($C9="",-0.00001,SUMIFS(Database!AP:AP,Database!$AD:$AD,$C9,Database!$A:$A,$C$1)),-0.00001)</f>
        <v>127</v>
      </c>
      <c r="R9" s="186">
        <f t="shared" si="1"/>
        <v>0.29921259842519687</v>
      </c>
      <c r="S9" s="185">
        <f>IFERROR(IF($C9="",-0.00001,SUMIFS(Database!AR:AR,Database!$AD:$AD,$C9,Database!$A:$A,$C$1)),-0.00001)</f>
        <v>89</v>
      </c>
      <c r="T9" s="185">
        <f>IFERROR(IF($C9="",-0.00001,SUMIFS(Database!AS:AS,Database!$AD:$AD,$C9,Database!$A:$A,$C$1)),-0.00001)</f>
        <v>261</v>
      </c>
      <c r="U9" s="186">
        <f t="shared" si="2"/>
        <v>0.34099616858237547</v>
      </c>
      <c r="V9" s="185">
        <f>IFERROR(IF($C9="",-0.00001,SUMIFS(Database!AU:AU,Database!$AD:$AD,$C9,Database!$A:$A,$C$1)),-0.00001)</f>
        <v>16</v>
      </c>
      <c r="W9" s="185">
        <f>IFERROR(IF($C9="",-0.00001,SUMIFS(Database!AV:AV,Database!$AD:$AD,$C9,Database!$A:$A,$C$1)),-0.00001)</f>
        <v>31</v>
      </c>
      <c r="X9" s="186">
        <f t="shared" si="3"/>
        <v>0.5161290322580645</v>
      </c>
      <c r="Y9" s="291"/>
      <c r="Z9" s="293">
        <f>IFERROR(IF($C9="",-0.00001,SUMIFS(Database!AG:AG,Database!$AD:$AD,$C9,Database!$A:$A,$C$1)/$G9),-0.00001)</f>
        <v>58</v>
      </c>
      <c r="AA9" s="293">
        <f>IFERROR(IF($C9="",-0.00001,SUMIFS(Database!AH:AH,Database!$AD:$AD,$C9,Database!$A:$A,$C$1)/$G9),-0.00001)</f>
        <v>30.25</v>
      </c>
      <c r="AB9" s="293">
        <f>IFERROR(IF($C9="",-0.00001,SUMIFS(Database!AI:AI,Database!$AD:$AD,$C9,Database!$A:$A,$C$1)/$G9),-0.00001)</f>
        <v>10.75</v>
      </c>
      <c r="AC9" s="293">
        <f>IFERROR(IF($C9="",-0.00001,SUMIFS(Database!AJ:AJ,Database!$AD:$AD,$C9,Database!$A:$A,$C$1)/$G9),-0.00001)</f>
        <v>4</v>
      </c>
      <c r="AD9" s="293">
        <f>IFERROR(IF($C9="",-0.00001,SUMIFS(Database!AK:AK,Database!$AD:$AD,$C9,Database!$A:$A,$C$1)/$G9),-0.00001)</f>
        <v>1.75</v>
      </c>
      <c r="AE9" s="293">
        <f>IFERROR(IF($C9="",-0.00001,SUMIFS(Database!AL:AL,Database!$AD:$AD,$C9,Database!$A:$A,$C$1)/$G9),-0.00001)</f>
        <v>12</v>
      </c>
      <c r="AF9" s="293">
        <f>IFERROR(IF($C9="",-0.00001,SUMIFS(Database!AM:AM,Database!$AD:$AD,$C9,Database!$A:$A,$C$1)/$G9),-0.00001)</f>
        <v>10.5</v>
      </c>
      <c r="AG9" s="293">
        <f>IFERROR(IF($C9="",-0.00001,SUMIFS(Database!AN:AN,Database!$AD:$AD,$C9,Database!$A:$A,$C$1)/$G9),-0.00001)</f>
        <v>19.75</v>
      </c>
      <c r="AH9" s="293">
        <f>IFERROR(IF($C9="",-0.00001,SUMIFS(Database!AO:AO,Database!$AD:$AD,$C9,Database!$A:$A,$C$1)/$G9),-0.00001)</f>
        <v>9.5</v>
      </c>
      <c r="AI9" s="293">
        <f>IFERROR(IF($C9="",-0.00001,SUMIFS(Database!AP:AP,Database!$AD:$AD,$C9,Database!$A:$A,$C$1)/$G9),-0.00001)</f>
        <v>31.75</v>
      </c>
      <c r="AJ9" s="293">
        <f>IFERROR(IF($C9="",-0.00001,SUMIFS(Database!AR:AR,Database!$AD:$AD,$C9,Database!$A:$A,$C$1)/$G9),-0.00001)</f>
        <v>22.25</v>
      </c>
      <c r="AK9" s="293">
        <f>IFERROR(IF($C9="",-0.00001,SUMIFS(Database!AS:AS,Database!$AD:$AD,$C9,Database!$A:$A,$C$1)/$G9),-0.00001)</f>
        <v>65.25</v>
      </c>
      <c r="AL9" s="293">
        <f>IFERROR(IF($C9="",-0.00001,SUMIFS(Database!AU:AU,Database!$AD:$AD,$C9,Database!$A:$A,$C$1)/$G9),-0.00001)</f>
        <v>4</v>
      </c>
      <c r="AM9" s="293">
        <f>IFERROR(IF($C9="",-0.00001,SUMIFS(Database!AV:AV,Database!$AD:$AD,$C9,Database!$A:$A,$C$1)/$G9),-0.00001)</f>
        <v>7.75</v>
      </c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</row>
    <row r="10" spans="1:50" x14ac:dyDescent="0.25">
      <c r="A10" s="187"/>
      <c r="B10" s="187" t="str">
        <f>IF($C10="","",MAX($B$4:$B9)+1)</f>
        <v/>
      </c>
      <c r="C10" s="145"/>
      <c r="D10" s="233">
        <f>IF($C10="",-0.00001,COUNTIFS(Database!$AD:$AD,$C10,Database!$A:$A,$C$1,Database!$AE:$AE,"W"))</f>
        <v>-1.0000000000000001E-5</v>
      </c>
      <c r="E10" s="233">
        <f>IF($C10="",-0.00001,COUNTIFS(Database!$AD:$AD,$C10,Database!$A:$A,$C$1,Database!$AE:$AE,"L"))</f>
        <v>-1.0000000000000001E-5</v>
      </c>
      <c r="F10" s="233">
        <f t="shared" si="0"/>
        <v>-1.0000000000000001E-5</v>
      </c>
      <c r="G10" s="185">
        <f>IF($C10="",-0.00001,COUNTIFS(Database!AD:AD,$C10,Database!A:A,$C$1))</f>
        <v>-1.0000000000000001E-5</v>
      </c>
      <c r="H10" s="185">
        <f>IFERROR(IF($C10="",-0.00001,SUMIFS(Database!AG:AG,Database!$AD:$AD,$C10,Database!$A:$A,$C$1)),-0.00001)</f>
        <v>-1.0000000000000001E-5</v>
      </c>
      <c r="I10" s="185">
        <f>IFERROR(IF($C10="",-0.00001,SUMIFS(Database!AH:AH,Database!$AD:$AD,$C10,Database!$A:$A,$C$1)),-0.00001)</f>
        <v>-1.0000000000000001E-5</v>
      </c>
      <c r="J10" s="185">
        <f>IFERROR(IF($C10="",-0.00001,SUMIFS(Database!AI:AI,Database!$AD:$AD,$C10,Database!$A:$A,$C$1)),-0.00001)</f>
        <v>-1.0000000000000001E-5</v>
      </c>
      <c r="K10" s="185">
        <f>IFERROR(IF($C10="",-0.00001,SUMIFS(Database!AJ:AJ,Database!$AD:$AD,$C10,Database!$A:$A,$C$1)),-0.00001)</f>
        <v>-1.0000000000000001E-5</v>
      </c>
      <c r="L10" s="185">
        <f>IFERROR(IF($C10="",-0.00001,SUMIFS(Database!AK:AK,Database!$AD:$AD,$C10,Database!$A:$A,$C$1)),-0.00001)</f>
        <v>-1.0000000000000001E-5</v>
      </c>
      <c r="M10" s="185">
        <f>IFERROR(IF($C10="",-0.00001,SUMIFS(Database!AL:AL,Database!$AD:$AD,$C10,Database!$A:$A,$C$1)),-0.00001)</f>
        <v>-1.0000000000000001E-5</v>
      </c>
      <c r="N10" s="185">
        <f>IFERROR(IF($C10="",-0.00001,SUMIFS(Database!AM:AM,Database!$AD:$AD,$C10,Database!$A:$A,$C$1)),-0.00001)</f>
        <v>-1.0000000000000001E-5</v>
      </c>
      <c r="O10" s="185">
        <f>IFERROR(IF($C10="",-0.00001,SUMIFS(Database!AN:AN,Database!$AD:$AD,$C10,Database!$A:$A,$C$1)),-0.00001)</f>
        <v>-1.0000000000000001E-5</v>
      </c>
      <c r="P10" s="185">
        <f>IFERROR(IF($C10="",-0.00001,SUMIFS(Database!AO:AO,Database!$AD:$AD,$C10,Database!$A:$A,$C$1)),-0.00001)</f>
        <v>-1.0000000000000001E-5</v>
      </c>
      <c r="Q10" s="185">
        <f>IFERROR(IF($C10="",-0.00001,SUMIFS(Database!AP:AP,Database!$AD:$AD,$C10,Database!$A:$A,$C$1)),-0.00001)</f>
        <v>-1.0000000000000001E-5</v>
      </c>
      <c r="R10" s="186">
        <f t="shared" si="1"/>
        <v>-1.0000000000000001E-5</v>
      </c>
      <c r="S10" s="185">
        <f>IFERROR(IF($C10="",-0.00001,SUMIFS(Database!AR:AR,Database!$AD:$AD,$C10,Database!$A:$A,$C$1)),-0.00001)</f>
        <v>-1.0000000000000001E-5</v>
      </c>
      <c r="T10" s="185">
        <f>IFERROR(IF($C10="",-0.00001,SUMIFS(Database!AS:AS,Database!$AD:$AD,$C10,Database!$A:$A,$C$1)),-0.00001)</f>
        <v>-1.0000000000000001E-5</v>
      </c>
      <c r="U10" s="186">
        <f t="shared" si="2"/>
        <v>-1.0000000000000001E-5</v>
      </c>
      <c r="V10" s="185">
        <f>IFERROR(IF($C10="",-0.00001,SUMIFS(Database!AU:AU,Database!$AD:$AD,$C10,Database!$A:$A,$C$1)),-0.00001)</f>
        <v>-1.0000000000000001E-5</v>
      </c>
      <c r="W10" s="185">
        <f>IFERROR(IF($C10="",-0.00001,SUMIFS(Database!AV:AV,Database!$AD:$AD,$C10,Database!$A:$A,$C$1)),-0.00001)</f>
        <v>-1.0000000000000001E-5</v>
      </c>
      <c r="X10" s="186">
        <f t="shared" si="3"/>
        <v>-1.0000000000000001E-5</v>
      </c>
      <c r="Y10" s="291"/>
      <c r="Z10" s="293">
        <f>IFERROR(IF($C10="",-0.00001,SUMIFS(Database!AG:AG,Database!$AD:$AD,$C10,Database!$A:$A,$C$1)/$G10),-0.00001)</f>
        <v>-1.0000000000000001E-5</v>
      </c>
      <c r="AA10" s="293">
        <f>IFERROR(IF($C10="",-0.00001,SUMIFS(Database!AH:AH,Database!$AD:$AD,$C10,Database!$A:$A,$C$1)/$G10),-0.00001)</f>
        <v>-1.0000000000000001E-5</v>
      </c>
      <c r="AB10" s="293">
        <f>IFERROR(IF($C10="",-0.00001,SUMIFS(Database!AI:AI,Database!$AD:$AD,$C10,Database!$A:$A,$C$1)/$G10),-0.00001)</f>
        <v>-1.0000000000000001E-5</v>
      </c>
      <c r="AC10" s="293">
        <f>IFERROR(IF($C10="",-0.00001,SUMIFS(Database!AJ:AJ,Database!$AD:$AD,$C10,Database!$A:$A,$C$1)/$G10),-0.00001)</f>
        <v>-1.0000000000000001E-5</v>
      </c>
      <c r="AD10" s="293">
        <f>IFERROR(IF($C10="",-0.00001,SUMIFS(Database!AK:AK,Database!$AD:$AD,$C10,Database!$A:$A,$C$1)/$G10),-0.00001)</f>
        <v>-1.0000000000000001E-5</v>
      </c>
      <c r="AE10" s="293">
        <f>IFERROR(IF($C10="",-0.00001,SUMIFS(Database!AL:AL,Database!$AD:$AD,$C10,Database!$A:$A,$C$1)/$G10),-0.00001)</f>
        <v>-1.0000000000000001E-5</v>
      </c>
      <c r="AF10" s="293">
        <f>IFERROR(IF($C10="",-0.00001,SUMIFS(Database!AM:AM,Database!$AD:$AD,$C10,Database!$A:$A,$C$1)/$G10),-0.00001)</f>
        <v>-1.0000000000000001E-5</v>
      </c>
      <c r="AG10" s="293">
        <f>IFERROR(IF($C10="",-0.00001,SUMIFS(Database!AN:AN,Database!$AD:$AD,$C10,Database!$A:$A,$C$1)/$G10),-0.00001)</f>
        <v>-1.0000000000000001E-5</v>
      </c>
      <c r="AH10" s="293">
        <f>IFERROR(IF($C10="",-0.00001,SUMIFS(Database!AO:AO,Database!$AD:$AD,$C10,Database!$A:$A,$C$1)/$G10),-0.00001)</f>
        <v>-1.0000000000000001E-5</v>
      </c>
      <c r="AI10" s="293">
        <f>IFERROR(IF($C10="",-0.00001,SUMIFS(Database!AP:AP,Database!$AD:$AD,$C10,Database!$A:$A,$C$1)/$G10),-0.00001)</f>
        <v>-1.0000000000000001E-5</v>
      </c>
      <c r="AJ10" s="293">
        <f>IFERROR(IF($C10="",-0.00001,SUMIFS(Database!AR:AR,Database!$AD:$AD,$C10,Database!$A:$A,$C$1)/$G10),-0.00001)</f>
        <v>-1.0000000000000001E-5</v>
      </c>
      <c r="AK10" s="293">
        <f>IFERROR(IF($C10="",-0.00001,SUMIFS(Database!AS:AS,Database!$AD:$AD,$C10,Database!$A:$A,$C$1)/$G10),-0.00001)</f>
        <v>-1.0000000000000001E-5</v>
      </c>
      <c r="AL10" s="293">
        <f>IFERROR(IF($C10="",-0.00001,SUMIFS(Database!AU:AU,Database!$AD:$AD,$C10,Database!$A:$A,$C$1)/$G10),-0.00001)</f>
        <v>-1.0000000000000001E-5</v>
      </c>
      <c r="AM10" s="293">
        <f>IFERROR(IF($C10="",-0.00001,SUMIFS(Database!AV:AV,Database!$AD:$AD,$C10,Database!$A:$A,$C$1)/$G10),-0.00001)</f>
        <v>-1.0000000000000001E-5</v>
      </c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</row>
    <row r="11" spans="1:50" x14ac:dyDescent="0.25">
      <c r="A11" s="187"/>
      <c r="B11" s="187" t="str">
        <f>IF($C11="","",MAX($B$4:$B10)+1)</f>
        <v/>
      </c>
      <c r="C11" s="145"/>
      <c r="D11" s="233">
        <f>IF($C11="",-0.00001,COUNTIFS(Database!$AD:$AD,$C11,Database!$A:$A,$C$1,Database!$AE:$AE,"W"))</f>
        <v>-1.0000000000000001E-5</v>
      </c>
      <c r="E11" s="233">
        <f>IF($C11="",-0.00001,COUNTIFS(Database!$AD:$AD,$C11,Database!$A:$A,$C$1,Database!$AE:$AE,"L"))</f>
        <v>-1.0000000000000001E-5</v>
      </c>
      <c r="F11" s="233">
        <f t="shared" si="0"/>
        <v>-1.0000000000000001E-5</v>
      </c>
      <c r="G11" s="185">
        <f>IF($C11="",-0.00001,COUNTIFS(Database!AD:AD,$C11,Database!A:A,$C$1))</f>
        <v>-1.0000000000000001E-5</v>
      </c>
      <c r="H11" s="185">
        <f>IFERROR(IF($C11="",-0.00001,SUMIFS(Database!AG:AG,Database!$AD:$AD,$C11,Database!$A:$A,$C$1)),-0.00001)</f>
        <v>-1.0000000000000001E-5</v>
      </c>
      <c r="I11" s="185">
        <f>IFERROR(IF($C11="",-0.00001,SUMIFS(Database!AH:AH,Database!$AD:$AD,$C11,Database!$A:$A,$C$1)),-0.00001)</f>
        <v>-1.0000000000000001E-5</v>
      </c>
      <c r="J11" s="185">
        <f>IFERROR(IF($C11="",-0.00001,SUMIFS(Database!AI:AI,Database!$AD:$AD,$C11,Database!$A:$A,$C$1)),-0.00001)</f>
        <v>-1.0000000000000001E-5</v>
      </c>
      <c r="K11" s="185">
        <f>IFERROR(IF($C11="",-0.00001,SUMIFS(Database!AJ:AJ,Database!$AD:$AD,$C11,Database!$A:$A,$C$1)),-0.00001)</f>
        <v>-1.0000000000000001E-5</v>
      </c>
      <c r="L11" s="185">
        <f>IFERROR(IF($C11="",-0.00001,SUMIFS(Database!AK:AK,Database!$AD:$AD,$C11,Database!$A:$A,$C$1)),-0.00001)</f>
        <v>-1.0000000000000001E-5</v>
      </c>
      <c r="M11" s="185">
        <f>IFERROR(IF($C11="",-0.00001,SUMIFS(Database!AL:AL,Database!$AD:$AD,$C11,Database!$A:$A,$C$1)),-0.00001)</f>
        <v>-1.0000000000000001E-5</v>
      </c>
      <c r="N11" s="185">
        <f>IFERROR(IF($C11="",-0.00001,SUMIFS(Database!AM:AM,Database!$AD:$AD,$C11,Database!$A:$A,$C$1)),-0.00001)</f>
        <v>-1.0000000000000001E-5</v>
      </c>
      <c r="O11" s="185">
        <f>IFERROR(IF($C11="",-0.00001,SUMIFS(Database!AN:AN,Database!$AD:$AD,$C11,Database!$A:$A,$C$1)),-0.00001)</f>
        <v>-1.0000000000000001E-5</v>
      </c>
      <c r="P11" s="185">
        <f>IFERROR(IF($C11="",-0.00001,SUMIFS(Database!AO:AO,Database!$AD:$AD,$C11,Database!$A:$A,$C$1)),-0.00001)</f>
        <v>-1.0000000000000001E-5</v>
      </c>
      <c r="Q11" s="185">
        <f>IFERROR(IF($C11="",-0.00001,SUMIFS(Database!AP:AP,Database!$AD:$AD,$C11,Database!$A:$A,$C$1)),-0.00001)</f>
        <v>-1.0000000000000001E-5</v>
      </c>
      <c r="R11" s="186">
        <f t="shared" si="1"/>
        <v>-1.0000000000000001E-5</v>
      </c>
      <c r="S11" s="185">
        <f>IFERROR(IF($C11="",-0.00001,SUMIFS(Database!AR:AR,Database!$AD:$AD,$C11,Database!$A:$A,$C$1)),-0.00001)</f>
        <v>-1.0000000000000001E-5</v>
      </c>
      <c r="T11" s="185">
        <f>IFERROR(IF($C11="",-0.00001,SUMIFS(Database!AS:AS,Database!$AD:$AD,$C11,Database!$A:$A,$C$1)),-0.00001)</f>
        <v>-1.0000000000000001E-5</v>
      </c>
      <c r="U11" s="186">
        <f t="shared" si="2"/>
        <v>-1.0000000000000001E-5</v>
      </c>
      <c r="V11" s="185">
        <f>IFERROR(IF($C11="",-0.00001,SUMIFS(Database!AU:AU,Database!$AD:$AD,$C11,Database!$A:$A,$C$1)),-0.00001)</f>
        <v>-1.0000000000000001E-5</v>
      </c>
      <c r="W11" s="185">
        <f>IFERROR(IF($C11="",-0.00001,SUMIFS(Database!AV:AV,Database!$AD:$AD,$C11,Database!$A:$A,$C$1)),-0.00001)</f>
        <v>-1.0000000000000001E-5</v>
      </c>
      <c r="X11" s="186">
        <f t="shared" si="3"/>
        <v>-1.0000000000000001E-5</v>
      </c>
      <c r="Y11" s="291"/>
      <c r="Z11" s="293">
        <f>IFERROR(IF($C11="",-0.00001,SUMIFS(Database!AG:AG,Database!$AD:$AD,$C11,Database!$A:$A,$C$1)/$G11),-0.00001)</f>
        <v>-1.0000000000000001E-5</v>
      </c>
      <c r="AA11" s="293">
        <f>IFERROR(IF($C11="",-0.00001,SUMIFS(Database!AH:AH,Database!$AD:$AD,$C11,Database!$A:$A,$C$1)/$G11),-0.00001)</f>
        <v>-1.0000000000000001E-5</v>
      </c>
      <c r="AB11" s="293">
        <f>IFERROR(IF($C11="",-0.00001,SUMIFS(Database!AI:AI,Database!$AD:$AD,$C11,Database!$A:$A,$C$1)/$G11),-0.00001)</f>
        <v>-1.0000000000000001E-5</v>
      </c>
      <c r="AC11" s="293">
        <f>IFERROR(IF($C11="",-0.00001,SUMIFS(Database!AJ:AJ,Database!$AD:$AD,$C11,Database!$A:$A,$C$1)/$G11),-0.00001)</f>
        <v>-1.0000000000000001E-5</v>
      </c>
      <c r="AD11" s="293">
        <f>IFERROR(IF($C11="",-0.00001,SUMIFS(Database!AK:AK,Database!$AD:$AD,$C11,Database!$A:$A,$C$1)/$G11),-0.00001)</f>
        <v>-1.0000000000000001E-5</v>
      </c>
      <c r="AE11" s="293">
        <f>IFERROR(IF($C11="",-0.00001,SUMIFS(Database!AL:AL,Database!$AD:$AD,$C11,Database!$A:$A,$C$1)/$G11),-0.00001)</f>
        <v>-1.0000000000000001E-5</v>
      </c>
      <c r="AF11" s="293">
        <f>IFERROR(IF($C11="",-0.00001,SUMIFS(Database!AM:AM,Database!$AD:$AD,$C11,Database!$A:$A,$C$1)/$G11),-0.00001)</f>
        <v>-1.0000000000000001E-5</v>
      </c>
      <c r="AG11" s="293">
        <f>IFERROR(IF($C11="",-0.00001,SUMIFS(Database!AN:AN,Database!$AD:$AD,$C11,Database!$A:$A,$C$1)/$G11),-0.00001)</f>
        <v>-1.0000000000000001E-5</v>
      </c>
      <c r="AH11" s="293">
        <f>IFERROR(IF($C11="",-0.00001,SUMIFS(Database!AO:AO,Database!$AD:$AD,$C11,Database!$A:$A,$C$1)/$G11),-0.00001)</f>
        <v>-1.0000000000000001E-5</v>
      </c>
      <c r="AI11" s="293">
        <f>IFERROR(IF($C11="",-0.00001,SUMIFS(Database!AP:AP,Database!$AD:$AD,$C11,Database!$A:$A,$C$1)/$G11),-0.00001)</f>
        <v>-1.0000000000000001E-5</v>
      </c>
      <c r="AJ11" s="293">
        <f>IFERROR(IF($C11="",-0.00001,SUMIFS(Database!AR:AR,Database!$AD:$AD,$C11,Database!$A:$A,$C$1)/$G11),-0.00001)</f>
        <v>-1.0000000000000001E-5</v>
      </c>
      <c r="AK11" s="293">
        <f>IFERROR(IF($C11="",-0.00001,SUMIFS(Database!AS:AS,Database!$AD:$AD,$C11,Database!$A:$A,$C$1)/$G11),-0.00001)</f>
        <v>-1.0000000000000001E-5</v>
      </c>
      <c r="AL11" s="293">
        <f>IFERROR(IF($C11="",-0.00001,SUMIFS(Database!AU:AU,Database!$AD:$AD,$C11,Database!$A:$A,$C$1)/$G11),-0.00001)</f>
        <v>-1.0000000000000001E-5</v>
      </c>
      <c r="AM11" s="293">
        <f>IFERROR(IF($C11="",-0.00001,SUMIFS(Database!AV:AV,Database!$AD:$AD,$C11,Database!$A:$A,$C$1)/$G11),-0.00001)</f>
        <v>-1.0000000000000001E-5</v>
      </c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</row>
    <row r="12" spans="1:50" x14ac:dyDescent="0.25">
      <c r="A12" s="187"/>
      <c r="B12" s="187" t="str">
        <f>IF($C12="","",MAX($B$4:$B11)+1)</f>
        <v/>
      </c>
      <c r="C12" s="145"/>
      <c r="D12" s="233">
        <f>IF($C12="",-0.00001,COUNTIFS(Database!$AD:$AD,$C12,Database!$A:$A,$C$1,Database!$AE:$AE,"W"))</f>
        <v>-1.0000000000000001E-5</v>
      </c>
      <c r="E12" s="233">
        <f>IF($C12="",-0.00001,COUNTIFS(Database!$AD:$AD,$C12,Database!$A:$A,$C$1,Database!$AE:$AE,"L"))</f>
        <v>-1.0000000000000001E-5</v>
      </c>
      <c r="F12" s="233">
        <f t="shared" si="0"/>
        <v>-1.0000000000000001E-5</v>
      </c>
      <c r="G12" s="185">
        <f>IF($C12="",-0.00001,COUNTIFS(Database!AD:AD,$C12,Database!A:A,$C$1))</f>
        <v>-1.0000000000000001E-5</v>
      </c>
      <c r="H12" s="185">
        <f>IFERROR(IF($C12="",-0.00001,SUMIFS(Database!AG:AG,Database!$AD:$AD,$C12,Database!$A:$A,$C$1)),-0.00001)</f>
        <v>-1.0000000000000001E-5</v>
      </c>
      <c r="I12" s="185">
        <f>IFERROR(IF($C12="",-0.00001,SUMIFS(Database!AH:AH,Database!$AD:$AD,$C12,Database!$A:$A,$C$1)),-0.00001)</f>
        <v>-1.0000000000000001E-5</v>
      </c>
      <c r="J12" s="185">
        <f>IFERROR(IF($C12="",-0.00001,SUMIFS(Database!AI:AI,Database!$AD:$AD,$C12,Database!$A:$A,$C$1)),-0.00001)</f>
        <v>-1.0000000000000001E-5</v>
      </c>
      <c r="K12" s="185">
        <f>IFERROR(IF($C12="",-0.00001,SUMIFS(Database!AJ:AJ,Database!$AD:$AD,$C12,Database!$A:$A,$C$1)),-0.00001)</f>
        <v>-1.0000000000000001E-5</v>
      </c>
      <c r="L12" s="185">
        <f>IFERROR(IF($C12="",-0.00001,SUMIFS(Database!AK:AK,Database!$AD:$AD,$C12,Database!$A:$A,$C$1)),-0.00001)</f>
        <v>-1.0000000000000001E-5</v>
      </c>
      <c r="M12" s="185">
        <f>IFERROR(IF($C12="",-0.00001,SUMIFS(Database!AL:AL,Database!$AD:$AD,$C12,Database!$A:$A,$C$1)),-0.00001)</f>
        <v>-1.0000000000000001E-5</v>
      </c>
      <c r="N12" s="185">
        <f>IFERROR(IF($C12="",-0.00001,SUMIFS(Database!AM:AM,Database!$AD:$AD,$C12,Database!$A:$A,$C$1)),-0.00001)</f>
        <v>-1.0000000000000001E-5</v>
      </c>
      <c r="O12" s="185">
        <f>IFERROR(IF($C12="",-0.00001,SUMIFS(Database!AN:AN,Database!$AD:$AD,$C12,Database!$A:$A,$C$1)),-0.00001)</f>
        <v>-1.0000000000000001E-5</v>
      </c>
      <c r="P12" s="185">
        <f>IFERROR(IF($C12="",-0.00001,SUMIFS(Database!AO:AO,Database!$AD:$AD,$C12,Database!$A:$A,$C$1)),-0.00001)</f>
        <v>-1.0000000000000001E-5</v>
      </c>
      <c r="Q12" s="185">
        <f>IFERROR(IF($C12="",-0.00001,SUMIFS(Database!AP:AP,Database!$AD:$AD,$C12,Database!$A:$A,$C$1)),-0.00001)</f>
        <v>-1.0000000000000001E-5</v>
      </c>
      <c r="R12" s="186">
        <f t="shared" si="1"/>
        <v>-1.0000000000000001E-5</v>
      </c>
      <c r="S12" s="185">
        <f>IFERROR(IF($C12="",-0.00001,SUMIFS(Database!AR:AR,Database!$AD:$AD,$C12,Database!$A:$A,$C$1)),-0.00001)</f>
        <v>-1.0000000000000001E-5</v>
      </c>
      <c r="T12" s="185">
        <f>IFERROR(IF($C12="",-0.00001,SUMIFS(Database!AS:AS,Database!$AD:$AD,$C12,Database!$A:$A,$C$1)),-0.00001)</f>
        <v>-1.0000000000000001E-5</v>
      </c>
      <c r="U12" s="186">
        <f t="shared" si="2"/>
        <v>-1.0000000000000001E-5</v>
      </c>
      <c r="V12" s="185">
        <f>IFERROR(IF($C12="",-0.00001,SUMIFS(Database!AU:AU,Database!$AD:$AD,$C12,Database!$A:$A,$C$1)),-0.00001)</f>
        <v>-1.0000000000000001E-5</v>
      </c>
      <c r="W12" s="185">
        <f>IFERROR(IF($C12="",-0.00001,SUMIFS(Database!AV:AV,Database!$AD:$AD,$C12,Database!$A:$A,$C$1)),-0.00001)</f>
        <v>-1.0000000000000001E-5</v>
      </c>
      <c r="X12" s="186">
        <f t="shared" si="3"/>
        <v>-1.0000000000000001E-5</v>
      </c>
      <c r="Y12" s="291"/>
      <c r="Z12" s="293">
        <f>IFERROR(IF($C12="",-0.00001,SUMIFS(Database!AG:AG,Database!$AD:$AD,$C12,Database!$A:$A,$C$1)/$G12),-0.00001)</f>
        <v>-1.0000000000000001E-5</v>
      </c>
      <c r="AA12" s="293">
        <f>IFERROR(IF($C12="",-0.00001,SUMIFS(Database!AH:AH,Database!$AD:$AD,$C12,Database!$A:$A,$C$1)/$G12),-0.00001)</f>
        <v>-1.0000000000000001E-5</v>
      </c>
      <c r="AB12" s="293">
        <f>IFERROR(IF($C12="",-0.00001,SUMIFS(Database!AI:AI,Database!$AD:$AD,$C12,Database!$A:$A,$C$1)/$G12),-0.00001)</f>
        <v>-1.0000000000000001E-5</v>
      </c>
      <c r="AC12" s="293">
        <f>IFERROR(IF($C12="",-0.00001,SUMIFS(Database!AJ:AJ,Database!$AD:$AD,$C12,Database!$A:$A,$C$1)/$G12),-0.00001)</f>
        <v>-1.0000000000000001E-5</v>
      </c>
      <c r="AD12" s="293">
        <f>IFERROR(IF($C12="",-0.00001,SUMIFS(Database!AK:AK,Database!$AD:$AD,$C12,Database!$A:$A,$C$1)/$G12),-0.00001)</f>
        <v>-1.0000000000000001E-5</v>
      </c>
      <c r="AE12" s="293">
        <f>IFERROR(IF($C12="",-0.00001,SUMIFS(Database!AL:AL,Database!$AD:$AD,$C12,Database!$A:$A,$C$1)/$G12),-0.00001)</f>
        <v>-1.0000000000000001E-5</v>
      </c>
      <c r="AF12" s="293">
        <f>IFERROR(IF($C12="",-0.00001,SUMIFS(Database!AM:AM,Database!$AD:$AD,$C12,Database!$A:$A,$C$1)/$G12),-0.00001)</f>
        <v>-1.0000000000000001E-5</v>
      </c>
      <c r="AG12" s="293">
        <f>IFERROR(IF($C12="",-0.00001,SUMIFS(Database!AN:AN,Database!$AD:$AD,$C12,Database!$A:$A,$C$1)/$G12),-0.00001)</f>
        <v>-1.0000000000000001E-5</v>
      </c>
      <c r="AH12" s="293">
        <f>IFERROR(IF($C12="",-0.00001,SUMIFS(Database!AO:AO,Database!$AD:$AD,$C12,Database!$A:$A,$C$1)/$G12),-0.00001)</f>
        <v>-1.0000000000000001E-5</v>
      </c>
      <c r="AI12" s="293">
        <f>IFERROR(IF($C12="",-0.00001,SUMIFS(Database!AP:AP,Database!$AD:$AD,$C12,Database!$A:$A,$C$1)/$G12),-0.00001)</f>
        <v>-1.0000000000000001E-5</v>
      </c>
      <c r="AJ12" s="293">
        <f>IFERROR(IF($C12="",-0.00001,SUMIFS(Database!AR:AR,Database!$AD:$AD,$C12,Database!$A:$A,$C$1)/$G12),-0.00001)</f>
        <v>-1.0000000000000001E-5</v>
      </c>
      <c r="AK12" s="293">
        <f>IFERROR(IF($C12="",-0.00001,SUMIFS(Database!AS:AS,Database!$AD:$AD,$C12,Database!$A:$A,$C$1)/$G12),-0.00001)</f>
        <v>-1.0000000000000001E-5</v>
      </c>
      <c r="AL12" s="293">
        <f>IFERROR(IF($C12="",-0.00001,SUMIFS(Database!AU:AU,Database!$AD:$AD,$C12,Database!$A:$A,$C$1)/$G12),-0.00001)</f>
        <v>-1.0000000000000001E-5</v>
      </c>
      <c r="AM12" s="293">
        <f>IFERROR(IF($C12="",-0.00001,SUMIFS(Database!AV:AV,Database!$AD:$AD,$C12,Database!$A:$A,$C$1)/$G12),-0.00001)</f>
        <v>-1.0000000000000001E-5</v>
      </c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</row>
    <row r="13" spans="1:50" x14ac:dyDescent="0.25">
      <c r="A13" s="187"/>
      <c r="B13" s="187" t="str">
        <f>IF($C13="","",MAX($B$4:$B12)+1)</f>
        <v/>
      </c>
      <c r="C13" s="145"/>
      <c r="D13" s="233">
        <f>IF($C13="",-0.00001,COUNTIFS(Database!$AD:$AD,$C13,Database!$A:$A,$C$1,Database!$AE:$AE,"W"))</f>
        <v>-1.0000000000000001E-5</v>
      </c>
      <c r="E13" s="233">
        <f>IF($C13="",-0.00001,COUNTIFS(Database!$AD:$AD,$C13,Database!$A:$A,$C$1,Database!$AE:$AE,"L"))</f>
        <v>-1.0000000000000001E-5</v>
      </c>
      <c r="F13" s="233">
        <f t="shared" si="0"/>
        <v>-1.0000000000000001E-5</v>
      </c>
      <c r="G13" s="185">
        <f>IF($C13="",-0.00001,COUNTIFS(Database!AD:AD,$C13,Database!A:A,$C$1))</f>
        <v>-1.0000000000000001E-5</v>
      </c>
      <c r="H13" s="185">
        <f>IFERROR(IF($C13="",-0.00001,SUMIFS(Database!AG:AG,Database!$AD:$AD,$C13,Database!$A:$A,$C$1)),-0.00001)</f>
        <v>-1.0000000000000001E-5</v>
      </c>
      <c r="I13" s="185">
        <f>IFERROR(IF($C13="",-0.00001,SUMIFS(Database!AH:AH,Database!$AD:$AD,$C13,Database!$A:$A,$C$1)),-0.00001)</f>
        <v>-1.0000000000000001E-5</v>
      </c>
      <c r="J13" s="185">
        <f>IFERROR(IF($C13="",-0.00001,SUMIFS(Database!AI:AI,Database!$AD:$AD,$C13,Database!$A:$A,$C$1)),-0.00001)</f>
        <v>-1.0000000000000001E-5</v>
      </c>
      <c r="K13" s="185">
        <f>IFERROR(IF($C13="",-0.00001,SUMIFS(Database!AJ:AJ,Database!$AD:$AD,$C13,Database!$A:$A,$C$1)),-0.00001)</f>
        <v>-1.0000000000000001E-5</v>
      </c>
      <c r="L13" s="185">
        <f>IFERROR(IF($C13="",-0.00001,SUMIFS(Database!AK:AK,Database!$AD:$AD,$C13,Database!$A:$A,$C$1)),-0.00001)</f>
        <v>-1.0000000000000001E-5</v>
      </c>
      <c r="M13" s="185">
        <f>IFERROR(IF($C13="",-0.00001,SUMIFS(Database!AL:AL,Database!$AD:$AD,$C13,Database!$A:$A,$C$1)),-0.00001)</f>
        <v>-1.0000000000000001E-5</v>
      </c>
      <c r="N13" s="185">
        <f>IFERROR(IF($C13="",-0.00001,SUMIFS(Database!AM:AM,Database!$AD:$AD,$C13,Database!$A:$A,$C$1)),-0.00001)</f>
        <v>-1.0000000000000001E-5</v>
      </c>
      <c r="O13" s="185">
        <f>IFERROR(IF($C13="",-0.00001,SUMIFS(Database!AN:AN,Database!$AD:$AD,$C13,Database!$A:$A,$C$1)),-0.00001)</f>
        <v>-1.0000000000000001E-5</v>
      </c>
      <c r="P13" s="185">
        <f>IFERROR(IF($C13="",-0.00001,SUMIFS(Database!AO:AO,Database!$AD:$AD,$C13,Database!$A:$A,$C$1)),-0.00001)</f>
        <v>-1.0000000000000001E-5</v>
      </c>
      <c r="Q13" s="185">
        <f>IFERROR(IF($C13="",-0.00001,SUMIFS(Database!AP:AP,Database!$AD:$AD,$C13,Database!$A:$A,$C$1)),-0.00001)</f>
        <v>-1.0000000000000001E-5</v>
      </c>
      <c r="R13" s="186">
        <f t="shared" si="1"/>
        <v>-1.0000000000000001E-5</v>
      </c>
      <c r="S13" s="185">
        <f>IFERROR(IF($C13="",-0.00001,SUMIFS(Database!AR:AR,Database!$AD:$AD,$C13,Database!$A:$A,$C$1)),-0.00001)</f>
        <v>-1.0000000000000001E-5</v>
      </c>
      <c r="T13" s="185">
        <f>IFERROR(IF($C13="",-0.00001,SUMIFS(Database!AS:AS,Database!$AD:$AD,$C13,Database!$A:$A,$C$1)),-0.00001)</f>
        <v>-1.0000000000000001E-5</v>
      </c>
      <c r="U13" s="186">
        <f t="shared" si="2"/>
        <v>-1.0000000000000001E-5</v>
      </c>
      <c r="V13" s="185">
        <f>IFERROR(IF($C13="",-0.00001,SUMIFS(Database!AU:AU,Database!$AD:$AD,$C13,Database!$A:$A,$C$1)),-0.00001)</f>
        <v>-1.0000000000000001E-5</v>
      </c>
      <c r="W13" s="185">
        <f>IFERROR(IF($C13="",-0.00001,SUMIFS(Database!AV:AV,Database!$AD:$AD,$C13,Database!$A:$A,$C$1)),-0.00001)</f>
        <v>-1.0000000000000001E-5</v>
      </c>
      <c r="X13" s="186">
        <f t="shared" si="3"/>
        <v>-1.0000000000000001E-5</v>
      </c>
      <c r="Y13" s="291"/>
      <c r="Z13" s="293">
        <f>IFERROR(IF($C13="",-0.00001,SUMIFS(Database!AG:AG,Database!$AD:$AD,$C13,Database!$A:$A,$C$1)/$G13),-0.00001)</f>
        <v>-1.0000000000000001E-5</v>
      </c>
      <c r="AA13" s="293">
        <f>IFERROR(IF($C13="",-0.00001,SUMIFS(Database!AH:AH,Database!$AD:$AD,$C13,Database!$A:$A,$C$1)/$G13),-0.00001)</f>
        <v>-1.0000000000000001E-5</v>
      </c>
      <c r="AB13" s="293">
        <f>IFERROR(IF($C13="",-0.00001,SUMIFS(Database!AI:AI,Database!$AD:$AD,$C13,Database!$A:$A,$C$1)/$G13),-0.00001)</f>
        <v>-1.0000000000000001E-5</v>
      </c>
      <c r="AC13" s="293">
        <f>IFERROR(IF($C13="",-0.00001,SUMIFS(Database!AJ:AJ,Database!$AD:$AD,$C13,Database!$A:$A,$C$1)/$G13),-0.00001)</f>
        <v>-1.0000000000000001E-5</v>
      </c>
      <c r="AD13" s="293">
        <f>IFERROR(IF($C13="",-0.00001,SUMIFS(Database!AK:AK,Database!$AD:$AD,$C13,Database!$A:$A,$C$1)/$G13),-0.00001)</f>
        <v>-1.0000000000000001E-5</v>
      </c>
      <c r="AE13" s="293">
        <f>IFERROR(IF($C13="",-0.00001,SUMIFS(Database!AL:AL,Database!$AD:$AD,$C13,Database!$A:$A,$C$1)/$G13),-0.00001)</f>
        <v>-1.0000000000000001E-5</v>
      </c>
      <c r="AF13" s="293">
        <f>IFERROR(IF($C13="",-0.00001,SUMIFS(Database!AM:AM,Database!$AD:$AD,$C13,Database!$A:$A,$C$1)/$G13),-0.00001)</f>
        <v>-1.0000000000000001E-5</v>
      </c>
      <c r="AG13" s="293">
        <f>IFERROR(IF($C13="",-0.00001,SUMIFS(Database!AN:AN,Database!$AD:$AD,$C13,Database!$A:$A,$C$1)/$G13),-0.00001)</f>
        <v>-1.0000000000000001E-5</v>
      </c>
      <c r="AH13" s="293">
        <f>IFERROR(IF($C13="",-0.00001,SUMIFS(Database!AO:AO,Database!$AD:$AD,$C13,Database!$A:$A,$C$1)/$G13),-0.00001)</f>
        <v>-1.0000000000000001E-5</v>
      </c>
      <c r="AI13" s="293">
        <f>IFERROR(IF($C13="",-0.00001,SUMIFS(Database!AP:AP,Database!$AD:$AD,$C13,Database!$A:$A,$C$1)/$G13),-0.00001)</f>
        <v>-1.0000000000000001E-5</v>
      </c>
      <c r="AJ13" s="293">
        <f>IFERROR(IF($C13="",-0.00001,SUMIFS(Database!AR:AR,Database!$AD:$AD,$C13,Database!$A:$A,$C$1)/$G13),-0.00001)</f>
        <v>-1.0000000000000001E-5</v>
      </c>
      <c r="AK13" s="293">
        <f>IFERROR(IF($C13="",-0.00001,SUMIFS(Database!AS:AS,Database!$AD:$AD,$C13,Database!$A:$A,$C$1)/$G13),-0.00001)</f>
        <v>-1.0000000000000001E-5</v>
      </c>
      <c r="AL13" s="293">
        <f>IFERROR(IF($C13="",-0.00001,SUMIFS(Database!AU:AU,Database!$AD:$AD,$C13,Database!$A:$A,$C$1)/$G13),-0.00001)</f>
        <v>-1.0000000000000001E-5</v>
      </c>
      <c r="AM13" s="293">
        <f>IFERROR(IF($C13="",-0.00001,SUMIFS(Database!AV:AV,Database!$AD:$AD,$C13,Database!$A:$A,$C$1)/$G13),-0.00001)</f>
        <v>-1.0000000000000001E-5</v>
      </c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</row>
    <row r="14" spans="1:50" x14ac:dyDescent="0.25">
      <c r="A14" s="187"/>
      <c r="B14" s="187" t="str">
        <f>IF($C14="","",MAX($B$4:$B13)+1)</f>
        <v/>
      </c>
      <c r="C14" s="145"/>
      <c r="D14" s="233">
        <f>IF($C14="",-0.00001,COUNTIFS(Database!$AD:$AD,$C14,Database!$A:$A,$C$1,Database!$AE:$AE,"W"))</f>
        <v>-1.0000000000000001E-5</v>
      </c>
      <c r="E14" s="233">
        <f>IF($C14="",-0.00001,COUNTIFS(Database!$AD:$AD,$C14,Database!$A:$A,$C$1,Database!$AE:$AE,"L"))</f>
        <v>-1.0000000000000001E-5</v>
      </c>
      <c r="F14" s="233">
        <f t="shared" si="0"/>
        <v>-1.0000000000000001E-5</v>
      </c>
      <c r="G14" s="185">
        <f>IF($C14="",-0.00001,COUNTIFS(Database!AD:AD,$C14,Database!A:A,$C$1))</f>
        <v>-1.0000000000000001E-5</v>
      </c>
      <c r="H14" s="185">
        <f>IFERROR(IF($C14="",-0.00001,SUMIFS(Database!AG:AG,Database!$AD:$AD,$C14,Database!$A:$A,$C$1)),-0.00001)</f>
        <v>-1.0000000000000001E-5</v>
      </c>
      <c r="I14" s="185">
        <f>IFERROR(IF($C14="",-0.00001,SUMIFS(Database!AH:AH,Database!$AD:$AD,$C14,Database!$A:$A,$C$1)),-0.00001)</f>
        <v>-1.0000000000000001E-5</v>
      </c>
      <c r="J14" s="185">
        <f>IFERROR(IF($C14="",-0.00001,SUMIFS(Database!AI:AI,Database!$AD:$AD,$C14,Database!$A:$A,$C$1)),-0.00001)</f>
        <v>-1.0000000000000001E-5</v>
      </c>
      <c r="K14" s="185">
        <f>IFERROR(IF($C14="",-0.00001,SUMIFS(Database!AJ:AJ,Database!$AD:$AD,$C14,Database!$A:$A,$C$1)),-0.00001)</f>
        <v>-1.0000000000000001E-5</v>
      </c>
      <c r="L14" s="185">
        <f>IFERROR(IF($C14="",-0.00001,SUMIFS(Database!AK:AK,Database!$AD:$AD,$C14,Database!$A:$A,$C$1)),-0.00001)</f>
        <v>-1.0000000000000001E-5</v>
      </c>
      <c r="M14" s="185">
        <f>IFERROR(IF($C14="",-0.00001,SUMIFS(Database!AL:AL,Database!$AD:$AD,$C14,Database!$A:$A,$C$1)),-0.00001)</f>
        <v>-1.0000000000000001E-5</v>
      </c>
      <c r="N14" s="185">
        <f>IFERROR(IF($C14="",-0.00001,SUMIFS(Database!AM:AM,Database!$AD:$AD,$C14,Database!$A:$A,$C$1)),-0.00001)</f>
        <v>-1.0000000000000001E-5</v>
      </c>
      <c r="O14" s="185">
        <f>IFERROR(IF($C14="",-0.00001,SUMIFS(Database!AN:AN,Database!$AD:$AD,$C14,Database!$A:$A,$C$1)),-0.00001)</f>
        <v>-1.0000000000000001E-5</v>
      </c>
      <c r="P14" s="185">
        <f>IFERROR(IF($C14="",-0.00001,SUMIFS(Database!AO:AO,Database!$AD:$AD,$C14,Database!$A:$A,$C$1)),-0.00001)</f>
        <v>-1.0000000000000001E-5</v>
      </c>
      <c r="Q14" s="185">
        <f>IFERROR(IF($C14="",-0.00001,SUMIFS(Database!AP:AP,Database!$AD:$AD,$C14,Database!$A:$A,$C$1)),-0.00001)</f>
        <v>-1.0000000000000001E-5</v>
      </c>
      <c r="R14" s="186">
        <f t="shared" si="1"/>
        <v>-1.0000000000000001E-5</v>
      </c>
      <c r="S14" s="185">
        <f>IFERROR(IF($C14="",-0.00001,SUMIFS(Database!AR:AR,Database!$AD:$AD,$C14,Database!$A:$A,$C$1)),-0.00001)</f>
        <v>-1.0000000000000001E-5</v>
      </c>
      <c r="T14" s="185">
        <f>IFERROR(IF($C14="",-0.00001,SUMIFS(Database!AS:AS,Database!$AD:$AD,$C14,Database!$A:$A,$C$1)),-0.00001)</f>
        <v>-1.0000000000000001E-5</v>
      </c>
      <c r="U14" s="186">
        <f t="shared" si="2"/>
        <v>-1.0000000000000001E-5</v>
      </c>
      <c r="V14" s="185">
        <f>IFERROR(IF($C14="",-0.00001,SUMIFS(Database!AU:AU,Database!$AD:$AD,$C14,Database!$A:$A,$C$1)),-0.00001)</f>
        <v>-1.0000000000000001E-5</v>
      </c>
      <c r="W14" s="185">
        <f>IFERROR(IF($C14="",-0.00001,SUMIFS(Database!AV:AV,Database!$AD:$AD,$C14,Database!$A:$A,$C$1)),-0.00001)</f>
        <v>-1.0000000000000001E-5</v>
      </c>
      <c r="X14" s="186">
        <f t="shared" si="3"/>
        <v>-1.0000000000000001E-5</v>
      </c>
      <c r="Y14" s="291"/>
      <c r="Z14" s="293">
        <f>IFERROR(IF($C14="",-0.00001,SUMIFS(Database!AG:AG,Database!$AD:$AD,$C14,Database!$A:$A,$C$1)/$G14),-0.00001)</f>
        <v>-1.0000000000000001E-5</v>
      </c>
      <c r="AA14" s="293">
        <f>IFERROR(IF($C14="",-0.00001,SUMIFS(Database!AH:AH,Database!$AD:$AD,$C14,Database!$A:$A,$C$1)/$G14),-0.00001)</f>
        <v>-1.0000000000000001E-5</v>
      </c>
      <c r="AB14" s="293">
        <f>IFERROR(IF($C14="",-0.00001,SUMIFS(Database!AI:AI,Database!$AD:$AD,$C14,Database!$A:$A,$C$1)/$G14),-0.00001)</f>
        <v>-1.0000000000000001E-5</v>
      </c>
      <c r="AC14" s="293">
        <f>IFERROR(IF($C14="",-0.00001,SUMIFS(Database!AJ:AJ,Database!$AD:$AD,$C14,Database!$A:$A,$C$1)/$G14),-0.00001)</f>
        <v>-1.0000000000000001E-5</v>
      </c>
      <c r="AD14" s="293">
        <f>IFERROR(IF($C14="",-0.00001,SUMIFS(Database!AK:AK,Database!$AD:$AD,$C14,Database!$A:$A,$C$1)/$G14),-0.00001)</f>
        <v>-1.0000000000000001E-5</v>
      </c>
      <c r="AE14" s="293">
        <f>IFERROR(IF($C14="",-0.00001,SUMIFS(Database!AL:AL,Database!$AD:$AD,$C14,Database!$A:$A,$C$1)/$G14),-0.00001)</f>
        <v>-1.0000000000000001E-5</v>
      </c>
      <c r="AF14" s="293">
        <f>IFERROR(IF($C14="",-0.00001,SUMIFS(Database!AM:AM,Database!$AD:$AD,$C14,Database!$A:$A,$C$1)/$G14),-0.00001)</f>
        <v>-1.0000000000000001E-5</v>
      </c>
      <c r="AG14" s="293">
        <f>IFERROR(IF($C14="",-0.00001,SUMIFS(Database!AN:AN,Database!$AD:$AD,$C14,Database!$A:$A,$C$1)/$G14),-0.00001)</f>
        <v>-1.0000000000000001E-5</v>
      </c>
      <c r="AH14" s="293">
        <f>IFERROR(IF($C14="",-0.00001,SUMIFS(Database!AO:AO,Database!$AD:$AD,$C14,Database!$A:$A,$C$1)/$G14),-0.00001)</f>
        <v>-1.0000000000000001E-5</v>
      </c>
      <c r="AI14" s="293">
        <f>IFERROR(IF($C14="",-0.00001,SUMIFS(Database!AP:AP,Database!$AD:$AD,$C14,Database!$A:$A,$C$1)/$G14),-0.00001)</f>
        <v>-1.0000000000000001E-5</v>
      </c>
      <c r="AJ14" s="293">
        <f>IFERROR(IF($C14="",-0.00001,SUMIFS(Database!AR:AR,Database!$AD:$AD,$C14,Database!$A:$A,$C$1)/$G14),-0.00001)</f>
        <v>-1.0000000000000001E-5</v>
      </c>
      <c r="AK14" s="293">
        <f>IFERROR(IF($C14="",-0.00001,SUMIFS(Database!AS:AS,Database!$AD:$AD,$C14,Database!$A:$A,$C$1)/$G14),-0.00001)</f>
        <v>-1.0000000000000001E-5</v>
      </c>
      <c r="AL14" s="293">
        <f>IFERROR(IF($C14="",-0.00001,SUMIFS(Database!AU:AU,Database!$AD:$AD,$C14,Database!$A:$A,$C$1)/$G14),-0.00001)</f>
        <v>-1.0000000000000001E-5</v>
      </c>
      <c r="AM14" s="293">
        <f>IFERROR(IF($C14="",-0.00001,SUMIFS(Database!AV:AV,Database!$AD:$AD,$C14,Database!$A:$A,$C$1)/$G14),-0.00001)</f>
        <v>-1.0000000000000001E-5</v>
      </c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</row>
    <row r="15" spans="1:50" x14ac:dyDescent="0.25">
      <c r="A15" s="187"/>
      <c r="B15" s="187" t="str">
        <f>IF($C15="","",MAX($B$4:$B14)+1)</f>
        <v/>
      </c>
      <c r="C15" s="145"/>
      <c r="D15" s="233">
        <f>IF($C15="",-0.00001,COUNTIFS(Database!$AD:$AD,$C15,Database!$A:$A,$C$1,Database!$AE:$AE,"W"))</f>
        <v>-1.0000000000000001E-5</v>
      </c>
      <c r="E15" s="233">
        <f>IF($C15="",-0.00001,COUNTIFS(Database!$AD:$AD,$C15,Database!$A:$A,$C$1,Database!$AE:$AE,"L"))</f>
        <v>-1.0000000000000001E-5</v>
      </c>
      <c r="F15" s="233">
        <f t="shared" si="0"/>
        <v>-1.0000000000000001E-5</v>
      </c>
      <c r="G15" s="185">
        <f>IF($C15="",-0.00001,COUNTIFS(Database!AD:AD,$C15,Database!A:A,$C$1))</f>
        <v>-1.0000000000000001E-5</v>
      </c>
      <c r="H15" s="185">
        <f>IFERROR(IF($C15="",-0.00001,SUMIFS(Database!AG:AG,Database!$AD:$AD,$C15,Database!$A:$A,$C$1)),-0.00001)</f>
        <v>-1.0000000000000001E-5</v>
      </c>
      <c r="I15" s="185">
        <f>IFERROR(IF($C15="",-0.00001,SUMIFS(Database!AH:AH,Database!$AD:$AD,$C15,Database!$A:$A,$C$1)),-0.00001)</f>
        <v>-1.0000000000000001E-5</v>
      </c>
      <c r="J15" s="185">
        <f>IFERROR(IF($C15="",-0.00001,SUMIFS(Database!AI:AI,Database!$AD:$AD,$C15,Database!$A:$A,$C$1)),-0.00001)</f>
        <v>-1.0000000000000001E-5</v>
      </c>
      <c r="K15" s="185">
        <f>IFERROR(IF($C15="",-0.00001,SUMIFS(Database!AJ:AJ,Database!$AD:$AD,$C15,Database!$A:$A,$C$1)),-0.00001)</f>
        <v>-1.0000000000000001E-5</v>
      </c>
      <c r="L15" s="185">
        <f>IFERROR(IF($C15="",-0.00001,SUMIFS(Database!AK:AK,Database!$AD:$AD,$C15,Database!$A:$A,$C$1)),-0.00001)</f>
        <v>-1.0000000000000001E-5</v>
      </c>
      <c r="M15" s="185">
        <f>IFERROR(IF($C15="",-0.00001,SUMIFS(Database!AL:AL,Database!$AD:$AD,$C15,Database!$A:$A,$C$1)),-0.00001)</f>
        <v>-1.0000000000000001E-5</v>
      </c>
      <c r="N15" s="185">
        <f>IFERROR(IF($C15="",-0.00001,SUMIFS(Database!AM:AM,Database!$AD:$AD,$C15,Database!$A:$A,$C$1)),-0.00001)</f>
        <v>-1.0000000000000001E-5</v>
      </c>
      <c r="O15" s="185">
        <f>IFERROR(IF($C15="",-0.00001,SUMIFS(Database!AN:AN,Database!$AD:$AD,$C15,Database!$A:$A,$C$1)),-0.00001)</f>
        <v>-1.0000000000000001E-5</v>
      </c>
      <c r="P15" s="185">
        <f>IFERROR(IF($C15="",-0.00001,SUMIFS(Database!AO:AO,Database!$AD:$AD,$C15,Database!$A:$A,$C$1)),-0.00001)</f>
        <v>-1.0000000000000001E-5</v>
      </c>
      <c r="Q15" s="185">
        <f>IFERROR(IF($C15="",-0.00001,SUMIFS(Database!AP:AP,Database!$AD:$AD,$C15,Database!$A:$A,$C$1)),-0.00001)</f>
        <v>-1.0000000000000001E-5</v>
      </c>
      <c r="R15" s="186">
        <f t="shared" si="1"/>
        <v>-1.0000000000000001E-5</v>
      </c>
      <c r="S15" s="185">
        <f>IFERROR(IF($C15="",-0.00001,SUMIFS(Database!AR:AR,Database!$AD:$AD,$C15,Database!$A:$A,$C$1)),-0.00001)</f>
        <v>-1.0000000000000001E-5</v>
      </c>
      <c r="T15" s="185">
        <f>IFERROR(IF($C15="",-0.00001,SUMIFS(Database!AS:AS,Database!$AD:$AD,$C15,Database!$A:$A,$C$1)),-0.00001)</f>
        <v>-1.0000000000000001E-5</v>
      </c>
      <c r="U15" s="186">
        <f t="shared" si="2"/>
        <v>-1.0000000000000001E-5</v>
      </c>
      <c r="V15" s="185">
        <f>IFERROR(IF($C15="",-0.00001,SUMIFS(Database!AU:AU,Database!$AD:$AD,$C15,Database!$A:$A,$C$1)),-0.00001)</f>
        <v>-1.0000000000000001E-5</v>
      </c>
      <c r="W15" s="185">
        <f>IFERROR(IF($C15="",-0.00001,SUMIFS(Database!AV:AV,Database!$AD:$AD,$C15,Database!$A:$A,$C$1)),-0.00001)</f>
        <v>-1.0000000000000001E-5</v>
      </c>
      <c r="X15" s="186">
        <f t="shared" si="3"/>
        <v>-1.0000000000000001E-5</v>
      </c>
      <c r="Y15" s="291"/>
      <c r="Z15" s="293">
        <f>IFERROR(IF($C15="",-0.00001,SUMIFS(Database!AG:AG,Database!$AD:$AD,$C15,Database!$A:$A,$C$1)/$G15),-0.00001)</f>
        <v>-1.0000000000000001E-5</v>
      </c>
      <c r="AA15" s="293">
        <f>IFERROR(IF($C15="",-0.00001,SUMIFS(Database!AH:AH,Database!$AD:$AD,$C15,Database!$A:$A,$C$1)/$G15),-0.00001)</f>
        <v>-1.0000000000000001E-5</v>
      </c>
      <c r="AB15" s="293">
        <f>IFERROR(IF($C15="",-0.00001,SUMIFS(Database!AI:AI,Database!$AD:$AD,$C15,Database!$A:$A,$C$1)/$G15),-0.00001)</f>
        <v>-1.0000000000000001E-5</v>
      </c>
      <c r="AC15" s="293">
        <f>IFERROR(IF($C15="",-0.00001,SUMIFS(Database!AJ:AJ,Database!$AD:$AD,$C15,Database!$A:$A,$C$1)/$G15),-0.00001)</f>
        <v>-1.0000000000000001E-5</v>
      </c>
      <c r="AD15" s="293">
        <f>IFERROR(IF($C15="",-0.00001,SUMIFS(Database!AK:AK,Database!$AD:$AD,$C15,Database!$A:$A,$C$1)/$G15),-0.00001)</f>
        <v>-1.0000000000000001E-5</v>
      </c>
      <c r="AE15" s="293">
        <f>IFERROR(IF($C15="",-0.00001,SUMIFS(Database!AL:AL,Database!$AD:$AD,$C15,Database!$A:$A,$C$1)/$G15),-0.00001)</f>
        <v>-1.0000000000000001E-5</v>
      </c>
      <c r="AF15" s="293">
        <f>IFERROR(IF($C15="",-0.00001,SUMIFS(Database!AM:AM,Database!$AD:$AD,$C15,Database!$A:$A,$C$1)/$G15),-0.00001)</f>
        <v>-1.0000000000000001E-5</v>
      </c>
      <c r="AG15" s="293">
        <f>IFERROR(IF($C15="",-0.00001,SUMIFS(Database!AN:AN,Database!$AD:$AD,$C15,Database!$A:$A,$C$1)/$G15),-0.00001)</f>
        <v>-1.0000000000000001E-5</v>
      </c>
      <c r="AH15" s="293">
        <f>IFERROR(IF($C15="",-0.00001,SUMIFS(Database!AO:AO,Database!$AD:$AD,$C15,Database!$A:$A,$C$1)/$G15),-0.00001)</f>
        <v>-1.0000000000000001E-5</v>
      </c>
      <c r="AI15" s="293">
        <f>IFERROR(IF($C15="",-0.00001,SUMIFS(Database!AP:AP,Database!$AD:$AD,$C15,Database!$A:$A,$C$1)/$G15),-0.00001)</f>
        <v>-1.0000000000000001E-5</v>
      </c>
      <c r="AJ15" s="293">
        <f>IFERROR(IF($C15="",-0.00001,SUMIFS(Database!AR:AR,Database!$AD:$AD,$C15,Database!$A:$A,$C$1)/$G15),-0.00001)</f>
        <v>-1.0000000000000001E-5</v>
      </c>
      <c r="AK15" s="293">
        <f>IFERROR(IF($C15="",-0.00001,SUMIFS(Database!AS:AS,Database!$AD:$AD,$C15,Database!$A:$A,$C$1)/$G15),-0.00001)</f>
        <v>-1.0000000000000001E-5</v>
      </c>
      <c r="AL15" s="293">
        <f>IFERROR(IF($C15="",-0.00001,SUMIFS(Database!AU:AU,Database!$AD:$AD,$C15,Database!$A:$A,$C$1)/$G15),-0.00001)</f>
        <v>-1.0000000000000001E-5</v>
      </c>
      <c r="AM15" s="293">
        <f>IFERROR(IF($C15="",-0.00001,SUMIFS(Database!AV:AV,Database!$AD:$AD,$C15,Database!$A:$A,$C$1)/$G15),-0.00001)</f>
        <v>-1.0000000000000001E-5</v>
      </c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</row>
    <row r="16" spans="1:50" x14ac:dyDescent="0.25">
      <c r="A16" s="187"/>
      <c r="B16" s="187" t="str">
        <f>IF($C16="","",MAX($B$4:$B15)+1)</f>
        <v/>
      </c>
      <c r="C16" s="145"/>
      <c r="D16" s="233">
        <f>IF($C16="",-0.00001,COUNTIFS(Database!$AD:$AD,$C16,Database!$A:$A,$C$1,Database!$AE:$AE,"W"))</f>
        <v>-1.0000000000000001E-5</v>
      </c>
      <c r="E16" s="233">
        <f>IF($C16="",-0.00001,COUNTIFS(Database!$AD:$AD,$C16,Database!$A:$A,$C$1,Database!$AE:$AE,"L"))</f>
        <v>-1.0000000000000001E-5</v>
      </c>
      <c r="F16" s="233">
        <f t="shared" si="0"/>
        <v>-1.0000000000000001E-5</v>
      </c>
      <c r="G16" s="185">
        <f>IF($C16="",-0.00001,COUNTIFS(Database!AD:AD,$C16,Database!A:A,$C$1))</f>
        <v>-1.0000000000000001E-5</v>
      </c>
      <c r="H16" s="185">
        <f>IFERROR(IF($C16="",-0.00001,SUMIFS(Database!AG:AG,Database!$AD:$AD,$C16,Database!$A:$A,$C$1)),-0.00001)</f>
        <v>-1.0000000000000001E-5</v>
      </c>
      <c r="I16" s="185">
        <f>IFERROR(IF($C16="",-0.00001,SUMIFS(Database!AH:AH,Database!$AD:$AD,$C16,Database!$A:$A,$C$1)),-0.00001)</f>
        <v>-1.0000000000000001E-5</v>
      </c>
      <c r="J16" s="185">
        <f>IFERROR(IF($C16="",-0.00001,SUMIFS(Database!AI:AI,Database!$AD:$AD,$C16,Database!$A:$A,$C$1)),-0.00001)</f>
        <v>-1.0000000000000001E-5</v>
      </c>
      <c r="K16" s="185">
        <f>IFERROR(IF($C16="",-0.00001,SUMIFS(Database!AJ:AJ,Database!$AD:$AD,$C16,Database!$A:$A,$C$1)),-0.00001)</f>
        <v>-1.0000000000000001E-5</v>
      </c>
      <c r="L16" s="185">
        <f>IFERROR(IF($C16="",-0.00001,SUMIFS(Database!AK:AK,Database!$AD:$AD,$C16,Database!$A:$A,$C$1)),-0.00001)</f>
        <v>-1.0000000000000001E-5</v>
      </c>
      <c r="M16" s="185">
        <f>IFERROR(IF($C16="",-0.00001,SUMIFS(Database!AL:AL,Database!$AD:$AD,$C16,Database!$A:$A,$C$1)),-0.00001)</f>
        <v>-1.0000000000000001E-5</v>
      </c>
      <c r="N16" s="185">
        <f>IFERROR(IF($C16="",-0.00001,SUMIFS(Database!AM:AM,Database!$AD:$AD,$C16,Database!$A:$A,$C$1)),-0.00001)</f>
        <v>-1.0000000000000001E-5</v>
      </c>
      <c r="O16" s="185">
        <f>IFERROR(IF($C16="",-0.00001,SUMIFS(Database!AN:AN,Database!$AD:$AD,$C16,Database!$A:$A,$C$1)),-0.00001)</f>
        <v>-1.0000000000000001E-5</v>
      </c>
      <c r="P16" s="185">
        <f>IFERROR(IF($C16="",-0.00001,SUMIFS(Database!AO:AO,Database!$AD:$AD,$C16,Database!$A:$A,$C$1)),-0.00001)</f>
        <v>-1.0000000000000001E-5</v>
      </c>
      <c r="Q16" s="185">
        <f>IFERROR(IF($C16="",-0.00001,SUMIFS(Database!AP:AP,Database!$AD:$AD,$C16,Database!$A:$A,$C$1)),-0.00001)</f>
        <v>-1.0000000000000001E-5</v>
      </c>
      <c r="R16" s="186">
        <f t="shared" si="1"/>
        <v>-1.0000000000000001E-5</v>
      </c>
      <c r="S16" s="185">
        <f>IFERROR(IF($C16="",-0.00001,SUMIFS(Database!AR:AR,Database!$AD:$AD,$C16,Database!$A:$A,$C$1)),-0.00001)</f>
        <v>-1.0000000000000001E-5</v>
      </c>
      <c r="T16" s="185">
        <f>IFERROR(IF($C16="",-0.00001,SUMIFS(Database!AS:AS,Database!$AD:$AD,$C16,Database!$A:$A,$C$1)),-0.00001)</f>
        <v>-1.0000000000000001E-5</v>
      </c>
      <c r="U16" s="186">
        <f t="shared" si="2"/>
        <v>-1.0000000000000001E-5</v>
      </c>
      <c r="V16" s="185">
        <f>IFERROR(IF($C16="",-0.00001,SUMIFS(Database!AU:AU,Database!$AD:$AD,$C16,Database!$A:$A,$C$1)),-0.00001)</f>
        <v>-1.0000000000000001E-5</v>
      </c>
      <c r="W16" s="185">
        <f>IFERROR(IF($C16="",-0.00001,SUMIFS(Database!AV:AV,Database!$AD:$AD,$C16,Database!$A:$A,$C$1)),-0.00001)</f>
        <v>-1.0000000000000001E-5</v>
      </c>
      <c r="X16" s="186">
        <f t="shared" si="3"/>
        <v>-1.0000000000000001E-5</v>
      </c>
      <c r="Y16" s="291"/>
      <c r="Z16" s="293">
        <f>IFERROR(IF($C16="",-0.00001,SUMIFS(Database!AG:AG,Database!$AD:$AD,$C16,Database!$A:$A,$C$1)/$G16),-0.00001)</f>
        <v>-1.0000000000000001E-5</v>
      </c>
      <c r="AA16" s="293">
        <f>IFERROR(IF($C16="",-0.00001,SUMIFS(Database!AH:AH,Database!$AD:$AD,$C16,Database!$A:$A,$C$1)/$G16),-0.00001)</f>
        <v>-1.0000000000000001E-5</v>
      </c>
      <c r="AB16" s="293">
        <f>IFERROR(IF($C16="",-0.00001,SUMIFS(Database!AI:AI,Database!$AD:$AD,$C16,Database!$A:$A,$C$1)/$G16),-0.00001)</f>
        <v>-1.0000000000000001E-5</v>
      </c>
      <c r="AC16" s="293">
        <f>IFERROR(IF($C16="",-0.00001,SUMIFS(Database!AJ:AJ,Database!$AD:$AD,$C16,Database!$A:$A,$C$1)/$G16),-0.00001)</f>
        <v>-1.0000000000000001E-5</v>
      </c>
      <c r="AD16" s="293">
        <f>IFERROR(IF($C16="",-0.00001,SUMIFS(Database!AK:AK,Database!$AD:$AD,$C16,Database!$A:$A,$C$1)/$G16),-0.00001)</f>
        <v>-1.0000000000000001E-5</v>
      </c>
      <c r="AE16" s="293">
        <f>IFERROR(IF($C16="",-0.00001,SUMIFS(Database!AL:AL,Database!$AD:$AD,$C16,Database!$A:$A,$C$1)/$G16),-0.00001)</f>
        <v>-1.0000000000000001E-5</v>
      </c>
      <c r="AF16" s="293">
        <f>IFERROR(IF($C16="",-0.00001,SUMIFS(Database!AM:AM,Database!$AD:$AD,$C16,Database!$A:$A,$C$1)/$G16),-0.00001)</f>
        <v>-1.0000000000000001E-5</v>
      </c>
      <c r="AG16" s="293">
        <f>IFERROR(IF($C16="",-0.00001,SUMIFS(Database!AN:AN,Database!$AD:$AD,$C16,Database!$A:$A,$C$1)/$G16),-0.00001)</f>
        <v>-1.0000000000000001E-5</v>
      </c>
      <c r="AH16" s="293">
        <f>IFERROR(IF($C16="",-0.00001,SUMIFS(Database!AO:AO,Database!$AD:$AD,$C16,Database!$A:$A,$C$1)/$G16),-0.00001)</f>
        <v>-1.0000000000000001E-5</v>
      </c>
      <c r="AI16" s="293">
        <f>IFERROR(IF($C16="",-0.00001,SUMIFS(Database!AP:AP,Database!$AD:$AD,$C16,Database!$A:$A,$C$1)/$G16),-0.00001)</f>
        <v>-1.0000000000000001E-5</v>
      </c>
      <c r="AJ16" s="293">
        <f>IFERROR(IF($C16="",-0.00001,SUMIFS(Database!AR:AR,Database!$AD:$AD,$C16,Database!$A:$A,$C$1)/$G16),-0.00001)</f>
        <v>-1.0000000000000001E-5</v>
      </c>
      <c r="AK16" s="293">
        <f>IFERROR(IF($C16="",-0.00001,SUMIFS(Database!AS:AS,Database!$AD:$AD,$C16,Database!$A:$A,$C$1)/$G16),-0.00001)</f>
        <v>-1.0000000000000001E-5</v>
      </c>
      <c r="AL16" s="293">
        <f>IFERROR(IF($C16="",-0.00001,SUMIFS(Database!AU:AU,Database!$AD:$AD,$C16,Database!$A:$A,$C$1)/$G16),-0.00001)</f>
        <v>-1.0000000000000001E-5</v>
      </c>
      <c r="AM16" s="293">
        <f>IFERROR(IF($C16="",-0.00001,SUMIFS(Database!AV:AV,Database!$AD:$AD,$C16,Database!$A:$A,$C$1)/$G16),-0.00001)</f>
        <v>-1.0000000000000001E-5</v>
      </c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</row>
    <row r="17" spans="1:50" x14ac:dyDescent="0.25">
      <c r="A17" s="187"/>
      <c r="B17" s="187" t="str">
        <f>IF($C17="","",MAX($B$4:$B16)+1)</f>
        <v/>
      </c>
      <c r="C17" s="145"/>
      <c r="D17" s="233">
        <f>IF($C17="",-0.00001,COUNTIFS(Database!$AD:$AD,$C17,Database!$A:$A,$C$1,Database!$AE:$AE,"W"))</f>
        <v>-1.0000000000000001E-5</v>
      </c>
      <c r="E17" s="233">
        <f>IF($C17="",-0.00001,COUNTIFS(Database!$AD:$AD,$C17,Database!$A:$A,$C$1,Database!$AE:$AE,"L"))</f>
        <v>-1.0000000000000001E-5</v>
      </c>
      <c r="F17" s="233">
        <f t="shared" si="0"/>
        <v>-1.0000000000000001E-5</v>
      </c>
      <c r="G17" s="185">
        <f>IF($C17="",-0.00001,COUNTIFS(Database!AD:AD,$C17,Database!A:A,$C$1))</f>
        <v>-1.0000000000000001E-5</v>
      </c>
      <c r="H17" s="185">
        <f>IFERROR(IF($C17="",-0.00001,SUMIFS(Database!AG:AG,Database!$AD:$AD,$C17,Database!$A:$A,$C$1)),-0.00001)</f>
        <v>-1.0000000000000001E-5</v>
      </c>
      <c r="I17" s="185">
        <f>IFERROR(IF($C17="",-0.00001,SUMIFS(Database!AH:AH,Database!$AD:$AD,$C17,Database!$A:$A,$C$1)),-0.00001)</f>
        <v>-1.0000000000000001E-5</v>
      </c>
      <c r="J17" s="185">
        <f>IFERROR(IF($C17="",-0.00001,SUMIFS(Database!AI:AI,Database!$AD:$AD,$C17,Database!$A:$A,$C$1)),-0.00001)</f>
        <v>-1.0000000000000001E-5</v>
      </c>
      <c r="K17" s="185">
        <f>IFERROR(IF($C17="",-0.00001,SUMIFS(Database!AJ:AJ,Database!$AD:$AD,$C17,Database!$A:$A,$C$1)),-0.00001)</f>
        <v>-1.0000000000000001E-5</v>
      </c>
      <c r="L17" s="185">
        <f>IFERROR(IF($C17="",-0.00001,SUMIFS(Database!AK:AK,Database!$AD:$AD,$C17,Database!$A:$A,$C$1)),-0.00001)</f>
        <v>-1.0000000000000001E-5</v>
      </c>
      <c r="M17" s="185">
        <f>IFERROR(IF($C17="",-0.00001,SUMIFS(Database!AL:AL,Database!$AD:$AD,$C17,Database!$A:$A,$C$1)),-0.00001)</f>
        <v>-1.0000000000000001E-5</v>
      </c>
      <c r="N17" s="185">
        <f>IFERROR(IF($C17="",-0.00001,SUMIFS(Database!AM:AM,Database!$AD:$AD,$C17,Database!$A:$A,$C$1)),-0.00001)</f>
        <v>-1.0000000000000001E-5</v>
      </c>
      <c r="O17" s="185">
        <f>IFERROR(IF($C17="",-0.00001,SUMIFS(Database!AN:AN,Database!$AD:$AD,$C17,Database!$A:$A,$C$1)),-0.00001)</f>
        <v>-1.0000000000000001E-5</v>
      </c>
      <c r="P17" s="185">
        <f>IFERROR(IF($C17="",-0.00001,SUMIFS(Database!AO:AO,Database!$AD:$AD,$C17,Database!$A:$A,$C$1)),-0.00001)</f>
        <v>-1.0000000000000001E-5</v>
      </c>
      <c r="Q17" s="185">
        <f>IFERROR(IF($C17="",-0.00001,SUMIFS(Database!AP:AP,Database!$AD:$AD,$C17,Database!$A:$A,$C$1)),-0.00001)</f>
        <v>-1.0000000000000001E-5</v>
      </c>
      <c r="R17" s="186">
        <f t="shared" si="1"/>
        <v>-1.0000000000000001E-5</v>
      </c>
      <c r="S17" s="185">
        <f>IFERROR(IF($C17="",-0.00001,SUMIFS(Database!AR:AR,Database!$AD:$AD,$C17,Database!$A:$A,$C$1)),-0.00001)</f>
        <v>-1.0000000000000001E-5</v>
      </c>
      <c r="T17" s="185">
        <f>IFERROR(IF($C17="",-0.00001,SUMIFS(Database!AS:AS,Database!$AD:$AD,$C17,Database!$A:$A,$C$1)),-0.00001)</f>
        <v>-1.0000000000000001E-5</v>
      </c>
      <c r="U17" s="186">
        <f t="shared" si="2"/>
        <v>-1.0000000000000001E-5</v>
      </c>
      <c r="V17" s="185">
        <f>IFERROR(IF($C17="",-0.00001,SUMIFS(Database!AU:AU,Database!$AD:$AD,$C17,Database!$A:$A,$C$1)),-0.00001)</f>
        <v>-1.0000000000000001E-5</v>
      </c>
      <c r="W17" s="185">
        <f>IFERROR(IF($C17="",-0.00001,SUMIFS(Database!AV:AV,Database!$AD:$AD,$C17,Database!$A:$A,$C$1)),-0.00001)</f>
        <v>-1.0000000000000001E-5</v>
      </c>
      <c r="X17" s="186">
        <f t="shared" si="3"/>
        <v>-1.0000000000000001E-5</v>
      </c>
      <c r="Y17" s="291"/>
      <c r="Z17" s="293">
        <f>IFERROR(IF($C17="",-0.00001,SUMIFS(Database!AG:AG,Database!$AD:$AD,$C17,Database!$A:$A,$C$1)/$G17),-0.00001)</f>
        <v>-1.0000000000000001E-5</v>
      </c>
      <c r="AA17" s="293">
        <f>IFERROR(IF($C17="",-0.00001,SUMIFS(Database!AH:AH,Database!$AD:$AD,$C17,Database!$A:$A,$C$1)/$G17),-0.00001)</f>
        <v>-1.0000000000000001E-5</v>
      </c>
      <c r="AB17" s="293">
        <f>IFERROR(IF($C17="",-0.00001,SUMIFS(Database!AI:AI,Database!$AD:$AD,$C17,Database!$A:$A,$C$1)/$G17),-0.00001)</f>
        <v>-1.0000000000000001E-5</v>
      </c>
      <c r="AC17" s="293">
        <f>IFERROR(IF($C17="",-0.00001,SUMIFS(Database!AJ:AJ,Database!$AD:$AD,$C17,Database!$A:$A,$C$1)/$G17),-0.00001)</f>
        <v>-1.0000000000000001E-5</v>
      </c>
      <c r="AD17" s="293">
        <f>IFERROR(IF($C17="",-0.00001,SUMIFS(Database!AK:AK,Database!$AD:$AD,$C17,Database!$A:$A,$C$1)/$G17),-0.00001)</f>
        <v>-1.0000000000000001E-5</v>
      </c>
      <c r="AE17" s="293">
        <f>IFERROR(IF($C17="",-0.00001,SUMIFS(Database!AL:AL,Database!$AD:$AD,$C17,Database!$A:$A,$C$1)/$G17),-0.00001)</f>
        <v>-1.0000000000000001E-5</v>
      </c>
      <c r="AF17" s="293">
        <f>IFERROR(IF($C17="",-0.00001,SUMIFS(Database!AM:AM,Database!$AD:$AD,$C17,Database!$A:$A,$C$1)/$G17),-0.00001)</f>
        <v>-1.0000000000000001E-5</v>
      </c>
      <c r="AG17" s="293">
        <f>IFERROR(IF($C17="",-0.00001,SUMIFS(Database!AN:AN,Database!$AD:$AD,$C17,Database!$A:$A,$C$1)/$G17),-0.00001)</f>
        <v>-1.0000000000000001E-5</v>
      </c>
      <c r="AH17" s="293">
        <f>IFERROR(IF($C17="",-0.00001,SUMIFS(Database!AO:AO,Database!$AD:$AD,$C17,Database!$A:$A,$C$1)/$G17),-0.00001)</f>
        <v>-1.0000000000000001E-5</v>
      </c>
      <c r="AI17" s="293">
        <f>IFERROR(IF($C17="",-0.00001,SUMIFS(Database!AP:AP,Database!$AD:$AD,$C17,Database!$A:$A,$C$1)/$G17),-0.00001)</f>
        <v>-1.0000000000000001E-5</v>
      </c>
      <c r="AJ17" s="293">
        <f>IFERROR(IF($C17="",-0.00001,SUMIFS(Database!AR:AR,Database!$AD:$AD,$C17,Database!$A:$A,$C$1)/$G17),-0.00001)</f>
        <v>-1.0000000000000001E-5</v>
      </c>
      <c r="AK17" s="293">
        <f>IFERROR(IF($C17="",-0.00001,SUMIFS(Database!AS:AS,Database!$AD:$AD,$C17,Database!$A:$A,$C$1)/$G17),-0.00001)</f>
        <v>-1.0000000000000001E-5</v>
      </c>
      <c r="AL17" s="293">
        <f>IFERROR(IF($C17="",-0.00001,SUMIFS(Database!AU:AU,Database!$AD:$AD,$C17,Database!$A:$A,$C$1)/$G17),-0.00001)</f>
        <v>-1.0000000000000001E-5</v>
      </c>
      <c r="AM17" s="293">
        <f>IFERROR(IF($C17="",-0.00001,SUMIFS(Database!AV:AV,Database!$AD:$AD,$C17,Database!$A:$A,$C$1)/$G17),-0.00001)</f>
        <v>-1.0000000000000001E-5</v>
      </c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</row>
    <row r="18" spans="1:50" x14ac:dyDescent="0.25">
      <c r="A18" s="187"/>
      <c r="B18" s="187" t="str">
        <f>IF($C18="","",MAX($B$4:$B17)+1)</f>
        <v/>
      </c>
      <c r="C18" s="145"/>
      <c r="D18" s="233">
        <f>IF($C18="",-0.00001,COUNTIFS(Database!$AD:$AD,$C18,Database!$A:$A,$C$1,Database!$AE:$AE,"W"))</f>
        <v>-1.0000000000000001E-5</v>
      </c>
      <c r="E18" s="233">
        <f>IF($C18="",-0.00001,COUNTIFS(Database!$AD:$AD,$C18,Database!$A:$A,$C$1,Database!$AE:$AE,"L"))</f>
        <v>-1.0000000000000001E-5</v>
      </c>
      <c r="F18" s="233">
        <f t="shared" si="0"/>
        <v>-1.0000000000000001E-5</v>
      </c>
      <c r="G18" s="185">
        <f>IF($C18="",-0.00001,COUNTIFS(Database!AD:AD,$C18,Database!A:A,$C$1))</f>
        <v>-1.0000000000000001E-5</v>
      </c>
      <c r="H18" s="185">
        <f>IFERROR(IF($C18="",-0.00001,SUMIFS(Database!AG:AG,Database!$AD:$AD,$C18,Database!$A:$A,$C$1)),-0.00001)</f>
        <v>-1.0000000000000001E-5</v>
      </c>
      <c r="I18" s="185">
        <f>IFERROR(IF($C18="",-0.00001,SUMIFS(Database!AH:AH,Database!$AD:$AD,$C18,Database!$A:$A,$C$1)),-0.00001)</f>
        <v>-1.0000000000000001E-5</v>
      </c>
      <c r="J18" s="185">
        <f>IFERROR(IF($C18="",-0.00001,SUMIFS(Database!AI:AI,Database!$AD:$AD,$C18,Database!$A:$A,$C$1)),-0.00001)</f>
        <v>-1.0000000000000001E-5</v>
      </c>
      <c r="K18" s="185">
        <f>IFERROR(IF($C18="",-0.00001,SUMIFS(Database!AJ:AJ,Database!$AD:$AD,$C18,Database!$A:$A,$C$1)),-0.00001)</f>
        <v>-1.0000000000000001E-5</v>
      </c>
      <c r="L18" s="185">
        <f>IFERROR(IF($C18="",-0.00001,SUMIFS(Database!AK:AK,Database!$AD:$AD,$C18,Database!$A:$A,$C$1)),-0.00001)</f>
        <v>-1.0000000000000001E-5</v>
      </c>
      <c r="M18" s="185">
        <f>IFERROR(IF($C18="",-0.00001,SUMIFS(Database!AL:AL,Database!$AD:$AD,$C18,Database!$A:$A,$C$1)),-0.00001)</f>
        <v>-1.0000000000000001E-5</v>
      </c>
      <c r="N18" s="185">
        <f>IFERROR(IF($C18="",-0.00001,SUMIFS(Database!AM:AM,Database!$AD:$AD,$C18,Database!$A:$A,$C$1)),-0.00001)</f>
        <v>-1.0000000000000001E-5</v>
      </c>
      <c r="O18" s="185">
        <f>IFERROR(IF($C18="",-0.00001,SUMIFS(Database!AN:AN,Database!$AD:$AD,$C18,Database!$A:$A,$C$1)),-0.00001)</f>
        <v>-1.0000000000000001E-5</v>
      </c>
      <c r="P18" s="185">
        <f>IFERROR(IF($C18="",-0.00001,SUMIFS(Database!AO:AO,Database!$AD:$AD,$C18,Database!$A:$A,$C$1)),-0.00001)</f>
        <v>-1.0000000000000001E-5</v>
      </c>
      <c r="Q18" s="185">
        <f>IFERROR(IF($C18="",-0.00001,SUMIFS(Database!AP:AP,Database!$AD:$AD,$C18,Database!$A:$A,$C$1)),-0.00001)</f>
        <v>-1.0000000000000001E-5</v>
      </c>
      <c r="R18" s="186">
        <f t="shared" si="1"/>
        <v>-1.0000000000000001E-5</v>
      </c>
      <c r="S18" s="185">
        <f>IFERROR(IF($C18="",-0.00001,SUMIFS(Database!AR:AR,Database!$AD:$AD,$C18,Database!$A:$A,$C$1)),-0.00001)</f>
        <v>-1.0000000000000001E-5</v>
      </c>
      <c r="T18" s="185">
        <f>IFERROR(IF($C18="",-0.00001,SUMIFS(Database!AS:AS,Database!$AD:$AD,$C18,Database!$A:$A,$C$1)),-0.00001)</f>
        <v>-1.0000000000000001E-5</v>
      </c>
      <c r="U18" s="186">
        <f t="shared" si="2"/>
        <v>-1.0000000000000001E-5</v>
      </c>
      <c r="V18" s="185">
        <f>IFERROR(IF($C18="",-0.00001,SUMIFS(Database!AU:AU,Database!$AD:$AD,$C18,Database!$A:$A,$C$1)),-0.00001)</f>
        <v>-1.0000000000000001E-5</v>
      </c>
      <c r="W18" s="185">
        <f>IFERROR(IF($C18="",-0.00001,SUMIFS(Database!AV:AV,Database!$AD:$AD,$C18,Database!$A:$A,$C$1)),-0.00001)</f>
        <v>-1.0000000000000001E-5</v>
      </c>
      <c r="X18" s="186">
        <f t="shared" si="3"/>
        <v>-1.0000000000000001E-5</v>
      </c>
      <c r="Y18" s="291"/>
      <c r="Z18" s="293">
        <f>IFERROR(IF($C18="",-0.00001,SUMIFS(Database!AG:AG,Database!$AD:$AD,$C18,Database!$A:$A,$C$1)/$G18),-0.00001)</f>
        <v>-1.0000000000000001E-5</v>
      </c>
      <c r="AA18" s="293">
        <f>IFERROR(IF($C18="",-0.00001,SUMIFS(Database!AH:AH,Database!$AD:$AD,$C18,Database!$A:$A,$C$1)/$G18),-0.00001)</f>
        <v>-1.0000000000000001E-5</v>
      </c>
      <c r="AB18" s="293">
        <f>IFERROR(IF($C18="",-0.00001,SUMIFS(Database!AI:AI,Database!$AD:$AD,$C18,Database!$A:$A,$C$1)/$G18),-0.00001)</f>
        <v>-1.0000000000000001E-5</v>
      </c>
      <c r="AC18" s="293">
        <f>IFERROR(IF($C18="",-0.00001,SUMIFS(Database!AJ:AJ,Database!$AD:$AD,$C18,Database!$A:$A,$C$1)/$G18),-0.00001)</f>
        <v>-1.0000000000000001E-5</v>
      </c>
      <c r="AD18" s="293">
        <f>IFERROR(IF($C18="",-0.00001,SUMIFS(Database!AK:AK,Database!$AD:$AD,$C18,Database!$A:$A,$C$1)/$G18),-0.00001)</f>
        <v>-1.0000000000000001E-5</v>
      </c>
      <c r="AE18" s="293">
        <f>IFERROR(IF($C18="",-0.00001,SUMIFS(Database!AL:AL,Database!$AD:$AD,$C18,Database!$A:$A,$C$1)/$G18),-0.00001)</f>
        <v>-1.0000000000000001E-5</v>
      </c>
      <c r="AF18" s="293">
        <f>IFERROR(IF($C18="",-0.00001,SUMIFS(Database!AM:AM,Database!$AD:$AD,$C18,Database!$A:$A,$C$1)/$G18),-0.00001)</f>
        <v>-1.0000000000000001E-5</v>
      </c>
      <c r="AG18" s="293">
        <f>IFERROR(IF($C18="",-0.00001,SUMIFS(Database!AN:AN,Database!$AD:$AD,$C18,Database!$A:$A,$C$1)/$G18),-0.00001)</f>
        <v>-1.0000000000000001E-5</v>
      </c>
      <c r="AH18" s="293">
        <f>IFERROR(IF($C18="",-0.00001,SUMIFS(Database!AO:AO,Database!$AD:$AD,$C18,Database!$A:$A,$C$1)/$G18),-0.00001)</f>
        <v>-1.0000000000000001E-5</v>
      </c>
      <c r="AI18" s="293">
        <f>IFERROR(IF($C18="",-0.00001,SUMIFS(Database!AP:AP,Database!$AD:$AD,$C18,Database!$A:$A,$C$1)/$G18),-0.00001)</f>
        <v>-1.0000000000000001E-5</v>
      </c>
      <c r="AJ18" s="293">
        <f>IFERROR(IF($C18="",-0.00001,SUMIFS(Database!AR:AR,Database!$AD:$AD,$C18,Database!$A:$A,$C$1)/$G18),-0.00001)</f>
        <v>-1.0000000000000001E-5</v>
      </c>
      <c r="AK18" s="293">
        <f>IFERROR(IF($C18="",-0.00001,SUMIFS(Database!AS:AS,Database!$AD:$AD,$C18,Database!$A:$A,$C$1)/$G18),-0.00001)</f>
        <v>-1.0000000000000001E-5</v>
      </c>
      <c r="AL18" s="293">
        <f>IFERROR(IF($C18="",-0.00001,SUMIFS(Database!AU:AU,Database!$AD:$AD,$C18,Database!$A:$A,$C$1)/$G18),-0.00001)</f>
        <v>-1.0000000000000001E-5</v>
      </c>
      <c r="AM18" s="293">
        <f>IFERROR(IF($C18="",-0.00001,SUMIFS(Database!AV:AV,Database!$AD:$AD,$C18,Database!$A:$A,$C$1)/$G18),-0.00001)</f>
        <v>-1.0000000000000001E-5</v>
      </c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</row>
    <row r="19" spans="1:50" x14ac:dyDescent="0.25">
      <c r="A19" s="187"/>
      <c r="B19" s="187" t="str">
        <f>IF($C19="","",MAX($B$4:$B18)+1)</f>
        <v/>
      </c>
      <c r="C19" s="145"/>
      <c r="D19" s="233">
        <f>IF($C19="",-0.00001,COUNTIFS(Database!$AD:$AD,$C19,Database!$A:$A,$C$1,Database!$AE:$AE,"W"))</f>
        <v>-1.0000000000000001E-5</v>
      </c>
      <c r="E19" s="233">
        <f>IF($C19="",-0.00001,COUNTIFS(Database!$AD:$AD,$C19,Database!$A:$A,$C$1,Database!$AE:$AE,"L"))</f>
        <v>-1.0000000000000001E-5</v>
      </c>
      <c r="F19" s="233">
        <f t="shared" si="0"/>
        <v>-1.0000000000000001E-5</v>
      </c>
      <c r="G19" s="185">
        <f>IF($C19="",-0.00001,COUNTIFS(Database!AD:AD,$C19,Database!A:A,$C$1))</f>
        <v>-1.0000000000000001E-5</v>
      </c>
      <c r="H19" s="185">
        <f>IFERROR(IF($C19="",-0.00001,SUMIFS(Database!AG:AG,Database!$AD:$AD,$C19,Database!$A:$A,$C$1)),-0.00001)</f>
        <v>-1.0000000000000001E-5</v>
      </c>
      <c r="I19" s="185">
        <f>IFERROR(IF($C19="",-0.00001,SUMIFS(Database!AH:AH,Database!$AD:$AD,$C19,Database!$A:$A,$C$1)),-0.00001)</f>
        <v>-1.0000000000000001E-5</v>
      </c>
      <c r="J19" s="185">
        <f>IFERROR(IF($C19="",-0.00001,SUMIFS(Database!AI:AI,Database!$AD:$AD,$C19,Database!$A:$A,$C$1)),-0.00001)</f>
        <v>-1.0000000000000001E-5</v>
      </c>
      <c r="K19" s="185">
        <f>IFERROR(IF($C19="",-0.00001,SUMIFS(Database!AJ:AJ,Database!$AD:$AD,$C19,Database!$A:$A,$C$1)),-0.00001)</f>
        <v>-1.0000000000000001E-5</v>
      </c>
      <c r="L19" s="185">
        <f>IFERROR(IF($C19="",-0.00001,SUMIFS(Database!AK:AK,Database!$AD:$AD,$C19,Database!$A:$A,$C$1)),-0.00001)</f>
        <v>-1.0000000000000001E-5</v>
      </c>
      <c r="M19" s="185">
        <f>IFERROR(IF($C19="",-0.00001,SUMIFS(Database!AL:AL,Database!$AD:$AD,$C19,Database!$A:$A,$C$1)),-0.00001)</f>
        <v>-1.0000000000000001E-5</v>
      </c>
      <c r="N19" s="185">
        <f>IFERROR(IF($C19="",-0.00001,SUMIFS(Database!AM:AM,Database!$AD:$AD,$C19,Database!$A:$A,$C$1)),-0.00001)</f>
        <v>-1.0000000000000001E-5</v>
      </c>
      <c r="O19" s="185">
        <f>IFERROR(IF($C19="",-0.00001,SUMIFS(Database!AN:AN,Database!$AD:$AD,$C19,Database!$A:$A,$C$1)),-0.00001)</f>
        <v>-1.0000000000000001E-5</v>
      </c>
      <c r="P19" s="185">
        <f>IFERROR(IF($C19="",-0.00001,SUMIFS(Database!AO:AO,Database!$AD:$AD,$C19,Database!$A:$A,$C$1)),-0.00001)</f>
        <v>-1.0000000000000001E-5</v>
      </c>
      <c r="Q19" s="185">
        <f>IFERROR(IF($C19="",-0.00001,SUMIFS(Database!AP:AP,Database!$AD:$AD,$C19,Database!$A:$A,$C$1)),-0.00001)</f>
        <v>-1.0000000000000001E-5</v>
      </c>
      <c r="R19" s="186">
        <f t="shared" si="1"/>
        <v>-1.0000000000000001E-5</v>
      </c>
      <c r="S19" s="185">
        <f>IFERROR(IF($C19="",-0.00001,SUMIFS(Database!AR:AR,Database!$AD:$AD,$C19,Database!$A:$A,$C$1)),-0.00001)</f>
        <v>-1.0000000000000001E-5</v>
      </c>
      <c r="T19" s="185">
        <f>IFERROR(IF($C19="",-0.00001,SUMIFS(Database!AS:AS,Database!$AD:$AD,$C19,Database!$A:$A,$C$1)),-0.00001)</f>
        <v>-1.0000000000000001E-5</v>
      </c>
      <c r="U19" s="186">
        <f t="shared" si="2"/>
        <v>-1.0000000000000001E-5</v>
      </c>
      <c r="V19" s="185">
        <f>IFERROR(IF($C19="",-0.00001,SUMIFS(Database!AU:AU,Database!$AD:$AD,$C19,Database!$A:$A,$C$1)),-0.00001)</f>
        <v>-1.0000000000000001E-5</v>
      </c>
      <c r="W19" s="185">
        <f>IFERROR(IF($C19="",-0.00001,SUMIFS(Database!AV:AV,Database!$AD:$AD,$C19,Database!$A:$A,$C$1)),-0.00001)</f>
        <v>-1.0000000000000001E-5</v>
      </c>
      <c r="X19" s="186">
        <f t="shared" si="3"/>
        <v>-1.0000000000000001E-5</v>
      </c>
      <c r="Y19" s="291"/>
      <c r="Z19" s="293">
        <f>IFERROR(IF($C19="",-0.00001,SUMIFS(Database!AG:AG,Database!$AD:$AD,$C19,Database!$A:$A,$C$1)/$G19),-0.00001)</f>
        <v>-1.0000000000000001E-5</v>
      </c>
      <c r="AA19" s="293">
        <f>IFERROR(IF($C19="",-0.00001,SUMIFS(Database!AH:AH,Database!$AD:$AD,$C19,Database!$A:$A,$C$1)/$G19),-0.00001)</f>
        <v>-1.0000000000000001E-5</v>
      </c>
      <c r="AB19" s="293">
        <f>IFERROR(IF($C19="",-0.00001,SUMIFS(Database!AI:AI,Database!$AD:$AD,$C19,Database!$A:$A,$C$1)/$G19),-0.00001)</f>
        <v>-1.0000000000000001E-5</v>
      </c>
      <c r="AC19" s="293">
        <f>IFERROR(IF($C19="",-0.00001,SUMIFS(Database!AJ:AJ,Database!$AD:$AD,$C19,Database!$A:$A,$C$1)/$G19),-0.00001)</f>
        <v>-1.0000000000000001E-5</v>
      </c>
      <c r="AD19" s="293">
        <f>IFERROR(IF($C19="",-0.00001,SUMIFS(Database!AK:AK,Database!$AD:$AD,$C19,Database!$A:$A,$C$1)/$G19),-0.00001)</f>
        <v>-1.0000000000000001E-5</v>
      </c>
      <c r="AE19" s="293">
        <f>IFERROR(IF($C19="",-0.00001,SUMIFS(Database!AL:AL,Database!$AD:$AD,$C19,Database!$A:$A,$C$1)/$G19),-0.00001)</f>
        <v>-1.0000000000000001E-5</v>
      </c>
      <c r="AF19" s="293">
        <f>IFERROR(IF($C19="",-0.00001,SUMIFS(Database!AM:AM,Database!$AD:$AD,$C19,Database!$A:$A,$C$1)/$G19),-0.00001)</f>
        <v>-1.0000000000000001E-5</v>
      </c>
      <c r="AG19" s="293">
        <f>IFERROR(IF($C19="",-0.00001,SUMIFS(Database!AN:AN,Database!$AD:$AD,$C19,Database!$A:$A,$C$1)/$G19),-0.00001)</f>
        <v>-1.0000000000000001E-5</v>
      </c>
      <c r="AH19" s="293">
        <f>IFERROR(IF($C19="",-0.00001,SUMIFS(Database!AO:AO,Database!$AD:$AD,$C19,Database!$A:$A,$C$1)/$G19),-0.00001)</f>
        <v>-1.0000000000000001E-5</v>
      </c>
      <c r="AI19" s="293">
        <f>IFERROR(IF($C19="",-0.00001,SUMIFS(Database!AP:AP,Database!$AD:$AD,$C19,Database!$A:$A,$C$1)/$G19),-0.00001)</f>
        <v>-1.0000000000000001E-5</v>
      </c>
      <c r="AJ19" s="293">
        <f>IFERROR(IF($C19="",-0.00001,SUMIFS(Database!AR:AR,Database!$AD:$AD,$C19,Database!$A:$A,$C$1)/$G19),-0.00001)</f>
        <v>-1.0000000000000001E-5</v>
      </c>
      <c r="AK19" s="293">
        <f>IFERROR(IF($C19="",-0.00001,SUMIFS(Database!AS:AS,Database!$AD:$AD,$C19,Database!$A:$A,$C$1)/$G19),-0.00001)</f>
        <v>-1.0000000000000001E-5</v>
      </c>
      <c r="AL19" s="293">
        <f>IFERROR(IF($C19="",-0.00001,SUMIFS(Database!AU:AU,Database!$AD:$AD,$C19,Database!$A:$A,$C$1)/$G19),-0.00001)</f>
        <v>-1.0000000000000001E-5</v>
      </c>
      <c r="AM19" s="293">
        <f>IFERROR(IF($C19="",-0.00001,SUMIFS(Database!AV:AV,Database!$AD:$AD,$C19,Database!$A:$A,$C$1)/$G19),-0.00001)</f>
        <v>-1.0000000000000001E-5</v>
      </c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</row>
    <row r="20" spans="1:50" x14ac:dyDescent="0.25">
      <c r="A20" s="187"/>
      <c r="B20" s="187" t="str">
        <f>IF($C20="","",MAX($B$4:$B19)+1)</f>
        <v/>
      </c>
      <c r="C20" s="145"/>
      <c r="D20" s="233">
        <f>IF($C20="",-0.00001,COUNTIFS(Database!$AD:$AD,$C20,Database!$A:$A,$C$1,Database!$AE:$AE,"W"))</f>
        <v>-1.0000000000000001E-5</v>
      </c>
      <c r="E20" s="233">
        <f>IF($C20="",-0.00001,COUNTIFS(Database!$AD:$AD,$C20,Database!$A:$A,$C$1,Database!$AE:$AE,"L"))</f>
        <v>-1.0000000000000001E-5</v>
      </c>
      <c r="F20" s="233">
        <f t="shared" si="0"/>
        <v>-1.0000000000000001E-5</v>
      </c>
      <c r="G20" s="185">
        <f>IF($C20="",-0.00001,COUNTIFS(Database!AD:AD,$C20,Database!A:A,$C$1))</f>
        <v>-1.0000000000000001E-5</v>
      </c>
      <c r="H20" s="185">
        <f>IFERROR(IF($C20="",-0.00001,SUMIFS(Database!AG:AG,Database!$AD:$AD,$C20,Database!$A:$A,$C$1)),-0.00001)</f>
        <v>-1.0000000000000001E-5</v>
      </c>
      <c r="I20" s="185">
        <f>IFERROR(IF($C20="",-0.00001,SUMIFS(Database!AH:AH,Database!$AD:$AD,$C20,Database!$A:$A,$C$1)),-0.00001)</f>
        <v>-1.0000000000000001E-5</v>
      </c>
      <c r="J20" s="185">
        <f>IFERROR(IF($C20="",-0.00001,SUMIFS(Database!AI:AI,Database!$AD:$AD,$C20,Database!$A:$A,$C$1)),-0.00001)</f>
        <v>-1.0000000000000001E-5</v>
      </c>
      <c r="K20" s="185">
        <f>IFERROR(IF($C20="",-0.00001,SUMIFS(Database!AJ:AJ,Database!$AD:$AD,$C20,Database!$A:$A,$C$1)),-0.00001)</f>
        <v>-1.0000000000000001E-5</v>
      </c>
      <c r="L20" s="185">
        <f>IFERROR(IF($C20="",-0.00001,SUMIFS(Database!AK:AK,Database!$AD:$AD,$C20,Database!$A:$A,$C$1)),-0.00001)</f>
        <v>-1.0000000000000001E-5</v>
      </c>
      <c r="M20" s="185">
        <f>IFERROR(IF($C20="",-0.00001,SUMIFS(Database!AL:AL,Database!$AD:$AD,$C20,Database!$A:$A,$C$1)),-0.00001)</f>
        <v>-1.0000000000000001E-5</v>
      </c>
      <c r="N20" s="185">
        <f>IFERROR(IF($C20="",-0.00001,SUMIFS(Database!AM:AM,Database!$AD:$AD,$C20,Database!$A:$A,$C$1)),-0.00001)</f>
        <v>-1.0000000000000001E-5</v>
      </c>
      <c r="O20" s="185">
        <f>IFERROR(IF($C20="",-0.00001,SUMIFS(Database!AN:AN,Database!$AD:$AD,$C20,Database!$A:$A,$C$1)),-0.00001)</f>
        <v>-1.0000000000000001E-5</v>
      </c>
      <c r="P20" s="185">
        <f>IFERROR(IF($C20="",-0.00001,SUMIFS(Database!AO:AO,Database!$AD:$AD,$C20,Database!$A:$A,$C$1)),-0.00001)</f>
        <v>-1.0000000000000001E-5</v>
      </c>
      <c r="Q20" s="185">
        <f>IFERROR(IF($C20="",-0.00001,SUMIFS(Database!AP:AP,Database!$AD:$AD,$C20,Database!$A:$A,$C$1)),-0.00001)</f>
        <v>-1.0000000000000001E-5</v>
      </c>
      <c r="R20" s="186">
        <f t="shared" si="1"/>
        <v>-1.0000000000000001E-5</v>
      </c>
      <c r="S20" s="185">
        <f>IFERROR(IF($C20="",-0.00001,SUMIFS(Database!AR:AR,Database!$AD:$AD,$C20,Database!$A:$A,$C$1)),-0.00001)</f>
        <v>-1.0000000000000001E-5</v>
      </c>
      <c r="T20" s="185">
        <f>IFERROR(IF($C20="",-0.00001,SUMIFS(Database!AS:AS,Database!$AD:$AD,$C20,Database!$A:$A,$C$1)),-0.00001)</f>
        <v>-1.0000000000000001E-5</v>
      </c>
      <c r="U20" s="186">
        <f t="shared" si="2"/>
        <v>-1.0000000000000001E-5</v>
      </c>
      <c r="V20" s="185">
        <f>IFERROR(IF($C20="",-0.00001,SUMIFS(Database!AU:AU,Database!$AD:$AD,$C20,Database!$A:$A,$C$1)),-0.00001)</f>
        <v>-1.0000000000000001E-5</v>
      </c>
      <c r="W20" s="185">
        <f>IFERROR(IF($C20="",-0.00001,SUMIFS(Database!AV:AV,Database!$AD:$AD,$C20,Database!$A:$A,$C$1)),-0.00001)</f>
        <v>-1.0000000000000001E-5</v>
      </c>
      <c r="X20" s="186">
        <f t="shared" si="3"/>
        <v>-1.0000000000000001E-5</v>
      </c>
      <c r="Y20" s="291"/>
      <c r="Z20" s="293">
        <f>IFERROR(IF($C20="",-0.00001,SUMIFS(Database!AG:AG,Database!$AD:$AD,$C20,Database!$A:$A,$C$1)/$G20),-0.00001)</f>
        <v>-1.0000000000000001E-5</v>
      </c>
      <c r="AA20" s="293">
        <f>IFERROR(IF($C20="",-0.00001,SUMIFS(Database!AH:AH,Database!$AD:$AD,$C20,Database!$A:$A,$C$1)/$G20),-0.00001)</f>
        <v>-1.0000000000000001E-5</v>
      </c>
      <c r="AB20" s="293">
        <f>IFERROR(IF($C20="",-0.00001,SUMIFS(Database!AI:AI,Database!$AD:$AD,$C20,Database!$A:$A,$C$1)/$G20),-0.00001)</f>
        <v>-1.0000000000000001E-5</v>
      </c>
      <c r="AC20" s="293">
        <f>IFERROR(IF($C20="",-0.00001,SUMIFS(Database!AJ:AJ,Database!$AD:$AD,$C20,Database!$A:$A,$C$1)/$G20),-0.00001)</f>
        <v>-1.0000000000000001E-5</v>
      </c>
      <c r="AD20" s="293">
        <f>IFERROR(IF($C20="",-0.00001,SUMIFS(Database!AK:AK,Database!$AD:$AD,$C20,Database!$A:$A,$C$1)/$G20),-0.00001)</f>
        <v>-1.0000000000000001E-5</v>
      </c>
      <c r="AE20" s="293">
        <f>IFERROR(IF($C20="",-0.00001,SUMIFS(Database!AL:AL,Database!$AD:$AD,$C20,Database!$A:$A,$C$1)/$G20),-0.00001)</f>
        <v>-1.0000000000000001E-5</v>
      </c>
      <c r="AF20" s="293">
        <f>IFERROR(IF($C20="",-0.00001,SUMIFS(Database!AM:AM,Database!$AD:$AD,$C20,Database!$A:$A,$C$1)/$G20),-0.00001)</f>
        <v>-1.0000000000000001E-5</v>
      </c>
      <c r="AG20" s="293">
        <f>IFERROR(IF($C20="",-0.00001,SUMIFS(Database!AN:AN,Database!$AD:$AD,$C20,Database!$A:$A,$C$1)/$G20),-0.00001)</f>
        <v>-1.0000000000000001E-5</v>
      </c>
      <c r="AH20" s="293">
        <f>IFERROR(IF($C20="",-0.00001,SUMIFS(Database!AO:AO,Database!$AD:$AD,$C20,Database!$A:$A,$C$1)/$G20),-0.00001)</f>
        <v>-1.0000000000000001E-5</v>
      </c>
      <c r="AI20" s="293">
        <f>IFERROR(IF($C20="",-0.00001,SUMIFS(Database!AP:AP,Database!$AD:$AD,$C20,Database!$A:$A,$C$1)/$G20),-0.00001)</f>
        <v>-1.0000000000000001E-5</v>
      </c>
      <c r="AJ20" s="293">
        <f>IFERROR(IF($C20="",-0.00001,SUMIFS(Database!AR:AR,Database!$AD:$AD,$C20,Database!$A:$A,$C$1)/$G20),-0.00001)</f>
        <v>-1.0000000000000001E-5</v>
      </c>
      <c r="AK20" s="293">
        <f>IFERROR(IF($C20="",-0.00001,SUMIFS(Database!AS:AS,Database!$AD:$AD,$C20,Database!$A:$A,$C$1)/$G20),-0.00001)</f>
        <v>-1.0000000000000001E-5</v>
      </c>
      <c r="AL20" s="293">
        <f>IFERROR(IF($C20="",-0.00001,SUMIFS(Database!AU:AU,Database!$AD:$AD,$C20,Database!$A:$A,$C$1)/$G20),-0.00001)</f>
        <v>-1.0000000000000001E-5</v>
      </c>
      <c r="AM20" s="293">
        <f>IFERROR(IF($C20="",-0.00001,SUMIFS(Database!AV:AV,Database!$AD:$AD,$C20,Database!$A:$A,$C$1)/$G20),-0.00001)</f>
        <v>-1.0000000000000001E-5</v>
      </c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</row>
    <row r="21" spans="1:50" x14ac:dyDescent="0.25">
      <c r="A21" s="187"/>
      <c r="B21" s="187" t="str">
        <f>IF($C21="","",MAX($B$4:$B20)+1)</f>
        <v/>
      </c>
      <c r="C21" s="145"/>
      <c r="D21" s="233">
        <f>IF($C21="",-0.00001,COUNTIFS(Database!$AD:$AD,$C21,Database!$A:$A,$C$1,Database!$AE:$AE,"W"))</f>
        <v>-1.0000000000000001E-5</v>
      </c>
      <c r="E21" s="233">
        <f>IF($C21="",-0.00001,COUNTIFS(Database!$AD:$AD,$C21,Database!$A:$A,$C$1,Database!$AE:$AE,"L"))</f>
        <v>-1.0000000000000001E-5</v>
      </c>
      <c r="F21" s="233">
        <f t="shared" si="0"/>
        <v>-1.0000000000000001E-5</v>
      </c>
      <c r="G21" s="185">
        <f>IF($C21="",-0.00001,COUNTIFS(Database!AD:AD,$C21,Database!A:A,$C$1))</f>
        <v>-1.0000000000000001E-5</v>
      </c>
      <c r="H21" s="185">
        <f>IFERROR(IF($C21="",-0.00001,SUMIFS(Database!AG:AG,Database!$AD:$AD,$C21,Database!$A:$A,$C$1)),-0.00001)</f>
        <v>-1.0000000000000001E-5</v>
      </c>
      <c r="I21" s="185">
        <f>IFERROR(IF($C21="",-0.00001,SUMIFS(Database!AH:AH,Database!$AD:$AD,$C21,Database!$A:$A,$C$1)),-0.00001)</f>
        <v>-1.0000000000000001E-5</v>
      </c>
      <c r="J21" s="185">
        <f>IFERROR(IF($C21="",-0.00001,SUMIFS(Database!AI:AI,Database!$AD:$AD,$C21,Database!$A:$A,$C$1)),-0.00001)</f>
        <v>-1.0000000000000001E-5</v>
      </c>
      <c r="K21" s="185">
        <f>IFERROR(IF($C21="",-0.00001,SUMIFS(Database!AJ:AJ,Database!$AD:$AD,$C21,Database!$A:$A,$C$1)),-0.00001)</f>
        <v>-1.0000000000000001E-5</v>
      </c>
      <c r="L21" s="185">
        <f>IFERROR(IF($C21="",-0.00001,SUMIFS(Database!AK:AK,Database!$AD:$AD,$C21,Database!$A:$A,$C$1)),-0.00001)</f>
        <v>-1.0000000000000001E-5</v>
      </c>
      <c r="M21" s="185">
        <f>IFERROR(IF($C21="",-0.00001,SUMIFS(Database!AL:AL,Database!$AD:$AD,$C21,Database!$A:$A,$C$1)),-0.00001)</f>
        <v>-1.0000000000000001E-5</v>
      </c>
      <c r="N21" s="185">
        <f>IFERROR(IF($C21="",-0.00001,SUMIFS(Database!AM:AM,Database!$AD:$AD,$C21,Database!$A:$A,$C$1)),-0.00001)</f>
        <v>-1.0000000000000001E-5</v>
      </c>
      <c r="O21" s="185">
        <f>IFERROR(IF($C21="",-0.00001,SUMIFS(Database!AN:AN,Database!$AD:$AD,$C21,Database!$A:$A,$C$1)),-0.00001)</f>
        <v>-1.0000000000000001E-5</v>
      </c>
      <c r="P21" s="185">
        <f>IFERROR(IF($C21="",-0.00001,SUMIFS(Database!AO:AO,Database!$AD:$AD,$C21,Database!$A:$A,$C$1)),-0.00001)</f>
        <v>-1.0000000000000001E-5</v>
      </c>
      <c r="Q21" s="185">
        <f>IFERROR(IF($C21="",-0.00001,SUMIFS(Database!AP:AP,Database!$AD:$AD,$C21,Database!$A:$A,$C$1)),-0.00001)</f>
        <v>-1.0000000000000001E-5</v>
      </c>
      <c r="R21" s="186">
        <f t="shared" si="1"/>
        <v>-1.0000000000000001E-5</v>
      </c>
      <c r="S21" s="185">
        <f>IFERROR(IF($C21="",-0.00001,SUMIFS(Database!AR:AR,Database!$AD:$AD,$C21,Database!$A:$A,$C$1)),-0.00001)</f>
        <v>-1.0000000000000001E-5</v>
      </c>
      <c r="T21" s="185">
        <f>IFERROR(IF($C21="",-0.00001,SUMIFS(Database!AS:AS,Database!$AD:$AD,$C21,Database!$A:$A,$C$1)),-0.00001)</f>
        <v>-1.0000000000000001E-5</v>
      </c>
      <c r="U21" s="186">
        <f t="shared" si="2"/>
        <v>-1.0000000000000001E-5</v>
      </c>
      <c r="V21" s="185">
        <f>IFERROR(IF($C21="",-0.00001,SUMIFS(Database!AU:AU,Database!$AD:$AD,$C21,Database!$A:$A,$C$1)),-0.00001)</f>
        <v>-1.0000000000000001E-5</v>
      </c>
      <c r="W21" s="185">
        <f>IFERROR(IF($C21="",-0.00001,SUMIFS(Database!AV:AV,Database!$AD:$AD,$C21,Database!$A:$A,$C$1)),-0.00001)</f>
        <v>-1.0000000000000001E-5</v>
      </c>
      <c r="X21" s="186">
        <f t="shared" si="3"/>
        <v>-1.0000000000000001E-5</v>
      </c>
      <c r="Y21" s="291"/>
      <c r="Z21" s="293">
        <f>IFERROR(IF($C21="",-0.00001,SUMIFS(Database!AG:AG,Database!$AD:$AD,$C21,Database!$A:$A,$C$1)/$G21),-0.00001)</f>
        <v>-1.0000000000000001E-5</v>
      </c>
      <c r="AA21" s="293">
        <f>IFERROR(IF($C21="",-0.00001,SUMIFS(Database!AH:AH,Database!$AD:$AD,$C21,Database!$A:$A,$C$1)/$G21),-0.00001)</f>
        <v>-1.0000000000000001E-5</v>
      </c>
      <c r="AB21" s="293">
        <f>IFERROR(IF($C21="",-0.00001,SUMIFS(Database!AI:AI,Database!$AD:$AD,$C21,Database!$A:$A,$C$1)/$G21),-0.00001)</f>
        <v>-1.0000000000000001E-5</v>
      </c>
      <c r="AC21" s="293">
        <f>IFERROR(IF($C21="",-0.00001,SUMIFS(Database!AJ:AJ,Database!$AD:$AD,$C21,Database!$A:$A,$C$1)/$G21),-0.00001)</f>
        <v>-1.0000000000000001E-5</v>
      </c>
      <c r="AD21" s="293">
        <f>IFERROR(IF($C21="",-0.00001,SUMIFS(Database!AK:AK,Database!$AD:$AD,$C21,Database!$A:$A,$C$1)/$G21),-0.00001)</f>
        <v>-1.0000000000000001E-5</v>
      </c>
      <c r="AE21" s="293">
        <f>IFERROR(IF($C21="",-0.00001,SUMIFS(Database!AL:AL,Database!$AD:$AD,$C21,Database!$A:$A,$C$1)/$G21),-0.00001)</f>
        <v>-1.0000000000000001E-5</v>
      </c>
      <c r="AF21" s="293">
        <f>IFERROR(IF($C21="",-0.00001,SUMIFS(Database!AM:AM,Database!$AD:$AD,$C21,Database!$A:$A,$C$1)/$G21),-0.00001)</f>
        <v>-1.0000000000000001E-5</v>
      </c>
      <c r="AG21" s="293">
        <f>IFERROR(IF($C21="",-0.00001,SUMIFS(Database!AN:AN,Database!$AD:$AD,$C21,Database!$A:$A,$C$1)/$G21),-0.00001)</f>
        <v>-1.0000000000000001E-5</v>
      </c>
      <c r="AH21" s="293">
        <f>IFERROR(IF($C21="",-0.00001,SUMIFS(Database!AO:AO,Database!$AD:$AD,$C21,Database!$A:$A,$C$1)/$G21),-0.00001)</f>
        <v>-1.0000000000000001E-5</v>
      </c>
      <c r="AI21" s="293">
        <f>IFERROR(IF($C21="",-0.00001,SUMIFS(Database!AP:AP,Database!$AD:$AD,$C21,Database!$A:$A,$C$1)/$G21),-0.00001)</f>
        <v>-1.0000000000000001E-5</v>
      </c>
      <c r="AJ21" s="293">
        <f>IFERROR(IF($C21="",-0.00001,SUMIFS(Database!AR:AR,Database!$AD:$AD,$C21,Database!$A:$A,$C$1)/$G21),-0.00001)</f>
        <v>-1.0000000000000001E-5</v>
      </c>
      <c r="AK21" s="293">
        <f>IFERROR(IF($C21="",-0.00001,SUMIFS(Database!AS:AS,Database!$AD:$AD,$C21,Database!$A:$A,$C$1)/$G21),-0.00001)</f>
        <v>-1.0000000000000001E-5</v>
      </c>
      <c r="AL21" s="293">
        <f>IFERROR(IF($C21="",-0.00001,SUMIFS(Database!AU:AU,Database!$AD:$AD,$C21,Database!$A:$A,$C$1)/$G21),-0.00001)</f>
        <v>-1.0000000000000001E-5</v>
      </c>
      <c r="AM21" s="293">
        <f>IFERROR(IF($C21="",-0.00001,SUMIFS(Database!AV:AV,Database!$AD:$AD,$C21,Database!$A:$A,$C$1)/$G21),-0.00001)</f>
        <v>-1.0000000000000001E-5</v>
      </c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</row>
    <row r="22" spans="1:50" x14ac:dyDescent="0.25">
      <c r="A22" s="187"/>
      <c r="B22" s="187" t="str">
        <f>IF($C22="","",MAX($B$4:$B21)+1)</f>
        <v/>
      </c>
      <c r="C22" s="145"/>
      <c r="D22" s="233">
        <f>IF($C22="",-0.00001,COUNTIFS(Database!$AD:$AD,$C22,Database!$A:$A,$C$1,Database!$AE:$AE,"W"))</f>
        <v>-1.0000000000000001E-5</v>
      </c>
      <c r="E22" s="233">
        <f>IF($C22="",-0.00001,COUNTIFS(Database!$AD:$AD,$C22,Database!$A:$A,$C$1,Database!$AE:$AE,"L"))</f>
        <v>-1.0000000000000001E-5</v>
      </c>
      <c r="F22" s="233">
        <f t="shared" si="0"/>
        <v>-1.0000000000000001E-5</v>
      </c>
      <c r="G22" s="185">
        <f>IF($C22="",-0.00001,COUNTIFS(Database!AD:AD,$C22,Database!A:A,$C$1))</f>
        <v>-1.0000000000000001E-5</v>
      </c>
      <c r="H22" s="185">
        <f>IFERROR(IF($C22="",-0.00001,SUMIFS(Database!AG:AG,Database!$AD:$AD,$C22,Database!$A:$A,$C$1)),-0.00001)</f>
        <v>-1.0000000000000001E-5</v>
      </c>
      <c r="I22" s="185">
        <f>IFERROR(IF($C22="",-0.00001,SUMIFS(Database!AH:AH,Database!$AD:$AD,$C22,Database!$A:$A,$C$1)),-0.00001)</f>
        <v>-1.0000000000000001E-5</v>
      </c>
      <c r="J22" s="185">
        <f>IFERROR(IF($C22="",-0.00001,SUMIFS(Database!AI:AI,Database!$AD:$AD,$C22,Database!$A:$A,$C$1)),-0.00001)</f>
        <v>-1.0000000000000001E-5</v>
      </c>
      <c r="K22" s="185">
        <f>IFERROR(IF($C22="",-0.00001,SUMIFS(Database!AJ:AJ,Database!$AD:$AD,$C22,Database!$A:$A,$C$1)),-0.00001)</f>
        <v>-1.0000000000000001E-5</v>
      </c>
      <c r="L22" s="185">
        <f>IFERROR(IF($C22="",-0.00001,SUMIFS(Database!AK:AK,Database!$AD:$AD,$C22,Database!$A:$A,$C$1)),-0.00001)</f>
        <v>-1.0000000000000001E-5</v>
      </c>
      <c r="M22" s="185">
        <f>IFERROR(IF($C22="",-0.00001,SUMIFS(Database!AL:AL,Database!$AD:$AD,$C22,Database!$A:$A,$C$1)),-0.00001)</f>
        <v>-1.0000000000000001E-5</v>
      </c>
      <c r="N22" s="185">
        <f>IFERROR(IF($C22="",-0.00001,SUMIFS(Database!AM:AM,Database!$AD:$AD,$C22,Database!$A:$A,$C$1)),-0.00001)</f>
        <v>-1.0000000000000001E-5</v>
      </c>
      <c r="O22" s="185">
        <f>IFERROR(IF($C22="",-0.00001,SUMIFS(Database!AN:AN,Database!$AD:$AD,$C22,Database!$A:$A,$C$1)),-0.00001)</f>
        <v>-1.0000000000000001E-5</v>
      </c>
      <c r="P22" s="185">
        <f>IFERROR(IF($C22="",-0.00001,SUMIFS(Database!AO:AO,Database!$AD:$AD,$C22,Database!$A:$A,$C$1)),-0.00001)</f>
        <v>-1.0000000000000001E-5</v>
      </c>
      <c r="Q22" s="185">
        <f>IFERROR(IF($C22="",-0.00001,SUMIFS(Database!AP:AP,Database!$AD:$AD,$C22,Database!$A:$A,$C$1)),-0.00001)</f>
        <v>-1.0000000000000001E-5</v>
      </c>
      <c r="R22" s="186">
        <f t="shared" si="1"/>
        <v>-1.0000000000000001E-5</v>
      </c>
      <c r="S22" s="185">
        <f>IFERROR(IF($C22="",-0.00001,SUMIFS(Database!AR:AR,Database!$AD:$AD,$C22,Database!$A:$A,$C$1)),-0.00001)</f>
        <v>-1.0000000000000001E-5</v>
      </c>
      <c r="T22" s="185">
        <f>IFERROR(IF($C22="",-0.00001,SUMIFS(Database!AS:AS,Database!$AD:$AD,$C22,Database!$A:$A,$C$1)),-0.00001)</f>
        <v>-1.0000000000000001E-5</v>
      </c>
      <c r="U22" s="186">
        <f t="shared" si="2"/>
        <v>-1.0000000000000001E-5</v>
      </c>
      <c r="V22" s="185">
        <f>IFERROR(IF($C22="",-0.00001,SUMIFS(Database!AU:AU,Database!$AD:$AD,$C22,Database!$A:$A,$C$1)),-0.00001)</f>
        <v>-1.0000000000000001E-5</v>
      </c>
      <c r="W22" s="185">
        <f>IFERROR(IF($C22="",-0.00001,SUMIFS(Database!AV:AV,Database!$AD:$AD,$C22,Database!$A:$A,$C$1)),-0.00001)</f>
        <v>-1.0000000000000001E-5</v>
      </c>
      <c r="X22" s="186">
        <f t="shared" si="3"/>
        <v>-1.0000000000000001E-5</v>
      </c>
      <c r="Y22" s="291"/>
      <c r="Z22" s="293">
        <f>IFERROR(IF($C22="",-0.00001,SUMIFS(Database!AG:AG,Database!$AD:$AD,$C22,Database!$A:$A,$C$1)/$G22),-0.00001)</f>
        <v>-1.0000000000000001E-5</v>
      </c>
      <c r="AA22" s="293">
        <f>IFERROR(IF($C22="",-0.00001,SUMIFS(Database!AH:AH,Database!$AD:$AD,$C22,Database!$A:$A,$C$1)/$G22),-0.00001)</f>
        <v>-1.0000000000000001E-5</v>
      </c>
      <c r="AB22" s="293">
        <f>IFERROR(IF($C22="",-0.00001,SUMIFS(Database!AI:AI,Database!$AD:$AD,$C22,Database!$A:$A,$C$1)/$G22),-0.00001)</f>
        <v>-1.0000000000000001E-5</v>
      </c>
      <c r="AC22" s="293">
        <f>IFERROR(IF($C22="",-0.00001,SUMIFS(Database!AJ:AJ,Database!$AD:$AD,$C22,Database!$A:$A,$C$1)/$G22),-0.00001)</f>
        <v>-1.0000000000000001E-5</v>
      </c>
      <c r="AD22" s="293">
        <f>IFERROR(IF($C22="",-0.00001,SUMIFS(Database!AK:AK,Database!$AD:$AD,$C22,Database!$A:$A,$C$1)/$G22),-0.00001)</f>
        <v>-1.0000000000000001E-5</v>
      </c>
      <c r="AE22" s="293">
        <f>IFERROR(IF($C22="",-0.00001,SUMIFS(Database!AL:AL,Database!$AD:$AD,$C22,Database!$A:$A,$C$1)/$G22),-0.00001)</f>
        <v>-1.0000000000000001E-5</v>
      </c>
      <c r="AF22" s="293">
        <f>IFERROR(IF($C22="",-0.00001,SUMIFS(Database!AM:AM,Database!$AD:$AD,$C22,Database!$A:$A,$C$1)/$G22),-0.00001)</f>
        <v>-1.0000000000000001E-5</v>
      </c>
      <c r="AG22" s="293">
        <f>IFERROR(IF($C22="",-0.00001,SUMIFS(Database!AN:AN,Database!$AD:$AD,$C22,Database!$A:$A,$C$1)/$G22),-0.00001)</f>
        <v>-1.0000000000000001E-5</v>
      </c>
      <c r="AH22" s="293">
        <f>IFERROR(IF($C22="",-0.00001,SUMIFS(Database!AO:AO,Database!$AD:$AD,$C22,Database!$A:$A,$C$1)/$G22),-0.00001)</f>
        <v>-1.0000000000000001E-5</v>
      </c>
      <c r="AI22" s="293">
        <f>IFERROR(IF($C22="",-0.00001,SUMIFS(Database!AP:AP,Database!$AD:$AD,$C22,Database!$A:$A,$C$1)/$G22),-0.00001)</f>
        <v>-1.0000000000000001E-5</v>
      </c>
      <c r="AJ22" s="293">
        <f>IFERROR(IF($C22="",-0.00001,SUMIFS(Database!AR:AR,Database!$AD:$AD,$C22,Database!$A:$A,$C$1)/$G22),-0.00001)</f>
        <v>-1.0000000000000001E-5</v>
      </c>
      <c r="AK22" s="293">
        <f>IFERROR(IF($C22="",-0.00001,SUMIFS(Database!AS:AS,Database!$AD:$AD,$C22,Database!$A:$A,$C$1)/$G22),-0.00001)</f>
        <v>-1.0000000000000001E-5</v>
      </c>
      <c r="AL22" s="293">
        <f>IFERROR(IF($C22="",-0.00001,SUMIFS(Database!AU:AU,Database!$AD:$AD,$C22,Database!$A:$A,$C$1)/$G22),-0.00001)</f>
        <v>-1.0000000000000001E-5</v>
      </c>
      <c r="AM22" s="293">
        <f>IFERROR(IF($C22="",-0.00001,SUMIFS(Database!AV:AV,Database!$AD:$AD,$C22,Database!$A:$A,$C$1)/$G22),-0.00001)</f>
        <v>-1.0000000000000001E-5</v>
      </c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X22" s="187"/>
    </row>
    <row r="23" spans="1:50" x14ac:dyDescent="0.25">
      <c r="A23" s="187"/>
      <c r="B23" s="187" t="str">
        <f>IF($C23="","",MAX($B$4:$B22)+1)</f>
        <v/>
      </c>
      <c r="C23" s="145"/>
      <c r="D23" s="233">
        <f>IF($C23="",-0.00001,COUNTIFS(Database!$AD:$AD,$C23,Database!$A:$A,$C$1,Database!$AE:$AE,"W"))</f>
        <v>-1.0000000000000001E-5</v>
      </c>
      <c r="E23" s="233">
        <f>IF($C23="",-0.00001,COUNTIFS(Database!$AD:$AD,$C23,Database!$A:$A,$C$1,Database!$AE:$AE,"L"))</f>
        <v>-1.0000000000000001E-5</v>
      </c>
      <c r="F23" s="233">
        <f t="shared" si="0"/>
        <v>-1.0000000000000001E-5</v>
      </c>
      <c r="G23" s="185">
        <f>IF($C23="",-0.00001,COUNTIFS(Database!AD:AD,$C23,Database!A:A,$C$1))</f>
        <v>-1.0000000000000001E-5</v>
      </c>
      <c r="H23" s="185">
        <f>IFERROR(IF($C23="",-0.00001,SUMIFS(Database!AG:AG,Database!$AD:$AD,$C23,Database!$A:$A,$C$1)),-0.00001)</f>
        <v>-1.0000000000000001E-5</v>
      </c>
      <c r="I23" s="185">
        <f>IFERROR(IF($C23="",-0.00001,SUMIFS(Database!AH:AH,Database!$AD:$AD,$C23,Database!$A:$A,$C$1)),-0.00001)</f>
        <v>-1.0000000000000001E-5</v>
      </c>
      <c r="J23" s="185">
        <f>IFERROR(IF($C23="",-0.00001,SUMIFS(Database!AI:AI,Database!$AD:$AD,$C23,Database!$A:$A,$C$1)),-0.00001)</f>
        <v>-1.0000000000000001E-5</v>
      </c>
      <c r="K23" s="185">
        <f>IFERROR(IF($C23="",-0.00001,SUMIFS(Database!AJ:AJ,Database!$AD:$AD,$C23,Database!$A:$A,$C$1)),-0.00001)</f>
        <v>-1.0000000000000001E-5</v>
      </c>
      <c r="L23" s="185">
        <f>IFERROR(IF($C23="",-0.00001,SUMIFS(Database!AK:AK,Database!$AD:$AD,$C23,Database!$A:$A,$C$1)),-0.00001)</f>
        <v>-1.0000000000000001E-5</v>
      </c>
      <c r="M23" s="185">
        <f>IFERROR(IF($C23="",-0.00001,SUMIFS(Database!AL:AL,Database!$AD:$AD,$C23,Database!$A:$A,$C$1)),-0.00001)</f>
        <v>-1.0000000000000001E-5</v>
      </c>
      <c r="N23" s="185">
        <f>IFERROR(IF($C23="",-0.00001,SUMIFS(Database!AM:AM,Database!$AD:$AD,$C23,Database!$A:$A,$C$1)),-0.00001)</f>
        <v>-1.0000000000000001E-5</v>
      </c>
      <c r="O23" s="185">
        <f>IFERROR(IF($C23="",-0.00001,SUMIFS(Database!AN:AN,Database!$AD:$AD,$C23,Database!$A:$A,$C$1)),-0.00001)</f>
        <v>-1.0000000000000001E-5</v>
      </c>
      <c r="P23" s="185">
        <f>IFERROR(IF($C23="",-0.00001,SUMIFS(Database!AO:AO,Database!$AD:$AD,$C23,Database!$A:$A,$C$1)),-0.00001)</f>
        <v>-1.0000000000000001E-5</v>
      </c>
      <c r="Q23" s="185">
        <f>IFERROR(IF($C23="",-0.00001,SUMIFS(Database!AP:AP,Database!$AD:$AD,$C23,Database!$A:$A,$C$1)),-0.00001)</f>
        <v>-1.0000000000000001E-5</v>
      </c>
      <c r="R23" s="186">
        <f t="shared" si="1"/>
        <v>-1.0000000000000001E-5</v>
      </c>
      <c r="S23" s="185">
        <f>IFERROR(IF($C23="",-0.00001,SUMIFS(Database!AR:AR,Database!$AD:$AD,$C23,Database!$A:$A,$C$1)),-0.00001)</f>
        <v>-1.0000000000000001E-5</v>
      </c>
      <c r="T23" s="185">
        <f>IFERROR(IF($C23="",-0.00001,SUMIFS(Database!AS:AS,Database!$AD:$AD,$C23,Database!$A:$A,$C$1)),-0.00001)</f>
        <v>-1.0000000000000001E-5</v>
      </c>
      <c r="U23" s="186">
        <f t="shared" si="2"/>
        <v>-1.0000000000000001E-5</v>
      </c>
      <c r="V23" s="185">
        <f>IFERROR(IF($C23="",-0.00001,SUMIFS(Database!AU:AU,Database!$AD:$AD,$C23,Database!$A:$A,$C$1)),-0.00001)</f>
        <v>-1.0000000000000001E-5</v>
      </c>
      <c r="W23" s="185">
        <f>IFERROR(IF($C23="",-0.00001,SUMIFS(Database!AV:AV,Database!$AD:$AD,$C23,Database!$A:$A,$C$1)),-0.00001)</f>
        <v>-1.0000000000000001E-5</v>
      </c>
      <c r="X23" s="186">
        <f t="shared" si="3"/>
        <v>-1.0000000000000001E-5</v>
      </c>
      <c r="Y23" s="291"/>
      <c r="Z23" s="293">
        <f>IFERROR(IF($C23="",-0.00001,SUMIFS(Database!AG:AG,Database!$AD:$AD,$C23,Database!$A:$A,$C$1)/$G23),-0.00001)</f>
        <v>-1.0000000000000001E-5</v>
      </c>
      <c r="AA23" s="293">
        <f>IFERROR(IF($C23="",-0.00001,SUMIFS(Database!AH:AH,Database!$AD:$AD,$C23,Database!$A:$A,$C$1)/$G23),-0.00001)</f>
        <v>-1.0000000000000001E-5</v>
      </c>
      <c r="AB23" s="293">
        <f>IFERROR(IF($C23="",-0.00001,SUMIFS(Database!AI:AI,Database!$AD:$AD,$C23,Database!$A:$A,$C$1)/$G23),-0.00001)</f>
        <v>-1.0000000000000001E-5</v>
      </c>
      <c r="AC23" s="293">
        <f>IFERROR(IF($C23="",-0.00001,SUMIFS(Database!AJ:AJ,Database!$AD:$AD,$C23,Database!$A:$A,$C$1)/$G23),-0.00001)</f>
        <v>-1.0000000000000001E-5</v>
      </c>
      <c r="AD23" s="293">
        <f>IFERROR(IF($C23="",-0.00001,SUMIFS(Database!AK:AK,Database!$AD:$AD,$C23,Database!$A:$A,$C$1)/$G23),-0.00001)</f>
        <v>-1.0000000000000001E-5</v>
      </c>
      <c r="AE23" s="293">
        <f>IFERROR(IF($C23="",-0.00001,SUMIFS(Database!AL:AL,Database!$AD:$AD,$C23,Database!$A:$A,$C$1)/$G23),-0.00001)</f>
        <v>-1.0000000000000001E-5</v>
      </c>
      <c r="AF23" s="293">
        <f>IFERROR(IF($C23="",-0.00001,SUMIFS(Database!AM:AM,Database!$AD:$AD,$C23,Database!$A:$A,$C$1)/$G23),-0.00001)</f>
        <v>-1.0000000000000001E-5</v>
      </c>
      <c r="AG23" s="293">
        <f>IFERROR(IF($C23="",-0.00001,SUMIFS(Database!AN:AN,Database!$AD:$AD,$C23,Database!$A:$A,$C$1)/$G23),-0.00001)</f>
        <v>-1.0000000000000001E-5</v>
      </c>
      <c r="AH23" s="293">
        <f>IFERROR(IF($C23="",-0.00001,SUMIFS(Database!AO:AO,Database!$AD:$AD,$C23,Database!$A:$A,$C$1)/$G23),-0.00001)</f>
        <v>-1.0000000000000001E-5</v>
      </c>
      <c r="AI23" s="293">
        <f>IFERROR(IF($C23="",-0.00001,SUMIFS(Database!AP:AP,Database!$AD:$AD,$C23,Database!$A:$A,$C$1)/$G23),-0.00001)</f>
        <v>-1.0000000000000001E-5</v>
      </c>
      <c r="AJ23" s="293">
        <f>IFERROR(IF($C23="",-0.00001,SUMIFS(Database!AR:AR,Database!$AD:$AD,$C23,Database!$A:$A,$C$1)/$G23),-0.00001)</f>
        <v>-1.0000000000000001E-5</v>
      </c>
      <c r="AK23" s="293">
        <f>IFERROR(IF($C23="",-0.00001,SUMIFS(Database!AS:AS,Database!$AD:$AD,$C23,Database!$A:$A,$C$1)/$G23),-0.00001)</f>
        <v>-1.0000000000000001E-5</v>
      </c>
      <c r="AL23" s="293">
        <f>IFERROR(IF($C23="",-0.00001,SUMIFS(Database!AU:AU,Database!$AD:$AD,$C23,Database!$A:$A,$C$1)/$G23),-0.00001)</f>
        <v>-1.0000000000000001E-5</v>
      </c>
      <c r="AM23" s="293">
        <f>IFERROR(IF($C23="",-0.00001,SUMIFS(Database!AV:AV,Database!$AD:$AD,$C23,Database!$A:$A,$C$1)/$G23),-0.00001)</f>
        <v>-1.0000000000000001E-5</v>
      </c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</row>
    <row r="24" spans="1:50" x14ac:dyDescent="0.25">
      <c r="A24" s="187"/>
      <c r="B24" s="187" t="str">
        <f>IF($C24="","",MAX($B$4:$B23)+1)</f>
        <v/>
      </c>
      <c r="C24" s="145"/>
      <c r="D24" s="233">
        <f>IF($C24="",-0.00001,COUNTIFS(Database!$AD:$AD,$C24,Database!$A:$A,$C$1,Database!$AE:$AE,"W"))</f>
        <v>-1.0000000000000001E-5</v>
      </c>
      <c r="E24" s="233">
        <f>IF($C24="",-0.00001,COUNTIFS(Database!$AD:$AD,$C24,Database!$A:$A,$C$1,Database!$AE:$AE,"L"))</f>
        <v>-1.0000000000000001E-5</v>
      </c>
      <c r="F24" s="233">
        <f t="shared" si="0"/>
        <v>-1.0000000000000001E-5</v>
      </c>
      <c r="G24" s="185">
        <f>IF($C24="",-0.00001,COUNTIFS(Database!AD:AD,$C24,Database!A:A,$C$1))</f>
        <v>-1.0000000000000001E-5</v>
      </c>
      <c r="H24" s="185">
        <f>IFERROR(IF($C24="",-0.00001,SUMIFS(Database!AG:AG,Database!$AD:$AD,$C24,Database!$A:$A,$C$1)),-0.00001)</f>
        <v>-1.0000000000000001E-5</v>
      </c>
      <c r="I24" s="185">
        <f>IFERROR(IF($C24="",-0.00001,SUMIFS(Database!AH:AH,Database!$AD:$AD,$C24,Database!$A:$A,$C$1)),-0.00001)</f>
        <v>-1.0000000000000001E-5</v>
      </c>
      <c r="J24" s="185">
        <f>IFERROR(IF($C24="",-0.00001,SUMIFS(Database!AI:AI,Database!$AD:$AD,$C24,Database!$A:$A,$C$1)),-0.00001)</f>
        <v>-1.0000000000000001E-5</v>
      </c>
      <c r="K24" s="185">
        <f>IFERROR(IF($C24="",-0.00001,SUMIFS(Database!AJ:AJ,Database!$AD:$AD,$C24,Database!$A:$A,$C$1)),-0.00001)</f>
        <v>-1.0000000000000001E-5</v>
      </c>
      <c r="L24" s="185">
        <f>IFERROR(IF($C24="",-0.00001,SUMIFS(Database!AK:AK,Database!$AD:$AD,$C24,Database!$A:$A,$C$1)),-0.00001)</f>
        <v>-1.0000000000000001E-5</v>
      </c>
      <c r="M24" s="185">
        <f>IFERROR(IF($C24="",-0.00001,SUMIFS(Database!AL:AL,Database!$AD:$AD,$C24,Database!$A:$A,$C$1)),-0.00001)</f>
        <v>-1.0000000000000001E-5</v>
      </c>
      <c r="N24" s="185">
        <f>IFERROR(IF($C24="",-0.00001,SUMIFS(Database!AM:AM,Database!$AD:$AD,$C24,Database!$A:$A,$C$1)),-0.00001)</f>
        <v>-1.0000000000000001E-5</v>
      </c>
      <c r="O24" s="185">
        <f>IFERROR(IF($C24="",-0.00001,SUMIFS(Database!AN:AN,Database!$AD:$AD,$C24,Database!$A:$A,$C$1)),-0.00001)</f>
        <v>-1.0000000000000001E-5</v>
      </c>
      <c r="P24" s="185">
        <f>IFERROR(IF($C24="",-0.00001,SUMIFS(Database!AO:AO,Database!$AD:$AD,$C24,Database!$A:$A,$C$1)),-0.00001)</f>
        <v>-1.0000000000000001E-5</v>
      </c>
      <c r="Q24" s="185">
        <f>IFERROR(IF($C24="",-0.00001,SUMIFS(Database!AP:AP,Database!$AD:$AD,$C24,Database!$A:$A,$C$1)),-0.00001)</f>
        <v>-1.0000000000000001E-5</v>
      </c>
      <c r="R24" s="186">
        <f t="shared" si="1"/>
        <v>-1.0000000000000001E-5</v>
      </c>
      <c r="S24" s="185">
        <f>IFERROR(IF($C24="",-0.00001,SUMIFS(Database!AR:AR,Database!$AD:$AD,$C24,Database!$A:$A,$C$1)),-0.00001)</f>
        <v>-1.0000000000000001E-5</v>
      </c>
      <c r="T24" s="185">
        <f>IFERROR(IF($C24="",-0.00001,SUMIFS(Database!AS:AS,Database!$AD:$AD,$C24,Database!$A:$A,$C$1)),-0.00001)</f>
        <v>-1.0000000000000001E-5</v>
      </c>
      <c r="U24" s="186">
        <f t="shared" si="2"/>
        <v>-1.0000000000000001E-5</v>
      </c>
      <c r="V24" s="185">
        <f>IFERROR(IF($C24="",-0.00001,SUMIFS(Database!AU:AU,Database!$AD:$AD,$C24,Database!$A:$A,$C$1)),-0.00001)</f>
        <v>-1.0000000000000001E-5</v>
      </c>
      <c r="W24" s="185">
        <f>IFERROR(IF($C24="",-0.00001,SUMIFS(Database!AV:AV,Database!$AD:$AD,$C24,Database!$A:$A,$C$1)),-0.00001)</f>
        <v>-1.0000000000000001E-5</v>
      </c>
      <c r="X24" s="186">
        <f t="shared" si="3"/>
        <v>-1.0000000000000001E-5</v>
      </c>
      <c r="Y24" s="291"/>
      <c r="Z24" s="293">
        <f>IFERROR(IF($C24="",-0.00001,SUMIFS(Database!AG:AG,Database!$AD:$AD,$C24,Database!$A:$A,$C$1)/$G24),-0.00001)</f>
        <v>-1.0000000000000001E-5</v>
      </c>
      <c r="AA24" s="293">
        <f>IFERROR(IF($C24="",-0.00001,SUMIFS(Database!AH:AH,Database!$AD:$AD,$C24,Database!$A:$A,$C$1)/$G24),-0.00001)</f>
        <v>-1.0000000000000001E-5</v>
      </c>
      <c r="AB24" s="293">
        <f>IFERROR(IF($C24="",-0.00001,SUMIFS(Database!AI:AI,Database!$AD:$AD,$C24,Database!$A:$A,$C$1)/$G24),-0.00001)</f>
        <v>-1.0000000000000001E-5</v>
      </c>
      <c r="AC24" s="293">
        <f>IFERROR(IF($C24="",-0.00001,SUMIFS(Database!AJ:AJ,Database!$AD:$AD,$C24,Database!$A:$A,$C$1)/$G24),-0.00001)</f>
        <v>-1.0000000000000001E-5</v>
      </c>
      <c r="AD24" s="293">
        <f>IFERROR(IF($C24="",-0.00001,SUMIFS(Database!AK:AK,Database!$AD:$AD,$C24,Database!$A:$A,$C$1)/$G24),-0.00001)</f>
        <v>-1.0000000000000001E-5</v>
      </c>
      <c r="AE24" s="293">
        <f>IFERROR(IF($C24="",-0.00001,SUMIFS(Database!AL:AL,Database!$AD:$AD,$C24,Database!$A:$A,$C$1)/$G24),-0.00001)</f>
        <v>-1.0000000000000001E-5</v>
      </c>
      <c r="AF24" s="293">
        <f>IFERROR(IF($C24="",-0.00001,SUMIFS(Database!AM:AM,Database!$AD:$AD,$C24,Database!$A:$A,$C$1)/$G24),-0.00001)</f>
        <v>-1.0000000000000001E-5</v>
      </c>
      <c r="AG24" s="293">
        <f>IFERROR(IF($C24="",-0.00001,SUMIFS(Database!AN:AN,Database!$AD:$AD,$C24,Database!$A:$A,$C$1)/$G24),-0.00001)</f>
        <v>-1.0000000000000001E-5</v>
      </c>
      <c r="AH24" s="293">
        <f>IFERROR(IF($C24="",-0.00001,SUMIFS(Database!AO:AO,Database!$AD:$AD,$C24,Database!$A:$A,$C$1)/$G24),-0.00001)</f>
        <v>-1.0000000000000001E-5</v>
      </c>
      <c r="AI24" s="293">
        <f>IFERROR(IF($C24="",-0.00001,SUMIFS(Database!AP:AP,Database!$AD:$AD,$C24,Database!$A:$A,$C$1)/$G24),-0.00001)</f>
        <v>-1.0000000000000001E-5</v>
      </c>
      <c r="AJ24" s="293">
        <f>IFERROR(IF($C24="",-0.00001,SUMIFS(Database!AR:AR,Database!$AD:$AD,$C24,Database!$A:$A,$C$1)/$G24),-0.00001)</f>
        <v>-1.0000000000000001E-5</v>
      </c>
      <c r="AK24" s="293">
        <f>IFERROR(IF($C24="",-0.00001,SUMIFS(Database!AS:AS,Database!$AD:$AD,$C24,Database!$A:$A,$C$1)/$G24),-0.00001)</f>
        <v>-1.0000000000000001E-5</v>
      </c>
      <c r="AL24" s="293">
        <f>IFERROR(IF($C24="",-0.00001,SUMIFS(Database!AU:AU,Database!$AD:$AD,$C24,Database!$A:$A,$C$1)/$G24),-0.00001)</f>
        <v>-1.0000000000000001E-5</v>
      </c>
      <c r="AM24" s="293">
        <f>IFERROR(IF($C24="",-0.00001,SUMIFS(Database!AV:AV,Database!$AD:$AD,$C24,Database!$A:$A,$C$1)/$G24),-0.00001)</f>
        <v>-1.0000000000000001E-5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</row>
    <row r="25" spans="1:50" x14ac:dyDescent="0.25">
      <c r="A25" s="187"/>
      <c r="B25" s="187" t="str">
        <f>IF($C25="","",MAX($B$4:$B24)+1)</f>
        <v/>
      </c>
      <c r="C25" s="145"/>
      <c r="D25" s="233">
        <f>IF($C25="",-0.00001,COUNTIFS(Database!$AD:$AD,$C25,Database!$A:$A,$C$1,Database!$AE:$AE,"W"))</f>
        <v>-1.0000000000000001E-5</v>
      </c>
      <c r="E25" s="233">
        <f>IF($C25="",-0.00001,COUNTIFS(Database!$AD:$AD,$C25,Database!$A:$A,$C$1,Database!$AE:$AE,"L"))</f>
        <v>-1.0000000000000001E-5</v>
      </c>
      <c r="F25" s="233">
        <f t="shared" si="0"/>
        <v>-1.0000000000000001E-5</v>
      </c>
      <c r="G25" s="185">
        <f>IF($C25="",-0.00001,COUNTIFS(Database!AD:AD,$C25,Database!A:A,$C$1))</f>
        <v>-1.0000000000000001E-5</v>
      </c>
      <c r="H25" s="185">
        <f>IFERROR(IF($C25="",-0.00001,SUMIFS(Database!AG:AG,Database!$AD:$AD,$C25,Database!$A:$A,$C$1)),-0.00001)</f>
        <v>-1.0000000000000001E-5</v>
      </c>
      <c r="I25" s="185">
        <f>IFERROR(IF($C25="",-0.00001,SUMIFS(Database!AH:AH,Database!$AD:$AD,$C25,Database!$A:$A,$C$1)),-0.00001)</f>
        <v>-1.0000000000000001E-5</v>
      </c>
      <c r="J25" s="185">
        <f>IFERROR(IF($C25="",-0.00001,SUMIFS(Database!AI:AI,Database!$AD:$AD,$C25,Database!$A:$A,$C$1)),-0.00001)</f>
        <v>-1.0000000000000001E-5</v>
      </c>
      <c r="K25" s="185">
        <f>IFERROR(IF($C25="",-0.00001,SUMIFS(Database!AJ:AJ,Database!$AD:$AD,$C25,Database!$A:$A,$C$1)),-0.00001)</f>
        <v>-1.0000000000000001E-5</v>
      </c>
      <c r="L25" s="185">
        <f>IFERROR(IF($C25="",-0.00001,SUMIFS(Database!AK:AK,Database!$AD:$AD,$C25,Database!$A:$A,$C$1)),-0.00001)</f>
        <v>-1.0000000000000001E-5</v>
      </c>
      <c r="M25" s="185">
        <f>IFERROR(IF($C25="",-0.00001,SUMIFS(Database!AL:AL,Database!$AD:$AD,$C25,Database!$A:$A,$C$1)),-0.00001)</f>
        <v>-1.0000000000000001E-5</v>
      </c>
      <c r="N25" s="185">
        <f>IFERROR(IF($C25="",-0.00001,SUMIFS(Database!AM:AM,Database!$AD:$AD,$C25,Database!$A:$A,$C$1)),-0.00001)</f>
        <v>-1.0000000000000001E-5</v>
      </c>
      <c r="O25" s="185">
        <f>IFERROR(IF($C25="",-0.00001,SUMIFS(Database!AN:AN,Database!$AD:$AD,$C25,Database!$A:$A,$C$1)),-0.00001)</f>
        <v>-1.0000000000000001E-5</v>
      </c>
      <c r="P25" s="185">
        <f>IFERROR(IF($C25="",-0.00001,SUMIFS(Database!AO:AO,Database!$AD:$AD,$C25,Database!$A:$A,$C$1)),-0.00001)</f>
        <v>-1.0000000000000001E-5</v>
      </c>
      <c r="Q25" s="185">
        <f>IFERROR(IF($C25="",-0.00001,SUMIFS(Database!AP:AP,Database!$AD:$AD,$C25,Database!$A:$A,$C$1)),-0.00001)</f>
        <v>-1.0000000000000001E-5</v>
      </c>
      <c r="R25" s="186">
        <f t="shared" si="1"/>
        <v>-1.0000000000000001E-5</v>
      </c>
      <c r="S25" s="185">
        <f>IFERROR(IF($C25="",-0.00001,SUMIFS(Database!AR:AR,Database!$AD:$AD,$C25,Database!$A:$A,$C$1)),-0.00001)</f>
        <v>-1.0000000000000001E-5</v>
      </c>
      <c r="T25" s="185">
        <f>IFERROR(IF($C25="",-0.00001,SUMIFS(Database!AS:AS,Database!$AD:$AD,$C25,Database!$A:$A,$C$1)),-0.00001)</f>
        <v>-1.0000000000000001E-5</v>
      </c>
      <c r="U25" s="186">
        <f t="shared" si="2"/>
        <v>-1.0000000000000001E-5</v>
      </c>
      <c r="V25" s="185">
        <f>IFERROR(IF($C25="",-0.00001,SUMIFS(Database!AU:AU,Database!$AD:$AD,$C25,Database!$A:$A,$C$1)),-0.00001)</f>
        <v>-1.0000000000000001E-5</v>
      </c>
      <c r="W25" s="185">
        <f>IFERROR(IF($C25="",-0.00001,SUMIFS(Database!AV:AV,Database!$AD:$AD,$C25,Database!$A:$A,$C$1)),-0.00001)</f>
        <v>-1.0000000000000001E-5</v>
      </c>
      <c r="X25" s="186">
        <f t="shared" si="3"/>
        <v>-1.0000000000000001E-5</v>
      </c>
      <c r="Y25" s="291"/>
      <c r="Z25" s="293">
        <f>IFERROR(IF($C25="",-0.00001,SUMIFS(Database!AG:AG,Database!$AD:$AD,$C25,Database!$A:$A,$C$1)/$G25),-0.00001)</f>
        <v>-1.0000000000000001E-5</v>
      </c>
      <c r="AA25" s="293">
        <f>IFERROR(IF($C25="",-0.00001,SUMIFS(Database!AH:AH,Database!$AD:$AD,$C25,Database!$A:$A,$C$1)/$G25),-0.00001)</f>
        <v>-1.0000000000000001E-5</v>
      </c>
      <c r="AB25" s="293">
        <f>IFERROR(IF($C25="",-0.00001,SUMIFS(Database!AI:AI,Database!$AD:$AD,$C25,Database!$A:$A,$C$1)/$G25),-0.00001)</f>
        <v>-1.0000000000000001E-5</v>
      </c>
      <c r="AC25" s="293">
        <f>IFERROR(IF($C25="",-0.00001,SUMIFS(Database!AJ:AJ,Database!$AD:$AD,$C25,Database!$A:$A,$C$1)/$G25),-0.00001)</f>
        <v>-1.0000000000000001E-5</v>
      </c>
      <c r="AD25" s="293">
        <f>IFERROR(IF($C25="",-0.00001,SUMIFS(Database!AK:AK,Database!$AD:$AD,$C25,Database!$A:$A,$C$1)/$G25),-0.00001)</f>
        <v>-1.0000000000000001E-5</v>
      </c>
      <c r="AE25" s="293">
        <f>IFERROR(IF($C25="",-0.00001,SUMIFS(Database!AL:AL,Database!$AD:$AD,$C25,Database!$A:$A,$C$1)/$G25),-0.00001)</f>
        <v>-1.0000000000000001E-5</v>
      </c>
      <c r="AF25" s="293">
        <f>IFERROR(IF($C25="",-0.00001,SUMIFS(Database!AM:AM,Database!$AD:$AD,$C25,Database!$A:$A,$C$1)/$G25),-0.00001)</f>
        <v>-1.0000000000000001E-5</v>
      </c>
      <c r="AG25" s="293">
        <f>IFERROR(IF($C25="",-0.00001,SUMIFS(Database!AN:AN,Database!$AD:$AD,$C25,Database!$A:$A,$C$1)/$G25),-0.00001)</f>
        <v>-1.0000000000000001E-5</v>
      </c>
      <c r="AH25" s="293">
        <f>IFERROR(IF($C25="",-0.00001,SUMIFS(Database!AO:AO,Database!$AD:$AD,$C25,Database!$A:$A,$C$1)/$G25),-0.00001)</f>
        <v>-1.0000000000000001E-5</v>
      </c>
      <c r="AI25" s="293">
        <f>IFERROR(IF($C25="",-0.00001,SUMIFS(Database!AP:AP,Database!$AD:$AD,$C25,Database!$A:$A,$C$1)/$G25),-0.00001)</f>
        <v>-1.0000000000000001E-5</v>
      </c>
      <c r="AJ25" s="293">
        <f>IFERROR(IF($C25="",-0.00001,SUMIFS(Database!AR:AR,Database!$AD:$AD,$C25,Database!$A:$A,$C$1)/$G25),-0.00001)</f>
        <v>-1.0000000000000001E-5</v>
      </c>
      <c r="AK25" s="293">
        <f>IFERROR(IF($C25="",-0.00001,SUMIFS(Database!AS:AS,Database!$AD:$AD,$C25,Database!$A:$A,$C$1)/$G25),-0.00001)</f>
        <v>-1.0000000000000001E-5</v>
      </c>
      <c r="AL25" s="293">
        <f>IFERROR(IF($C25="",-0.00001,SUMIFS(Database!AU:AU,Database!$AD:$AD,$C25,Database!$A:$A,$C$1)/$G25),-0.00001)</f>
        <v>-1.0000000000000001E-5</v>
      </c>
      <c r="AM25" s="293">
        <f>IFERROR(IF($C25="",-0.00001,SUMIFS(Database!AV:AV,Database!$AD:$AD,$C25,Database!$A:$A,$C$1)/$G25),-0.00001)</f>
        <v>-1.0000000000000001E-5</v>
      </c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</row>
    <row r="26" spans="1:50" x14ac:dyDescent="0.25">
      <c r="A26" s="187"/>
      <c r="B26" s="187" t="str">
        <f>IF($C26="","",MAX($B$4:$B25)+1)</f>
        <v/>
      </c>
      <c r="C26" s="145"/>
      <c r="D26" s="233">
        <f>IF($C26="",-0.00001,COUNTIFS(Database!$AD:$AD,$C26,Database!$A:$A,$C$1,Database!$AE:$AE,"W"))</f>
        <v>-1.0000000000000001E-5</v>
      </c>
      <c r="E26" s="233">
        <f>IF($C26="",-0.00001,COUNTIFS(Database!$AD:$AD,$C26,Database!$A:$A,$C$1,Database!$AE:$AE,"L"))</f>
        <v>-1.0000000000000001E-5</v>
      </c>
      <c r="F26" s="233">
        <f t="shared" si="0"/>
        <v>-1.0000000000000001E-5</v>
      </c>
      <c r="G26" s="185">
        <f>IF($C26="",-0.00001,COUNTIFS(Database!AD:AD,$C26,Database!A:A,$C$1))</f>
        <v>-1.0000000000000001E-5</v>
      </c>
      <c r="H26" s="185">
        <f>IFERROR(IF($C26="",-0.00001,SUMIFS(Database!AG:AG,Database!$AD:$AD,$C26,Database!$A:$A,$C$1)),-0.00001)</f>
        <v>-1.0000000000000001E-5</v>
      </c>
      <c r="I26" s="185">
        <f>IFERROR(IF($C26="",-0.00001,SUMIFS(Database!AH:AH,Database!$AD:$AD,$C26,Database!$A:$A,$C$1)),-0.00001)</f>
        <v>-1.0000000000000001E-5</v>
      </c>
      <c r="J26" s="185">
        <f>IFERROR(IF($C26="",-0.00001,SUMIFS(Database!AI:AI,Database!$AD:$AD,$C26,Database!$A:$A,$C$1)),-0.00001)</f>
        <v>-1.0000000000000001E-5</v>
      </c>
      <c r="K26" s="185">
        <f>IFERROR(IF($C26="",-0.00001,SUMIFS(Database!AJ:AJ,Database!$AD:$AD,$C26,Database!$A:$A,$C$1)),-0.00001)</f>
        <v>-1.0000000000000001E-5</v>
      </c>
      <c r="L26" s="185">
        <f>IFERROR(IF($C26="",-0.00001,SUMIFS(Database!AK:AK,Database!$AD:$AD,$C26,Database!$A:$A,$C$1)),-0.00001)</f>
        <v>-1.0000000000000001E-5</v>
      </c>
      <c r="M26" s="185">
        <f>IFERROR(IF($C26="",-0.00001,SUMIFS(Database!AL:AL,Database!$AD:$AD,$C26,Database!$A:$A,$C$1)),-0.00001)</f>
        <v>-1.0000000000000001E-5</v>
      </c>
      <c r="N26" s="185">
        <f>IFERROR(IF($C26="",-0.00001,SUMIFS(Database!AM:AM,Database!$AD:$AD,$C26,Database!$A:$A,$C$1)),-0.00001)</f>
        <v>-1.0000000000000001E-5</v>
      </c>
      <c r="O26" s="185">
        <f>IFERROR(IF($C26="",-0.00001,SUMIFS(Database!AN:AN,Database!$AD:$AD,$C26,Database!$A:$A,$C$1)),-0.00001)</f>
        <v>-1.0000000000000001E-5</v>
      </c>
      <c r="P26" s="185">
        <f>IFERROR(IF($C26="",-0.00001,SUMIFS(Database!AO:AO,Database!$AD:$AD,$C26,Database!$A:$A,$C$1)),-0.00001)</f>
        <v>-1.0000000000000001E-5</v>
      </c>
      <c r="Q26" s="185">
        <f>IFERROR(IF($C26="",-0.00001,SUMIFS(Database!AP:AP,Database!$AD:$AD,$C26,Database!$A:$A,$C$1)),-0.00001)</f>
        <v>-1.0000000000000001E-5</v>
      </c>
      <c r="R26" s="186">
        <f t="shared" si="1"/>
        <v>-1.0000000000000001E-5</v>
      </c>
      <c r="S26" s="185">
        <f>IFERROR(IF($C26="",-0.00001,SUMIFS(Database!AR:AR,Database!$AD:$AD,$C26,Database!$A:$A,$C$1)),-0.00001)</f>
        <v>-1.0000000000000001E-5</v>
      </c>
      <c r="T26" s="185">
        <f>IFERROR(IF($C26="",-0.00001,SUMIFS(Database!AS:AS,Database!$AD:$AD,$C26,Database!$A:$A,$C$1)),-0.00001)</f>
        <v>-1.0000000000000001E-5</v>
      </c>
      <c r="U26" s="186">
        <f t="shared" si="2"/>
        <v>-1.0000000000000001E-5</v>
      </c>
      <c r="V26" s="185">
        <f>IFERROR(IF($C26="",-0.00001,SUMIFS(Database!AU:AU,Database!$AD:$AD,$C26,Database!$A:$A,$C$1)),-0.00001)</f>
        <v>-1.0000000000000001E-5</v>
      </c>
      <c r="W26" s="185">
        <f>IFERROR(IF($C26="",-0.00001,SUMIFS(Database!AV:AV,Database!$AD:$AD,$C26,Database!$A:$A,$C$1)),-0.00001)</f>
        <v>-1.0000000000000001E-5</v>
      </c>
      <c r="X26" s="186">
        <f t="shared" si="3"/>
        <v>-1.0000000000000001E-5</v>
      </c>
      <c r="Y26" s="291"/>
      <c r="Z26" s="293">
        <f>IFERROR(IF($C26="",-0.00001,SUMIFS(Database!AG:AG,Database!$AD:$AD,$C26,Database!$A:$A,$C$1)/$G26),-0.00001)</f>
        <v>-1.0000000000000001E-5</v>
      </c>
      <c r="AA26" s="293">
        <f>IFERROR(IF($C26="",-0.00001,SUMIFS(Database!AH:AH,Database!$AD:$AD,$C26,Database!$A:$A,$C$1)/$G26),-0.00001)</f>
        <v>-1.0000000000000001E-5</v>
      </c>
      <c r="AB26" s="293">
        <f>IFERROR(IF($C26="",-0.00001,SUMIFS(Database!AI:AI,Database!$AD:$AD,$C26,Database!$A:$A,$C$1)/$G26),-0.00001)</f>
        <v>-1.0000000000000001E-5</v>
      </c>
      <c r="AC26" s="293">
        <f>IFERROR(IF($C26="",-0.00001,SUMIFS(Database!AJ:AJ,Database!$AD:$AD,$C26,Database!$A:$A,$C$1)/$G26),-0.00001)</f>
        <v>-1.0000000000000001E-5</v>
      </c>
      <c r="AD26" s="293">
        <f>IFERROR(IF($C26="",-0.00001,SUMIFS(Database!AK:AK,Database!$AD:$AD,$C26,Database!$A:$A,$C$1)/$G26),-0.00001)</f>
        <v>-1.0000000000000001E-5</v>
      </c>
      <c r="AE26" s="293">
        <f>IFERROR(IF($C26="",-0.00001,SUMIFS(Database!AL:AL,Database!$AD:$AD,$C26,Database!$A:$A,$C$1)/$G26),-0.00001)</f>
        <v>-1.0000000000000001E-5</v>
      </c>
      <c r="AF26" s="293">
        <f>IFERROR(IF($C26="",-0.00001,SUMIFS(Database!AM:AM,Database!$AD:$AD,$C26,Database!$A:$A,$C$1)/$G26),-0.00001)</f>
        <v>-1.0000000000000001E-5</v>
      </c>
      <c r="AG26" s="293">
        <f>IFERROR(IF($C26="",-0.00001,SUMIFS(Database!AN:AN,Database!$AD:$AD,$C26,Database!$A:$A,$C$1)/$G26),-0.00001)</f>
        <v>-1.0000000000000001E-5</v>
      </c>
      <c r="AH26" s="293">
        <f>IFERROR(IF($C26="",-0.00001,SUMIFS(Database!AO:AO,Database!$AD:$AD,$C26,Database!$A:$A,$C$1)/$G26),-0.00001)</f>
        <v>-1.0000000000000001E-5</v>
      </c>
      <c r="AI26" s="293">
        <f>IFERROR(IF($C26="",-0.00001,SUMIFS(Database!AP:AP,Database!$AD:$AD,$C26,Database!$A:$A,$C$1)/$G26),-0.00001)</f>
        <v>-1.0000000000000001E-5</v>
      </c>
      <c r="AJ26" s="293">
        <f>IFERROR(IF($C26="",-0.00001,SUMIFS(Database!AR:AR,Database!$AD:$AD,$C26,Database!$A:$A,$C$1)/$G26),-0.00001)</f>
        <v>-1.0000000000000001E-5</v>
      </c>
      <c r="AK26" s="293">
        <f>IFERROR(IF($C26="",-0.00001,SUMIFS(Database!AS:AS,Database!$AD:$AD,$C26,Database!$A:$A,$C$1)/$G26),-0.00001)</f>
        <v>-1.0000000000000001E-5</v>
      </c>
      <c r="AL26" s="293">
        <f>IFERROR(IF($C26="",-0.00001,SUMIFS(Database!AU:AU,Database!$AD:$AD,$C26,Database!$A:$A,$C$1)/$G26),-0.00001)</f>
        <v>-1.0000000000000001E-5</v>
      </c>
      <c r="AM26" s="293">
        <f>IFERROR(IF($C26="",-0.00001,SUMIFS(Database!AV:AV,Database!$AD:$AD,$C26,Database!$A:$A,$C$1)/$G26),-0.00001)</f>
        <v>-1.0000000000000001E-5</v>
      </c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</row>
    <row r="27" spans="1:50" x14ac:dyDescent="0.25">
      <c r="A27" s="187"/>
      <c r="B27" s="187" t="str">
        <f>IF($C27="","",MAX($B$4:$B26)+1)</f>
        <v/>
      </c>
      <c r="C27" s="145"/>
      <c r="D27" s="233">
        <f>IF($C27="",-0.00001,COUNTIFS(Database!$AD:$AD,$C27,Database!$A:$A,$C$1,Database!$AE:$AE,"W"))</f>
        <v>-1.0000000000000001E-5</v>
      </c>
      <c r="E27" s="233">
        <f>IF($C27="",-0.00001,COUNTIFS(Database!$AD:$AD,$C27,Database!$A:$A,$C$1,Database!$AE:$AE,"L"))</f>
        <v>-1.0000000000000001E-5</v>
      </c>
      <c r="F27" s="233">
        <f t="shared" si="0"/>
        <v>-1.0000000000000001E-5</v>
      </c>
      <c r="G27" s="185">
        <f>IF($C27="",-0.00001,COUNTIFS(Database!AD:AD,$C27,Database!A:A,$C$1))</f>
        <v>-1.0000000000000001E-5</v>
      </c>
      <c r="H27" s="185">
        <f>IFERROR(IF($C27="",-0.00001,SUMIFS(Database!AG:AG,Database!$AD:$AD,$C27,Database!$A:$A,$C$1)),-0.00001)</f>
        <v>-1.0000000000000001E-5</v>
      </c>
      <c r="I27" s="185">
        <f>IFERROR(IF($C27="",-0.00001,SUMIFS(Database!AH:AH,Database!$AD:$AD,$C27,Database!$A:$A,$C$1)),-0.00001)</f>
        <v>-1.0000000000000001E-5</v>
      </c>
      <c r="J27" s="185">
        <f>IFERROR(IF($C27="",-0.00001,SUMIFS(Database!AI:AI,Database!$AD:$AD,$C27,Database!$A:$A,$C$1)),-0.00001)</f>
        <v>-1.0000000000000001E-5</v>
      </c>
      <c r="K27" s="185">
        <f>IFERROR(IF($C27="",-0.00001,SUMIFS(Database!AJ:AJ,Database!$AD:$AD,$C27,Database!$A:$A,$C$1)),-0.00001)</f>
        <v>-1.0000000000000001E-5</v>
      </c>
      <c r="L27" s="185">
        <f>IFERROR(IF($C27="",-0.00001,SUMIFS(Database!AK:AK,Database!$AD:$AD,$C27,Database!$A:$A,$C$1)),-0.00001)</f>
        <v>-1.0000000000000001E-5</v>
      </c>
      <c r="M27" s="185">
        <f>IFERROR(IF($C27="",-0.00001,SUMIFS(Database!AL:AL,Database!$AD:$AD,$C27,Database!$A:$A,$C$1)),-0.00001)</f>
        <v>-1.0000000000000001E-5</v>
      </c>
      <c r="N27" s="185">
        <f>IFERROR(IF($C27="",-0.00001,SUMIFS(Database!AM:AM,Database!$AD:$AD,$C27,Database!$A:$A,$C$1)),-0.00001)</f>
        <v>-1.0000000000000001E-5</v>
      </c>
      <c r="O27" s="185">
        <f>IFERROR(IF($C27="",-0.00001,SUMIFS(Database!AN:AN,Database!$AD:$AD,$C27,Database!$A:$A,$C$1)),-0.00001)</f>
        <v>-1.0000000000000001E-5</v>
      </c>
      <c r="P27" s="185">
        <f>IFERROR(IF($C27="",-0.00001,SUMIFS(Database!AO:AO,Database!$AD:$AD,$C27,Database!$A:$A,$C$1)),-0.00001)</f>
        <v>-1.0000000000000001E-5</v>
      </c>
      <c r="Q27" s="185">
        <f>IFERROR(IF($C27="",-0.00001,SUMIFS(Database!AP:AP,Database!$AD:$AD,$C27,Database!$A:$A,$C$1)),-0.00001)</f>
        <v>-1.0000000000000001E-5</v>
      </c>
      <c r="R27" s="186">
        <f t="shared" si="1"/>
        <v>-1.0000000000000001E-5</v>
      </c>
      <c r="S27" s="185">
        <f>IFERROR(IF($C27="",-0.00001,SUMIFS(Database!AR:AR,Database!$AD:$AD,$C27,Database!$A:$A,$C$1)),-0.00001)</f>
        <v>-1.0000000000000001E-5</v>
      </c>
      <c r="T27" s="185">
        <f>IFERROR(IF($C27="",-0.00001,SUMIFS(Database!AS:AS,Database!$AD:$AD,$C27,Database!$A:$A,$C$1)),-0.00001)</f>
        <v>-1.0000000000000001E-5</v>
      </c>
      <c r="U27" s="186">
        <f t="shared" si="2"/>
        <v>-1.0000000000000001E-5</v>
      </c>
      <c r="V27" s="185">
        <f>IFERROR(IF($C27="",-0.00001,SUMIFS(Database!AU:AU,Database!$AD:$AD,$C27,Database!$A:$A,$C$1)),-0.00001)</f>
        <v>-1.0000000000000001E-5</v>
      </c>
      <c r="W27" s="185">
        <f>IFERROR(IF($C27="",-0.00001,SUMIFS(Database!AV:AV,Database!$AD:$AD,$C27,Database!$A:$A,$C$1)),-0.00001)</f>
        <v>-1.0000000000000001E-5</v>
      </c>
      <c r="X27" s="186">
        <f t="shared" si="3"/>
        <v>-1.0000000000000001E-5</v>
      </c>
      <c r="Y27" s="291"/>
      <c r="Z27" s="293">
        <f>IFERROR(IF($C27="",-0.00001,SUMIFS(Database!AG:AG,Database!$AD:$AD,$C27,Database!$A:$A,$C$1)/$G27),-0.00001)</f>
        <v>-1.0000000000000001E-5</v>
      </c>
      <c r="AA27" s="293">
        <f>IFERROR(IF($C27="",-0.00001,SUMIFS(Database!AH:AH,Database!$AD:$AD,$C27,Database!$A:$A,$C$1)/$G27),-0.00001)</f>
        <v>-1.0000000000000001E-5</v>
      </c>
      <c r="AB27" s="293">
        <f>IFERROR(IF($C27="",-0.00001,SUMIFS(Database!AI:AI,Database!$AD:$AD,$C27,Database!$A:$A,$C$1)/$G27),-0.00001)</f>
        <v>-1.0000000000000001E-5</v>
      </c>
      <c r="AC27" s="293">
        <f>IFERROR(IF($C27="",-0.00001,SUMIFS(Database!AJ:AJ,Database!$AD:$AD,$C27,Database!$A:$A,$C$1)/$G27),-0.00001)</f>
        <v>-1.0000000000000001E-5</v>
      </c>
      <c r="AD27" s="293">
        <f>IFERROR(IF($C27="",-0.00001,SUMIFS(Database!AK:AK,Database!$AD:$AD,$C27,Database!$A:$A,$C$1)/$G27),-0.00001)</f>
        <v>-1.0000000000000001E-5</v>
      </c>
      <c r="AE27" s="293">
        <f>IFERROR(IF($C27="",-0.00001,SUMIFS(Database!AL:AL,Database!$AD:$AD,$C27,Database!$A:$A,$C$1)/$G27),-0.00001)</f>
        <v>-1.0000000000000001E-5</v>
      </c>
      <c r="AF27" s="293">
        <f>IFERROR(IF($C27="",-0.00001,SUMIFS(Database!AM:AM,Database!$AD:$AD,$C27,Database!$A:$A,$C$1)/$G27),-0.00001)</f>
        <v>-1.0000000000000001E-5</v>
      </c>
      <c r="AG27" s="293">
        <f>IFERROR(IF($C27="",-0.00001,SUMIFS(Database!AN:AN,Database!$AD:$AD,$C27,Database!$A:$A,$C$1)/$G27),-0.00001)</f>
        <v>-1.0000000000000001E-5</v>
      </c>
      <c r="AH27" s="293">
        <f>IFERROR(IF($C27="",-0.00001,SUMIFS(Database!AO:AO,Database!$AD:$AD,$C27,Database!$A:$A,$C$1)/$G27),-0.00001)</f>
        <v>-1.0000000000000001E-5</v>
      </c>
      <c r="AI27" s="293">
        <f>IFERROR(IF($C27="",-0.00001,SUMIFS(Database!AP:AP,Database!$AD:$AD,$C27,Database!$A:$A,$C$1)/$G27),-0.00001)</f>
        <v>-1.0000000000000001E-5</v>
      </c>
      <c r="AJ27" s="293">
        <f>IFERROR(IF($C27="",-0.00001,SUMIFS(Database!AR:AR,Database!$AD:$AD,$C27,Database!$A:$A,$C$1)/$G27),-0.00001)</f>
        <v>-1.0000000000000001E-5</v>
      </c>
      <c r="AK27" s="293">
        <f>IFERROR(IF($C27="",-0.00001,SUMIFS(Database!AS:AS,Database!$AD:$AD,$C27,Database!$A:$A,$C$1)/$G27),-0.00001)</f>
        <v>-1.0000000000000001E-5</v>
      </c>
      <c r="AL27" s="293">
        <f>IFERROR(IF($C27="",-0.00001,SUMIFS(Database!AU:AU,Database!$AD:$AD,$C27,Database!$A:$A,$C$1)/$G27),-0.00001)</f>
        <v>-1.0000000000000001E-5</v>
      </c>
      <c r="AM27" s="293">
        <f>IFERROR(IF($C27="",-0.00001,SUMIFS(Database!AV:AV,Database!$AD:$AD,$C27,Database!$A:$A,$C$1)/$G27),-0.00001)</f>
        <v>-1.0000000000000001E-5</v>
      </c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</row>
    <row r="28" spans="1:50" x14ac:dyDescent="0.25">
      <c r="A28" s="187"/>
      <c r="B28" s="187" t="str">
        <f>IF($C28="","",MAX($B$4:$B27)+1)</f>
        <v/>
      </c>
      <c r="C28" s="145"/>
      <c r="D28" s="233">
        <f>IF($C28="",-0.00001,COUNTIFS(Database!$AD:$AD,$C28,Database!$A:$A,$C$1,Database!$AE:$AE,"W"))</f>
        <v>-1.0000000000000001E-5</v>
      </c>
      <c r="E28" s="233">
        <f>IF($C28="",-0.00001,COUNTIFS(Database!$AD:$AD,$C28,Database!$A:$A,$C$1,Database!$AE:$AE,"L"))</f>
        <v>-1.0000000000000001E-5</v>
      </c>
      <c r="F28" s="233">
        <f t="shared" si="0"/>
        <v>-1.0000000000000001E-5</v>
      </c>
      <c r="G28" s="185">
        <f>IF($C28="",-0.00001,COUNTIFS(Database!AD:AD,$C28,Database!A:A,$C$1))</f>
        <v>-1.0000000000000001E-5</v>
      </c>
      <c r="H28" s="185">
        <f>IFERROR(IF($C28="",-0.00001,SUMIFS(Database!AG:AG,Database!$AD:$AD,$C28,Database!$A:$A,$C$1)),-0.00001)</f>
        <v>-1.0000000000000001E-5</v>
      </c>
      <c r="I28" s="185">
        <f>IFERROR(IF($C28="",-0.00001,SUMIFS(Database!AH:AH,Database!$AD:$AD,$C28,Database!$A:$A,$C$1)),-0.00001)</f>
        <v>-1.0000000000000001E-5</v>
      </c>
      <c r="J28" s="185">
        <f>IFERROR(IF($C28="",-0.00001,SUMIFS(Database!AI:AI,Database!$AD:$AD,$C28,Database!$A:$A,$C$1)),-0.00001)</f>
        <v>-1.0000000000000001E-5</v>
      </c>
      <c r="K28" s="185">
        <f>IFERROR(IF($C28="",-0.00001,SUMIFS(Database!AJ:AJ,Database!$AD:$AD,$C28,Database!$A:$A,$C$1)),-0.00001)</f>
        <v>-1.0000000000000001E-5</v>
      </c>
      <c r="L28" s="185">
        <f>IFERROR(IF($C28="",-0.00001,SUMIFS(Database!AK:AK,Database!$AD:$AD,$C28,Database!$A:$A,$C$1)),-0.00001)</f>
        <v>-1.0000000000000001E-5</v>
      </c>
      <c r="M28" s="185">
        <f>IFERROR(IF($C28="",-0.00001,SUMIFS(Database!AL:AL,Database!$AD:$AD,$C28,Database!$A:$A,$C$1)),-0.00001)</f>
        <v>-1.0000000000000001E-5</v>
      </c>
      <c r="N28" s="185">
        <f>IFERROR(IF($C28="",-0.00001,SUMIFS(Database!AM:AM,Database!$AD:$AD,$C28,Database!$A:$A,$C$1)),-0.00001)</f>
        <v>-1.0000000000000001E-5</v>
      </c>
      <c r="O28" s="185">
        <f>IFERROR(IF($C28="",-0.00001,SUMIFS(Database!AN:AN,Database!$AD:$AD,$C28,Database!$A:$A,$C$1)),-0.00001)</f>
        <v>-1.0000000000000001E-5</v>
      </c>
      <c r="P28" s="185">
        <f>IFERROR(IF($C28="",-0.00001,SUMIFS(Database!AO:AO,Database!$AD:$AD,$C28,Database!$A:$A,$C$1)),-0.00001)</f>
        <v>-1.0000000000000001E-5</v>
      </c>
      <c r="Q28" s="185">
        <f>IFERROR(IF($C28="",-0.00001,SUMIFS(Database!AP:AP,Database!$AD:$AD,$C28,Database!$A:$A,$C$1)),-0.00001)</f>
        <v>-1.0000000000000001E-5</v>
      </c>
      <c r="R28" s="186">
        <f t="shared" si="1"/>
        <v>-1.0000000000000001E-5</v>
      </c>
      <c r="S28" s="185">
        <f>IFERROR(IF($C28="",-0.00001,SUMIFS(Database!AR:AR,Database!$AD:$AD,$C28,Database!$A:$A,$C$1)),-0.00001)</f>
        <v>-1.0000000000000001E-5</v>
      </c>
      <c r="T28" s="185">
        <f>IFERROR(IF($C28="",-0.00001,SUMIFS(Database!AS:AS,Database!$AD:$AD,$C28,Database!$A:$A,$C$1)),-0.00001)</f>
        <v>-1.0000000000000001E-5</v>
      </c>
      <c r="U28" s="186">
        <f t="shared" si="2"/>
        <v>-1.0000000000000001E-5</v>
      </c>
      <c r="V28" s="185">
        <f>IFERROR(IF($C28="",-0.00001,SUMIFS(Database!AU:AU,Database!$AD:$AD,$C28,Database!$A:$A,$C$1)),-0.00001)</f>
        <v>-1.0000000000000001E-5</v>
      </c>
      <c r="W28" s="185">
        <f>IFERROR(IF($C28="",-0.00001,SUMIFS(Database!AV:AV,Database!$AD:$AD,$C28,Database!$A:$A,$C$1)),-0.00001)</f>
        <v>-1.0000000000000001E-5</v>
      </c>
      <c r="X28" s="186">
        <f t="shared" si="3"/>
        <v>-1.0000000000000001E-5</v>
      </c>
      <c r="Y28" s="291"/>
      <c r="Z28" s="293">
        <f>IFERROR(IF($C28="",-0.00001,SUMIFS(Database!AG:AG,Database!$AD:$AD,$C28,Database!$A:$A,$C$1)/$G28),-0.00001)</f>
        <v>-1.0000000000000001E-5</v>
      </c>
      <c r="AA28" s="293">
        <f>IFERROR(IF($C28="",-0.00001,SUMIFS(Database!AH:AH,Database!$AD:$AD,$C28,Database!$A:$A,$C$1)/$G28),-0.00001)</f>
        <v>-1.0000000000000001E-5</v>
      </c>
      <c r="AB28" s="293">
        <f>IFERROR(IF($C28="",-0.00001,SUMIFS(Database!AI:AI,Database!$AD:$AD,$C28,Database!$A:$A,$C$1)/$G28),-0.00001)</f>
        <v>-1.0000000000000001E-5</v>
      </c>
      <c r="AC28" s="293">
        <f>IFERROR(IF($C28="",-0.00001,SUMIFS(Database!AJ:AJ,Database!$AD:$AD,$C28,Database!$A:$A,$C$1)/$G28),-0.00001)</f>
        <v>-1.0000000000000001E-5</v>
      </c>
      <c r="AD28" s="293">
        <f>IFERROR(IF($C28="",-0.00001,SUMIFS(Database!AK:AK,Database!$AD:$AD,$C28,Database!$A:$A,$C$1)/$G28),-0.00001)</f>
        <v>-1.0000000000000001E-5</v>
      </c>
      <c r="AE28" s="293">
        <f>IFERROR(IF($C28="",-0.00001,SUMIFS(Database!AL:AL,Database!$AD:$AD,$C28,Database!$A:$A,$C$1)/$G28),-0.00001)</f>
        <v>-1.0000000000000001E-5</v>
      </c>
      <c r="AF28" s="293">
        <f>IFERROR(IF($C28="",-0.00001,SUMIFS(Database!AM:AM,Database!$AD:$AD,$C28,Database!$A:$A,$C$1)/$G28),-0.00001)</f>
        <v>-1.0000000000000001E-5</v>
      </c>
      <c r="AG28" s="293">
        <f>IFERROR(IF($C28="",-0.00001,SUMIFS(Database!AN:AN,Database!$AD:$AD,$C28,Database!$A:$A,$C$1)/$G28),-0.00001)</f>
        <v>-1.0000000000000001E-5</v>
      </c>
      <c r="AH28" s="293">
        <f>IFERROR(IF($C28="",-0.00001,SUMIFS(Database!AO:AO,Database!$AD:$AD,$C28,Database!$A:$A,$C$1)/$G28),-0.00001)</f>
        <v>-1.0000000000000001E-5</v>
      </c>
      <c r="AI28" s="293">
        <f>IFERROR(IF($C28="",-0.00001,SUMIFS(Database!AP:AP,Database!$AD:$AD,$C28,Database!$A:$A,$C$1)/$G28),-0.00001)</f>
        <v>-1.0000000000000001E-5</v>
      </c>
      <c r="AJ28" s="293">
        <f>IFERROR(IF($C28="",-0.00001,SUMIFS(Database!AR:AR,Database!$AD:$AD,$C28,Database!$A:$A,$C$1)/$G28),-0.00001)</f>
        <v>-1.0000000000000001E-5</v>
      </c>
      <c r="AK28" s="293">
        <f>IFERROR(IF($C28="",-0.00001,SUMIFS(Database!AS:AS,Database!$AD:$AD,$C28,Database!$A:$A,$C$1)/$G28),-0.00001)</f>
        <v>-1.0000000000000001E-5</v>
      </c>
      <c r="AL28" s="293">
        <f>IFERROR(IF($C28="",-0.00001,SUMIFS(Database!AU:AU,Database!$AD:$AD,$C28,Database!$A:$A,$C$1)/$G28),-0.00001)</f>
        <v>-1.0000000000000001E-5</v>
      </c>
      <c r="AM28" s="293">
        <f>IFERROR(IF($C28="",-0.00001,SUMIFS(Database!AV:AV,Database!$AD:$AD,$C28,Database!$A:$A,$C$1)/$G28),-0.00001)</f>
        <v>-1.0000000000000001E-5</v>
      </c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</row>
    <row r="29" spans="1:50" x14ac:dyDescent="0.25">
      <c r="A29" s="187"/>
      <c r="B29" s="187" t="str">
        <f>IF($C29="","",MAX($B$4:$B28)+1)</f>
        <v/>
      </c>
      <c r="C29" s="145"/>
      <c r="D29" s="233">
        <f>IF($C29="",-0.00001,COUNTIFS(Database!$AD:$AD,$C29,Database!$A:$A,$C$1,Database!$AE:$AE,"W"))</f>
        <v>-1.0000000000000001E-5</v>
      </c>
      <c r="E29" s="233">
        <f>IF($C29="",-0.00001,COUNTIFS(Database!$AD:$AD,$C29,Database!$A:$A,$C$1,Database!$AE:$AE,"L"))</f>
        <v>-1.0000000000000001E-5</v>
      </c>
      <c r="F29" s="233">
        <f t="shared" si="0"/>
        <v>-1.0000000000000001E-5</v>
      </c>
      <c r="G29" s="185">
        <f>IF($C29="",-0.00001,COUNTIFS(Database!AD:AD,$C29,Database!A:A,$C$1))</f>
        <v>-1.0000000000000001E-5</v>
      </c>
      <c r="H29" s="185">
        <f>IFERROR(IF($C29="",-0.00001,SUMIFS(Database!AG:AG,Database!$AD:$AD,$C29,Database!$A:$A,$C$1)),-0.00001)</f>
        <v>-1.0000000000000001E-5</v>
      </c>
      <c r="I29" s="185">
        <f>IFERROR(IF($C29="",-0.00001,SUMIFS(Database!AH:AH,Database!$AD:$AD,$C29,Database!$A:$A,$C$1)),-0.00001)</f>
        <v>-1.0000000000000001E-5</v>
      </c>
      <c r="J29" s="185">
        <f>IFERROR(IF($C29="",-0.00001,SUMIFS(Database!AI:AI,Database!$AD:$AD,$C29,Database!$A:$A,$C$1)),-0.00001)</f>
        <v>-1.0000000000000001E-5</v>
      </c>
      <c r="K29" s="185">
        <f>IFERROR(IF($C29="",-0.00001,SUMIFS(Database!AJ:AJ,Database!$AD:$AD,$C29,Database!$A:$A,$C$1)),-0.00001)</f>
        <v>-1.0000000000000001E-5</v>
      </c>
      <c r="L29" s="185">
        <f>IFERROR(IF($C29="",-0.00001,SUMIFS(Database!AK:AK,Database!$AD:$AD,$C29,Database!$A:$A,$C$1)),-0.00001)</f>
        <v>-1.0000000000000001E-5</v>
      </c>
      <c r="M29" s="185">
        <f>IFERROR(IF($C29="",-0.00001,SUMIFS(Database!AL:AL,Database!$AD:$AD,$C29,Database!$A:$A,$C$1)),-0.00001)</f>
        <v>-1.0000000000000001E-5</v>
      </c>
      <c r="N29" s="185">
        <f>IFERROR(IF($C29="",-0.00001,SUMIFS(Database!AM:AM,Database!$AD:$AD,$C29,Database!$A:$A,$C$1)),-0.00001)</f>
        <v>-1.0000000000000001E-5</v>
      </c>
      <c r="O29" s="185">
        <f>IFERROR(IF($C29="",-0.00001,SUMIFS(Database!AN:AN,Database!$AD:$AD,$C29,Database!$A:$A,$C$1)),-0.00001)</f>
        <v>-1.0000000000000001E-5</v>
      </c>
      <c r="P29" s="185">
        <f>IFERROR(IF($C29="",-0.00001,SUMIFS(Database!AO:AO,Database!$AD:$AD,$C29,Database!$A:$A,$C$1)),-0.00001)</f>
        <v>-1.0000000000000001E-5</v>
      </c>
      <c r="Q29" s="185">
        <f>IFERROR(IF($C29="",-0.00001,SUMIFS(Database!AP:AP,Database!$AD:$AD,$C29,Database!$A:$A,$C$1)),-0.00001)</f>
        <v>-1.0000000000000001E-5</v>
      </c>
      <c r="R29" s="186">
        <f t="shared" si="1"/>
        <v>-1.0000000000000001E-5</v>
      </c>
      <c r="S29" s="185">
        <f>IFERROR(IF($C29="",-0.00001,SUMIFS(Database!AR:AR,Database!$AD:$AD,$C29,Database!$A:$A,$C$1)),-0.00001)</f>
        <v>-1.0000000000000001E-5</v>
      </c>
      <c r="T29" s="185">
        <f>IFERROR(IF($C29="",-0.00001,SUMIFS(Database!AS:AS,Database!$AD:$AD,$C29,Database!$A:$A,$C$1)),-0.00001)</f>
        <v>-1.0000000000000001E-5</v>
      </c>
      <c r="U29" s="186">
        <f t="shared" si="2"/>
        <v>-1.0000000000000001E-5</v>
      </c>
      <c r="V29" s="185">
        <f>IFERROR(IF($C29="",-0.00001,SUMIFS(Database!AU:AU,Database!$AD:$AD,$C29,Database!$A:$A,$C$1)),-0.00001)</f>
        <v>-1.0000000000000001E-5</v>
      </c>
      <c r="W29" s="185">
        <f>IFERROR(IF($C29="",-0.00001,SUMIFS(Database!AV:AV,Database!$AD:$AD,$C29,Database!$A:$A,$C$1)),-0.00001)</f>
        <v>-1.0000000000000001E-5</v>
      </c>
      <c r="X29" s="186">
        <f t="shared" si="3"/>
        <v>-1.0000000000000001E-5</v>
      </c>
      <c r="Y29" s="291"/>
      <c r="Z29" s="293">
        <f>IFERROR(IF($C29="",-0.00001,SUMIFS(Database!AG:AG,Database!$AD:$AD,$C29,Database!$A:$A,$C$1)/$G29),-0.00001)</f>
        <v>-1.0000000000000001E-5</v>
      </c>
      <c r="AA29" s="293">
        <f>IFERROR(IF($C29="",-0.00001,SUMIFS(Database!AH:AH,Database!$AD:$AD,$C29,Database!$A:$A,$C$1)/$G29),-0.00001)</f>
        <v>-1.0000000000000001E-5</v>
      </c>
      <c r="AB29" s="293">
        <f>IFERROR(IF($C29="",-0.00001,SUMIFS(Database!AI:AI,Database!$AD:$AD,$C29,Database!$A:$A,$C$1)/$G29),-0.00001)</f>
        <v>-1.0000000000000001E-5</v>
      </c>
      <c r="AC29" s="293">
        <f>IFERROR(IF($C29="",-0.00001,SUMIFS(Database!AJ:AJ,Database!$AD:$AD,$C29,Database!$A:$A,$C$1)/$G29),-0.00001)</f>
        <v>-1.0000000000000001E-5</v>
      </c>
      <c r="AD29" s="293">
        <f>IFERROR(IF($C29="",-0.00001,SUMIFS(Database!AK:AK,Database!$AD:$AD,$C29,Database!$A:$A,$C$1)/$G29),-0.00001)</f>
        <v>-1.0000000000000001E-5</v>
      </c>
      <c r="AE29" s="293">
        <f>IFERROR(IF($C29="",-0.00001,SUMIFS(Database!AL:AL,Database!$AD:$AD,$C29,Database!$A:$A,$C$1)/$G29),-0.00001)</f>
        <v>-1.0000000000000001E-5</v>
      </c>
      <c r="AF29" s="293">
        <f>IFERROR(IF($C29="",-0.00001,SUMIFS(Database!AM:AM,Database!$AD:$AD,$C29,Database!$A:$A,$C$1)/$G29),-0.00001)</f>
        <v>-1.0000000000000001E-5</v>
      </c>
      <c r="AG29" s="293">
        <f>IFERROR(IF($C29="",-0.00001,SUMIFS(Database!AN:AN,Database!$AD:$AD,$C29,Database!$A:$A,$C$1)/$G29),-0.00001)</f>
        <v>-1.0000000000000001E-5</v>
      </c>
      <c r="AH29" s="293">
        <f>IFERROR(IF($C29="",-0.00001,SUMIFS(Database!AO:AO,Database!$AD:$AD,$C29,Database!$A:$A,$C$1)/$G29),-0.00001)</f>
        <v>-1.0000000000000001E-5</v>
      </c>
      <c r="AI29" s="293">
        <f>IFERROR(IF($C29="",-0.00001,SUMIFS(Database!AP:AP,Database!$AD:$AD,$C29,Database!$A:$A,$C$1)/$G29),-0.00001)</f>
        <v>-1.0000000000000001E-5</v>
      </c>
      <c r="AJ29" s="293">
        <f>IFERROR(IF($C29="",-0.00001,SUMIFS(Database!AR:AR,Database!$AD:$AD,$C29,Database!$A:$A,$C$1)/$G29),-0.00001)</f>
        <v>-1.0000000000000001E-5</v>
      </c>
      <c r="AK29" s="293">
        <f>IFERROR(IF($C29="",-0.00001,SUMIFS(Database!AS:AS,Database!$AD:$AD,$C29,Database!$A:$A,$C$1)/$G29),-0.00001)</f>
        <v>-1.0000000000000001E-5</v>
      </c>
      <c r="AL29" s="293">
        <f>IFERROR(IF($C29="",-0.00001,SUMIFS(Database!AU:AU,Database!$AD:$AD,$C29,Database!$A:$A,$C$1)/$G29),-0.00001)</f>
        <v>-1.0000000000000001E-5</v>
      </c>
      <c r="AM29" s="293">
        <f>IFERROR(IF($C29="",-0.00001,SUMIFS(Database!AV:AV,Database!$AD:$AD,$C29,Database!$A:$A,$C$1)/$G29),-0.00001)</f>
        <v>-1.0000000000000001E-5</v>
      </c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</row>
    <row r="30" spans="1:50" x14ac:dyDescent="0.25">
      <c r="A30" s="187"/>
      <c r="B30" s="187" t="str">
        <f>IF($C30="","",MAX($B$4:$B29)+1)</f>
        <v/>
      </c>
      <c r="C30" s="145"/>
      <c r="D30" s="233">
        <f>IF($C30="",-0.00001,COUNTIFS(Database!$AD:$AD,$C30,Database!$A:$A,$C$1,Database!$AE:$AE,"W"))</f>
        <v>-1.0000000000000001E-5</v>
      </c>
      <c r="E30" s="233">
        <f>IF($C30="",-0.00001,COUNTIFS(Database!$AD:$AD,$C30,Database!$A:$A,$C$1,Database!$AE:$AE,"L"))</f>
        <v>-1.0000000000000001E-5</v>
      </c>
      <c r="F30" s="233">
        <f t="shared" si="0"/>
        <v>-1.0000000000000001E-5</v>
      </c>
      <c r="G30" s="185">
        <f>IF($C30="",-0.00001,COUNTIFS(Database!AD:AD,$C30,Database!A:A,$C$1))</f>
        <v>-1.0000000000000001E-5</v>
      </c>
      <c r="H30" s="185">
        <f>IFERROR(IF($C30="",-0.00001,SUMIFS(Database!AG:AG,Database!$AD:$AD,$C30,Database!$A:$A,$C$1)),-0.00001)</f>
        <v>-1.0000000000000001E-5</v>
      </c>
      <c r="I30" s="185">
        <f>IFERROR(IF($C30="",-0.00001,SUMIFS(Database!AH:AH,Database!$AD:$AD,$C30,Database!$A:$A,$C$1)),-0.00001)</f>
        <v>-1.0000000000000001E-5</v>
      </c>
      <c r="J30" s="185">
        <f>IFERROR(IF($C30="",-0.00001,SUMIFS(Database!AI:AI,Database!$AD:$AD,$C30,Database!$A:$A,$C$1)),-0.00001)</f>
        <v>-1.0000000000000001E-5</v>
      </c>
      <c r="K30" s="185">
        <f>IFERROR(IF($C30="",-0.00001,SUMIFS(Database!AJ:AJ,Database!$AD:$AD,$C30,Database!$A:$A,$C$1)),-0.00001)</f>
        <v>-1.0000000000000001E-5</v>
      </c>
      <c r="L30" s="185">
        <f>IFERROR(IF($C30="",-0.00001,SUMIFS(Database!AK:AK,Database!$AD:$AD,$C30,Database!$A:$A,$C$1)),-0.00001)</f>
        <v>-1.0000000000000001E-5</v>
      </c>
      <c r="M30" s="185">
        <f>IFERROR(IF($C30="",-0.00001,SUMIFS(Database!AL:AL,Database!$AD:$AD,$C30,Database!$A:$A,$C$1)),-0.00001)</f>
        <v>-1.0000000000000001E-5</v>
      </c>
      <c r="N30" s="185">
        <f>IFERROR(IF($C30="",-0.00001,SUMIFS(Database!AM:AM,Database!$AD:$AD,$C30,Database!$A:$A,$C$1)),-0.00001)</f>
        <v>-1.0000000000000001E-5</v>
      </c>
      <c r="O30" s="185">
        <f>IFERROR(IF($C30="",-0.00001,SUMIFS(Database!AN:AN,Database!$AD:$AD,$C30,Database!$A:$A,$C$1)),-0.00001)</f>
        <v>-1.0000000000000001E-5</v>
      </c>
      <c r="P30" s="185">
        <f>IFERROR(IF($C30="",-0.00001,SUMIFS(Database!AO:AO,Database!$AD:$AD,$C30,Database!$A:$A,$C$1)),-0.00001)</f>
        <v>-1.0000000000000001E-5</v>
      </c>
      <c r="Q30" s="185">
        <f>IFERROR(IF($C30="",-0.00001,SUMIFS(Database!AP:AP,Database!$AD:$AD,$C30,Database!$A:$A,$C$1)),-0.00001)</f>
        <v>-1.0000000000000001E-5</v>
      </c>
      <c r="R30" s="186">
        <f t="shared" si="1"/>
        <v>-1.0000000000000001E-5</v>
      </c>
      <c r="S30" s="185">
        <f>IFERROR(IF($C30="",-0.00001,SUMIFS(Database!AR:AR,Database!$AD:$AD,$C30,Database!$A:$A,$C$1)),-0.00001)</f>
        <v>-1.0000000000000001E-5</v>
      </c>
      <c r="T30" s="185">
        <f>IFERROR(IF($C30="",-0.00001,SUMIFS(Database!AS:AS,Database!$AD:$AD,$C30,Database!$A:$A,$C$1)),-0.00001)</f>
        <v>-1.0000000000000001E-5</v>
      </c>
      <c r="U30" s="186">
        <f t="shared" si="2"/>
        <v>-1.0000000000000001E-5</v>
      </c>
      <c r="V30" s="185">
        <f>IFERROR(IF($C30="",-0.00001,SUMIFS(Database!AU:AU,Database!$AD:$AD,$C30,Database!$A:$A,$C$1)),-0.00001)</f>
        <v>-1.0000000000000001E-5</v>
      </c>
      <c r="W30" s="185">
        <f>IFERROR(IF($C30="",-0.00001,SUMIFS(Database!AV:AV,Database!$AD:$AD,$C30,Database!$A:$A,$C$1)),-0.00001)</f>
        <v>-1.0000000000000001E-5</v>
      </c>
      <c r="X30" s="186">
        <f t="shared" si="3"/>
        <v>-1.0000000000000001E-5</v>
      </c>
      <c r="Y30" s="291"/>
      <c r="Z30" s="293">
        <f>IFERROR(IF($C30="",-0.00001,SUMIFS(Database!AG:AG,Database!$AD:$AD,$C30,Database!$A:$A,$C$1)/$G30),-0.00001)</f>
        <v>-1.0000000000000001E-5</v>
      </c>
      <c r="AA30" s="293">
        <f>IFERROR(IF($C30="",-0.00001,SUMIFS(Database!AH:AH,Database!$AD:$AD,$C30,Database!$A:$A,$C$1)/$G30),-0.00001)</f>
        <v>-1.0000000000000001E-5</v>
      </c>
      <c r="AB30" s="293">
        <f>IFERROR(IF($C30="",-0.00001,SUMIFS(Database!AI:AI,Database!$AD:$AD,$C30,Database!$A:$A,$C$1)/$G30),-0.00001)</f>
        <v>-1.0000000000000001E-5</v>
      </c>
      <c r="AC30" s="293">
        <f>IFERROR(IF($C30="",-0.00001,SUMIFS(Database!AJ:AJ,Database!$AD:$AD,$C30,Database!$A:$A,$C$1)/$G30),-0.00001)</f>
        <v>-1.0000000000000001E-5</v>
      </c>
      <c r="AD30" s="293">
        <f>IFERROR(IF($C30="",-0.00001,SUMIFS(Database!AK:AK,Database!$AD:$AD,$C30,Database!$A:$A,$C$1)/$G30),-0.00001)</f>
        <v>-1.0000000000000001E-5</v>
      </c>
      <c r="AE30" s="293">
        <f>IFERROR(IF($C30="",-0.00001,SUMIFS(Database!AL:AL,Database!$AD:$AD,$C30,Database!$A:$A,$C$1)/$G30),-0.00001)</f>
        <v>-1.0000000000000001E-5</v>
      </c>
      <c r="AF30" s="293">
        <f>IFERROR(IF($C30="",-0.00001,SUMIFS(Database!AM:AM,Database!$AD:$AD,$C30,Database!$A:$A,$C$1)/$G30),-0.00001)</f>
        <v>-1.0000000000000001E-5</v>
      </c>
      <c r="AG30" s="293">
        <f>IFERROR(IF($C30="",-0.00001,SUMIFS(Database!AN:AN,Database!$AD:$AD,$C30,Database!$A:$A,$C$1)/$G30),-0.00001)</f>
        <v>-1.0000000000000001E-5</v>
      </c>
      <c r="AH30" s="293">
        <f>IFERROR(IF($C30="",-0.00001,SUMIFS(Database!AO:AO,Database!$AD:$AD,$C30,Database!$A:$A,$C$1)/$G30),-0.00001)</f>
        <v>-1.0000000000000001E-5</v>
      </c>
      <c r="AI30" s="293">
        <f>IFERROR(IF($C30="",-0.00001,SUMIFS(Database!AP:AP,Database!$AD:$AD,$C30,Database!$A:$A,$C$1)/$G30),-0.00001)</f>
        <v>-1.0000000000000001E-5</v>
      </c>
      <c r="AJ30" s="293">
        <f>IFERROR(IF($C30="",-0.00001,SUMIFS(Database!AR:AR,Database!$AD:$AD,$C30,Database!$A:$A,$C$1)/$G30),-0.00001)</f>
        <v>-1.0000000000000001E-5</v>
      </c>
      <c r="AK30" s="293">
        <f>IFERROR(IF($C30="",-0.00001,SUMIFS(Database!AS:AS,Database!$AD:$AD,$C30,Database!$A:$A,$C$1)/$G30),-0.00001)</f>
        <v>-1.0000000000000001E-5</v>
      </c>
      <c r="AL30" s="293">
        <f>IFERROR(IF($C30="",-0.00001,SUMIFS(Database!AU:AU,Database!$AD:$AD,$C30,Database!$A:$A,$C$1)/$G30),-0.00001)</f>
        <v>-1.0000000000000001E-5</v>
      </c>
      <c r="AM30" s="293">
        <f>IFERROR(IF($C30="",-0.00001,SUMIFS(Database!AV:AV,Database!$AD:$AD,$C30,Database!$A:$A,$C$1)/$G30),-0.00001)</f>
        <v>-1.0000000000000001E-5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</row>
    <row r="31" spans="1:50" x14ac:dyDescent="0.25">
      <c r="A31" s="187"/>
      <c r="B31" s="187" t="str">
        <f>IF($C31="","",MAX($B$4:$B30)+1)</f>
        <v/>
      </c>
      <c r="C31" s="145"/>
      <c r="D31" s="233">
        <f>IF($C31="",-0.00001,COUNTIFS(Database!$AD:$AD,$C31,Database!$A:$A,$C$1,Database!$AE:$AE,"W"))</f>
        <v>-1.0000000000000001E-5</v>
      </c>
      <c r="E31" s="233">
        <f>IF($C31="",-0.00001,COUNTIFS(Database!$AD:$AD,$C31,Database!$A:$A,$C$1,Database!$AE:$AE,"L"))</f>
        <v>-1.0000000000000001E-5</v>
      </c>
      <c r="F31" s="233">
        <f t="shared" si="0"/>
        <v>-1.0000000000000001E-5</v>
      </c>
      <c r="G31" s="185">
        <f>IF($C31="",-0.00001,COUNTIFS(Database!AD:AD,$C31,Database!A:A,$C$1))</f>
        <v>-1.0000000000000001E-5</v>
      </c>
      <c r="H31" s="185">
        <f>IFERROR(IF($C31="",-0.00001,SUMIFS(Database!AG:AG,Database!$AD:$AD,$C31,Database!$A:$A,$C$1)),-0.00001)</f>
        <v>-1.0000000000000001E-5</v>
      </c>
      <c r="I31" s="185">
        <f>IFERROR(IF($C31="",-0.00001,SUMIFS(Database!AH:AH,Database!$AD:$AD,$C31,Database!$A:$A,$C$1)),-0.00001)</f>
        <v>-1.0000000000000001E-5</v>
      </c>
      <c r="J31" s="185">
        <f>IFERROR(IF($C31="",-0.00001,SUMIFS(Database!AI:AI,Database!$AD:$AD,$C31,Database!$A:$A,$C$1)),-0.00001)</f>
        <v>-1.0000000000000001E-5</v>
      </c>
      <c r="K31" s="185">
        <f>IFERROR(IF($C31="",-0.00001,SUMIFS(Database!AJ:AJ,Database!$AD:$AD,$C31,Database!$A:$A,$C$1)),-0.00001)</f>
        <v>-1.0000000000000001E-5</v>
      </c>
      <c r="L31" s="185">
        <f>IFERROR(IF($C31="",-0.00001,SUMIFS(Database!AK:AK,Database!$AD:$AD,$C31,Database!$A:$A,$C$1)),-0.00001)</f>
        <v>-1.0000000000000001E-5</v>
      </c>
      <c r="M31" s="185">
        <f>IFERROR(IF($C31="",-0.00001,SUMIFS(Database!AL:AL,Database!$AD:$AD,$C31,Database!$A:$A,$C$1)),-0.00001)</f>
        <v>-1.0000000000000001E-5</v>
      </c>
      <c r="N31" s="185">
        <f>IFERROR(IF($C31="",-0.00001,SUMIFS(Database!AM:AM,Database!$AD:$AD,$C31,Database!$A:$A,$C$1)),-0.00001)</f>
        <v>-1.0000000000000001E-5</v>
      </c>
      <c r="O31" s="185">
        <f>IFERROR(IF($C31="",-0.00001,SUMIFS(Database!AN:AN,Database!$AD:$AD,$C31,Database!$A:$A,$C$1)),-0.00001)</f>
        <v>-1.0000000000000001E-5</v>
      </c>
      <c r="P31" s="185">
        <f>IFERROR(IF($C31="",-0.00001,SUMIFS(Database!AO:AO,Database!$AD:$AD,$C31,Database!$A:$A,$C$1)),-0.00001)</f>
        <v>-1.0000000000000001E-5</v>
      </c>
      <c r="Q31" s="185">
        <f>IFERROR(IF($C31="",-0.00001,SUMIFS(Database!AP:AP,Database!$AD:$AD,$C31,Database!$A:$A,$C$1)),-0.00001)</f>
        <v>-1.0000000000000001E-5</v>
      </c>
      <c r="R31" s="186">
        <f t="shared" si="1"/>
        <v>-1.0000000000000001E-5</v>
      </c>
      <c r="S31" s="185">
        <f>IFERROR(IF($C31="",-0.00001,SUMIFS(Database!AR:AR,Database!$AD:$AD,$C31,Database!$A:$A,$C$1)),-0.00001)</f>
        <v>-1.0000000000000001E-5</v>
      </c>
      <c r="T31" s="185">
        <f>IFERROR(IF($C31="",-0.00001,SUMIFS(Database!AS:AS,Database!$AD:$AD,$C31,Database!$A:$A,$C$1)),-0.00001)</f>
        <v>-1.0000000000000001E-5</v>
      </c>
      <c r="U31" s="186">
        <f t="shared" si="2"/>
        <v>-1.0000000000000001E-5</v>
      </c>
      <c r="V31" s="185">
        <f>IFERROR(IF($C31="",-0.00001,SUMIFS(Database!AU:AU,Database!$AD:$AD,$C31,Database!$A:$A,$C$1)),-0.00001)</f>
        <v>-1.0000000000000001E-5</v>
      </c>
      <c r="W31" s="185">
        <f>IFERROR(IF($C31="",-0.00001,SUMIFS(Database!AV:AV,Database!$AD:$AD,$C31,Database!$A:$A,$C$1)),-0.00001)</f>
        <v>-1.0000000000000001E-5</v>
      </c>
      <c r="X31" s="186">
        <f t="shared" si="3"/>
        <v>-1.0000000000000001E-5</v>
      </c>
      <c r="Y31" s="291"/>
      <c r="Z31" s="293">
        <f>IFERROR(IF($C31="",-0.00001,SUMIFS(Database!AG:AG,Database!$AD:$AD,$C31,Database!$A:$A,$C$1)/$G31),-0.00001)</f>
        <v>-1.0000000000000001E-5</v>
      </c>
      <c r="AA31" s="293">
        <f>IFERROR(IF($C31="",-0.00001,SUMIFS(Database!AH:AH,Database!$AD:$AD,$C31,Database!$A:$A,$C$1)/$G31),-0.00001)</f>
        <v>-1.0000000000000001E-5</v>
      </c>
      <c r="AB31" s="293">
        <f>IFERROR(IF($C31="",-0.00001,SUMIFS(Database!AI:AI,Database!$AD:$AD,$C31,Database!$A:$A,$C$1)/$G31),-0.00001)</f>
        <v>-1.0000000000000001E-5</v>
      </c>
      <c r="AC31" s="293">
        <f>IFERROR(IF($C31="",-0.00001,SUMIFS(Database!AJ:AJ,Database!$AD:$AD,$C31,Database!$A:$A,$C$1)/$G31),-0.00001)</f>
        <v>-1.0000000000000001E-5</v>
      </c>
      <c r="AD31" s="293">
        <f>IFERROR(IF($C31="",-0.00001,SUMIFS(Database!AK:AK,Database!$AD:$AD,$C31,Database!$A:$A,$C$1)/$G31),-0.00001)</f>
        <v>-1.0000000000000001E-5</v>
      </c>
      <c r="AE31" s="293">
        <f>IFERROR(IF($C31="",-0.00001,SUMIFS(Database!AL:AL,Database!$AD:$AD,$C31,Database!$A:$A,$C$1)/$G31),-0.00001)</f>
        <v>-1.0000000000000001E-5</v>
      </c>
      <c r="AF31" s="293">
        <f>IFERROR(IF($C31="",-0.00001,SUMIFS(Database!AM:AM,Database!$AD:$AD,$C31,Database!$A:$A,$C$1)/$G31),-0.00001)</f>
        <v>-1.0000000000000001E-5</v>
      </c>
      <c r="AG31" s="293">
        <f>IFERROR(IF($C31="",-0.00001,SUMIFS(Database!AN:AN,Database!$AD:$AD,$C31,Database!$A:$A,$C$1)/$G31),-0.00001)</f>
        <v>-1.0000000000000001E-5</v>
      </c>
      <c r="AH31" s="293">
        <f>IFERROR(IF($C31="",-0.00001,SUMIFS(Database!AO:AO,Database!$AD:$AD,$C31,Database!$A:$A,$C$1)/$G31),-0.00001)</f>
        <v>-1.0000000000000001E-5</v>
      </c>
      <c r="AI31" s="293">
        <f>IFERROR(IF($C31="",-0.00001,SUMIFS(Database!AP:AP,Database!$AD:$AD,$C31,Database!$A:$A,$C$1)/$G31),-0.00001)</f>
        <v>-1.0000000000000001E-5</v>
      </c>
      <c r="AJ31" s="293">
        <f>IFERROR(IF($C31="",-0.00001,SUMIFS(Database!AR:AR,Database!$AD:$AD,$C31,Database!$A:$A,$C$1)/$G31),-0.00001)</f>
        <v>-1.0000000000000001E-5</v>
      </c>
      <c r="AK31" s="293">
        <f>IFERROR(IF($C31="",-0.00001,SUMIFS(Database!AS:AS,Database!$AD:$AD,$C31,Database!$A:$A,$C$1)/$G31),-0.00001)</f>
        <v>-1.0000000000000001E-5</v>
      </c>
      <c r="AL31" s="293">
        <f>IFERROR(IF($C31="",-0.00001,SUMIFS(Database!AU:AU,Database!$AD:$AD,$C31,Database!$A:$A,$C$1)/$G31),-0.00001)</f>
        <v>-1.0000000000000001E-5</v>
      </c>
      <c r="AM31" s="293">
        <f>IFERROR(IF($C31="",-0.00001,SUMIFS(Database!AV:AV,Database!$AD:$AD,$C31,Database!$A:$A,$C$1)/$G31),-0.00001)</f>
        <v>-1.0000000000000001E-5</v>
      </c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</row>
    <row r="32" spans="1:50" x14ac:dyDescent="0.25">
      <c r="A32" s="187"/>
      <c r="B32" s="187" t="str">
        <f>IF($C32="","",MAX($B$4:$B31)+1)</f>
        <v/>
      </c>
      <c r="C32" s="145"/>
      <c r="D32" s="233">
        <f>IF($C32="",-0.00001,COUNTIFS(Database!$AD:$AD,$C32,Database!$A:$A,$C$1,Database!$AE:$AE,"W"))</f>
        <v>-1.0000000000000001E-5</v>
      </c>
      <c r="E32" s="233">
        <f>IF($C32="",-0.00001,COUNTIFS(Database!$AD:$AD,$C32,Database!$A:$A,$C$1,Database!$AE:$AE,"L"))</f>
        <v>-1.0000000000000001E-5</v>
      </c>
      <c r="F32" s="233">
        <f t="shared" si="0"/>
        <v>-1.0000000000000001E-5</v>
      </c>
      <c r="G32" s="185">
        <f>IF($C32="",-0.00001,COUNTIFS(Database!AD:AD,$C32,Database!A:A,$C$1))</f>
        <v>-1.0000000000000001E-5</v>
      </c>
      <c r="H32" s="185">
        <f>IFERROR(IF($C32="",-0.00001,SUMIFS(Database!AG:AG,Database!$AD:$AD,$C32,Database!$A:$A,$C$1)),-0.00001)</f>
        <v>-1.0000000000000001E-5</v>
      </c>
      <c r="I32" s="185">
        <f>IFERROR(IF($C32="",-0.00001,SUMIFS(Database!AH:AH,Database!$AD:$AD,$C32,Database!$A:$A,$C$1)),-0.00001)</f>
        <v>-1.0000000000000001E-5</v>
      </c>
      <c r="J32" s="185">
        <f>IFERROR(IF($C32="",-0.00001,SUMIFS(Database!AI:AI,Database!$AD:$AD,$C32,Database!$A:$A,$C$1)),-0.00001)</f>
        <v>-1.0000000000000001E-5</v>
      </c>
      <c r="K32" s="185">
        <f>IFERROR(IF($C32="",-0.00001,SUMIFS(Database!AJ:AJ,Database!$AD:$AD,$C32,Database!$A:$A,$C$1)),-0.00001)</f>
        <v>-1.0000000000000001E-5</v>
      </c>
      <c r="L32" s="185">
        <f>IFERROR(IF($C32="",-0.00001,SUMIFS(Database!AK:AK,Database!$AD:$AD,$C32,Database!$A:$A,$C$1)),-0.00001)</f>
        <v>-1.0000000000000001E-5</v>
      </c>
      <c r="M32" s="185">
        <f>IFERROR(IF($C32="",-0.00001,SUMIFS(Database!AL:AL,Database!$AD:$AD,$C32,Database!$A:$A,$C$1)),-0.00001)</f>
        <v>-1.0000000000000001E-5</v>
      </c>
      <c r="N32" s="185">
        <f>IFERROR(IF($C32="",-0.00001,SUMIFS(Database!AM:AM,Database!$AD:$AD,$C32,Database!$A:$A,$C$1)),-0.00001)</f>
        <v>-1.0000000000000001E-5</v>
      </c>
      <c r="O32" s="185">
        <f>IFERROR(IF($C32="",-0.00001,SUMIFS(Database!AN:AN,Database!$AD:$AD,$C32,Database!$A:$A,$C$1)),-0.00001)</f>
        <v>-1.0000000000000001E-5</v>
      </c>
      <c r="P32" s="185">
        <f>IFERROR(IF($C32="",-0.00001,SUMIFS(Database!AO:AO,Database!$AD:$AD,$C32,Database!$A:$A,$C$1)),-0.00001)</f>
        <v>-1.0000000000000001E-5</v>
      </c>
      <c r="Q32" s="185">
        <f>IFERROR(IF($C32="",-0.00001,SUMIFS(Database!AP:AP,Database!$AD:$AD,$C32,Database!$A:$A,$C$1)),-0.00001)</f>
        <v>-1.0000000000000001E-5</v>
      </c>
      <c r="R32" s="186">
        <f t="shared" si="1"/>
        <v>-1.0000000000000001E-5</v>
      </c>
      <c r="S32" s="185">
        <f>IFERROR(IF($C32="",-0.00001,SUMIFS(Database!AR:AR,Database!$AD:$AD,$C32,Database!$A:$A,$C$1)),-0.00001)</f>
        <v>-1.0000000000000001E-5</v>
      </c>
      <c r="T32" s="185">
        <f>IFERROR(IF($C32="",-0.00001,SUMIFS(Database!AS:AS,Database!$AD:$AD,$C32,Database!$A:$A,$C$1)),-0.00001)</f>
        <v>-1.0000000000000001E-5</v>
      </c>
      <c r="U32" s="186">
        <f t="shared" si="2"/>
        <v>-1.0000000000000001E-5</v>
      </c>
      <c r="V32" s="185">
        <f>IFERROR(IF($C32="",-0.00001,SUMIFS(Database!AU:AU,Database!$AD:$AD,$C32,Database!$A:$A,$C$1)),-0.00001)</f>
        <v>-1.0000000000000001E-5</v>
      </c>
      <c r="W32" s="185">
        <f>IFERROR(IF($C32="",-0.00001,SUMIFS(Database!AV:AV,Database!$AD:$AD,$C32,Database!$A:$A,$C$1)),-0.00001)</f>
        <v>-1.0000000000000001E-5</v>
      </c>
      <c r="X32" s="186">
        <f t="shared" si="3"/>
        <v>-1.0000000000000001E-5</v>
      </c>
      <c r="Y32" s="291"/>
      <c r="Z32" s="293">
        <f>IFERROR(IF($C32="",-0.00001,SUMIFS(Database!AG:AG,Database!$AD:$AD,$C32,Database!$A:$A,$C$1)/$G32),-0.00001)</f>
        <v>-1.0000000000000001E-5</v>
      </c>
      <c r="AA32" s="293">
        <f>IFERROR(IF($C32="",-0.00001,SUMIFS(Database!AH:AH,Database!$AD:$AD,$C32,Database!$A:$A,$C$1)/$G32),-0.00001)</f>
        <v>-1.0000000000000001E-5</v>
      </c>
      <c r="AB32" s="293">
        <f>IFERROR(IF($C32="",-0.00001,SUMIFS(Database!AI:AI,Database!$AD:$AD,$C32,Database!$A:$A,$C$1)/$G32),-0.00001)</f>
        <v>-1.0000000000000001E-5</v>
      </c>
      <c r="AC32" s="293">
        <f>IFERROR(IF($C32="",-0.00001,SUMIFS(Database!AJ:AJ,Database!$AD:$AD,$C32,Database!$A:$A,$C$1)/$G32),-0.00001)</f>
        <v>-1.0000000000000001E-5</v>
      </c>
      <c r="AD32" s="293">
        <f>IFERROR(IF($C32="",-0.00001,SUMIFS(Database!AK:AK,Database!$AD:$AD,$C32,Database!$A:$A,$C$1)/$G32),-0.00001)</f>
        <v>-1.0000000000000001E-5</v>
      </c>
      <c r="AE32" s="293">
        <f>IFERROR(IF($C32="",-0.00001,SUMIFS(Database!AL:AL,Database!$AD:$AD,$C32,Database!$A:$A,$C$1)/$G32),-0.00001)</f>
        <v>-1.0000000000000001E-5</v>
      </c>
      <c r="AF32" s="293">
        <f>IFERROR(IF($C32="",-0.00001,SUMIFS(Database!AM:AM,Database!$AD:$AD,$C32,Database!$A:$A,$C$1)/$G32),-0.00001)</f>
        <v>-1.0000000000000001E-5</v>
      </c>
      <c r="AG32" s="293">
        <f>IFERROR(IF($C32="",-0.00001,SUMIFS(Database!AN:AN,Database!$AD:$AD,$C32,Database!$A:$A,$C$1)/$G32),-0.00001)</f>
        <v>-1.0000000000000001E-5</v>
      </c>
      <c r="AH32" s="293">
        <f>IFERROR(IF($C32="",-0.00001,SUMIFS(Database!AO:AO,Database!$AD:$AD,$C32,Database!$A:$A,$C$1)/$G32),-0.00001)</f>
        <v>-1.0000000000000001E-5</v>
      </c>
      <c r="AI32" s="293">
        <f>IFERROR(IF($C32="",-0.00001,SUMIFS(Database!AP:AP,Database!$AD:$AD,$C32,Database!$A:$A,$C$1)/$G32),-0.00001)</f>
        <v>-1.0000000000000001E-5</v>
      </c>
      <c r="AJ32" s="293">
        <f>IFERROR(IF($C32="",-0.00001,SUMIFS(Database!AR:AR,Database!$AD:$AD,$C32,Database!$A:$A,$C$1)/$G32),-0.00001)</f>
        <v>-1.0000000000000001E-5</v>
      </c>
      <c r="AK32" s="293">
        <f>IFERROR(IF($C32="",-0.00001,SUMIFS(Database!AS:AS,Database!$AD:$AD,$C32,Database!$A:$A,$C$1)/$G32),-0.00001)</f>
        <v>-1.0000000000000001E-5</v>
      </c>
      <c r="AL32" s="293">
        <f>IFERROR(IF($C32="",-0.00001,SUMIFS(Database!AU:AU,Database!$AD:$AD,$C32,Database!$A:$A,$C$1)/$G32),-0.00001)</f>
        <v>-1.0000000000000001E-5</v>
      </c>
      <c r="AM32" s="293">
        <f>IFERROR(IF($C32="",-0.00001,SUMIFS(Database!AV:AV,Database!$AD:$AD,$C32,Database!$A:$A,$C$1)/$G32),-0.00001)</f>
        <v>-1.0000000000000001E-5</v>
      </c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X32" s="187"/>
    </row>
    <row r="33" spans="1:50" x14ac:dyDescent="0.25">
      <c r="A33" s="187"/>
      <c r="B33" s="187" t="str">
        <f>IF($C33="","",MAX($B$4:$B32)+1)</f>
        <v/>
      </c>
      <c r="C33" s="145"/>
      <c r="D33" s="233">
        <f>IF($C33="",-0.00001,COUNTIFS(Database!$AD:$AD,$C33,Database!$A:$A,$C$1,Database!$AE:$AE,"W"))</f>
        <v>-1.0000000000000001E-5</v>
      </c>
      <c r="E33" s="233">
        <f>IF($C33="",-0.00001,COUNTIFS(Database!$AD:$AD,$C33,Database!$A:$A,$C$1,Database!$AE:$AE,"L"))</f>
        <v>-1.0000000000000001E-5</v>
      </c>
      <c r="F33" s="233">
        <f t="shared" si="0"/>
        <v>-1.0000000000000001E-5</v>
      </c>
      <c r="G33" s="185">
        <f>IF($C33="",-0.00001,COUNTIFS(Database!AD:AD,$C33,Database!A:A,$C$1))</f>
        <v>-1.0000000000000001E-5</v>
      </c>
      <c r="H33" s="185">
        <f>IFERROR(IF($C33="",-0.00001,SUMIFS(Database!AG:AG,Database!$AD:$AD,$C33,Database!$A:$A,$C$1)),-0.00001)</f>
        <v>-1.0000000000000001E-5</v>
      </c>
      <c r="I33" s="185">
        <f>IFERROR(IF($C33="",-0.00001,SUMIFS(Database!AH:AH,Database!$AD:$AD,$C33,Database!$A:$A,$C$1)),-0.00001)</f>
        <v>-1.0000000000000001E-5</v>
      </c>
      <c r="J33" s="185">
        <f>IFERROR(IF($C33="",-0.00001,SUMIFS(Database!AI:AI,Database!$AD:$AD,$C33,Database!$A:$A,$C$1)),-0.00001)</f>
        <v>-1.0000000000000001E-5</v>
      </c>
      <c r="K33" s="185">
        <f>IFERROR(IF($C33="",-0.00001,SUMIFS(Database!AJ:AJ,Database!$AD:$AD,$C33,Database!$A:$A,$C$1)),-0.00001)</f>
        <v>-1.0000000000000001E-5</v>
      </c>
      <c r="L33" s="185">
        <f>IFERROR(IF($C33="",-0.00001,SUMIFS(Database!AK:AK,Database!$AD:$AD,$C33,Database!$A:$A,$C$1)),-0.00001)</f>
        <v>-1.0000000000000001E-5</v>
      </c>
      <c r="M33" s="185">
        <f>IFERROR(IF($C33="",-0.00001,SUMIFS(Database!AL:AL,Database!$AD:$AD,$C33,Database!$A:$A,$C$1)),-0.00001)</f>
        <v>-1.0000000000000001E-5</v>
      </c>
      <c r="N33" s="185">
        <f>IFERROR(IF($C33="",-0.00001,SUMIFS(Database!AM:AM,Database!$AD:$AD,$C33,Database!$A:$A,$C$1)),-0.00001)</f>
        <v>-1.0000000000000001E-5</v>
      </c>
      <c r="O33" s="185">
        <f>IFERROR(IF($C33="",-0.00001,SUMIFS(Database!AN:AN,Database!$AD:$AD,$C33,Database!$A:$A,$C$1)),-0.00001)</f>
        <v>-1.0000000000000001E-5</v>
      </c>
      <c r="P33" s="185">
        <f>IFERROR(IF($C33="",-0.00001,SUMIFS(Database!AO:AO,Database!$AD:$AD,$C33,Database!$A:$A,$C$1)),-0.00001)</f>
        <v>-1.0000000000000001E-5</v>
      </c>
      <c r="Q33" s="185">
        <f>IFERROR(IF($C33="",-0.00001,SUMIFS(Database!AP:AP,Database!$AD:$AD,$C33,Database!$A:$A,$C$1)),-0.00001)</f>
        <v>-1.0000000000000001E-5</v>
      </c>
      <c r="R33" s="186">
        <f t="shared" si="1"/>
        <v>-1.0000000000000001E-5</v>
      </c>
      <c r="S33" s="185">
        <f>IFERROR(IF($C33="",-0.00001,SUMIFS(Database!AR:AR,Database!$AD:$AD,$C33,Database!$A:$A,$C$1)),-0.00001)</f>
        <v>-1.0000000000000001E-5</v>
      </c>
      <c r="T33" s="185">
        <f>IFERROR(IF($C33="",-0.00001,SUMIFS(Database!AS:AS,Database!$AD:$AD,$C33,Database!$A:$A,$C$1)),-0.00001)</f>
        <v>-1.0000000000000001E-5</v>
      </c>
      <c r="U33" s="186">
        <f t="shared" si="2"/>
        <v>-1.0000000000000001E-5</v>
      </c>
      <c r="V33" s="185">
        <f>IFERROR(IF($C33="",-0.00001,SUMIFS(Database!AU:AU,Database!$AD:$AD,$C33,Database!$A:$A,$C$1)),-0.00001)</f>
        <v>-1.0000000000000001E-5</v>
      </c>
      <c r="W33" s="185">
        <f>IFERROR(IF($C33="",-0.00001,SUMIFS(Database!AV:AV,Database!$AD:$AD,$C33,Database!$A:$A,$C$1)),-0.00001)</f>
        <v>-1.0000000000000001E-5</v>
      </c>
      <c r="X33" s="186">
        <f t="shared" si="3"/>
        <v>-1.0000000000000001E-5</v>
      </c>
      <c r="Y33" s="291"/>
      <c r="Z33" s="293">
        <f>IFERROR(IF($C33="",-0.00001,SUMIFS(Database!AG:AG,Database!$AD:$AD,$C33,Database!$A:$A,$C$1)/$G33),-0.00001)</f>
        <v>-1.0000000000000001E-5</v>
      </c>
      <c r="AA33" s="293">
        <f>IFERROR(IF($C33="",-0.00001,SUMIFS(Database!AH:AH,Database!$AD:$AD,$C33,Database!$A:$A,$C$1)/$G33),-0.00001)</f>
        <v>-1.0000000000000001E-5</v>
      </c>
      <c r="AB33" s="293">
        <f>IFERROR(IF($C33="",-0.00001,SUMIFS(Database!AI:AI,Database!$AD:$AD,$C33,Database!$A:$A,$C$1)/$G33),-0.00001)</f>
        <v>-1.0000000000000001E-5</v>
      </c>
      <c r="AC33" s="293">
        <f>IFERROR(IF($C33="",-0.00001,SUMIFS(Database!AJ:AJ,Database!$AD:$AD,$C33,Database!$A:$A,$C$1)/$G33),-0.00001)</f>
        <v>-1.0000000000000001E-5</v>
      </c>
      <c r="AD33" s="293">
        <f>IFERROR(IF($C33="",-0.00001,SUMIFS(Database!AK:AK,Database!$AD:$AD,$C33,Database!$A:$A,$C$1)/$G33),-0.00001)</f>
        <v>-1.0000000000000001E-5</v>
      </c>
      <c r="AE33" s="293">
        <f>IFERROR(IF($C33="",-0.00001,SUMIFS(Database!AL:AL,Database!$AD:$AD,$C33,Database!$A:$A,$C$1)/$G33),-0.00001)</f>
        <v>-1.0000000000000001E-5</v>
      </c>
      <c r="AF33" s="293">
        <f>IFERROR(IF($C33="",-0.00001,SUMIFS(Database!AM:AM,Database!$AD:$AD,$C33,Database!$A:$A,$C$1)/$G33),-0.00001)</f>
        <v>-1.0000000000000001E-5</v>
      </c>
      <c r="AG33" s="293">
        <f>IFERROR(IF($C33="",-0.00001,SUMIFS(Database!AN:AN,Database!$AD:$AD,$C33,Database!$A:$A,$C$1)/$G33),-0.00001)</f>
        <v>-1.0000000000000001E-5</v>
      </c>
      <c r="AH33" s="293">
        <f>IFERROR(IF($C33="",-0.00001,SUMIFS(Database!AO:AO,Database!$AD:$AD,$C33,Database!$A:$A,$C$1)/$G33),-0.00001)</f>
        <v>-1.0000000000000001E-5</v>
      </c>
      <c r="AI33" s="293">
        <f>IFERROR(IF($C33="",-0.00001,SUMIFS(Database!AP:AP,Database!$AD:$AD,$C33,Database!$A:$A,$C$1)/$G33),-0.00001)</f>
        <v>-1.0000000000000001E-5</v>
      </c>
      <c r="AJ33" s="293">
        <f>IFERROR(IF($C33="",-0.00001,SUMIFS(Database!AR:AR,Database!$AD:$AD,$C33,Database!$A:$A,$C$1)/$G33),-0.00001)</f>
        <v>-1.0000000000000001E-5</v>
      </c>
      <c r="AK33" s="293">
        <f>IFERROR(IF($C33="",-0.00001,SUMIFS(Database!AS:AS,Database!$AD:$AD,$C33,Database!$A:$A,$C$1)/$G33),-0.00001)</f>
        <v>-1.0000000000000001E-5</v>
      </c>
      <c r="AL33" s="293">
        <f>IFERROR(IF($C33="",-0.00001,SUMIFS(Database!AU:AU,Database!$AD:$AD,$C33,Database!$A:$A,$C$1)/$G33),-0.00001)</f>
        <v>-1.0000000000000001E-5</v>
      </c>
      <c r="AM33" s="293">
        <f>IFERROR(IF($C33="",-0.00001,SUMIFS(Database!AV:AV,Database!$AD:$AD,$C33,Database!$A:$A,$C$1)/$G33),-0.00001)</f>
        <v>-1.0000000000000001E-5</v>
      </c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</row>
    <row r="34" spans="1:50" x14ac:dyDescent="0.25">
      <c r="A34" s="187"/>
      <c r="B34" s="187" t="str">
        <f>IF($C34="","",MAX($B$4:$B33)+1)</f>
        <v/>
      </c>
      <c r="C34" s="145"/>
      <c r="D34" s="233">
        <f>IF($C34="",-0.00001,COUNTIFS(Database!$AD:$AD,$C34,Database!$A:$A,$C$1,Database!$AE:$AE,"W"))</f>
        <v>-1.0000000000000001E-5</v>
      </c>
      <c r="E34" s="233">
        <f>IF($C34="",-0.00001,COUNTIFS(Database!$AD:$AD,$C34,Database!$A:$A,$C$1,Database!$AE:$AE,"L"))</f>
        <v>-1.0000000000000001E-5</v>
      </c>
      <c r="F34" s="233">
        <f t="shared" si="0"/>
        <v>-1.0000000000000001E-5</v>
      </c>
      <c r="G34" s="185">
        <f>IF($C34="",-0.00001,COUNTIFS(Database!AD:AD,$C34,Database!A:A,$C$1))</f>
        <v>-1.0000000000000001E-5</v>
      </c>
      <c r="H34" s="185">
        <f>IFERROR(IF($C34="",-0.00001,SUMIFS(Database!AG:AG,Database!$AD:$AD,$C34,Database!$A:$A,$C$1)),-0.00001)</f>
        <v>-1.0000000000000001E-5</v>
      </c>
      <c r="I34" s="185">
        <f>IFERROR(IF($C34="",-0.00001,SUMIFS(Database!AH:AH,Database!$AD:$AD,$C34,Database!$A:$A,$C$1)),-0.00001)</f>
        <v>-1.0000000000000001E-5</v>
      </c>
      <c r="J34" s="185">
        <f>IFERROR(IF($C34="",-0.00001,SUMIFS(Database!AI:AI,Database!$AD:$AD,$C34,Database!$A:$A,$C$1)),-0.00001)</f>
        <v>-1.0000000000000001E-5</v>
      </c>
      <c r="K34" s="185">
        <f>IFERROR(IF($C34="",-0.00001,SUMIFS(Database!AJ:AJ,Database!$AD:$AD,$C34,Database!$A:$A,$C$1)),-0.00001)</f>
        <v>-1.0000000000000001E-5</v>
      </c>
      <c r="L34" s="185">
        <f>IFERROR(IF($C34="",-0.00001,SUMIFS(Database!AK:AK,Database!$AD:$AD,$C34,Database!$A:$A,$C$1)),-0.00001)</f>
        <v>-1.0000000000000001E-5</v>
      </c>
      <c r="M34" s="185">
        <f>IFERROR(IF($C34="",-0.00001,SUMIFS(Database!AL:AL,Database!$AD:$AD,$C34,Database!$A:$A,$C$1)),-0.00001)</f>
        <v>-1.0000000000000001E-5</v>
      </c>
      <c r="N34" s="185">
        <f>IFERROR(IF($C34="",-0.00001,SUMIFS(Database!AM:AM,Database!$AD:$AD,$C34,Database!$A:$A,$C$1)),-0.00001)</f>
        <v>-1.0000000000000001E-5</v>
      </c>
      <c r="O34" s="185">
        <f>IFERROR(IF($C34="",-0.00001,SUMIFS(Database!AN:AN,Database!$AD:$AD,$C34,Database!$A:$A,$C$1)),-0.00001)</f>
        <v>-1.0000000000000001E-5</v>
      </c>
      <c r="P34" s="185">
        <f>IFERROR(IF($C34="",-0.00001,SUMIFS(Database!AO:AO,Database!$AD:$AD,$C34,Database!$A:$A,$C$1)),-0.00001)</f>
        <v>-1.0000000000000001E-5</v>
      </c>
      <c r="Q34" s="185">
        <f>IFERROR(IF($C34="",-0.00001,SUMIFS(Database!AP:AP,Database!$AD:$AD,$C34,Database!$A:$A,$C$1)),-0.00001)</f>
        <v>-1.0000000000000001E-5</v>
      </c>
      <c r="R34" s="186">
        <f t="shared" si="1"/>
        <v>-1.0000000000000001E-5</v>
      </c>
      <c r="S34" s="185">
        <f>IFERROR(IF($C34="",-0.00001,SUMIFS(Database!AR:AR,Database!$AD:$AD,$C34,Database!$A:$A,$C$1)),-0.00001)</f>
        <v>-1.0000000000000001E-5</v>
      </c>
      <c r="T34" s="185">
        <f>IFERROR(IF($C34="",-0.00001,SUMIFS(Database!AS:AS,Database!$AD:$AD,$C34,Database!$A:$A,$C$1)),-0.00001)</f>
        <v>-1.0000000000000001E-5</v>
      </c>
      <c r="U34" s="186">
        <f t="shared" si="2"/>
        <v>-1.0000000000000001E-5</v>
      </c>
      <c r="V34" s="185">
        <f>IFERROR(IF($C34="",-0.00001,SUMIFS(Database!AU:AU,Database!$AD:$AD,$C34,Database!$A:$A,$C$1)),-0.00001)</f>
        <v>-1.0000000000000001E-5</v>
      </c>
      <c r="W34" s="185">
        <f>IFERROR(IF($C34="",-0.00001,SUMIFS(Database!AV:AV,Database!$AD:$AD,$C34,Database!$A:$A,$C$1)),-0.00001)</f>
        <v>-1.0000000000000001E-5</v>
      </c>
      <c r="X34" s="186">
        <f t="shared" si="3"/>
        <v>-1.0000000000000001E-5</v>
      </c>
      <c r="Y34" s="291"/>
      <c r="Z34" s="293">
        <f>IFERROR(IF($C34="",-0.00001,SUMIFS(Database!AG:AG,Database!$AD:$AD,$C34,Database!$A:$A,$C$1)/$G34),-0.00001)</f>
        <v>-1.0000000000000001E-5</v>
      </c>
      <c r="AA34" s="293">
        <f>IFERROR(IF($C34="",-0.00001,SUMIFS(Database!AH:AH,Database!$AD:$AD,$C34,Database!$A:$A,$C$1)/$G34),-0.00001)</f>
        <v>-1.0000000000000001E-5</v>
      </c>
      <c r="AB34" s="293">
        <f>IFERROR(IF($C34="",-0.00001,SUMIFS(Database!AI:AI,Database!$AD:$AD,$C34,Database!$A:$A,$C$1)/$G34),-0.00001)</f>
        <v>-1.0000000000000001E-5</v>
      </c>
      <c r="AC34" s="293">
        <f>IFERROR(IF($C34="",-0.00001,SUMIFS(Database!AJ:AJ,Database!$AD:$AD,$C34,Database!$A:$A,$C$1)/$G34),-0.00001)</f>
        <v>-1.0000000000000001E-5</v>
      </c>
      <c r="AD34" s="293">
        <f>IFERROR(IF($C34="",-0.00001,SUMIFS(Database!AK:AK,Database!$AD:$AD,$C34,Database!$A:$A,$C$1)/$G34),-0.00001)</f>
        <v>-1.0000000000000001E-5</v>
      </c>
      <c r="AE34" s="293">
        <f>IFERROR(IF($C34="",-0.00001,SUMIFS(Database!AL:AL,Database!$AD:$AD,$C34,Database!$A:$A,$C$1)/$G34),-0.00001)</f>
        <v>-1.0000000000000001E-5</v>
      </c>
      <c r="AF34" s="293">
        <f>IFERROR(IF($C34="",-0.00001,SUMIFS(Database!AM:AM,Database!$AD:$AD,$C34,Database!$A:$A,$C$1)/$G34),-0.00001)</f>
        <v>-1.0000000000000001E-5</v>
      </c>
      <c r="AG34" s="293">
        <f>IFERROR(IF($C34="",-0.00001,SUMIFS(Database!AN:AN,Database!$AD:$AD,$C34,Database!$A:$A,$C$1)/$G34),-0.00001)</f>
        <v>-1.0000000000000001E-5</v>
      </c>
      <c r="AH34" s="293">
        <f>IFERROR(IF($C34="",-0.00001,SUMIFS(Database!AO:AO,Database!$AD:$AD,$C34,Database!$A:$A,$C$1)/$G34),-0.00001)</f>
        <v>-1.0000000000000001E-5</v>
      </c>
      <c r="AI34" s="293">
        <f>IFERROR(IF($C34="",-0.00001,SUMIFS(Database!AP:AP,Database!$AD:$AD,$C34,Database!$A:$A,$C$1)/$G34),-0.00001)</f>
        <v>-1.0000000000000001E-5</v>
      </c>
      <c r="AJ34" s="293">
        <f>IFERROR(IF($C34="",-0.00001,SUMIFS(Database!AR:AR,Database!$AD:$AD,$C34,Database!$A:$A,$C$1)/$G34),-0.00001)</f>
        <v>-1.0000000000000001E-5</v>
      </c>
      <c r="AK34" s="293">
        <f>IFERROR(IF($C34="",-0.00001,SUMIFS(Database!AS:AS,Database!$AD:$AD,$C34,Database!$A:$A,$C$1)/$G34),-0.00001)</f>
        <v>-1.0000000000000001E-5</v>
      </c>
      <c r="AL34" s="293">
        <f>IFERROR(IF($C34="",-0.00001,SUMIFS(Database!AU:AU,Database!$AD:$AD,$C34,Database!$A:$A,$C$1)/$G34),-0.00001)</f>
        <v>-1.0000000000000001E-5</v>
      </c>
      <c r="AM34" s="293">
        <f>IFERROR(IF($C34="",-0.00001,SUMIFS(Database!AV:AV,Database!$AD:$AD,$C34,Database!$A:$A,$C$1)/$G34),-0.00001)</f>
        <v>-1.0000000000000001E-5</v>
      </c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</row>
    <row r="35" spans="1:50" x14ac:dyDescent="0.25">
      <c r="A35" s="187"/>
      <c r="B35" s="187" t="str">
        <f>IF($C35="","",MAX($B$4:$B34)+1)</f>
        <v/>
      </c>
      <c r="C35" s="145"/>
      <c r="D35" s="233">
        <f>IF($C35="",-0.00001,COUNTIFS(Database!$AD:$AD,$C35,Database!$A:$A,$C$1,Database!$AE:$AE,"W"))</f>
        <v>-1.0000000000000001E-5</v>
      </c>
      <c r="E35" s="233">
        <f>IF($C35="",-0.00001,COUNTIFS(Database!$AD:$AD,$C35,Database!$A:$A,$C$1,Database!$AE:$AE,"L"))</f>
        <v>-1.0000000000000001E-5</v>
      </c>
      <c r="F35" s="233">
        <f t="shared" si="0"/>
        <v>-1.0000000000000001E-5</v>
      </c>
      <c r="G35" s="185">
        <f>IF($C35="",-0.00001,COUNTIFS(Database!AD:AD,$C35,Database!A:A,$C$1))</f>
        <v>-1.0000000000000001E-5</v>
      </c>
      <c r="H35" s="185">
        <f>IFERROR(IF($C35="",-0.00001,SUMIFS(Database!AG:AG,Database!$AD:$AD,$C35,Database!$A:$A,$C$1)),-0.00001)</f>
        <v>-1.0000000000000001E-5</v>
      </c>
      <c r="I35" s="185">
        <f>IFERROR(IF($C35="",-0.00001,SUMIFS(Database!AH:AH,Database!$AD:$AD,$C35,Database!$A:$A,$C$1)),-0.00001)</f>
        <v>-1.0000000000000001E-5</v>
      </c>
      <c r="J35" s="185">
        <f>IFERROR(IF($C35="",-0.00001,SUMIFS(Database!AI:AI,Database!$AD:$AD,$C35,Database!$A:$A,$C$1)),-0.00001)</f>
        <v>-1.0000000000000001E-5</v>
      </c>
      <c r="K35" s="185">
        <f>IFERROR(IF($C35="",-0.00001,SUMIFS(Database!AJ:AJ,Database!$AD:$AD,$C35,Database!$A:$A,$C$1)),-0.00001)</f>
        <v>-1.0000000000000001E-5</v>
      </c>
      <c r="L35" s="185">
        <f>IFERROR(IF($C35="",-0.00001,SUMIFS(Database!AK:AK,Database!$AD:$AD,$C35,Database!$A:$A,$C$1)),-0.00001)</f>
        <v>-1.0000000000000001E-5</v>
      </c>
      <c r="M35" s="185">
        <f>IFERROR(IF($C35="",-0.00001,SUMIFS(Database!AL:AL,Database!$AD:$AD,$C35,Database!$A:$A,$C$1)),-0.00001)</f>
        <v>-1.0000000000000001E-5</v>
      </c>
      <c r="N35" s="185">
        <f>IFERROR(IF($C35="",-0.00001,SUMIFS(Database!AM:AM,Database!$AD:$AD,$C35,Database!$A:$A,$C$1)),-0.00001)</f>
        <v>-1.0000000000000001E-5</v>
      </c>
      <c r="O35" s="185">
        <f>IFERROR(IF($C35="",-0.00001,SUMIFS(Database!AN:AN,Database!$AD:$AD,$C35,Database!$A:$A,$C$1)),-0.00001)</f>
        <v>-1.0000000000000001E-5</v>
      </c>
      <c r="P35" s="185">
        <f>IFERROR(IF($C35="",-0.00001,SUMIFS(Database!AO:AO,Database!$AD:$AD,$C35,Database!$A:$A,$C$1)),-0.00001)</f>
        <v>-1.0000000000000001E-5</v>
      </c>
      <c r="Q35" s="185">
        <f>IFERROR(IF($C35="",-0.00001,SUMIFS(Database!AP:AP,Database!$AD:$AD,$C35,Database!$A:$A,$C$1)),-0.00001)</f>
        <v>-1.0000000000000001E-5</v>
      </c>
      <c r="R35" s="186">
        <f t="shared" si="1"/>
        <v>-1.0000000000000001E-5</v>
      </c>
      <c r="S35" s="185">
        <f>IFERROR(IF($C35="",-0.00001,SUMIFS(Database!AR:AR,Database!$AD:$AD,$C35,Database!$A:$A,$C$1)),-0.00001)</f>
        <v>-1.0000000000000001E-5</v>
      </c>
      <c r="T35" s="185">
        <f>IFERROR(IF($C35="",-0.00001,SUMIFS(Database!AS:AS,Database!$AD:$AD,$C35,Database!$A:$A,$C$1)),-0.00001)</f>
        <v>-1.0000000000000001E-5</v>
      </c>
      <c r="U35" s="186">
        <f t="shared" si="2"/>
        <v>-1.0000000000000001E-5</v>
      </c>
      <c r="V35" s="185">
        <f>IFERROR(IF($C35="",-0.00001,SUMIFS(Database!AU:AU,Database!$AD:$AD,$C35,Database!$A:$A,$C$1)),-0.00001)</f>
        <v>-1.0000000000000001E-5</v>
      </c>
      <c r="W35" s="185">
        <f>IFERROR(IF($C35="",-0.00001,SUMIFS(Database!AV:AV,Database!$AD:$AD,$C35,Database!$A:$A,$C$1)),-0.00001)</f>
        <v>-1.0000000000000001E-5</v>
      </c>
      <c r="X35" s="186">
        <f t="shared" si="3"/>
        <v>-1.0000000000000001E-5</v>
      </c>
      <c r="Y35" s="291"/>
      <c r="Z35" s="293">
        <f>IFERROR(IF($C35="",-0.00001,SUMIFS(Database!AG:AG,Database!$AD:$AD,$C35,Database!$A:$A,$C$1)/$G35),-0.00001)</f>
        <v>-1.0000000000000001E-5</v>
      </c>
      <c r="AA35" s="293">
        <f>IFERROR(IF($C35="",-0.00001,SUMIFS(Database!AH:AH,Database!$AD:$AD,$C35,Database!$A:$A,$C$1)/$G35),-0.00001)</f>
        <v>-1.0000000000000001E-5</v>
      </c>
      <c r="AB35" s="293">
        <f>IFERROR(IF($C35="",-0.00001,SUMIFS(Database!AI:AI,Database!$AD:$AD,$C35,Database!$A:$A,$C$1)/$G35),-0.00001)</f>
        <v>-1.0000000000000001E-5</v>
      </c>
      <c r="AC35" s="293">
        <f>IFERROR(IF($C35="",-0.00001,SUMIFS(Database!AJ:AJ,Database!$AD:$AD,$C35,Database!$A:$A,$C$1)/$G35),-0.00001)</f>
        <v>-1.0000000000000001E-5</v>
      </c>
      <c r="AD35" s="293">
        <f>IFERROR(IF($C35="",-0.00001,SUMIFS(Database!AK:AK,Database!$AD:$AD,$C35,Database!$A:$A,$C$1)/$G35),-0.00001)</f>
        <v>-1.0000000000000001E-5</v>
      </c>
      <c r="AE35" s="293">
        <f>IFERROR(IF($C35="",-0.00001,SUMIFS(Database!AL:AL,Database!$AD:$AD,$C35,Database!$A:$A,$C$1)/$G35),-0.00001)</f>
        <v>-1.0000000000000001E-5</v>
      </c>
      <c r="AF35" s="293">
        <f>IFERROR(IF($C35="",-0.00001,SUMIFS(Database!AM:AM,Database!$AD:$AD,$C35,Database!$A:$A,$C$1)/$G35),-0.00001)</f>
        <v>-1.0000000000000001E-5</v>
      </c>
      <c r="AG35" s="293">
        <f>IFERROR(IF($C35="",-0.00001,SUMIFS(Database!AN:AN,Database!$AD:$AD,$C35,Database!$A:$A,$C$1)/$G35),-0.00001)</f>
        <v>-1.0000000000000001E-5</v>
      </c>
      <c r="AH35" s="293">
        <f>IFERROR(IF($C35="",-0.00001,SUMIFS(Database!AO:AO,Database!$AD:$AD,$C35,Database!$A:$A,$C$1)/$G35),-0.00001)</f>
        <v>-1.0000000000000001E-5</v>
      </c>
      <c r="AI35" s="293">
        <f>IFERROR(IF($C35="",-0.00001,SUMIFS(Database!AP:AP,Database!$AD:$AD,$C35,Database!$A:$A,$C$1)/$G35),-0.00001)</f>
        <v>-1.0000000000000001E-5</v>
      </c>
      <c r="AJ35" s="293">
        <f>IFERROR(IF($C35="",-0.00001,SUMIFS(Database!AR:AR,Database!$AD:$AD,$C35,Database!$A:$A,$C$1)/$G35),-0.00001)</f>
        <v>-1.0000000000000001E-5</v>
      </c>
      <c r="AK35" s="293">
        <f>IFERROR(IF($C35="",-0.00001,SUMIFS(Database!AS:AS,Database!$AD:$AD,$C35,Database!$A:$A,$C$1)/$G35),-0.00001)</f>
        <v>-1.0000000000000001E-5</v>
      </c>
      <c r="AL35" s="293">
        <f>IFERROR(IF($C35="",-0.00001,SUMIFS(Database!AU:AU,Database!$AD:$AD,$C35,Database!$A:$A,$C$1)/$G35),-0.00001)</f>
        <v>-1.0000000000000001E-5</v>
      </c>
      <c r="AM35" s="293">
        <f>IFERROR(IF($C35="",-0.00001,SUMIFS(Database!AV:AV,Database!$AD:$AD,$C35,Database!$A:$A,$C$1)/$G35),-0.00001)</f>
        <v>-1.0000000000000001E-5</v>
      </c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</row>
    <row r="36" spans="1:50" x14ac:dyDescent="0.25">
      <c r="A36" s="187"/>
      <c r="B36" s="187" t="str">
        <f>IF($C36="","",MAX($B$4:$B35)+1)</f>
        <v/>
      </c>
      <c r="C36" s="145"/>
      <c r="D36" s="233">
        <f>IF($C36="",-0.00001,COUNTIFS(Database!$AD:$AD,$C36,Database!$A:$A,$C$1,Database!$AE:$AE,"W"))</f>
        <v>-1.0000000000000001E-5</v>
      </c>
      <c r="E36" s="233">
        <f>IF($C36="",-0.00001,COUNTIFS(Database!$AD:$AD,$C36,Database!$A:$A,$C$1,Database!$AE:$AE,"L"))</f>
        <v>-1.0000000000000001E-5</v>
      </c>
      <c r="F36" s="233">
        <f t="shared" ref="F36:F67" si="4">IF($C36="",-0.00001,IF($D36=MAX($D$4:$D$80),"-",$D36-MAX($D$4:$D$80)))</f>
        <v>-1.0000000000000001E-5</v>
      </c>
      <c r="G36" s="185">
        <f>IF($C36="",-0.00001,COUNTIFS(Database!AD:AD,$C36,Database!A:A,$C$1))</f>
        <v>-1.0000000000000001E-5</v>
      </c>
      <c r="H36" s="185">
        <f>IFERROR(IF($C36="",-0.00001,SUMIFS(Database!AG:AG,Database!$AD:$AD,$C36,Database!$A:$A,$C$1)),-0.00001)</f>
        <v>-1.0000000000000001E-5</v>
      </c>
      <c r="I36" s="185">
        <f>IFERROR(IF($C36="",-0.00001,SUMIFS(Database!AH:AH,Database!$AD:$AD,$C36,Database!$A:$A,$C$1)),-0.00001)</f>
        <v>-1.0000000000000001E-5</v>
      </c>
      <c r="J36" s="185">
        <f>IFERROR(IF($C36="",-0.00001,SUMIFS(Database!AI:AI,Database!$AD:$AD,$C36,Database!$A:$A,$C$1)),-0.00001)</f>
        <v>-1.0000000000000001E-5</v>
      </c>
      <c r="K36" s="185">
        <f>IFERROR(IF($C36="",-0.00001,SUMIFS(Database!AJ:AJ,Database!$AD:$AD,$C36,Database!$A:$A,$C$1)),-0.00001)</f>
        <v>-1.0000000000000001E-5</v>
      </c>
      <c r="L36" s="185">
        <f>IFERROR(IF($C36="",-0.00001,SUMIFS(Database!AK:AK,Database!$AD:$AD,$C36,Database!$A:$A,$C$1)),-0.00001)</f>
        <v>-1.0000000000000001E-5</v>
      </c>
      <c r="M36" s="185">
        <f>IFERROR(IF($C36="",-0.00001,SUMIFS(Database!AL:AL,Database!$AD:$AD,$C36,Database!$A:$A,$C$1)),-0.00001)</f>
        <v>-1.0000000000000001E-5</v>
      </c>
      <c r="N36" s="185">
        <f>IFERROR(IF($C36="",-0.00001,SUMIFS(Database!AM:AM,Database!$AD:$AD,$C36,Database!$A:$A,$C$1)),-0.00001)</f>
        <v>-1.0000000000000001E-5</v>
      </c>
      <c r="O36" s="185">
        <f>IFERROR(IF($C36="",-0.00001,SUMIFS(Database!AN:AN,Database!$AD:$AD,$C36,Database!$A:$A,$C$1)),-0.00001)</f>
        <v>-1.0000000000000001E-5</v>
      </c>
      <c r="P36" s="185">
        <f>IFERROR(IF($C36="",-0.00001,SUMIFS(Database!AO:AO,Database!$AD:$AD,$C36,Database!$A:$A,$C$1)),-0.00001)</f>
        <v>-1.0000000000000001E-5</v>
      </c>
      <c r="Q36" s="185">
        <f>IFERROR(IF($C36="",-0.00001,SUMIFS(Database!AP:AP,Database!$AD:$AD,$C36,Database!$A:$A,$C$1)),-0.00001)</f>
        <v>-1.0000000000000001E-5</v>
      </c>
      <c r="R36" s="186">
        <f t="shared" ref="R36:R67" si="5">IFERROR(IF($C36="",-0.00001,$P36/$Q36),-0.00001)</f>
        <v>-1.0000000000000001E-5</v>
      </c>
      <c r="S36" s="185">
        <f>IFERROR(IF($C36="",-0.00001,SUMIFS(Database!AR:AR,Database!$AD:$AD,$C36,Database!$A:$A,$C$1)),-0.00001)</f>
        <v>-1.0000000000000001E-5</v>
      </c>
      <c r="T36" s="185">
        <f>IFERROR(IF($C36="",-0.00001,SUMIFS(Database!AS:AS,Database!$AD:$AD,$C36,Database!$A:$A,$C$1)),-0.00001)</f>
        <v>-1.0000000000000001E-5</v>
      </c>
      <c r="U36" s="186">
        <f t="shared" ref="U36:U67" si="6">IFERROR(IF($C36="",-0.00001,$S36/$T36),-0.00001)</f>
        <v>-1.0000000000000001E-5</v>
      </c>
      <c r="V36" s="185">
        <f>IFERROR(IF($C36="",-0.00001,SUMIFS(Database!AU:AU,Database!$AD:$AD,$C36,Database!$A:$A,$C$1)),-0.00001)</f>
        <v>-1.0000000000000001E-5</v>
      </c>
      <c r="W36" s="185">
        <f>IFERROR(IF($C36="",-0.00001,SUMIFS(Database!AV:AV,Database!$AD:$AD,$C36,Database!$A:$A,$C$1)),-0.00001)</f>
        <v>-1.0000000000000001E-5</v>
      </c>
      <c r="X36" s="186">
        <f t="shared" ref="X36:X67" si="7">IFERROR(IF($C36="",-0.00001,$V36/$W36),-0.00001)</f>
        <v>-1.0000000000000001E-5</v>
      </c>
      <c r="Y36" s="291"/>
      <c r="Z36" s="293">
        <f>IFERROR(IF($C36="",-0.00001,SUMIFS(Database!AG:AG,Database!$AD:$AD,$C36,Database!$A:$A,$C$1)/$G36),-0.00001)</f>
        <v>-1.0000000000000001E-5</v>
      </c>
      <c r="AA36" s="293">
        <f>IFERROR(IF($C36="",-0.00001,SUMIFS(Database!AH:AH,Database!$AD:$AD,$C36,Database!$A:$A,$C$1)/$G36),-0.00001)</f>
        <v>-1.0000000000000001E-5</v>
      </c>
      <c r="AB36" s="293">
        <f>IFERROR(IF($C36="",-0.00001,SUMIFS(Database!AI:AI,Database!$AD:$AD,$C36,Database!$A:$A,$C$1)/$G36),-0.00001)</f>
        <v>-1.0000000000000001E-5</v>
      </c>
      <c r="AC36" s="293">
        <f>IFERROR(IF($C36="",-0.00001,SUMIFS(Database!AJ:AJ,Database!$AD:$AD,$C36,Database!$A:$A,$C$1)/$G36),-0.00001)</f>
        <v>-1.0000000000000001E-5</v>
      </c>
      <c r="AD36" s="293">
        <f>IFERROR(IF($C36="",-0.00001,SUMIFS(Database!AK:AK,Database!$AD:$AD,$C36,Database!$A:$A,$C$1)/$G36),-0.00001)</f>
        <v>-1.0000000000000001E-5</v>
      </c>
      <c r="AE36" s="293">
        <f>IFERROR(IF($C36="",-0.00001,SUMIFS(Database!AL:AL,Database!$AD:$AD,$C36,Database!$A:$A,$C$1)/$G36),-0.00001)</f>
        <v>-1.0000000000000001E-5</v>
      </c>
      <c r="AF36" s="293">
        <f>IFERROR(IF($C36="",-0.00001,SUMIFS(Database!AM:AM,Database!$AD:$AD,$C36,Database!$A:$A,$C$1)/$G36),-0.00001)</f>
        <v>-1.0000000000000001E-5</v>
      </c>
      <c r="AG36" s="293">
        <f>IFERROR(IF($C36="",-0.00001,SUMIFS(Database!AN:AN,Database!$AD:$AD,$C36,Database!$A:$A,$C$1)/$G36),-0.00001)</f>
        <v>-1.0000000000000001E-5</v>
      </c>
      <c r="AH36" s="293">
        <f>IFERROR(IF($C36="",-0.00001,SUMIFS(Database!AO:AO,Database!$AD:$AD,$C36,Database!$A:$A,$C$1)/$G36),-0.00001)</f>
        <v>-1.0000000000000001E-5</v>
      </c>
      <c r="AI36" s="293">
        <f>IFERROR(IF($C36="",-0.00001,SUMIFS(Database!AP:AP,Database!$AD:$AD,$C36,Database!$A:$A,$C$1)/$G36),-0.00001)</f>
        <v>-1.0000000000000001E-5</v>
      </c>
      <c r="AJ36" s="293">
        <f>IFERROR(IF($C36="",-0.00001,SUMIFS(Database!AR:AR,Database!$AD:$AD,$C36,Database!$A:$A,$C$1)/$G36),-0.00001)</f>
        <v>-1.0000000000000001E-5</v>
      </c>
      <c r="AK36" s="293">
        <f>IFERROR(IF($C36="",-0.00001,SUMIFS(Database!AS:AS,Database!$AD:$AD,$C36,Database!$A:$A,$C$1)/$G36),-0.00001)</f>
        <v>-1.0000000000000001E-5</v>
      </c>
      <c r="AL36" s="293">
        <f>IFERROR(IF($C36="",-0.00001,SUMIFS(Database!AU:AU,Database!$AD:$AD,$C36,Database!$A:$A,$C$1)/$G36),-0.00001)</f>
        <v>-1.0000000000000001E-5</v>
      </c>
      <c r="AM36" s="293">
        <f>IFERROR(IF($C36="",-0.00001,SUMIFS(Database!AV:AV,Database!$AD:$AD,$C36,Database!$A:$A,$C$1)/$G36),-0.00001)</f>
        <v>-1.0000000000000001E-5</v>
      </c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</row>
    <row r="37" spans="1:50" x14ac:dyDescent="0.25">
      <c r="A37" s="187"/>
      <c r="B37" s="187" t="str">
        <f>IF($C37="","",MAX($B$4:$B36)+1)</f>
        <v/>
      </c>
      <c r="C37" s="145"/>
      <c r="D37" s="233">
        <f>IF($C37="",-0.00001,COUNTIFS(Database!$AD:$AD,$C37,Database!$A:$A,$C$1,Database!$AE:$AE,"W"))</f>
        <v>-1.0000000000000001E-5</v>
      </c>
      <c r="E37" s="233">
        <f>IF($C37="",-0.00001,COUNTIFS(Database!$AD:$AD,$C37,Database!$A:$A,$C$1,Database!$AE:$AE,"L"))</f>
        <v>-1.0000000000000001E-5</v>
      </c>
      <c r="F37" s="233">
        <f t="shared" si="4"/>
        <v>-1.0000000000000001E-5</v>
      </c>
      <c r="G37" s="185">
        <f>IF($C37="",-0.00001,COUNTIFS(Database!AD:AD,$C37,Database!A:A,$C$1))</f>
        <v>-1.0000000000000001E-5</v>
      </c>
      <c r="H37" s="185">
        <f>IFERROR(IF($C37="",-0.00001,SUMIFS(Database!AG:AG,Database!$AD:$AD,$C37,Database!$A:$A,$C$1)),-0.00001)</f>
        <v>-1.0000000000000001E-5</v>
      </c>
      <c r="I37" s="185">
        <f>IFERROR(IF($C37="",-0.00001,SUMIFS(Database!AH:AH,Database!$AD:$AD,$C37,Database!$A:$A,$C$1)),-0.00001)</f>
        <v>-1.0000000000000001E-5</v>
      </c>
      <c r="J37" s="185">
        <f>IFERROR(IF($C37="",-0.00001,SUMIFS(Database!AI:AI,Database!$AD:$AD,$C37,Database!$A:$A,$C$1)),-0.00001)</f>
        <v>-1.0000000000000001E-5</v>
      </c>
      <c r="K37" s="185">
        <f>IFERROR(IF($C37="",-0.00001,SUMIFS(Database!AJ:AJ,Database!$AD:$AD,$C37,Database!$A:$A,$C$1)),-0.00001)</f>
        <v>-1.0000000000000001E-5</v>
      </c>
      <c r="L37" s="185">
        <f>IFERROR(IF($C37="",-0.00001,SUMIFS(Database!AK:AK,Database!$AD:$AD,$C37,Database!$A:$A,$C$1)),-0.00001)</f>
        <v>-1.0000000000000001E-5</v>
      </c>
      <c r="M37" s="185">
        <f>IFERROR(IF($C37="",-0.00001,SUMIFS(Database!AL:AL,Database!$AD:$AD,$C37,Database!$A:$A,$C$1)),-0.00001)</f>
        <v>-1.0000000000000001E-5</v>
      </c>
      <c r="N37" s="185">
        <f>IFERROR(IF($C37="",-0.00001,SUMIFS(Database!AM:AM,Database!$AD:$AD,$C37,Database!$A:$A,$C$1)),-0.00001)</f>
        <v>-1.0000000000000001E-5</v>
      </c>
      <c r="O37" s="185">
        <f>IFERROR(IF($C37="",-0.00001,SUMIFS(Database!AN:AN,Database!$AD:$AD,$C37,Database!$A:$A,$C$1)),-0.00001)</f>
        <v>-1.0000000000000001E-5</v>
      </c>
      <c r="P37" s="185">
        <f>IFERROR(IF($C37="",-0.00001,SUMIFS(Database!AO:AO,Database!$AD:$AD,$C37,Database!$A:$A,$C$1)),-0.00001)</f>
        <v>-1.0000000000000001E-5</v>
      </c>
      <c r="Q37" s="185">
        <f>IFERROR(IF($C37="",-0.00001,SUMIFS(Database!AP:AP,Database!$AD:$AD,$C37,Database!$A:$A,$C$1)),-0.00001)</f>
        <v>-1.0000000000000001E-5</v>
      </c>
      <c r="R37" s="186">
        <f t="shared" si="5"/>
        <v>-1.0000000000000001E-5</v>
      </c>
      <c r="S37" s="185">
        <f>IFERROR(IF($C37="",-0.00001,SUMIFS(Database!AR:AR,Database!$AD:$AD,$C37,Database!$A:$A,$C$1)),-0.00001)</f>
        <v>-1.0000000000000001E-5</v>
      </c>
      <c r="T37" s="185">
        <f>IFERROR(IF($C37="",-0.00001,SUMIFS(Database!AS:AS,Database!$AD:$AD,$C37,Database!$A:$A,$C$1)),-0.00001)</f>
        <v>-1.0000000000000001E-5</v>
      </c>
      <c r="U37" s="186">
        <f t="shared" si="6"/>
        <v>-1.0000000000000001E-5</v>
      </c>
      <c r="V37" s="185">
        <f>IFERROR(IF($C37="",-0.00001,SUMIFS(Database!AU:AU,Database!$AD:$AD,$C37,Database!$A:$A,$C$1)),-0.00001)</f>
        <v>-1.0000000000000001E-5</v>
      </c>
      <c r="W37" s="185">
        <f>IFERROR(IF($C37="",-0.00001,SUMIFS(Database!AV:AV,Database!$AD:$AD,$C37,Database!$A:$A,$C$1)),-0.00001)</f>
        <v>-1.0000000000000001E-5</v>
      </c>
      <c r="X37" s="186">
        <f t="shared" si="7"/>
        <v>-1.0000000000000001E-5</v>
      </c>
      <c r="Y37" s="291"/>
      <c r="Z37" s="293">
        <f>IFERROR(IF($C37="",-0.00001,SUMIFS(Database!AG:AG,Database!$AD:$AD,$C37,Database!$A:$A,$C$1)/$G37),-0.00001)</f>
        <v>-1.0000000000000001E-5</v>
      </c>
      <c r="AA37" s="293">
        <f>IFERROR(IF($C37="",-0.00001,SUMIFS(Database!AH:AH,Database!$AD:$AD,$C37,Database!$A:$A,$C$1)/$G37),-0.00001)</f>
        <v>-1.0000000000000001E-5</v>
      </c>
      <c r="AB37" s="293">
        <f>IFERROR(IF($C37="",-0.00001,SUMIFS(Database!AI:AI,Database!$AD:$AD,$C37,Database!$A:$A,$C$1)/$G37),-0.00001)</f>
        <v>-1.0000000000000001E-5</v>
      </c>
      <c r="AC37" s="293">
        <f>IFERROR(IF($C37="",-0.00001,SUMIFS(Database!AJ:AJ,Database!$AD:$AD,$C37,Database!$A:$A,$C$1)/$G37),-0.00001)</f>
        <v>-1.0000000000000001E-5</v>
      </c>
      <c r="AD37" s="293">
        <f>IFERROR(IF($C37="",-0.00001,SUMIFS(Database!AK:AK,Database!$AD:$AD,$C37,Database!$A:$A,$C$1)/$G37),-0.00001)</f>
        <v>-1.0000000000000001E-5</v>
      </c>
      <c r="AE37" s="293">
        <f>IFERROR(IF($C37="",-0.00001,SUMIFS(Database!AL:AL,Database!$AD:$AD,$C37,Database!$A:$A,$C$1)/$G37),-0.00001)</f>
        <v>-1.0000000000000001E-5</v>
      </c>
      <c r="AF37" s="293">
        <f>IFERROR(IF($C37="",-0.00001,SUMIFS(Database!AM:AM,Database!$AD:$AD,$C37,Database!$A:$A,$C$1)/$G37),-0.00001)</f>
        <v>-1.0000000000000001E-5</v>
      </c>
      <c r="AG37" s="293">
        <f>IFERROR(IF($C37="",-0.00001,SUMIFS(Database!AN:AN,Database!$AD:$AD,$C37,Database!$A:$A,$C$1)/$G37),-0.00001)</f>
        <v>-1.0000000000000001E-5</v>
      </c>
      <c r="AH37" s="293">
        <f>IFERROR(IF($C37="",-0.00001,SUMIFS(Database!AO:AO,Database!$AD:$AD,$C37,Database!$A:$A,$C$1)/$G37),-0.00001)</f>
        <v>-1.0000000000000001E-5</v>
      </c>
      <c r="AI37" s="293">
        <f>IFERROR(IF($C37="",-0.00001,SUMIFS(Database!AP:AP,Database!$AD:$AD,$C37,Database!$A:$A,$C$1)/$G37),-0.00001)</f>
        <v>-1.0000000000000001E-5</v>
      </c>
      <c r="AJ37" s="293">
        <f>IFERROR(IF($C37="",-0.00001,SUMIFS(Database!AR:AR,Database!$AD:$AD,$C37,Database!$A:$A,$C$1)/$G37),-0.00001)</f>
        <v>-1.0000000000000001E-5</v>
      </c>
      <c r="AK37" s="293">
        <f>IFERROR(IF($C37="",-0.00001,SUMIFS(Database!AS:AS,Database!$AD:$AD,$C37,Database!$A:$A,$C$1)/$G37),-0.00001)</f>
        <v>-1.0000000000000001E-5</v>
      </c>
      <c r="AL37" s="293">
        <f>IFERROR(IF($C37="",-0.00001,SUMIFS(Database!AU:AU,Database!$AD:$AD,$C37,Database!$A:$A,$C$1)/$G37),-0.00001)</f>
        <v>-1.0000000000000001E-5</v>
      </c>
      <c r="AM37" s="293">
        <f>IFERROR(IF($C37="",-0.00001,SUMIFS(Database!AV:AV,Database!$AD:$AD,$C37,Database!$A:$A,$C$1)/$G37),-0.00001)</f>
        <v>-1.0000000000000001E-5</v>
      </c>
      <c r="AN37" s="187"/>
      <c r="AO37" s="187"/>
      <c r="AP37" s="187"/>
      <c r="AQ37" s="187"/>
      <c r="AR37" s="187"/>
      <c r="AS37" s="187"/>
      <c r="AT37" s="187"/>
      <c r="AU37" s="187"/>
      <c r="AV37" s="187"/>
      <c r="AW37" s="187"/>
      <c r="AX37" s="187"/>
    </row>
    <row r="38" spans="1:50" x14ac:dyDescent="0.25">
      <c r="A38" s="187"/>
      <c r="B38" s="187" t="str">
        <f>IF($C38="","",MAX($B$4:$B37)+1)</f>
        <v/>
      </c>
      <c r="C38" s="145"/>
      <c r="D38" s="233">
        <f>IF($C38="",-0.00001,COUNTIFS(Database!$AD:$AD,$C38,Database!$A:$A,$C$1,Database!$AE:$AE,"W"))</f>
        <v>-1.0000000000000001E-5</v>
      </c>
      <c r="E38" s="233">
        <f>IF($C38="",-0.00001,COUNTIFS(Database!$AD:$AD,$C38,Database!$A:$A,$C$1,Database!$AE:$AE,"L"))</f>
        <v>-1.0000000000000001E-5</v>
      </c>
      <c r="F38" s="233">
        <f t="shared" si="4"/>
        <v>-1.0000000000000001E-5</v>
      </c>
      <c r="G38" s="185">
        <f>IF($C38="",-0.00001,COUNTIFS(Database!AD:AD,$C38,Database!A:A,$C$1))</f>
        <v>-1.0000000000000001E-5</v>
      </c>
      <c r="H38" s="185">
        <f>IFERROR(IF($C38="",-0.00001,SUMIFS(Database!AG:AG,Database!$AD:$AD,$C38,Database!$A:$A,$C$1)),-0.00001)</f>
        <v>-1.0000000000000001E-5</v>
      </c>
      <c r="I38" s="185">
        <f>IFERROR(IF($C38="",-0.00001,SUMIFS(Database!AH:AH,Database!$AD:$AD,$C38,Database!$A:$A,$C$1)),-0.00001)</f>
        <v>-1.0000000000000001E-5</v>
      </c>
      <c r="J38" s="185">
        <f>IFERROR(IF($C38="",-0.00001,SUMIFS(Database!AI:AI,Database!$AD:$AD,$C38,Database!$A:$A,$C$1)),-0.00001)</f>
        <v>-1.0000000000000001E-5</v>
      </c>
      <c r="K38" s="185">
        <f>IFERROR(IF($C38="",-0.00001,SUMIFS(Database!AJ:AJ,Database!$AD:$AD,$C38,Database!$A:$A,$C$1)),-0.00001)</f>
        <v>-1.0000000000000001E-5</v>
      </c>
      <c r="L38" s="185">
        <f>IFERROR(IF($C38="",-0.00001,SUMIFS(Database!AK:AK,Database!$AD:$AD,$C38,Database!$A:$A,$C$1)),-0.00001)</f>
        <v>-1.0000000000000001E-5</v>
      </c>
      <c r="M38" s="185">
        <f>IFERROR(IF($C38="",-0.00001,SUMIFS(Database!AL:AL,Database!$AD:$AD,$C38,Database!$A:$A,$C$1)),-0.00001)</f>
        <v>-1.0000000000000001E-5</v>
      </c>
      <c r="N38" s="185">
        <f>IFERROR(IF($C38="",-0.00001,SUMIFS(Database!AM:AM,Database!$AD:$AD,$C38,Database!$A:$A,$C$1)),-0.00001)</f>
        <v>-1.0000000000000001E-5</v>
      </c>
      <c r="O38" s="185">
        <f>IFERROR(IF($C38="",-0.00001,SUMIFS(Database!AN:AN,Database!$AD:$AD,$C38,Database!$A:$A,$C$1)),-0.00001)</f>
        <v>-1.0000000000000001E-5</v>
      </c>
      <c r="P38" s="185">
        <f>IFERROR(IF($C38="",-0.00001,SUMIFS(Database!AO:AO,Database!$AD:$AD,$C38,Database!$A:$A,$C$1)),-0.00001)</f>
        <v>-1.0000000000000001E-5</v>
      </c>
      <c r="Q38" s="185">
        <f>IFERROR(IF($C38="",-0.00001,SUMIFS(Database!AP:AP,Database!$AD:$AD,$C38,Database!$A:$A,$C$1)),-0.00001)</f>
        <v>-1.0000000000000001E-5</v>
      </c>
      <c r="R38" s="186">
        <f t="shared" si="5"/>
        <v>-1.0000000000000001E-5</v>
      </c>
      <c r="S38" s="185">
        <f>IFERROR(IF($C38="",-0.00001,SUMIFS(Database!AR:AR,Database!$AD:$AD,$C38,Database!$A:$A,$C$1)),-0.00001)</f>
        <v>-1.0000000000000001E-5</v>
      </c>
      <c r="T38" s="185">
        <f>IFERROR(IF($C38="",-0.00001,SUMIFS(Database!AS:AS,Database!$AD:$AD,$C38,Database!$A:$A,$C$1)),-0.00001)</f>
        <v>-1.0000000000000001E-5</v>
      </c>
      <c r="U38" s="186">
        <f t="shared" si="6"/>
        <v>-1.0000000000000001E-5</v>
      </c>
      <c r="V38" s="185">
        <f>IFERROR(IF($C38="",-0.00001,SUMIFS(Database!AU:AU,Database!$AD:$AD,$C38,Database!$A:$A,$C$1)),-0.00001)</f>
        <v>-1.0000000000000001E-5</v>
      </c>
      <c r="W38" s="185">
        <f>IFERROR(IF($C38="",-0.00001,SUMIFS(Database!AV:AV,Database!$AD:$AD,$C38,Database!$A:$A,$C$1)),-0.00001)</f>
        <v>-1.0000000000000001E-5</v>
      </c>
      <c r="X38" s="186">
        <f t="shared" si="7"/>
        <v>-1.0000000000000001E-5</v>
      </c>
      <c r="Y38" s="291"/>
      <c r="Z38" s="293">
        <f>IFERROR(IF($C38="",-0.00001,SUMIFS(Database!AG:AG,Database!$AD:$AD,$C38,Database!$A:$A,$C$1)/$G38),-0.00001)</f>
        <v>-1.0000000000000001E-5</v>
      </c>
      <c r="AA38" s="293">
        <f>IFERROR(IF($C38="",-0.00001,SUMIFS(Database!AH:AH,Database!$AD:$AD,$C38,Database!$A:$A,$C$1)/$G38),-0.00001)</f>
        <v>-1.0000000000000001E-5</v>
      </c>
      <c r="AB38" s="293">
        <f>IFERROR(IF($C38="",-0.00001,SUMIFS(Database!AI:AI,Database!$AD:$AD,$C38,Database!$A:$A,$C$1)/$G38),-0.00001)</f>
        <v>-1.0000000000000001E-5</v>
      </c>
      <c r="AC38" s="293">
        <f>IFERROR(IF($C38="",-0.00001,SUMIFS(Database!AJ:AJ,Database!$AD:$AD,$C38,Database!$A:$A,$C$1)/$G38),-0.00001)</f>
        <v>-1.0000000000000001E-5</v>
      </c>
      <c r="AD38" s="293">
        <f>IFERROR(IF($C38="",-0.00001,SUMIFS(Database!AK:AK,Database!$AD:$AD,$C38,Database!$A:$A,$C$1)/$G38),-0.00001)</f>
        <v>-1.0000000000000001E-5</v>
      </c>
      <c r="AE38" s="293">
        <f>IFERROR(IF($C38="",-0.00001,SUMIFS(Database!AL:AL,Database!$AD:$AD,$C38,Database!$A:$A,$C$1)/$G38),-0.00001)</f>
        <v>-1.0000000000000001E-5</v>
      </c>
      <c r="AF38" s="293">
        <f>IFERROR(IF($C38="",-0.00001,SUMIFS(Database!AM:AM,Database!$AD:$AD,$C38,Database!$A:$A,$C$1)/$G38),-0.00001)</f>
        <v>-1.0000000000000001E-5</v>
      </c>
      <c r="AG38" s="293">
        <f>IFERROR(IF($C38="",-0.00001,SUMIFS(Database!AN:AN,Database!$AD:$AD,$C38,Database!$A:$A,$C$1)/$G38),-0.00001)</f>
        <v>-1.0000000000000001E-5</v>
      </c>
      <c r="AH38" s="293">
        <f>IFERROR(IF($C38="",-0.00001,SUMIFS(Database!AO:AO,Database!$AD:$AD,$C38,Database!$A:$A,$C$1)/$G38),-0.00001)</f>
        <v>-1.0000000000000001E-5</v>
      </c>
      <c r="AI38" s="293">
        <f>IFERROR(IF($C38="",-0.00001,SUMIFS(Database!AP:AP,Database!$AD:$AD,$C38,Database!$A:$A,$C$1)/$G38),-0.00001)</f>
        <v>-1.0000000000000001E-5</v>
      </c>
      <c r="AJ38" s="293">
        <f>IFERROR(IF($C38="",-0.00001,SUMIFS(Database!AR:AR,Database!$AD:$AD,$C38,Database!$A:$A,$C$1)/$G38),-0.00001)</f>
        <v>-1.0000000000000001E-5</v>
      </c>
      <c r="AK38" s="293">
        <f>IFERROR(IF($C38="",-0.00001,SUMIFS(Database!AS:AS,Database!$AD:$AD,$C38,Database!$A:$A,$C$1)/$G38),-0.00001)</f>
        <v>-1.0000000000000001E-5</v>
      </c>
      <c r="AL38" s="293">
        <f>IFERROR(IF($C38="",-0.00001,SUMIFS(Database!AU:AU,Database!$AD:$AD,$C38,Database!$A:$A,$C$1)/$G38),-0.00001)</f>
        <v>-1.0000000000000001E-5</v>
      </c>
      <c r="AM38" s="293">
        <f>IFERROR(IF($C38="",-0.00001,SUMIFS(Database!AV:AV,Database!$AD:$AD,$C38,Database!$A:$A,$C$1)/$G38),-0.00001)</f>
        <v>-1.0000000000000001E-5</v>
      </c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</row>
    <row r="39" spans="1:50" x14ac:dyDescent="0.25">
      <c r="A39" s="187"/>
      <c r="B39" s="187" t="str">
        <f>IF($C39="","",MAX($B$4:$B38)+1)</f>
        <v/>
      </c>
      <c r="C39" s="145"/>
      <c r="D39" s="233">
        <f>IF($C39="",-0.00001,COUNTIFS(Database!$AD:$AD,$C39,Database!$A:$A,$C$1,Database!$AE:$AE,"W"))</f>
        <v>-1.0000000000000001E-5</v>
      </c>
      <c r="E39" s="233">
        <f>IF($C39="",-0.00001,COUNTIFS(Database!$AD:$AD,$C39,Database!$A:$A,$C$1,Database!$AE:$AE,"L"))</f>
        <v>-1.0000000000000001E-5</v>
      </c>
      <c r="F39" s="233">
        <f t="shared" si="4"/>
        <v>-1.0000000000000001E-5</v>
      </c>
      <c r="G39" s="185">
        <f>IF($C39="",-0.00001,COUNTIFS(Database!AD:AD,$C39,Database!A:A,$C$1))</f>
        <v>-1.0000000000000001E-5</v>
      </c>
      <c r="H39" s="185">
        <f>IFERROR(IF($C39="",-0.00001,SUMIFS(Database!AG:AG,Database!$AD:$AD,$C39,Database!$A:$A,$C$1)),-0.00001)</f>
        <v>-1.0000000000000001E-5</v>
      </c>
      <c r="I39" s="185">
        <f>IFERROR(IF($C39="",-0.00001,SUMIFS(Database!AH:AH,Database!$AD:$AD,$C39,Database!$A:$A,$C$1)),-0.00001)</f>
        <v>-1.0000000000000001E-5</v>
      </c>
      <c r="J39" s="185">
        <f>IFERROR(IF($C39="",-0.00001,SUMIFS(Database!AI:AI,Database!$AD:$AD,$C39,Database!$A:$A,$C$1)),-0.00001)</f>
        <v>-1.0000000000000001E-5</v>
      </c>
      <c r="K39" s="185">
        <f>IFERROR(IF($C39="",-0.00001,SUMIFS(Database!AJ:AJ,Database!$AD:$AD,$C39,Database!$A:$A,$C$1)),-0.00001)</f>
        <v>-1.0000000000000001E-5</v>
      </c>
      <c r="L39" s="185">
        <f>IFERROR(IF($C39="",-0.00001,SUMIFS(Database!AK:AK,Database!$AD:$AD,$C39,Database!$A:$A,$C$1)),-0.00001)</f>
        <v>-1.0000000000000001E-5</v>
      </c>
      <c r="M39" s="185">
        <f>IFERROR(IF($C39="",-0.00001,SUMIFS(Database!AL:AL,Database!$AD:$AD,$C39,Database!$A:$A,$C$1)),-0.00001)</f>
        <v>-1.0000000000000001E-5</v>
      </c>
      <c r="N39" s="185">
        <f>IFERROR(IF($C39="",-0.00001,SUMIFS(Database!AM:AM,Database!$AD:$AD,$C39,Database!$A:$A,$C$1)),-0.00001)</f>
        <v>-1.0000000000000001E-5</v>
      </c>
      <c r="O39" s="185">
        <f>IFERROR(IF($C39="",-0.00001,SUMIFS(Database!AN:AN,Database!$AD:$AD,$C39,Database!$A:$A,$C$1)),-0.00001)</f>
        <v>-1.0000000000000001E-5</v>
      </c>
      <c r="P39" s="185">
        <f>IFERROR(IF($C39="",-0.00001,SUMIFS(Database!AO:AO,Database!$AD:$AD,$C39,Database!$A:$A,$C$1)),-0.00001)</f>
        <v>-1.0000000000000001E-5</v>
      </c>
      <c r="Q39" s="185">
        <f>IFERROR(IF($C39="",-0.00001,SUMIFS(Database!AP:AP,Database!$AD:$AD,$C39,Database!$A:$A,$C$1)),-0.00001)</f>
        <v>-1.0000000000000001E-5</v>
      </c>
      <c r="R39" s="186">
        <f t="shared" si="5"/>
        <v>-1.0000000000000001E-5</v>
      </c>
      <c r="S39" s="185">
        <f>IFERROR(IF($C39="",-0.00001,SUMIFS(Database!AR:AR,Database!$AD:$AD,$C39,Database!$A:$A,$C$1)),-0.00001)</f>
        <v>-1.0000000000000001E-5</v>
      </c>
      <c r="T39" s="185">
        <f>IFERROR(IF($C39="",-0.00001,SUMIFS(Database!AS:AS,Database!$AD:$AD,$C39,Database!$A:$A,$C$1)),-0.00001)</f>
        <v>-1.0000000000000001E-5</v>
      </c>
      <c r="U39" s="186">
        <f t="shared" si="6"/>
        <v>-1.0000000000000001E-5</v>
      </c>
      <c r="V39" s="185">
        <f>IFERROR(IF($C39="",-0.00001,SUMIFS(Database!AU:AU,Database!$AD:$AD,$C39,Database!$A:$A,$C$1)),-0.00001)</f>
        <v>-1.0000000000000001E-5</v>
      </c>
      <c r="W39" s="185">
        <f>IFERROR(IF($C39="",-0.00001,SUMIFS(Database!AV:AV,Database!$AD:$AD,$C39,Database!$A:$A,$C$1)),-0.00001)</f>
        <v>-1.0000000000000001E-5</v>
      </c>
      <c r="X39" s="186">
        <f t="shared" si="7"/>
        <v>-1.0000000000000001E-5</v>
      </c>
      <c r="Y39" s="291"/>
      <c r="Z39" s="293">
        <f>IFERROR(IF($C39="",-0.00001,SUMIFS(Database!AG:AG,Database!$AD:$AD,$C39,Database!$A:$A,$C$1)/$G39),-0.00001)</f>
        <v>-1.0000000000000001E-5</v>
      </c>
      <c r="AA39" s="293">
        <f>IFERROR(IF($C39="",-0.00001,SUMIFS(Database!AH:AH,Database!$AD:$AD,$C39,Database!$A:$A,$C$1)/$G39),-0.00001)</f>
        <v>-1.0000000000000001E-5</v>
      </c>
      <c r="AB39" s="293">
        <f>IFERROR(IF($C39="",-0.00001,SUMIFS(Database!AI:AI,Database!$AD:$AD,$C39,Database!$A:$A,$C$1)/$G39),-0.00001)</f>
        <v>-1.0000000000000001E-5</v>
      </c>
      <c r="AC39" s="293">
        <f>IFERROR(IF($C39="",-0.00001,SUMIFS(Database!AJ:AJ,Database!$AD:$AD,$C39,Database!$A:$A,$C$1)/$G39),-0.00001)</f>
        <v>-1.0000000000000001E-5</v>
      </c>
      <c r="AD39" s="293">
        <f>IFERROR(IF($C39="",-0.00001,SUMIFS(Database!AK:AK,Database!$AD:$AD,$C39,Database!$A:$A,$C$1)/$G39),-0.00001)</f>
        <v>-1.0000000000000001E-5</v>
      </c>
      <c r="AE39" s="293">
        <f>IFERROR(IF($C39="",-0.00001,SUMIFS(Database!AL:AL,Database!$AD:$AD,$C39,Database!$A:$A,$C$1)/$G39),-0.00001)</f>
        <v>-1.0000000000000001E-5</v>
      </c>
      <c r="AF39" s="293">
        <f>IFERROR(IF($C39="",-0.00001,SUMIFS(Database!AM:AM,Database!$AD:$AD,$C39,Database!$A:$A,$C$1)/$G39),-0.00001)</f>
        <v>-1.0000000000000001E-5</v>
      </c>
      <c r="AG39" s="293">
        <f>IFERROR(IF($C39="",-0.00001,SUMIFS(Database!AN:AN,Database!$AD:$AD,$C39,Database!$A:$A,$C$1)/$G39),-0.00001)</f>
        <v>-1.0000000000000001E-5</v>
      </c>
      <c r="AH39" s="293">
        <f>IFERROR(IF($C39="",-0.00001,SUMIFS(Database!AO:AO,Database!$AD:$AD,$C39,Database!$A:$A,$C$1)/$G39),-0.00001)</f>
        <v>-1.0000000000000001E-5</v>
      </c>
      <c r="AI39" s="293">
        <f>IFERROR(IF($C39="",-0.00001,SUMIFS(Database!AP:AP,Database!$AD:$AD,$C39,Database!$A:$A,$C$1)/$G39),-0.00001)</f>
        <v>-1.0000000000000001E-5</v>
      </c>
      <c r="AJ39" s="293">
        <f>IFERROR(IF($C39="",-0.00001,SUMIFS(Database!AR:AR,Database!$AD:$AD,$C39,Database!$A:$A,$C$1)/$G39),-0.00001)</f>
        <v>-1.0000000000000001E-5</v>
      </c>
      <c r="AK39" s="293">
        <f>IFERROR(IF($C39="",-0.00001,SUMIFS(Database!AS:AS,Database!$AD:$AD,$C39,Database!$A:$A,$C$1)/$G39),-0.00001)</f>
        <v>-1.0000000000000001E-5</v>
      </c>
      <c r="AL39" s="293">
        <f>IFERROR(IF($C39="",-0.00001,SUMIFS(Database!AU:AU,Database!$AD:$AD,$C39,Database!$A:$A,$C$1)/$G39),-0.00001)</f>
        <v>-1.0000000000000001E-5</v>
      </c>
      <c r="AM39" s="293">
        <f>IFERROR(IF($C39="",-0.00001,SUMIFS(Database!AV:AV,Database!$AD:$AD,$C39,Database!$A:$A,$C$1)/$G39),-0.00001)</f>
        <v>-1.0000000000000001E-5</v>
      </c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</row>
    <row r="40" spans="1:50" x14ac:dyDescent="0.25">
      <c r="A40" s="187"/>
      <c r="B40" s="187" t="str">
        <f>IF($C40="","",MAX($B$4:$B39)+1)</f>
        <v/>
      </c>
      <c r="C40" s="145"/>
      <c r="D40" s="233">
        <f>IF($C40="",-0.00001,COUNTIFS(Database!$AD:$AD,$C40,Database!$A:$A,$C$1,Database!$AE:$AE,"W"))</f>
        <v>-1.0000000000000001E-5</v>
      </c>
      <c r="E40" s="233">
        <f>IF($C40="",-0.00001,COUNTIFS(Database!$AD:$AD,$C40,Database!$A:$A,$C$1,Database!$AE:$AE,"L"))</f>
        <v>-1.0000000000000001E-5</v>
      </c>
      <c r="F40" s="233">
        <f t="shared" si="4"/>
        <v>-1.0000000000000001E-5</v>
      </c>
      <c r="G40" s="185">
        <f>IF($C40="",-0.00001,COUNTIFS(Database!AD:AD,$C40,Database!A:A,$C$1))</f>
        <v>-1.0000000000000001E-5</v>
      </c>
      <c r="H40" s="185">
        <f>IFERROR(IF($C40="",-0.00001,SUMIFS(Database!AG:AG,Database!$AD:$AD,$C40,Database!$A:$A,$C$1)),-0.00001)</f>
        <v>-1.0000000000000001E-5</v>
      </c>
      <c r="I40" s="185">
        <f>IFERROR(IF($C40="",-0.00001,SUMIFS(Database!AH:AH,Database!$AD:$AD,$C40,Database!$A:$A,$C$1)),-0.00001)</f>
        <v>-1.0000000000000001E-5</v>
      </c>
      <c r="J40" s="185">
        <f>IFERROR(IF($C40="",-0.00001,SUMIFS(Database!AI:AI,Database!$AD:$AD,$C40,Database!$A:$A,$C$1)),-0.00001)</f>
        <v>-1.0000000000000001E-5</v>
      </c>
      <c r="K40" s="185">
        <f>IFERROR(IF($C40="",-0.00001,SUMIFS(Database!AJ:AJ,Database!$AD:$AD,$C40,Database!$A:$A,$C$1)),-0.00001)</f>
        <v>-1.0000000000000001E-5</v>
      </c>
      <c r="L40" s="185">
        <f>IFERROR(IF($C40="",-0.00001,SUMIFS(Database!AK:AK,Database!$AD:$AD,$C40,Database!$A:$A,$C$1)),-0.00001)</f>
        <v>-1.0000000000000001E-5</v>
      </c>
      <c r="M40" s="185">
        <f>IFERROR(IF($C40="",-0.00001,SUMIFS(Database!AL:AL,Database!$AD:$AD,$C40,Database!$A:$A,$C$1)),-0.00001)</f>
        <v>-1.0000000000000001E-5</v>
      </c>
      <c r="N40" s="185">
        <f>IFERROR(IF($C40="",-0.00001,SUMIFS(Database!AM:AM,Database!$AD:$AD,$C40,Database!$A:$A,$C$1)),-0.00001)</f>
        <v>-1.0000000000000001E-5</v>
      </c>
      <c r="O40" s="185">
        <f>IFERROR(IF($C40="",-0.00001,SUMIFS(Database!AN:AN,Database!$AD:$AD,$C40,Database!$A:$A,$C$1)),-0.00001)</f>
        <v>-1.0000000000000001E-5</v>
      </c>
      <c r="P40" s="185">
        <f>IFERROR(IF($C40="",-0.00001,SUMIFS(Database!AO:AO,Database!$AD:$AD,$C40,Database!$A:$A,$C$1)),-0.00001)</f>
        <v>-1.0000000000000001E-5</v>
      </c>
      <c r="Q40" s="185">
        <f>IFERROR(IF($C40="",-0.00001,SUMIFS(Database!AP:AP,Database!$AD:$AD,$C40,Database!$A:$A,$C$1)),-0.00001)</f>
        <v>-1.0000000000000001E-5</v>
      </c>
      <c r="R40" s="186">
        <f t="shared" si="5"/>
        <v>-1.0000000000000001E-5</v>
      </c>
      <c r="S40" s="185">
        <f>IFERROR(IF($C40="",-0.00001,SUMIFS(Database!AR:AR,Database!$AD:$AD,$C40,Database!$A:$A,$C$1)),-0.00001)</f>
        <v>-1.0000000000000001E-5</v>
      </c>
      <c r="T40" s="185">
        <f>IFERROR(IF($C40="",-0.00001,SUMIFS(Database!AS:AS,Database!$AD:$AD,$C40,Database!$A:$A,$C$1)),-0.00001)</f>
        <v>-1.0000000000000001E-5</v>
      </c>
      <c r="U40" s="186">
        <f t="shared" si="6"/>
        <v>-1.0000000000000001E-5</v>
      </c>
      <c r="V40" s="185">
        <f>IFERROR(IF($C40="",-0.00001,SUMIFS(Database!AU:AU,Database!$AD:$AD,$C40,Database!$A:$A,$C$1)),-0.00001)</f>
        <v>-1.0000000000000001E-5</v>
      </c>
      <c r="W40" s="185">
        <f>IFERROR(IF($C40="",-0.00001,SUMIFS(Database!AV:AV,Database!$AD:$AD,$C40,Database!$A:$A,$C$1)),-0.00001)</f>
        <v>-1.0000000000000001E-5</v>
      </c>
      <c r="X40" s="186">
        <f t="shared" si="7"/>
        <v>-1.0000000000000001E-5</v>
      </c>
      <c r="Y40" s="291"/>
      <c r="Z40" s="293">
        <f>IFERROR(IF($C40="",-0.00001,SUMIFS(Database!AG:AG,Database!$AD:$AD,$C40,Database!$A:$A,$C$1)/$G40),-0.00001)</f>
        <v>-1.0000000000000001E-5</v>
      </c>
      <c r="AA40" s="293">
        <f>IFERROR(IF($C40="",-0.00001,SUMIFS(Database!AH:AH,Database!$AD:$AD,$C40,Database!$A:$A,$C$1)/$G40),-0.00001)</f>
        <v>-1.0000000000000001E-5</v>
      </c>
      <c r="AB40" s="293">
        <f>IFERROR(IF($C40="",-0.00001,SUMIFS(Database!AI:AI,Database!$AD:$AD,$C40,Database!$A:$A,$C$1)/$G40),-0.00001)</f>
        <v>-1.0000000000000001E-5</v>
      </c>
      <c r="AC40" s="293">
        <f>IFERROR(IF($C40="",-0.00001,SUMIFS(Database!AJ:AJ,Database!$AD:$AD,$C40,Database!$A:$A,$C$1)/$G40),-0.00001)</f>
        <v>-1.0000000000000001E-5</v>
      </c>
      <c r="AD40" s="293">
        <f>IFERROR(IF($C40="",-0.00001,SUMIFS(Database!AK:AK,Database!$AD:$AD,$C40,Database!$A:$A,$C$1)/$G40),-0.00001)</f>
        <v>-1.0000000000000001E-5</v>
      </c>
      <c r="AE40" s="293">
        <f>IFERROR(IF($C40="",-0.00001,SUMIFS(Database!AL:AL,Database!$AD:$AD,$C40,Database!$A:$A,$C$1)/$G40),-0.00001)</f>
        <v>-1.0000000000000001E-5</v>
      </c>
      <c r="AF40" s="293">
        <f>IFERROR(IF($C40="",-0.00001,SUMIFS(Database!AM:AM,Database!$AD:$AD,$C40,Database!$A:$A,$C$1)/$G40),-0.00001)</f>
        <v>-1.0000000000000001E-5</v>
      </c>
      <c r="AG40" s="293">
        <f>IFERROR(IF($C40="",-0.00001,SUMIFS(Database!AN:AN,Database!$AD:$AD,$C40,Database!$A:$A,$C$1)/$G40),-0.00001)</f>
        <v>-1.0000000000000001E-5</v>
      </c>
      <c r="AH40" s="293">
        <f>IFERROR(IF($C40="",-0.00001,SUMIFS(Database!AO:AO,Database!$AD:$AD,$C40,Database!$A:$A,$C$1)/$G40),-0.00001)</f>
        <v>-1.0000000000000001E-5</v>
      </c>
      <c r="AI40" s="293">
        <f>IFERROR(IF($C40="",-0.00001,SUMIFS(Database!AP:AP,Database!$AD:$AD,$C40,Database!$A:$A,$C$1)/$G40),-0.00001)</f>
        <v>-1.0000000000000001E-5</v>
      </c>
      <c r="AJ40" s="293">
        <f>IFERROR(IF($C40="",-0.00001,SUMIFS(Database!AR:AR,Database!$AD:$AD,$C40,Database!$A:$A,$C$1)/$G40),-0.00001)</f>
        <v>-1.0000000000000001E-5</v>
      </c>
      <c r="AK40" s="293">
        <f>IFERROR(IF($C40="",-0.00001,SUMIFS(Database!AS:AS,Database!$AD:$AD,$C40,Database!$A:$A,$C$1)/$G40),-0.00001)</f>
        <v>-1.0000000000000001E-5</v>
      </c>
      <c r="AL40" s="293">
        <f>IFERROR(IF($C40="",-0.00001,SUMIFS(Database!AU:AU,Database!$AD:$AD,$C40,Database!$A:$A,$C$1)/$G40),-0.00001)</f>
        <v>-1.0000000000000001E-5</v>
      </c>
      <c r="AM40" s="293">
        <f>IFERROR(IF($C40="",-0.00001,SUMIFS(Database!AV:AV,Database!$AD:$AD,$C40,Database!$A:$A,$C$1)/$G40),-0.00001)</f>
        <v>-1.0000000000000001E-5</v>
      </c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</row>
    <row r="41" spans="1:50" x14ac:dyDescent="0.25">
      <c r="A41" s="187"/>
      <c r="B41" s="187" t="str">
        <f>IF($C41="","",MAX($B$4:$B40)+1)</f>
        <v/>
      </c>
      <c r="C41" s="145"/>
      <c r="D41" s="233">
        <f>IF($C41="",-0.00001,COUNTIFS(Database!$AD:$AD,$C41,Database!$A:$A,$C$1,Database!$AE:$AE,"W"))</f>
        <v>-1.0000000000000001E-5</v>
      </c>
      <c r="E41" s="233">
        <f>IF($C41="",-0.00001,COUNTIFS(Database!$AD:$AD,$C41,Database!$A:$A,$C$1,Database!$AE:$AE,"L"))</f>
        <v>-1.0000000000000001E-5</v>
      </c>
      <c r="F41" s="233">
        <f t="shared" si="4"/>
        <v>-1.0000000000000001E-5</v>
      </c>
      <c r="G41" s="185">
        <f>IF($C41="",-0.00001,COUNTIFS(Database!AD:AD,$C41,Database!A:A,$C$1))</f>
        <v>-1.0000000000000001E-5</v>
      </c>
      <c r="H41" s="185">
        <f>IFERROR(IF($C41="",-0.00001,SUMIFS(Database!AG:AG,Database!$AD:$AD,$C41,Database!$A:$A,$C$1)),-0.00001)</f>
        <v>-1.0000000000000001E-5</v>
      </c>
      <c r="I41" s="185">
        <f>IFERROR(IF($C41="",-0.00001,SUMIFS(Database!AH:AH,Database!$AD:$AD,$C41,Database!$A:$A,$C$1)),-0.00001)</f>
        <v>-1.0000000000000001E-5</v>
      </c>
      <c r="J41" s="185">
        <f>IFERROR(IF($C41="",-0.00001,SUMIFS(Database!AI:AI,Database!$AD:$AD,$C41,Database!$A:$A,$C$1)),-0.00001)</f>
        <v>-1.0000000000000001E-5</v>
      </c>
      <c r="K41" s="185">
        <f>IFERROR(IF($C41="",-0.00001,SUMIFS(Database!AJ:AJ,Database!$AD:$AD,$C41,Database!$A:$A,$C$1)),-0.00001)</f>
        <v>-1.0000000000000001E-5</v>
      </c>
      <c r="L41" s="185">
        <f>IFERROR(IF($C41="",-0.00001,SUMIFS(Database!AK:AK,Database!$AD:$AD,$C41,Database!$A:$A,$C$1)),-0.00001)</f>
        <v>-1.0000000000000001E-5</v>
      </c>
      <c r="M41" s="185">
        <f>IFERROR(IF($C41="",-0.00001,SUMIFS(Database!AL:AL,Database!$AD:$AD,$C41,Database!$A:$A,$C$1)),-0.00001)</f>
        <v>-1.0000000000000001E-5</v>
      </c>
      <c r="N41" s="185">
        <f>IFERROR(IF($C41="",-0.00001,SUMIFS(Database!AM:AM,Database!$AD:$AD,$C41,Database!$A:$A,$C$1)),-0.00001)</f>
        <v>-1.0000000000000001E-5</v>
      </c>
      <c r="O41" s="185">
        <f>IFERROR(IF($C41="",-0.00001,SUMIFS(Database!AN:AN,Database!$AD:$AD,$C41,Database!$A:$A,$C$1)),-0.00001)</f>
        <v>-1.0000000000000001E-5</v>
      </c>
      <c r="P41" s="185">
        <f>IFERROR(IF($C41="",-0.00001,SUMIFS(Database!AO:AO,Database!$AD:$AD,$C41,Database!$A:$A,$C$1)),-0.00001)</f>
        <v>-1.0000000000000001E-5</v>
      </c>
      <c r="Q41" s="185">
        <f>IFERROR(IF($C41="",-0.00001,SUMIFS(Database!AP:AP,Database!$AD:$AD,$C41,Database!$A:$A,$C$1)),-0.00001)</f>
        <v>-1.0000000000000001E-5</v>
      </c>
      <c r="R41" s="186">
        <f t="shared" si="5"/>
        <v>-1.0000000000000001E-5</v>
      </c>
      <c r="S41" s="185">
        <f>IFERROR(IF($C41="",-0.00001,SUMIFS(Database!AR:AR,Database!$AD:$AD,$C41,Database!$A:$A,$C$1)),-0.00001)</f>
        <v>-1.0000000000000001E-5</v>
      </c>
      <c r="T41" s="185">
        <f>IFERROR(IF($C41="",-0.00001,SUMIFS(Database!AS:AS,Database!$AD:$AD,$C41,Database!$A:$A,$C$1)),-0.00001)</f>
        <v>-1.0000000000000001E-5</v>
      </c>
      <c r="U41" s="186">
        <f t="shared" si="6"/>
        <v>-1.0000000000000001E-5</v>
      </c>
      <c r="V41" s="185">
        <f>IFERROR(IF($C41="",-0.00001,SUMIFS(Database!AU:AU,Database!$AD:$AD,$C41,Database!$A:$A,$C$1)),-0.00001)</f>
        <v>-1.0000000000000001E-5</v>
      </c>
      <c r="W41" s="185">
        <f>IFERROR(IF($C41="",-0.00001,SUMIFS(Database!AV:AV,Database!$AD:$AD,$C41,Database!$A:$A,$C$1)),-0.00001)</f>
        <v>-1.0000000000000001E-5</v>
      </c>
      <c r="X41" s="186">
        <f t="shared" si="7"/>
        <v>-1.0000000000000001E-5</v>
      </c>
      <c r="Y41" s="291"/>
      <c r="Z41" s="293">
        <f>IFERROR(IF($C41="",-0.00001,SUMIFS(Database!AG:AG,Database!$AD:$AD,$C41,Database!$A:$A,$C$1)/$G41),-0.00001)</f>
        <v>-1.0000000000000001E-5</v>
      </c>
      <c r="AA41" s="293">
        <f>IFERROR(IF($C41="",-0.00001,SUMIFS(Database!AH:AH,Database!$AD:$AD,$C41,Database!$A:$A,$C$1)/$G41),-0.00001)</f>
        <v>-1.0000000000000001E-5</v>
      </c>
      <c r="AB41" s="293">
        <f>IFERROR(IF($C41="",-0.00001,SUMIFS(Database!AI:AI,Database!$AD:$AD,$C41,Database!$A:$A,$C$1)/$G41),-0.00001)</f>
        <v>-1.0000000000000001E-5</v>
      </c>
      <c r="AC41" s="293">
        <f>IFERROR(IF($C41="",-0.00001,SUMIFS(Database!AJ:AJ,Database!$AD:$AD,$C41,Database!$A:$A,$C$1)/$G41),-0.00001)</f>
        <v>-1.0000000000000001E-5</v>
      </c>
      <c r="AD41" s="293">
        <f>IFERROR(IF($C41="",-0.00001,SUMIFS(Database!AK:AK,Database!$AD:$AD,$C41,Database!$A:$A,$C$1)/$G41),-0.00001)</f>
        <v>-1.0000000000000001E-5</v>
      </c>
      <c r="AE41" s="293">
        <f>IFERROR(IF($C41="",-0.00001,SUMIFS(Database!AL:AL,Database!$AD:$AD,$C41,Database!$A:$A,$C$1)/$G41),-0.00001)</f>
        <v>-1.0000000000000001E-5</v>
      </c>
      <c r="AF41" s="293">
        <f>IFERROR(IF($C41="",-0.00001,SUMIFS(Database!AM:AM,Database!$AD:$AD,$C41,Database!$A:$A,$C$1)/$G41),-0.00001)</f>
        <v>-1.0000000000000001E-5</v>
      </c>
      <c r="AG41" s="293">
        <f>IFERROR(IF($C41="",-0.00001,SUMIFS(Database!AN:AN,Database!$AD:$AD,$C41,Database!$A:$A,$C$1)/$G41),-0.00001)</f>
        <v>-1.0000000000000001E-5</v>
      </c>
      <c r="AH41" s="293">
        <f>IFERROR(IF($C41="",-0.00001,SUMIFS(Database!AO:AO,Database!$AD:$AD,$C41,Database!$A:$A,$C$1)/$G41),-0.00001)</f>
        <v>-1.0000000000000001E-5</v>
      </c>
      <c r="AI41" s="293">
        <f>IFERROR(IF($C41="",-0.00001,SUMIFS(Database!AP:AP,Database!$AD:$AD,$C41,Database!$A:$A,$C$1)/$G41),-0.00001)</f>
        <v>-1.0000000000000001E-5</v>
      </c>
      <c r="AJ41" s="293">
        <f>IFERROR(IF($C41="",-0.00001,SUMIFS(Database!AR:AR,Database!$AD:$AD,$C41,Database!$A:$A,$C$1)/$G41),-0.00001)</f>
        <v>-1.0000000000000001E-5</v>
      </c>
      <c r="AK41" s="293">
        <f>IFERROR(IF($C41="",-0.00001,SUMIFS(Database!AS:AS,Database!$AD:$AD,$C41,Database!$A:$A,$C$1)/$G41),-0.00001)</f>
        <v>-1.0000000000000001E-5</v>
      </c>
      <c r="AL41" s="293">
        <f>IFERROR(IF($C41="",-0.00001,SUMIFS(Database!AU:AU,Database!$AD:$AD,$C41,Database!$A:$A,$C$1)/$G41),-0.00001)</f>
        <v>-1.0000000000000001E-5</v>
      </c>
      <c r="AM41" s="293">
        <f>IFERROR(IF($C41="",-0.00001,SUMIFS(Database!AV:AV,Database!$AD:$AD,$C41,Database!$A:$A,$C$1)/$G41),-0.00001)</f>
        <v>-1.0000000000000001E-5</v>
      </c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</row>
    <row r="42" spans="1:50" x14ac:dyDescent="0.25">
      <c r="A42" s="187"/>
      <c r="B42" s="187" t="str">
        <f>IF($C42="","",MAX($B$4:$B41)+1)</f>
        <v/>
      </c>
      <c r="C42" s="145"/>
      <c r="D42" s="233">
        <f>IF($C42="",-0.00001,COUNTIFS(Database!$AD:$AD,$C42,Database!$A:$A,$C$1,Database!$AE:$AE,"W"))</f>
        <v>-1.0000000000000001E-5</v>
      </c>
      <c r="E42" s="233">
        <f>IF($C42="",-0.00001,COUNTIFS(Database!$AD:$AD,$C42,Database!$A:$A,$C$1,Database!$AE:$AE,"L"))</f>
        <v>-1.0000000000000001E-5</v>
      </c>
      <c r="F42" s="233">
        <f t="shared" si="4"/>
        <v>-1.0000000000000001E-5</v>
      </c>
      <c r="G42" s="185">
        <f>IF($C42="",-0.00001,COUNTIFS(Database!AD:AD,$C42,Database!A:A,$C$1))</f>
        <v>-1.0000000000000001E-5</v>
      </c>
      <c r="H42" s="185">
        <f>IFERROR(IF($C42="",-0.00001,SUMIFS(Database!AG:AG,Database!$AD:$AD,$C42,Database!$A:$A,$C$1)),-0.00001)</f>
        <v>-1.0000000000000001E-5</v>
      </c>
      <c r="I42" s="185">
        <f>IFERROR(IF($C42="",-0.00001,SUMIFS(Database!AH:AH,Database!$AD:$AD,$C42,Database!$A:$A,$C$1)),-0.00001)</f>
        <v>-1.0000000000000001E-5</v>
      </c>
      <c r="J42" s="185">
        <f>IFERROR(IF($C42="",-0.00001,SUMIFS(Database!AI:AI,Database!$AD:$AD,$C42,Database!$A:$A,$C$1)),-0.00001)</f>
        <v>-1.0000000000000001E-5</v>
      </c>
      <c r="K42" s="185">
        <f>IFERROR(IF($C42="",-0.00001,SUMIFS(Database!AJ:AJ,Database!$AD:$AD,$C42,Database!$A:$A,$C$1)),-0.00001)</f>
        <v>-1.0000000000000001E-5</v>
      </c>
      <c r="L42" s="185">
        <f>IFERROR(IF($C42="",-0.00001,SUMIFS(Database!AK:AK,Database!$AD:$AD,$C42,Database!$A:$A,$C$1)),-0.00001)</f>
        <v>-1.0000000000000001E-5</v>
      </c>
      <c r="M42" s="185">
        <f>IFERROR(IF($C42="",-0.00001,SUMIFS(Database!AL:AL,Database!$AD:$AD,$C42,Database!$A:$A,$C$1)),-0.00001)</f>
        <v>-1.0000000000000001E-5</v>
      </c>
      <c r="N42" s="185">
        <f>IFERROR(IF($C42="",-0.00001,SUMIFS(Database!AM:AM,Database!$AD:$AD,$C42,Database!$A:$A,$C$1)),-0.00001)</f>
        <v>-1.0000000000000001E-5</v>
      </c>
      <c r="O42" s="185">
        <f>IFERROR(IF($C42="",-0.00001,SUMIFS(Database!AN:AN,Database!$AD:$AD,$C42,Database!$A:$A,$C$1)),-0.00001)</f>
        <v>-1.0000000000000001E-5</v>
      </c>
      <c r="P42" s="185">
        <f>IFERROR(IF($C42="",-0.00001,SUMIFS(Database!AO:AO,Database!$AD:$AD,$C42,Database!$A:$A,$C$1)),-0.00001)</f>
        <v>-1.0000000000000001E-5</v>
      </c>
      <c r="Q42" s="185">
        <f>IFERROR(IF($C42="",-0.00001,SUMIFS(Database!AP:AP,Database!$AD:$AD,$C42,Database!$A:$A,$C$1)),-0.00001)</f>
        <v>-1.0000000000000001E-5</v>
      </c>
      <c r="R42" s="186">
        <f t="shared" si="5"/>
        <v>-1.0000000000000001E-5</v>
      </c>
      <c r="S42" s="185">
        <f>IFERROR(IF($C42="",-0.00001,SUMIFS(Database!AR:AR,Database!$AD:$AD,$C42,Database!$A:$A,$C$1)),-0.00001)</f>
        <v>-1.0000000000000001E-5</v>
      </c>
      <c r="T42" s="185">
        <f>IFERROR(IF($C42="",-0.00001,SUMIFS(Database!AS:AS,Database!$AD:$AD,$C42,Database!$A:$A,$C$1)),-0.00001)</f>
        <v>-1.0000000000000001E-5</v>
      </c>
      <c r="U42" s="186">
        <f t="shared" si="6"/>
        <v>-1.0000000000000001E-5</v>
      </c>
      <c r="V42" s="185">
        <f>IFERROR(IF($C42="",-0.00001,SUMIFS(Database!AU:AU,Database!$AD:$AD,$C42,Database!$A:$A,$C$1)),-0.00001)</f>
        <v>-1.0000000000000001E-5</v>
      </c>
      <c r="W42" s="185">
        <f>IFERROR(IF($C42="",-0.00001,SUMIFS(Database!AV:AV,Database!$AD:$AD,$C42,Database!$A:$A,$C$1)),-0.00001)</f>
        <v>-1.0000000000000001E-5</v>
      </c>
      <c r="X42" s="186">
        <f t="shared" si="7"/>
        <v>-1.0000000000000001E-5</v>
      </c>
      <c r="Y42" s="291"/>
      <c r="Z42" s="293">
        <f>IFERROR(IF($C42="",-0.00001,SUMIFS(Database!AG:AG,Database!$AD:$AD,$C42,Database!$A:$A,$C$1)/$G42),-0.00001)</f>
        <v>-1.0000000000000001E-5</v>
      </c>
      <c r="AA42" s="293">
        <f>IFERROR(IF($C42="",-0.00001,SUMIFS(Database!AH:AH,Database!$AD:$AD,$C42,Database!$A:$A,$C$1)/$G42),-0.00001)</f>
        <v>-1.0000000000000001E-5</v>
      </c>
      <c r="AB42" s="293">
        <f>IFERROR(IF($C42="",-0.00001,SUMIFS(Database!AI:AI,Database!$AD:$AD,$C42,Database!$A:$A,$C$1)/$G42),-0.00001)</f>
        <v>-1.0000000000000001E-5</v>
      </c>
      <c r="AC42" s="293">
        <f>IFERROR(IF($C42="",-0.00001,SUMIFS(Database!AJ:AJ,Database!$AD:$AD,$C42,Database!$A:$A,$C$1)/$G42),-0.00001)</f>
        <v>-1.0000000000000001E-5</v>
      </c>
      <c r="AD42" s="293">
        <f>IFERROR(IF($C42="",-0.00001,SUMIFS(Database!AK:AK,Database!$AD:$AD,$C42,Database!$A:$A,$C$1)/$G42),-0.00001)</f>
        <v>-1.0000000000000001E-5</v>
      </c>
      <c r="AE42" s="293">
        <f>IFERROR(IF($C42="",-0.00001,SUMIFS(Database!AL:AL,Database!$AD:$AD,$C42,Database!$A:$A,$C$1)/$G42),-0.00001)</f>
        <v>-1.0000000000000001E-5</v>
      </c>
      <c r="AF42" s="293">
        <f>IFERROR(IF($C42="",-0.00001,SUMIFS(Database!AM:AM,Database!$AD:$AD,$C42,Database!$A:$A,$C$1)/$G42),-0.00001)</f>
        <v>-1.0000000000000001E-5</v>
      </c>
      <c r="AG42" s="293">
        <f>IFERROR(IF($C42="",-0.00001,SUMIFS(Database!AN:AN,Database!$AD:$AD,$C42,Database!$A:$A,$C$1)/$G42),-0.00001)</f>
        <v>-1.0000000000000001E-5</v>
      </c>
      <c r="AH42" s="293">
        <f>IFERROR(IF($C42="",-0.00001,SUMIFS(Database!AO:AO,Database!$AD:$AD,$C42,Database!$A:$A,$C$1)/$G42),-0.00001)</f>
        <v>-1.0000000000000001E-5</v>
      </c>
      <c r="AI42" s="293">
        <f>IFERROR(IF($C42="",-0.00001,SUMIFS(Database!AP:AP,Database!$AD:$AD,$C42,Database!$A:$A,$C$1)/$G42),-0.00001)</f>
        <v>-1.0000000000000001E-5</v>
      </c>
      <c r="AJ42" s="293">
        <f>IFERROR(IF($C42="",-0.00001,SUMIFS(Database!AR:AR,Database!$AD:$AD,$C42,Database!$A:$A,$C$1)/$G42),-0.00001)</f>
        <v>-1.0000000000000001E-5</v>
      </c>
      <c r="AK42" s="293">
        <f>IFERROR(IF($C42="",-0.00001,SUMIFS(Database!AS:AS,Database!$AD:$AD,$C42,Database!$A:$A,$C$1)/$G42),-0.00001)</f>
        <v>-1.0000000000000001E-5</v>
      </c>
      <c r="AL42" s="293">
        <f>IFERROR(IF($C42="",-0.00001,SUMIFS(Database!AU:AU,Database!$AD:$AD,$C42,Database!$A:$A,$C$1)/$G42),-0.00001)</f>
        <v>-1.0000000000000001E-5</v>
      </c>
      <c r="AM42" s="293">
        <f>IFERROR(IF($C42="",-0.00001,SUMIFS(Database!AV:AV,Database!$AD:$AD,$C42,Database!$A:$A,$C$1)/$G42),-0.00001)</f>
        <v>-1.0000000000000001E-5</v>
      </c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</row>
    <row r="43" spans="1:50" x14ac:dyDescent="0.25">
      <c r="A43" s="187"/>
      <c r="B43" s="187" t="str">
        <f>IF($C43="","",MAX($B$4:$B42)+1)</f>
        <v/>
      </c>
      <c r="C43" s="145"/>
      <c r="D43" s="233">
        <f>IF($C43="",-0.00001,COUNTIFS(Database!$AD:$AD,$C43,Database!$A:$A,$C$1,Database!$AE:$AE,"W"))</f>
        <v>-1.0000000000000001E-5</v>
      </c>
      <c r="E43" s="233">
        <f>IF($C43="",-0.00001,COUNTIFS(Database!$AD:$AD,$C43,Database!$A:$A,$C$1,Database!$AE:$AE,"L"))</f>
        <v>-1.0000000000000001E-5</v>
      </c>
      <c r="F43" s="233">
        <f t="shared" si="4"/>
        <v>-1.0000000000000001E-5</v>
      </c>
      <c r="G43" s="185">
        <f>IF($C43="",-0.00001,COUNTIFS(Database!AD:AD,$C43,Database!A:A,$C$1))</f>
        <v>-1.0000000000000001E-5</v>
      </c>
      <c r="H43" s="185">
        <f>IFERROR(IF($C43="",-0.00001,SUMIFS(Database!AG:AG,Database!$AD:$AD,$C43,Database!$A:$A,$C$1)),-0.00001)</f>
        <v>-1.0000000000000001E-5</v>
      </c>
      <c r="I43" s="185">
        <f>IFERROR(IF($C43="",-0.00001,SUMIFS(Database!AH:AH,Database!$AD:$AD,$C43,Database!$A:$A,$C$1)),-0.00001)</f>
        <v>-1.0000000000000001E-5</v>
      </c>
      <c r="J43" s="185">
        <f>IFERROR(IF($C43="",-0.00001,SUMIFS(Database!AI:AI,Database!$AD:$AD,$C43,Database!$A:$A,$C$1)),-0.00001)</f>
        <v>-1.0000000000000001E-5</v>
      </c>
      <c r="K43" s="185">
        <f>IFERROR(IF($C43="",-0.00001,SUMIFS(Database!AJ:AJ,Database!$AD:$AD,$C43,Database!$A:$A,$C$1)),-0.00001)</f>
        <v>-1.0000000000000001E-5</v>
      </c>
      <c r="L43" s="185">
        <f>IFERROR(IF($C43="",-0.00001,SUMIFS(Database!AK:AK,Database!$AD:$AD,$C43,Database!$A:$A,$C$1)),-0.00001)</f>
        <v>-1.0000000000000001E-5</v>
      </c>
      <c r="M43" s="185">
        <f>IFERROR(IF($C43="",-0.00001,SUMIFS(Database!AL:AL,Database!$AD:$AD,$C43,Database!$A:$A,$C$1)),-0.00001)</f>
        <v>-1.0000000000000001E-5</v>
      </c>
      <c r="N43" s="185">
        <f>IFERROR(IF($C43="",-0.00001,SUMIFS(Database!AM:AM,Database!$AD:$AD,$C43,Database!$A:$A,$C$1)),-0.00001)</f>
        <v>-1.0000000000000001E-5</v>
      </c>
      <c r="O43" s="185">
        <f>IFERROR(IF($C43="",-0.00001,SUMIFS(Database!AN:AN,Database!$AD:$AD,$C43,Database!$A:$A,$C$1)),-0.00001)</f>
        <v>-1.0000000000000001E-5</v>
      </c>
      <c r="P43" s="185">
        <f>IFERROR(IF($C43="",-0.00001,SUMIFS(Database!AO:AO,Database!$AD:$AD,$C43,Database!$A:$A,$C$1)),-0.00001)</f>
        <v>-1.0000000000000001E-5</v>
      </c>
      <c r="Q43" s="185">
        <f>IFERROR(IF($C43="",-0.00001,SUMIFS(Database!AP:AP,Database!$AD:$AD,$C43,Database!$A:$A,$C$1)),-0.00001)</f>
        <v>-1.0000000000000001E-5</v>
      </c>
      <c r="R43" s="186">
        <f t="shared" si="5"/>
        <v>-1.0000000000000001E-5</v>
      </c>
      <c r="S43" s="185">
        <f>IFERROR(IF($C43="",-0.00001,SUMIFS(Database!AR:AR,Database!$AD:$AD,$C43,Database!$A:$A,$C$1)),-0.00001)</f>
        <v>-1.0000000000000001E-5</v>
      </c>
      <c r="T43" s="185">
        <f>IFERROR(IF($C43="",-0.00001,SUMIFS(Database!AS:AS,Database!$AD:$AD,$C43,Database!$A:$A,$C$1)),-0.00001)</f>
        <v>-1.0000000000000001E-5</v>
      </c>
      <c r="U43" s="186">
        <f t="shared" si="6"/>
        <v>-1.0000000000000001E-5</v>
      </c>
      <c r="V43" s="185">
        <f>IFERROR(IF($C43="",-0.00001,SUMIFS(Database!AU:AU,Database!$AD:$AD,$C43,Database!$A:$A,$C$1)),-0.00001)</f>
        <v>-1.0000000000000001E-5</v>
      </c>
      <c r="W43" s="185">
        <f>IFERROR(IF($C43="",-0.00001,SUMIFS(Database!AV:AV,Database!$AD:$AD,$C43,Database!$A:$A,$C$1)),-0.00001)</f>
        <v>-1.0000000000000001E-5</v>
      </c>
      <c r="X43" s="186">
        <f t="shared" si="7"/>
        <v>-1.0000000000000001E-5</v>
      </c>
      <c r="Y43" s="291"/>
      <c r="Z43" s="293">
        <f>IFERROR(IF($C43="",-0.00001,SUMIFS(Database!AG:AG,Database!$AD:$AD,$C43,Database!$A:$A,$C$1)/$G43),-0.00001)</f>
        <v>-1.0000000000000001E-5</v>
      </c>
      <c r="AA43" s="293">
        <f>IFERROR(IF($C43="",-0.00001,SUMIFS(Database!AH:AH,Database!$AD:$AD,$C43,Database!$A:$A,$C$1)/$G43),-0.00001)</f>
        <v>-1.0000000000000001E-5</v>
      </c>
      <c r="AB43" s="293">
        <f>IFERROR(IF($C43="",-0.00001,SUMIFS(Database!AI:AI,Database!$AD:$AD,$C43,Database!$A:$A,$C$1)/$G43),-0.00001)</f>
        <v>-1.0000000000000001E-5</v>
      </c>
      <c r="AC43" s="293">
        <f>IFERROR(IF($C43="",-0.00001,SUMIFS(Database!AJ:AJ,Database!$AD:$AD,$C43,Database!$A:$A,$C$1)/$G43),-0.00001)</f>
        <v>-1.0000000000000001E-5</v>
      </c>
      <c r="AD43" s="293">
        <f>IFERROR(IF($C43="",-0.00001,SUMIFS(Database!AK:AK,Database!$AD:$AD,$C43,Database!$A:$A,$C$1)/$G43),-0.00001)</f>
        <v>-1.0000000000000001E-5</v>
      </c>
      <c r="AE43" s="293">
        <f>IFERROR(IF($C43="",-0.00001,SUMIFS(Database!AL:AL,Database!$AD:$AD,$C43,Database!$A:$A,$C$1)/$G43),-0.00001)</f>
        <v>-1.0000000000000001E-5</v>
      </c>
      <c r="AF43" s="293">
        <f>IFERROR(IF($C43="",-0.00001,SUMIFS(Database!AM:AM,Database!$AD:$AD,$C43,Database!$A:$A,$C$1)/$G43),-0.00001)</f>
        <v>-1.0000000000000001E-5</v>
      </c>
      <c r="AG43" s="293">
        <f>IFERROR(IF($C43="",-0.00001,SUMIFS(Database!AN:AN,Database!$AD:$AD,$C43,Database!$A:$A,$C$1)/$G43),-0.00001)</f>
        <v>-1.0000000000000001E-5</v>
      </c>
      <c r="AH43" s="293">
        <f>IFERROR(IF($C43="",-0.00001,SUMIFS(Database!AO:AO,Database!$AD:$AD,$C43,Database!$A:$A,$C$1)/$G43),-0.00001)</f>
        <v>-1.0000000000000001E-5</v>
      </c>
      <c r="AI43" s="293">
        <f>IFERROR(IF($C43="",-0.00001,SUMIFS(Database!AP:AP,Database!$AD:$AD,$C43,Database!$A:$A,$C$1)/$G43),-0.00001)</f>
        <v>-1.0000000000000001E-5</v>
      </c>
      <c r="AJ43" s="293">
        <f>IFERROR(IF($C43="",-0.00001,SUMIFS(Database!AR:AR,Database!$AD:$AD,$C43,Database!$A:$A,$C$1)/$G43),-0.00001)</f>
        <v>-1.0000000000000001E-5</v>
      </c>
      <c r="AK43" s="293">
        <f>IFERROR(IF($C43="",-0.00001,SUMIFS(Database!AS:AS,Database!$AD:$AD,$C43,Database!$A:$A,$C$1)/$G43),-0.00001)</f>
        <v>-1.0000000000000001E-5</v>
      </c>
      <c r="AL43" s="293">
        <f>IFERROR(IF($C43="",-0.00001,SUMIFS(Database!AU:AU,Database!$AD:$AD,$C43,Database!$A:$A,$C$1)/$G43),-0.00001)</f>
        <v>-1.0000000000000001E-5</v>
      </c>
      <c r="AM43" s="293">
        <f>IFERROR(IF($C43="",-0.00001,SUMIFS(Database!AV:AV,Database!$AD:$AD,$C43,Database!$A:$A,$C$1)/$G43),-0.00001)</f>
        <v>-1.0000000000000001E-5</v>
      </c>
      <c r="AN43" s="187"/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</row>
    <row r="44" spans="1:50" x14ac:dyDescent="0.25">
      <c r="A44" s="187"/>
      <c r="B44" s="187" t="str">
        <f>IF($C44="","",MAX($B$4:$B43)+1)</f>
        <v/>
      </c>
      <c r="C44" s="145"/>
      <c r="D44" s="233">
        <f>IF($C44="",-0.00001,COUNTIFS(Database!$AD:$AD,$C44,Database!$A:$A,$C$1,Database!$AE:$AE,"W"))</f>
        <v>-1.0000000000000001E-5</v>
      </c>
      <c r="E44" s="233">
        <f>IF($C44="",-0.00001,COUNTIFS(Database!$AD:$AD,$C44,Database!$A:$A,$C$1,Database!$AE:$AE,"L"))</f>
        <v>-1.0000000000000001E-5</v>
      </c>
      <c r="F44" s="233">
        <f t="shared" si="4"/>
        <v>-1.0000000000000001E-5</v>
      </c>
      <c r="G44" s="185">
        <f>IF($C44="",-0.00001,COUNTIFS(Database!AD:AD,$C44,Database!A:A,$C$1))</f>
        <v>-1.0000000000000001E-5</v>
      </c>
      <c r="H44" s="185">
        <f>IFERROR(IF($C44="",-0.00001,SUMIFS(Database!AG:AG,Database!$AD:$AD,$C44,Database!$A:$A,$C$1)),-0.00001)</f>
        <v>-1.0000000000000001E-5</v>
      </c>
      <c r="I44" s="185">
        <f>IFERROR(IF($C44="",-0.00001,SUMIFS(Database!AH:AH,Database!$AD:$AD,$C44,Database!$A:$A,$C$1)),-0.00001)</f>
        <v>-1.0000000000000001E-5</v>
      </c>
      <c r="J44" s="185">
        <f>IFERROR(IF($C44="",-0.00001,SUMIFS(Database!AI:AI,Database!$AD:$AD,$C44,Database!$A:$A,$C$1)),-0.00001)</f>
        <v>-1.0000000000000001E-5</v>
      </c>
      <c r="K44" s="185">
        <f>IFERROR(IF($C44="",-0.00001,SUMIFS(Database!AJ:AJ,Database!$AD:$AD,$C44,Database!$A:$A,$C$1)),-0.00001)</f>
        <v>-1.0000000000000001E-5</v>
      </c>
      <c r="L44" s="185">
        <f>IFERROR(IF($C44="",-0.00001,SUMIFS(Database!AK:AK,Database!$AD:$AD,$C44,Database!$A:$A,$C$1)),-0.00001)</f>
        <v>-1.0000000000000001E-5</v>
      </c>
      <c r="M44" s="185">
        <f>IFERROR(IF($C44="",-0.00001,SUMIFS(Database!AL:AL,Database!$AD:$AD,$C44,Database!$A:$A,$C$1)),-0.00001)</f>
        <v>-1.0000000000000001E-5</v>
      </c>
      <c r="N44" s="185">
        <f>IFERROR(IF($C44="",-0.00001,SUMIFS(Database!AM:AM,Database!$AD:$AD,$C44,Database!$A:$A,$C$1)),-0.00001)</f>
        <v>-1.0000000000000001E-5</v>
      </c>
      <c r="O44" s="185">
        <f>IFERROR(IF($C44="",-0.00001,SUMIFS(Database!AN:AN,Database!$AD:$AD,$C44,Database!$A:$A,$C$1)),-0.00001)</f>
        <v>-1.0000000000000001E-5</v>
      </c>
      <c r="P44" s="185">
        <f>IFERROR(IF($C44="",-0.00001,SUMIFS(Database!AO:AO,Database!$AD:$AD,$C44,Database!$A:$A,$C$1)),-0.00001)</f>
        <v>-1.0000000000000001E-5</v>
      </c>
      <c r="Q44" s="185">
        <f>IFERROR(IF($C44="",-0.00001,SUMIFS(Database!AP:AP,Database!$AD:$AD,$C44,Database!$A:$A,$C$1)),-0.00001)</f>
        <v>-1.0000000000000001E-5</v>
      </c>
      <c r="R44" s="186">
        <f t="shared" si="5"/>
        <v>-1.0000000000000001E-5</v>
      </c>
      <c r="S44" s="185">
        <f>IFERROR(IF($C44="",-0.00001,SUMIFS(Database!AR:AR,Database!$AD:$AD,$C44,Database!$A:$A,$C$1)),-0.00001)</f>
        <v>-1.0000000000000001E-5</v>
      </c>
      <c r="T44" s="185">
        <f>IFERROR(IF($C44="",-0.00001,SUMIFS(Database!AS:AS,Database!$AD:$AD,$C44,Database!$A:$A,$C$1)),-0.00001)</f>
        <v>-1.0000000000000001E-5</v>
      </c>
      <c r="U44" s="186">
        <f t="shared" si="6"/>
        <v>-1.0000000000000001E-5</v>
      </c>
      <c r="V44" s="185">
        <f>IFERROR(IF($C44="",-0.00001,SUMIFS(Database!AU:AU,Database!$AD:$AD,$C44,Database!$A:$A,$C$1)),-0.00001)</f>
        <v>-1.0000000000000001E-5</v>
      </c>
      <c r="W44" s="185">
        <f>IFERROR(IF($C44="",-0.00001,SUMIFS(Database!AV:AV,Database!$AD:$AD,$C44,Database!$A:$A,$C$1)),-0.00001)</f>
        <v>-1.0000000000000001E-5</v>
      </c>
      <c r="X44" s="186">
        <f t="shared" si="7"/>
        <v>-1.0000000000000001E-5</v>
      </c>
      <c r="Y44" s="291"/>
      <c r="Z44" s="293">
        <f>IFERROR(IF($C44="",-0.00001,SUMIFS(Database!AG:AG,Database!$AD:$AD,$C44,Database!$A:$A,$C$1)/$G44),-0.00001)</f>
        <v>-1.0000000000000001E-5</v>
      </c>
      <c r="AA44" s="293">
        <f>IFERROR(IF($C44="",-0.00001,SUMIFS(Database!AH:AH,Database!$AD:$AD,$C44,Database!$A:$A,$C$1)/$G44),-0.00001)</f>
        <v>-1.0000000000000001E-5</v>
      </c>
      <c r="AB44" s="293">
        <f>IFERROR(IF($C44="",-0.00001,SUMIFS(Database!AI:AI,Database!$AD:$AD,$C44,Database!$A:$A,$C$1)/$G44),-0.00001)</f>
        <v>-1.0000000000000001E-5</v>
      </c>
      <c r="AC44" s="293">
        <f>IFERROR(IF($C44="",-0.00001,SUMIFS(Database!AJ:AJ,Database!$AD:$AD,$C44,Database!$A:$A,$C$1)/$G44),-0.00001)</f>
        <v>-1.0000000000000001E-5</v>
      </c>
      <c r="AD44" s="293">
        <f>IFERROR(IF($C44="",-0.00001,SUMIFS(Database!AK:AK,Database!$AD:$AD,$C44,Database!$A:$A,$C$1)/$G44),-0.00001)</f>
        <v>-1.0000000000000001E-5</v>
      </c>
      <c r="AE44" s="293">
        <f>IFERROR(IF($C44="",-0.00001,SUMIFS(Database!AL:AL,Database!$AD:$AD,$C44,Database!$A:$A,$C$1)/$G44),-0.00001)</f>
        <v>-1.0000000000000001E-5</v>
      </c>
      <c r="AF44" s="293">
        <f>IFERROR(IF($C44="",-0.00001,SUMIFS(Database!AM:AM,Database!$AD:$AD,$C44,Database!$A:$A,$C$1)/$G44),-0.00001)</f>
        <v>-1.0000000000000001E-5</v>
      </c>
      <c r="AG44" s="293">
        <f>IFERROR(IF($C44="",-0.00001,SUMIFS(Database!AN:AN,Database!$AD:$AD,$C44,Database!$A:$A,$C$1)/$G44),-0.00001)</f>
        <v>-1.0000000000000001E-5</v>
      </c>
      <c r="AH44" s="293">
        <f>IFERROR(IF($C44="",-0.00001,SUMIFS(Database!AO:AO,Database!$AD:$AD,$C44,Database!$A:$A,$C$1)/$G44),-0.00001)</f>
        <v>-1.0000000000000001E-5</v>
      </c>
      <c r="AI44" s="293">
        <f>IFERROR(IF($C44="",-0.00001,SUMIFS(Database!AP:AP,Database!$AD:$AD,$C44,Database!$A:$A,$C$1)/$G44),-0.00001)</f>
        <v>-1.0000000000000001E-5</v>
      </c>
      <c r="AJ44" s="293">
        <f>IFERROR(IF($C44="",-0.00001,SUMIFS(Database!AR:AR,Database!$AD:$AD,$C44,Database!$A:$A,$C$1)/$G44),-0.00001)</f>
        <v>-1.0000000000000001E-5</v>
      </c>
      <c r="AK44" s="293">
        <f>IFERROR(IF($C44="",-0.00001,SUMIFS(Database!AS:AS,Database!$AD:$AD,$C44,Database!$A:$A,$C$1)/$G44),-0.00001)</f>
        <v>-1.0000000000000001E-5</v>
      </c>
      <c r="AL44" s="293">
        <f>IFERROR(IF($C44="",-0.00001,SUMIFS(Database!AU:AU,Database!$AD:$AD,$C44,Database!$A:$A,$C$1)/$G44),-0.00001)</f>
        <v>-1.0000000000000001E-5</v>
      </c>
      <c r="AM44" s="293">
        <f>IFERROR(IF($C44="",-0.00001,SUMIFS(Database!AV:AV,Database!$AD:$AD,$C44,Database!$A:$A,$C$1)/$G44),-0.00001)</f>
        <v>-1.0000000000000001E-5</v>
      </c>
      <c r="AN44" s="187"/>
      <c r="AO44" s="187"/>
      <c r="AP44" s="187"/>
      <c r="AQ44" s="187"/>
      <c r="AR44" s="187"/>
      <c r="AS44" s="187"/>
      <c r="AT44" s="187"/>
      <c r="AU44" s="187"/>
      <c r="AV44" s="187"/>
      <c r="AW44" s="187"/>
      <c r="AX44" s="187"/>
    </row>
    <row r="45" spans="1:50" x14ac:dyDescent="0.25">
      <c r="A45" s="187"/>
      <c r="B45" s="187" t="str">
        <f>IF($C45="","",MAX($B$4:$B44)+1)</f>
        <v/>
      </c>
      <c r="C45" s="145"/>
      <c r="D45" s="233">
        <f>IF($C45="",-0.00001,COUNTIFS(Database!$AD:$AD,$C45,Database!$A:$A,$C$1,Database!$AE:$AE,"W"))</f>
        <v>-1.0000000000000001E-5</v>
      </c>
      <c r="E45" s="233">
        <f>IF($C45="",-0.00001,COUNTIFS(Database!$AD:$AD,$C45,Database!$A:$A,$C$1,Database!$AE:$AE,"L"))</f>
        <v>-1.0000000000000001E-5</v>
      </c>
      <c r="F45" s="233">
        <f t="shared" si="4"/>
        <v>-1.0000000000000001E-5</v>
      </c>
      <c r="G45" s="185">
        <f>IF($C45="",-0.00001,COUNTIFS(Database!AD:AD,$C45,Database!A:A,$C$1))</f>
        <v>-1.0000000000000001E-5</v>
      </c>
      <c r="H45" s="185">
        <f>IFERROR(IF($C45="",-0.00001,SUMIFS(Database!AG:AG,Database!$AD:$AD,$C45,Database!$A:$A,$C$1)),-0.00001)</f>
        <v>-1.0000000000000001E-5</v>
      </c>
      <c r="I45" s="185">
        <f>IFERROR(IF($C45="",-0.00001,SUMIFS(Database!AH:AH,Database!$AD:$AD,$C45,Database!$A:$A,$C$1)),-0.00001)</f>
        <v>-1.0000000000000001E-5</v>
      </c>
      <c r="J45" s="185">
        <f>IFERROR(IF($C45="",-0.00001,SUMIFS(Database!AI:AI,Database!$AD:$AD,$C45,Database!$A:$A,$C$1)),-0.00001)</f>
        <v>-1.0000000000000001E-5</v>
      </c>
      <c r="K45" s="185">
        <f>IFERROR(IF($C45="",-0.00001,SUMIFS(Database!AJ:AJ,Database!$AD:$AD,$C45,Database!$A:$A,$C$1)),-0.00001)</f>
        <v>-1.0000000000000001E-5</v>
      </c>
      <c r="L45" s="185">
        <f>IFERROR(IF($C45="",-0.00001,SUMIFS(Database!AK:AK,Database!$AD:$AD,$C45,Database!$A:$A,$C$1)),-0.00001)</f>
        <v>-1.0000000000000001E-5</v>
      </c>
      <c r="M45" s="185">
        <f>IFERROR(IF($C45="",-0.00001,SUMIFS(Database!AL:AL,Database!$AD:$AD,$C45,Database!$A:$A,$C$1)),-0.00001)</f>
        <v>-1.0000000000000001E-5</v>
      </c>
      <c r="N45" s="185">
        <f>IFERROR(IF($C45="",-0.00001,SUMIFS(Database!AM:AM,Database!$AD:$AD,$C45,Database!$A:$A,$C$1)),-0.00001)</f>
        <v>-1.0000000000000001E-5</v>
      </c>
      <c r="O45" s="185">
        <f>IFERROR(IF($C45="",-0.00001,SUMIFS(Database!AN:AN,Database!$AD:$AD,$C45,Database!$A:$A,$C$1)),-0.00001)</f>
        <v>-1.0000000000000001E-5</v>
      </c>
      <c r="P45" s="185">
        <f>IFERROR(IF($C45="",-0.00001,SUMIFS(Database!AO:AO,Database!$AD:$AD,$C45,Database!$A:$A,$C$1)),-0.00001)</f>
        <v>-1.0000000000000001E-5</v>
      </c>
      <c r="Q45" s="185">
        <f>IFERROR(IF($C45="",-0.00001,SUMIFS(Database!AP:AP,Database!$AD:$AD,$C45,Database!$A:$A,$C$1)),-0.00001)</f>
        <v>-1.0000000000000001E-5</v>
      </c>
      <c r="R45" s="186">
        <f t="shared" si="5"/>
        <v>-1.0000000000000001E-5</v>
      </c>
      <c r="S45" s="185">
        <f>IFERROR(IF($C45="",-0.00001,SUMIFS(Database!AR:AR,Database!$AD:$AD,$C45,Database!$A:$A,$C$1)),-0.00001)</f>
        <v>-1.0000000000000001E-5</v>
      </c>
      <c r="T45" s="185">
        <f>IFERROR(IF($C45="",-0.00001,SUMIFS(Database!AS:AS,Database!$AD:$AD,$C45,Database!$A:$A,$C$1)),-0.00001)</f>
        <v>-1.0000000000000001E-5</v>
      </c>
      <c r="U45" s="186">
        <f t="shared" si="6"/>
        <v>-1.0000000000000001E-5</v>
      </c>
      <c r="V45" s="185">
        <f>IFERROR(IF($C45="",-0.00001,SUMIFS(Database!AU:AU,Database!$AD:$AD,$C45,Database!$A:$A,$C$1)),-0.00001)</f>
        <v>-1.0000000000000001E-5</v>
      </c>
      <c r="W45" s="185">
        <f>IFERROR(IF($C45="",-0.00001,SUMIFS(Database!AV:AV,Database!$AD:$AD,$C45,Database!$A:$A,$C$1)),-0.00001)</f>
        <v>-1.0000000000000001E-5</v>
      </c>
      <c r="X45" s="186">
        <f t="shared" si="7"/>
        <v>-1.0000000000000001E-5</v>
      </c>
      <c r="Y45" s="291"/>
      <c r="Z45" s="293">
        <f>IFERROR(IF($C45="",-0.00001,SUMIFS(Database!AG:AG,Database!$AD:$AD,$C45,Database!$A:$A,$C$1)/$G45),-0.00001)</f>
        <v>-1.0000000000000001E-5</v>
      </c>
      <c r="AA45" s="293">
        <f>IFERROR(IF($C45="",-0.00001,SUMIFS(Database!AH:AH,Database!$AD:$AD,$C45,Database!$A:$A,$C$1)/$G45),-0.00001)</f>
        <v>-1.0000000000000001E-5</v>
      </c>
      <c r="AB45" s="293">
        <f>IFERROR(IF($C45="",-0.00001,SUMIFS(Database!AI:AI,Database!$AD:$AD,$C45,Database!$A:$A,$C$1)/$G45),-0.00001)</f>
        <v>-1.0000000000000001E-5</v>
      </c>
      <c r="AC45" s="293">
        <f>IFERROR(IF($C45="",-0.00001,SUMIFS(Database!AJ:AJ,Database!$AD:$AD,$C45,Database!$A:$A,$C$1)/$G45),-0.00001)</f>
        <v>-1.0000000000000001E-5</v>
      </c>
      <c r="AD45" s="293">
        <f>IFERROR(IF($C45="",-0.00001,SUMIFS(Database!AK:AK,Database!$AD:$AD,$C45,Database!$A:$A,$C$1)/$G45),-0.00001)</f>
        <v>-1.0000000000000001E-5</v>
      </c>
      <c r="AE45" s="293">
        <f>IFERROR(IF($C45="",-0.00001,SUMIFS(Database!AL:AL,Database!$AD:$AD,$C45,Database!$A:$A,$C$1)/$G45),-0.00001)</f>
        <v>-1.0000000000000001E-5</v>
      </c>
      <c r="AF45" s="293">
        <f>IFERROR(IF($C45="",-0.00001,SUMIFS(Database!AM:AM,Database!$AD:$AD,$C45,Database!$A:$A,$C$1)/$G45),-0.00001)</f>
        <v>-1.0000000000000001E-5</v>
      </c>
      <c r="AG45" s="293">
        <f>IFERROR(IF($C45="",-0.00001,SUMIFS(Database!AN:AN,Database!$AD:$AD,$C45,Database!$A:$A,$C$1)/$G45),-0.00001)</f>
        <v>-1.0000000000000001E-5</v>
      </c>
      <c r="AH45" s="293">
        <f>IFERROR(IF($C45="",-0.00001,SUMIFS(Database!AO:AO,Database!$AD:$AD,$C45,Database!$A:$A,$C$1)/$G45),-0.00001)</f>
        <v>-1.0000000000000001E-5</v>
      </c>
      <c r="AI45" s="293">
        <f>IFERROR(IF($C45="",-0.00001,SUMIFS(Database!AP:AP,Database!$AD:$AD,$C45,Database!$A:$A,$C$1)/$G45),-0.00001)</f>
        <v>-1.0000000000000001E-5</v>
      </c>
      <c r="AJ45" s="293">
        <f>IFERROR(IF($C45="",-0.00001,SUMIFS(Database!AR:AR,Database!$AD:$AD,$C45,Database!$A:$A,$C$1)/$G45),-0.00001)</f>
        <v>-1.0000000000000001E-5</v>
      </c>
      <c r="AK45" s="293">
        <f>IFERROR(IF($C45="",-0.00001,SUMIFS(Database!AS:AS,Database!$AD:$AD,$C45,Database!$A:$A,$C$1)/$G45),-0.00001)</f>
        <v>-1.0000000000000001E-5</v>
      </c>
      <c r="AL45" s="293">
        <f>IFERROR(IF($C45="",-0.00001,SUMIFS(Database!AU:AU,Database!$AD:$AD,$C45,Database!$A:$A,$C$1)/$G45),-0.00001)</f>
        <v>-1.0000000000000001E-5</v>
      </c>
      <c r="AM45" s="293">
        <f>IFERROR(IF($C45="",-0.00001,SUMIFS(Database!AV:AV,Database!$AD:$AD,$C45,Database!$A:$A,$C$1)/$G45),-0.00001)</f>
        <v>-1.0000000000000001E-5</v>
      </c>
      <c r="AN45" s="187"/>
      <c r="AO45" s="187"/>
      <c r="AP45" s="187"/>
      <c r="AQ45" s="187"/>
      <c r="AR45" s="187"/>
      <c r="AS45" s="187"/>
      <c r="AT45" s="187"/>
      <c r="AU45" s="187"/>
      <c r="AV45" s="187"/>
      <c r="AW45" s="187"/>
      <c r="AX45" s="187"/>
    </row>
    <row r="46" spans="1:50" x14ac:dyDescent="0.25">
      <c r="A46" s="187"/>
      <c r="B46" s="187" t="str">
        <f>IF($C46="","",MAX($B$4:$B45)+1)</f>
        <v/>
      </c>
      <c r="C46" s="145"/>
      <c r="D46" s="233">
        <f>IF($C46="",-0.00001,COUNTIFS(Database!$AD:$AD,$C46,Database!$A:$A,$C$1,Database!$AE:$AE,"W"))</f>
        <v>-1.0000000000000001E-5</v>
      </c>
      <c r="E46" s="233">
        <f>IF($C46="",-0.00001,COUNTIFS(Database!$AD:$AD,$C46,Database!$A:$A,$C$1,Database!$AE:$AE,"L"))</f>
        <v>-1.0000000000000001E-5</v>
      </c>
      <c r="F46" s="233">
        <f t="shared" si="4"/>
        <v>-1.0000000000000001E-5</v>
      </c>
      <c r="G46" s="185">
        <f>IF($C46="",-0.00001,COUNTIFS(Database!AD:AD,$C46,Database!A:A,$C$1))</f>
        <v>-1.0000000000000001E-5</v>
      </c>
      <c r="H46" s="185">
        <f>IFERROR(IF($C46="",-0.00001,SUMIFS(Database!AG:AG,Database!$AD:$AD,$C46,Database!$A:$A,$C$1)),-0.00001)</f>
        <v>-1.0000000000000001E-5</v>
      </c>
      <c r="I46" s="185">
        <f>IFERROR(IF($C46="",-0.00001,SUMIFS(Database!AH:AH,Database!$AD:$AD,$C46,Database!$A:$A,$C$1)),-0.00001)</f>
        <v>-1.0000000000000001E-5</v>
      </c>
      <c r="J46" s="185">
        <f>IFERROR(IF($C46="",-0.00001,SUMIFS(Database!AI:AI,Database!$AD:$AD,$C46,Database!$A:$A,$C$1)),-0.00001)</f>
        <v>-1.0000000000000001E-5</v>
      </c>
      <c r="K46" s="185">
        <f>IFERROR(IF($C46="",-0.00001,SUMIFS(Database!AJ:AJ,Database!$AD:$AD,$C46,Database!$A:$A,$C$1)),-0.00001)</f>
        <v>-1.0000000000000001E-5</v>
      </c>
      <c r="L46" s="185">
        <f>IFERROR(IF($C46="",-0.00001,SUMIFS(Database!AK:AK,Database!$AD:$AD,$C46,Database!$A:$A,$C$1)),-0.00001)</f>
        <v>-1.0000000000000001E-5</v>
      </c>
      <c r="M46" s="185">
        <f>IFERROR(IF($C46="",-0.00001,SUMIFS(Database!AL:AL,Database!$AD:$AD,$C46,Database!$A:$A,$C$1)),-0.00001)</f>
        <v>-1.0000000000000001E-5</v>
      </c>
      <c r="N46" s="185">
        <f>IFERROR(IF($C46="",-0.00001,SUMIFS(Database!AM:AM,Database!$AD:$AD,$C46,Database!$A:$A,$C$1)),-0.00001)</f>
        <v>-1.0000000000000001E-5</v>
      </c>
      <c r="O46" s="185">
        <f>IFERROR(IF($C46="",-0.00001,SUMIFS(Database!AN:AN,Database!$AD:$AD,$C46,Database!$A:$A,$C$1)),-0.00001)</f>
        <v>-1.0000000000000001E-5</v>
      </c>
      <c r="P46" s="185">
        <f>IFERROR(IF($C46="",-0.00001,SUMIFS(Database!AO:AO,Database!$AD:$AD,$C46,Database!$A:$A,$C$1)),-0.00001)</f>
        <v>-1.0000000000000001E-5</v>
      </c>
      <c r="Q46" s="185">
        <f>IFERROR(IF($C46="",-0.00001,SUMIFS(Database!AP:AP,Database!$AD:$AD,$C46,Database!$A:$A,$C$1)),-0.00001)</f>
        <v>-1.0000000000000001E-5</v>
      </c>
      <c r="R46" s="186">
        <f t="shared" si="5"/>
        <v>-1.0000000000000001E-5</v>
      </c>
      <c r="S46" s="185">
        <f>IFERROR(IF($C46="",-0.00001,SUMIFS(Database!AR:AR,Database!$AD:$AD,$C46,Database!$A:$A,$C$1)),-0.00001)</f>
        <v>-1.0000000000000001E-5</v>
      </c>
      <c r="T46" s="185">
        <f>IFERROR(IF($C46="",-0.00001,SUMIFS(Database!AS:AS,Database!$AD:$AD,$C46,Database!$A:$A,$C$1)),-0.00001)</f>
        <v>-1.0000000000000001E-5</v>
      </c>
      <c r="U46" s="186">
        <f t="shared" si="6"/>
        <v>-1.0000000000000001E-5</v>
      </c>
      <c r="V46" s="185">
        <f>IFERROR(IF($C46="",-0.00001,SUMIFS(Database!AU:AU,Database!$AD:$AD,$C46,Database!$A:$A,$C$1)),-0.00001)</f>
        <v>-1.0000000000000001E-5</v>
      </c>
      <c r="W46" s="185">
        <f>IFERROR(IF($C46="",-0.00001,SUMIFS(Database!AV:AV,Database!$AD:$AD,$C46,Database!$A:$A,$C$1)),-0.00001)</f>
        <v>-1.0000000000000001E-5</v>
      </c>
      <c r="X46" s="186">
        <f t="shared" si="7"/>
        <v>-1.0000000000000001E-5</v>
      </c>
      <c r="Y46" s="291"/>
      <c r="Z46" s="293">
        <f>IFERROR(IF($C46="",-0.00001,SUMIFS(Database!AG:AG,Database!$AD:$AD,$C46,Database!$A:$A,$C$1)/$G46),-0.00001)</f>
        <v>-1.0000000000000001E-5</v>
      </c>
      <c r="AA46" s="293">
        <f>IFERROR(IF($C46="",-0.00001,SUMIFS(Database!AH:AH,Database!$AD:$AD,$C46,Database!$A:$A,$C$1)/$G46),-0.00001)</f>
        <v>-1.0000000000000001E-5</v>
      </c>
      <c r="AB46" s="293">
        <f>IFERROR(IF($C46="",-0.00001,SUMIFS(Database!AI:AI,Database!$AD:$AD,$C46,Database!$A:$A,$C$1)/$G46),-0.00001)</f>
        <v>-1.0000000000000001E-5</v>
      </c>
      <c r="AC46" s="293">
        <f>IFERROR(IF($C46="",-0.00001,SUMIFS(Database!AJ:AJ,Database!$AD:$AD,$C46,Database!$A:$A,$C$1)/$G46),-0.00001)</f>
        <v>-1.0000000000000001E-5</v>
      </c>
      <c r="AD46" s="293">
        <f>IFERROR(IF($C46="",-0.00001,SUMIFS(Database!AK:AK,Database!$AD:$AD,$C46,Database!$A:$A,$C$1)/$G46),-0.00001)</f>
        <v>-1.0000000000000001E-5</v>
      </c>
      <c r="AE46" s="293">
        <f>IFERROR(IF($C46="",-0.00001,SUMIFS(Database!AL:AL,Database!$AD:$AD,$C46,Database!$A:$A,$C$1)/$G46),-0.00001)</f>
        <v>-1.0000000000000001E-5</v>
      </c>
      <c r="AF46" s="293">
        <f>IFERROR(IF($C46="",-0.00001,SUMIFS(Database!AM:AM,Database!$AD:$AD,$C46,Database!$A:$A,$C$1)/$G46),-0.00001)</f>
        <v>-1.0000000000000001E-5</v>
      </c>
      <c r="AG46" s="293">
        <f>IFERROR(IF($C46="",-0.00001,SUMIFS(Database!AN:AN,Database!$AD:$AD,$C46,Database!$A:$A,$C$1)/$G46),-0.00001)</f>
        <v>-1.0000000000000001E-5</v>
      </c>
      <c r="AH46" s="293">
        <f>IFERROR(IF($C46="",-0.00001,SUMIFS(Database!AO:AO,Database!$AD:$AD,$C46,Database!$A:$A,$C$1)/$G46),-0.00001)</f>
        <v>-1.0000000000000001E-5</v>
      </c>
      <c r="AI46" s="293">
        <f>IFERROR(IF($C46="",-0.00001,SUMIFS(Database!AP:AP,Database!$AD:$AD,$C46,Database!$A:$A,$C$1)/$G46),-0.00001)</f>
        <v>-1.0000000000000001E-5</v>
      </c>
      <c r="AJ46" s="293">
        <f>IFERROR(IF($C46="",-0.00001,SUMIFS(Database!AR:AR,Database!$AD:$AD,$C46,Database!$A:$A,$C$1)/$G46),-0.00001)</f>
        <v>-1.0000000000000001E-5</v>
      </c>
      <c r="AK46" s="293">
        <f>IFERROR(IF($C46="",-0.00001,SUMIFS(Database!AS:AS,Database!$AD:$AD,$C46,Database!$A:$A,$C$1)/$G46),-0.00001)</f>
        <v>-1.0000000000000001E-5</v>
      </c>
      <c r="AL46" s="293">
        <f>IFERROR(IF($C46="",-0.00001,SUMIFS(Database!AU:AU,Database!$AD:$AD,$C46,Database!$A:$A,$C$1)/$G46),-0.00001)</f>
        <v>-1.0000000000000001E-5</v>
      </c>
      <c r="AM46" s="293">
        <f>IFERROR(IF($C46="",-0.00001,SUMIFS(Database!AV:AV,Database!$AD:$AD,$C46,Database!$A:$A,$C$1)/$G46),-0.00001)</f>
        <v>-1.0000000000000001E-5</v>
      </c>
      <c r="AN46" s="187"/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</row>
    <row r="47" spans="1:50" x14ac:dyDescent="0.25">
      <c r="A47" s="187"/>
      <c r="B47" s="187" t="str">
        <f>IF($C47="","",MAX($B$4:$B46)+1)</f>
        <v/>
      </c>
      <c r="C47" s="145"/>
      <c r="D47" s="233">
        <f>IF($C47="",-0.00001,COUNTIFS(Database!$AD:$AD,$C47,Database!$A:$A,$C$1,Database!$AE:$AE,"W"))</f>
        <v>-1.0000000000000001E-5</v>
      </c>
      <c r="E47" s="233">
        <f>IF($C47="",-0.00001,COUNTIFS(Database!$AD:$AD,$C47,Database!$A:$A,$C$1,Database!$AE:$AE,"L"))</f>
        <v>-1.0000000000000001E-5</v>
      </c>
      <c r="F47" s="233">
        <f t="shared" si="4"/>
        <v>-1.0000000000000001E-5</v>
      </c>
      <c r="G47" s="185">
        <f>IF($C47="",-0.00001,COUNTIFS(Database!AD:AD,$C47,Database!A:A,$C$1))</f>
        <v>-1.0000000000000001E-5</v>
      </c>
      <c r="H47" s="185">
        <f>IFERROR(IF($C47="",-0.00001,SUMIFS(Database!AG:AG,Database!$AD:$AD,$C47,Database!$A:$A,$C$1)),-0.00001)</f>
        <v>-1.0000000000000001E-5</v>
      </c>
      <c r="I47" s="185">
        <f>IFERROR(IF($C47="",-0.00001,SUMIFS(Database!AH:AH,Database!$AD:$AD,$C47,Database!$A:$A,$C$1)),-0.00001)</f>
        <v>-1.0000000000000001E-5</v>
      </c>
      <c r="J47" s="185">
        <f>IFERROR(IF($C47="",-0.00001,SUMIFS(Database!AI:AI,Database!$AD:$AD,$C47,Database!$A:$A,$C$1)),-0.00001)</f>
        <v>-1.0000000000000001E-5</v>
      </c>
      <c r="K47" s="185">
        <f>IFERROR(IF($C47="",-0.00001,SUMIFS(Database!AJ:AJ,Database!$AD:$AD,$C47,Database!$A:$A,$C$1)),-0.00001)</f>
        <v>-1.0000000000000001E-5</v>
      </c>
      <c r="L47" s="185">
        <f>IFERROR(IF($C47="",-0.00001,SUMIFS(Database!AK:AK,Database!$AD:$AD,$C47,Database!$A:$A,$C$1)),-0.00001)</f>
        <v>-1.0000000000000001E-5</v>
      </c>
      <c r="M47" s="185">
        <f>IFERROR(IF($C47="",-0.00001,SUMIFS(Database!AL:AL,Database!$AD:$AD,$C47,Database!$A:$A,$C$1)),-0.00001)</f>
        <v>-1.0000000000000001E-5</v>
      </c>
      <c r="N47" s="185">
        <f>IFERROR(IF($C47="",-0.00001,SUMIFS(Database!AM:AM,Database!$AD:$AD,$C47,Database!$A:$A,$C$1)),-0.00001)</f>
        <v>-1.0000000000000001E-5</v>
      </c>
      <c r="O47" s="185">
        <f>IFERROR(IF($C47="",-0.00001,SUMIFS(Database!AN:AN,Database!$AD:$AD,$C47,Database!$A:$A,$C$1)),-0.00001)</f>
        <v>-1.0000000000000001E-5</v>
      </c>
      <c r="P47" s="185">
        <f>IFERROR(IF($C47="",-0.00001,SUMIFS(Database!AO:AO,Database!$AD:$AD,$C47,Database!$A:$A,$C$1)),-0.00001)</f>
        <v>-1.0000000000000001E-5</v>
      </c>
      <c r="Q47" s="185">
        <f>IFERROR(IF($C47="",-0.00001,SUMIFS(Database!AP:AP,Database!$AD:$AD,$C47,Database!$A:$A,$C$1)),-0.00001)</f>
        <v>-1.0000000000000001E-5</v>
      </c>
      <c r="R47" s="186">
        <f t="shared" si="5"/>
        <v>-1.0000000000000001E-5</v>
      </c>
      <c r="S47" s="185">
        <f>IFERROR(IF($C47="",-0.00001,SUMIFS(Database!AR:AR,Database!$AD:$AD,$C47,Database!$A:$A,$C$1)),-0.00001)</f>
        <v>-1.0000000000000001E-5</v>
      </c>
      <c r="T47" s="185">
        <f>IFERROR(IF($C47="",-0.00001,SUMIFS(Database!AS:AS,Database!$AD:$AD,$C47,Database!$A:$A,$C$1)),-0.00001)</f>
        <v>-1.0000000000000001E-5</v>
      </c>
      <c r="U47" s="186">
        <f t="shared" si="6"/>
        <v>-1.0000000000000001E-5</v>
      </c>
      <c r="V47" s="185">
        <f>IFERROR(IF($C47="",-0.00001,SUMIFS(Database!AU:AU,Database!$AD:$AD,$C47,Database!$A:$A,$C$1)),-0.00001)</f>
        <v>-1.0000000000000001E-5</v>
      </c>
      <c r="W47" s="185">
        <f>IFERROR(IF($C47="",-0.00001,SUMIFS(Database!AV:AV,Database!$AD:$AD,$C47,Database!$A:$A,$C$1)),-0.00001)</f>
        <v>-1.0000000000000001E-5</v>
      </c>
      <c r="X47" s="186">
        <f t="shared" si="7"/>
        <v>-1.0000000000000001E-5</v>
      </c>
      <c r="Y47" s="291"/>
      <c r="Z47" s="293">
        <f>IFERROR(IF($C47="",-0.00001,SUMIFS(Database!AG:AG,Database!$AD:$AD,$C47,Database!$A:$A,$C$1)/$G47),-0.00001)</f>
        <v>-1.0000000000000001E-5</v>
      </c>
      <c r="AA47" s="293">
        <f>IFERROR(IF($C47="",-0.00001,SUMIFS(Database!AH:AH,Database!$AD:$AD,$C47,Database!$A:$A,$C$1)/$G47),-0.00001)</f>
        <v>-1.0000000000000001E-5</v>
      </c>
      <c r="AB47" s="293">
        <f>IFERROR(IF($C47="",-0.00001,SUMIFS(Database!AI:AI,Database!$AD:$AD,$C47,Database!$A:$A,$C$1)/$G47),-0.00001)</f>
        <v>-1.0000000000000001E-5</v>
      </c>
      <c r="AC47" s="293">
        <f>IFERROR(IF($C47="",-0.00001,SUMIFS(Database!AJ:AJ,Database!$AD:$AD,$C47,Database!$A:$A,$C$1)/$G47),-0.00001)</f>
        <v>-1.0000000000000001E-5</v>
      </c>
      <c r="AD47" s="293">
        <f>IFERROR(IF($C47="",-0.00001,SUMIFS(Database!AK:AK,Database!$AD:$AD,$C47,Database!$A:$A,$C$1)/$G47),-0.00001)</f>
        <v>-1.0000000000000001E-5</v>
      </c>
      <c r="AE47" s="293">
        <f>IFERROR(IF($C47="",-0.00001,SUMIFS(Database!AL:AL,Database!$AD:$AD,$C47,Database!$A:$A,$C$1)/$G47),-0.00001)</f>
        <v>-1.0000000000000001E-5</v>
      </c>
      <c r="AF47" s="293">
        <f>IFERROR(IF($C47="",-0.00001,SUMIFS(Database!AM:AM,Database!$AD:$AD,$C47,Database!$A:$A,$C$1)/$G47),-0.00001)</f>
        <v>-1.0000000000000001E-5</v>
      </c>
      <c r="AG47" s="293">
        <f>IFERROR(IF($C47="",-0.00001,SUMIFS(Database!AN:AN,Database!$AD:$AD,$C47,Database!$A:$A,$C$1)/$G47),-0.00001)</f>
        <v>-1.0000000000000001E-5</v>
      </c>
      <c r="AH47" s="293">
        <f>IFERROR(IF($C47="",-0.00001,SUMIFS(Database!AO:AO,Database!$AD:$AD,$C47,Database!$A:$A,$C$1)/$G47),-0.00001)</f>
        <v>-1.0000000000000001E-5</v>
      </c>
      <c r="AI47" s="293">
        <f>IFERROR(IF($C47="",-0.00001,SUMIFS(Database!AP:AP,Database!$AD:$AD,$C47,Database!$A:$A,$C$1)/$G47),-0.00001)</f>
        <v>-1.0000000000000001E-5</v>
      </c>
      <c r="AJ47" s="293">
        <f>IFERROR(IF($C47="",-0.00001,SUMIFS(Database!AR:AR,Database!$AD:$AD,$C47,Database!$A:$A,$C$1)/$G47),-0.00001)</f>
        <v>-1.0000000000000001E-5</v>
      </c>
      <c r="AK47" s="293">
        <f>IFERROR(IF($C47="",-0.00001,SUMIFS(Database!AS:AS,Database!$AD:$AD,$C47,Database!$A:$A,$C$1)/$G47),-0.00001)</f>
        <v>-1.0000000000000001E-5</v>
      </c>
      <c r="AL47" s="293">
        <f>IFERROR(IF($C47="",-0.00001,SUMIFS(Database!AU:AU,Database!$AD:$AD,$C47,Database!$A:$A,$C$1)/$G47),-0.00001)</f>
        <v>-1.0000000000000001E-5</v>
      </c>
      <c r="AM47" s="293">
        <f>IFERROR(IF($C47="",-0.00001,SUMIFS(Database!AV:AV,Database!$AD:$AD,$C47,Database!$A:$A,$C$1)/$G47),-0.00001)</f>
        <v>-1.0000000000000001E-5</v>
      </c>
      <c r="AN47" s="187"/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</row>
    <row r="48" spans="1:50" x14ac:dyDescent="0.25">
      <c r="A48" s="187"/>
      <c r="B48" s="187" t="str">
        <f>IF($C48="","",MAX($B$4:$B47)+1)</f>
        <v/>
      </c>
      <c r="C48" s="145"/>
      <c r="D48" s="233">
        <f>IF($C48="",-0.00001,COUNTIFS(Database!$AD:$AD,$C48,Database!$A:$A,$C$1,Database!$AE:$AE,"W"))</f>
        <v>-1.0000000000000001E-5</v>
      </c>
      <c r="E48" s="233">
        <f>IF($C48="",-0.00001,COUNTIFS(Database!$AD:$AD,$C48,Database!$A:$A,$C$1,Database!$AE:$AE,"L"))</f>
        <v>-1.0000000000000001E-5</v>
      </c>
      <c r="F48" s="233">
        <f t="shared" si="4"/>
        <v>-1.0000000000000001E-5</v>
      </c>
      <c r="G48" s="185">
        <f>IF($C48="",-0.00001,COUNTIFS(Database!AD:AD,$C48,Database!A:A,$C$1))</f>
        <v>-1.0000000000000001E-5</v>
      </c>
      <c r="H48" s="185">
        <f>IFERROR(IF($C48="",-0.00001,SUMIFS(Database!AG:AG,Database!$AD:$AD,$C48,Database!$A:$A,$C$1)),-0.00001)</f>
        <v>-1.0000000000000001E-5</v>
      </c>
      <c r="I48" s="185">
        <f>IFERROR(IF($C48="",-0.00001,SUMIFS(Database!AH:AH,Database!$AD:$AD,$C48,Database!$A:$A,$C$1)),-0.00001)</f>
        <v>-1.0000000000000001E-5</v>
      </c>
      <c r="J48" s="185">
        <f>IFERROR(IF($C48="",-0.00001,SUMIFS(Database!AI:AI,Database!$AD:$AD,$C48,Database!$A:$A,$C$1)),-0.00001)</f>
        <v>-1.0000000000000001E-5</v>
      </c>
      <c r="K48" s="185">
        <f>IFERROR(IF($C48="",-0.00001,SUMIFS(Database!AJ:AJ,Database!$AD:$AD,$C48,Database!$A:$A,$C$1)),-0.00001)</f>
        <v>-1.0000000000000001E-5</v>
      </c>
      <c r="L48" s="185">
        <f>IFERROR(IF($C48="",-0.00001,SUMIFS(Database!AK:AK,Database!$AD:$AD,$C48,Database!$A:$A,$C$1)),-0.00001)</f>
        <v>-1.0000000000000001E-5</v>
      </c>
      <c r="M48" s="185">
        <f>IFERROR(IF($C48="",-0.00001,SUMIFS(Database!AL:AL,Database!$AD:$AD,$C48,Database!$A:$A,$C$1)),-0.00001)</f>
        <v>-1.0000000000000001E-5</v>
      </c>
      <c r="N48" s="185">
        <f>IFERROR(IF($C48="",-0.00001,SUMIFS(Database!AM:AM,Database!$AD:$AD,$C48,Database!$A:$A,$C$1)),-0.00001)</f>
        <v>-1.0000000000000001E-5</v>
      </c>
      <c r="O48" s="185">
        <f>IFERROR(IF($C48="",-0.00001,SUMIFS(Database!AN:AN,Database!$AD:$AD,$C48,Database!$A:$A,$C$1)),-0.00001)</f>
        <v>-1.0000000000000001E-5</v>
      </c>
      <c r="P48" s="185">
        <f>IFERROR(IF($C48="",-0.00001,SUMIFS(Database!AO:AO,Database!$AD:$AD,$C48,Database!$A:$A,$C$1)),-0.00001)</f>
        <v>-1.0000000000000001E-5</v>
      </c>
      <c r="Q48" s="185">
        <f>IFERROR(IF($C48="",-0.00001,SUMIFS(Database!AP:AP,Database!$AD:$AD,$C48,Database!$A:$A,$C$1)),-0.00001)</f>
        <v>-1.0000000000000001E-5</v>
      </c>
      <c r="R48" s="186">
        <f t="shared" si="5"/>
        <v>-1.0000000000000001E-5</v>
      </c>
      <c r="S48" s="185">
        <f>IFERROR(IF($C48="",-0.00001,SUMIFS(Database!AR:AR,Database!$AD:$AD,$C48,Database!$A:$A,$C$1)),-0.00001)</f>
        <v>-1.0000000000000001E-5</v>
      </c>
      <c r="T48" s="185">
        <f>IFERROR(IF($C48="",-0.00001,SUMIFS(Database!AS:AS,Database!$AD:$AD,$C48,Database!$A:$A,$C$1)),-0.00001)</f>
        <v>-1.0000000000000001E-5</v>
      </c>
      <c r="U48" s="186">
        <f t="shared" si="6"/>
        <v>-1.0000000000000001E-5</v>
      </c>
      <c r="V48" s="185">
        <f>IFERROR(IF($C48="",-0.00001,SUMIFS(Database!AU:AU,Database!$AD:$AD,$C48,Database!$A:$A,$C$1)),-0.00001)</f>
        <v>-1.0000000000000001E-5</v>
      </c>
      <c r="W48" s="185">
        <f>IFERROR(IF($C48="",-0.00001,SUMIFS(Database!AV:AV,Database!$AD:$AD,$C48,Database!$A:$A,$C$1)),-0.00001)</f>
        <v>-1.0000000000000001E-5</v>
      </c>
      <c r="X48" s="186">
        <f t="shared" si="7"/>
        <v>-1.0000000000000001E-5</v>
      </c>
      <c r="Y48" s="291"/>
      <c r="Z48" s="293">
        <f>IFERROR(IF($C48="",-0.00001,SUMIFS(Database!AG:AG,Database!$AD:$AD,$C48,Database!$A:$A,$C$1)/$G48),-0.00001)</f>
        <v>-1.0000000000000001E-5</v>
      </c>
      <c r="AA48" s="293">
        <f>IFERROR(IF($C48="",-0.00001,SUMIFS(Database!AH:AH,Database!$AD:$AD,$C48,Database!$A:$A,$C$1)/$G48),-0.00001)</f>
        <v>-1.0000000000000001E-5</v>
      </c>
      <c r="AB48" s="293">
        <f>IFERROR(IF($C48="",-0.00001,SUMIFS(Database!AI:AI,Database!$AD:$AD,$C48,Database!$A:$A,$C$1)/$G48),-0.00001)</f>
        <v>-1.0000000000000001E-5</v>
      </c>
      <c r="AC48" s="293">
        <f>IFERROR(IF($C48="",-0.00001,SUMIFS(Database!AJ:AJ,Database!$AD:$AD,$C48,Database!$A:$A,$C$1)/$G48),-0.00001)</f>
        <v>-1.0000000000000001E-5</v>
      </c>
      <c r="AD48" s="293">
        <f>IFERROR(IF($C48="",-0.00001,SUMIFS(Database!AK:AK,Database!$AD:$AD,$C48,Database!$A:$A,$C$1)/$G48),-0.00001)</f>
        <v>-1.0000000000000001E-5</v>
      </c>
      <c r="AE48" s="293">
        <f>IFERROR(IF($C48="",-0.00001,SUMIFS(Database!AL:AL,Database!$AD:$AD,$C48,Database!$A:$A,$C$1)/$G48),-0.00001)</f>
        <v>-1.0000000000000001E-5</v>
      </c>
      <c r="AF48" s="293">
        <f>IFERROR(IF($C48="",-0.00001,SUMIFS(Database!AM:AM,Database!$AD:$AD,$C48,Database!$A:$A,$C$1)/$G48),-0.00001)</f>
        <v>-1.0000000000000001E-5</v>
      </c>
      <c r="AG48" s="293">
        <f>IFERROR(IF($C48="",-0.00001,SUMIFS(Database!AN:AN,Database!$AD:$AD,$C48,Database!$A:$A,$C$1)/$G48),-0.00001)</f>
        <v>-1.0000000000000001E-5</v>
      </c>
      <c r="AH48" s="293">
        <f>IFERROR(IF($C48="",-0.00001,SUMIFS(Database!AO:AO,Database!$AD:$AD,$C48,Database!$A:$A,$C$1)/$G48),-0.00001)</f>
        <v>-1.0000000000000001E-5</v>
      </c>
      <c r="AI48" s="293">
        <f>IFERROR(IF($C48="",-0.00001,SUMIFS(Database!AP:AP,Database!$AD:$AD,$C48,Database!$A:$A,$C$1)/$G48),-0.00001)</f>
        <v>-1.0000000000000001E-5</v>
      </c>
      <c r="AJ48" s="293">
        <f>IFERROR(IF($C48="",-0.00001,SUMIFS(Database!AR:AR,Database!$AD:$AD,$C48,Database!$A:$A,$C$1)/$G48),-0.00001)</f>
        <v>-1.0000000000000001E-5</v>
      </c>
      <c r="AK48" s="293">
        <f>IFERROR(IF($C48="",-0.00001,SUMIFS(Database!AS:AS,Database!$AD:$AD,$C48,Database!$A:$A,$C$1)/$G48),-0.00001)</f>
        <v>-1.0000000000000001E-5</v>
      </c>
      <c r="AL48" s="293">
        <f>IFERROR(IF($C48="",-0.00001,SUMIFS(Database!AU:AU,Database!$AD:$AD,$C48,Database!$A:$A,$C$1)/$G48),-0.00001)</f>
        <v>-1.0000000000000001E-5</v>
      </c>
      <c r="AM48" s="293">
        <f>IFERROR(IF($C48="",-0.00001,SUMIFS(Database!AV:AV,Database!$AD:$AD,$C48,Database!$A:$A,$C$1)/$G48),-0.00001)</f>
        <v>-1.0000000000000001E-5</v>
      </c>
      <c r="AN48" s="187"/>
      <c r="AO48" s="187"/>
      <c r="AP48" s="187"/>
      <c r="AQ48" s="187"/>
      <c r="AR48" s="187"/>
      <c r="AS48" s="187"/>
      <c r="AT48" s="187"/>
      <c r="AU48" s="187"/>
      <c r="AV48" s="187"/>
      <c r="AW48" s="187"/>
      <c r="AX48" s="187"/>
    </row>
    <row r="49" spans="1:50" x14ac:dyDescent="0.25">
      <c r="A49" s="187"/>
      <c r="B49" s="187" t="str">
        <f>IF($C49="","",MAX($B$4:$B48)+1)</f>
        <v/>
      </c>
      <c r="C49" s="145"/>
      <c r="D49" s="233">
        <f>IF($C49="",-0.00001,COUNTIFS(Database!$AD:$AD,$C49,Database!$A:$A,$C$1,Database!$AE:$AE,"W"))</f>
        <v>-1.0000000000000001E-5</v>
      </c>
      <c r="E49" s="233">
        <f>IF($C49="",-0.00001,COUNTIFS(Database!$AD:$AD,$C49,Database!$A:$A,$C$1,Database!$AE:$AE,"L"))</f>
        <v>-1.0000000000000001E-5</v>
      </c>
      <c r="F49" s="233">
        <f t="shared" si="4"/>
        <v>-1.0000000000000001E-5</v>
      </c>
      <c r="G49" s="185">
        <f>IF($C49="",-0.00001,COUNTIFS(Database!AD:AD,$C49,Database!A:A,$C$1))</f>
        <v>-1.0000000000000001E-5</v>
      </c>
      <c r="H49" s="185">
        <f>IFERROR(IF($C49="",-0.00001,SUMIFS(Database!AG:AG,Database!$AD:$AD,$C49,Database!$A:$A,$C$1)),-0.00001)</f>
        <v>-1.0000000000000001E-5</v>
      </c>
      <c r="I49" s="185">
        <f>IFERROR(IF($C49="",-0.00001,SUMIFS(Database!AH:AH,Database!$AD:$AD,$C49,Database!$A:$A,$C$1)),-0.00001)</f>
        <v>-1.0000000000000001E-5</v>
      </c>
      <c r="J49" s="185">
        <f>IFERROR(IF($C49="",-0.00001,SUMIFS(Database!AI:AI,Database!$AD:$AD,$C49,Database!$A:$A,$C$1)),-0.00001)</f>
        <v>-1.0000000000000001E-5</v>
      </c>
      <c r="K49" s="185">
        <f>IFERROR(IF($C49="",-0.00001,SUMIFS(Database!AJ:AJ,Database!$AD:$AD,$C49,Database!$A:$A,$C$1)),-0.00001)</f>
        <v>-1.0000000000000001E-5</v>
      </c>
      <c r="L49" s="185">
        <f>IFERROR(IF($C49="",-0.00001,SUMIFS(Database!AK:AK,Database!$AD:$AD,$C49,Database!$A:$A,$C$1)),-0.00001)</f>
        <v>-1.0000000000000001E-5</v>
      </c>
      <c r="M49" s="185">
        <f>IFERROR(IF($C49="",-0.00001,SUMIFS(Database!AL:AL,Database!$AD:$AD,$C49,Database!$A:$A,$C$1)),-0.00001)</f>
        <v>-1.0000000000000001E-5</v>
      </c>
      <c r="N49" s="185">
        <f>IFERROR(IF($C49="",-0.00001,SUMIFS(Database!AM:AM,Database!$AD:$AD,$C49,Database!$A:$A,$C$1)),-0.00001)</f>
        <v>-1.0000000000000001E-5</v>
      </c>
      <c r="O49" s="185">
        <f>IFERROR(IF($C49="",-0.00001,SUMIFS(Database!AN:AN,Database!$AD:$AD,$C49,Database!$A:$A,$C$1)),-0.00001)</f>
        <v>-1.0000000000000001E-5</v>
      </c>
      <c r="P49" s="185">
        <f>IFERROR(IF($C49="",-0.00001,SUMIFS(Database!AO:AO,Database!$AD:$AD,$C49,Database!$A:$A,$C$1)),-0.00001)</f>
        <v>-1.0000000000000001E-5</v>
      </c>
      <c r="Q49" s="185">
        <f>IFERROR(IF($C49="",-0.00001,SUMIFS(Database!AP:AP,Database!$AD:$AD,$C49,Database!$A:$A,$C$1)),-0.00001)</f>
        <v>-1.0000000000000001E-5</v>
      </c>
      <c r="R49" s="186">
        <f t="shared" si="5"/>
        <v>-1.0000000000000001E-5</v>
      </c>
      <c r="S49" s="185">
        <f>IFERROR(IF($C49="",-0.00001,SUMIFS(Database!AR:AR,Database!$AD:$AD,$C49,Database!$A:$A,$C$1)),-0.00001)</f>
        <v>-1.0000000000000001E-5</v>
      </c>
      <c r="T49" s="185">
        <f>IFERROR(IF($C49="",-0.00001,SUMIFS(Database!AS:AS,Database!$AD:$AD,$C49,Database!$A:$A,$C$1)),-0.00001)</f>
        <v>-1.0000000000000001E-5</v>
      </c>
      <c r="U49" s="186">
        <f t="shared" si="6"/>
        <v>-1.0000000000000001E-5</v>
      </c>
      <c r="V49" s="185">
        <f>IFERROR(IF($C49="",-0.00001,SUMIFS(Database!AU:AU,Database!$AD:$AD,$C49,Database!$A:$A,$C$1)),-0.00001)</f>
        <v>-1.0000000000000001E-5</v>
      </c>
      <c r="W49" s="185">
        <f>IFERROR(IF($C49="",-0.00001,SUMIFS(Database!AV:AV,Database!$AD:$AD,$C49,Database!$A:$A,$C$1)),-0.00001)</f>
        <v>-1.0000000000000001E-5</v>
      </c>
      <c r="X49" s="186">
        <f t="shared" si="7"/>
        <v>-1.0000000000000001E-5</v>
      </c>
      <c r="Y49" s="291"/>
      <c r="Z49" s="293">
        <f>IFERROR(IF($C49="",-0.00001,SUMIFS(Database!AG:AG,Database!$AD:$AD,$C49,Database!$A:$A,$C$1)/$G49),-0.00001)</f>
        <v>-1.0000000000000001E-5</v>
      </c>
      <c r="AA49" s="293">
        <f>IFERROR(IF($C49="",-0.00001,SUMIFS(Database!AH:AH,Database!$AD:$AD,$C49,Database!$A:$A,$C$1)/$G49),-0.00001)</f>
        <v>-1.0000000000000001E-5</v>
      </c>
      <c r="AB49" s="293">
        <f>IFERROR(IF($C49="",-0.00001,SUMIFS(Database!AI:AI,Database!$AD:$AD,$C49,Database!$A:$A,$C$1)/$G49),-0.00001)</f>
        <v>-1.0000000000000001E-5</v>
      </c>
      <c r="AC49" s="293">
        <f>IFERROR(IF($C49="",-0.00001,SUMIFS(Database!AJ:AJ,Database!$AD:$AD,$C49,Database!$A:$A,$C$1)/$G49),-0.00001)</f>
        <v>-1.0000000000000001E-5</v>
      </c>
      <c r="AD49" s="293">
        <f>IFERROR(IF($C49="",-0.00001,SUMIFS(Database!AK:AK,Database!$AD:$AD,$C49,Database!$A:$A,$C$1)/$G49),-0.00001)</f>
        <v>-1.0000000000000001E-5</v>
      </c>
      <c r="AE49" s="293">
        <f>IFERROR(IF($C49="",-0.00001,SUMIFS(Database!AL:AL,Database!$AD:$AD,$C49,Database!$A:$A,$C$1)/$G49),-0.00001)</f>
        <v>-1.0000000000000001E-5</v>
      </c>
      <c r="AF49" s="293">
        <f>IFERROR(IF($C49="",-0.00001,SUMIFS(Database!AM:AM,Database!$AD:$AD,$C49,Database!$A:$A,$C$1)/$G49),-0.00001)</f>
        <v>-1.0000000000000001E-5</v>
      </c>
      <c r="AG49" s="293">
        <f>IFERROR(IF($C49="",-0.00001,SUMIFS(Database!AN:AN,Database!$AD:$AD,$C49,Database!$A:$A,$C$1)/$G49),-0.00001)</f>
        <v>-1.0000000000000001E-5</v>
      </c>
      <c r="AH49" s="293">
        <f>IFERROR(IF($C49="",-0.00001,SUMIFS(Database!AO:AO,Database!$AD:$AD,$C49,Database!$A:$A,$C$1)/$G49),-0.00001)</f>
        <v>-1.0000000000000001E-5</v>
      </c>
      <c r="AI49" s="293">
        <f>IFERROR(IF($C49="",-0.00001,SUMIFS(Database!AP:AP,Database!$AD:$AD,$C49,Database!$A:$A,$C$1)/$G49),-0.00001)</f>
        <v>-1.0000000000000001E-5</v>
      </c>
      <c r="AJ49" s="293">
        <f>IFERROR(IF($C49="",-0.00001,SUMIFS(Database!AR:AR,Database!$AD:$AD,$C49,Database!$A:$A,$C$1)/$G49),-0.00001)</f>
        <v>-1.0000000000000001E-5</v>
      </c>
      <c r="AK49" s="293">
        <f>IFERROR(IF($C49="",-0.00001,SUMIFS(Database!AS:AS,Database!$AD:$AD,$C49,Database!$A:$A,$C$1)/$G49),-0.00001)</f>
        <v>-1.0000000000000001E-5</v>
      </c>
      <c r="AL49" s="293">
        <f>IFERROR(IF($C49="",-0.00001,SUMIFS(Database!AU:AU,Database!$AD:$AD,$C49,Database!$A:$A,$C$1)/$G49),-0.00001)</f>
        <v>-1.0000000000000001E-5</v>
      </c>
      <c r="AM49" s="293">
        <f>IFERROR(IF($C49="",-0.00001,SUMIFS(Database!AV:AV,Database!$AD:$AD,$C49,Database!$A:$A,$C$1)/$G49),-0.00001)</f>
        <v>-1.0000000000000001E-5</v>
      </c>
      <c r="AN49" s="187"/>
      <c r="AO49" s="187"/>
      <c r="AP49" s="187"/>
      <c r="AQ49" s="187"/>
      <c r="AR49" s="187"/>
      <c r="AS49" s="187"/>
      <c r="AT49" s="187"/>
      <c r="AU49" s="187"/>
      <c r="AV49" s="187"/>
      <c r="AW49" s="187"/>
      <c r="AX49" s="187"/>
    </row>
    <row r="50" spans="1:50" x14ac:dyDescent="0.25">
      <c r="A50" s="187"/>
      <c r="B50" s="187" t="str">
        <f>IF($C50="","",MAX($B$4:$B49)+1)</f>
        <v/>
      </c>
      <c r="C50" s="145"/>
      <c r="D50" s="233">
        <f>IF($C50="",-0.00001,COUNTIFS(Database!$AD:$AD,$C50,Database!$A:$A,$C$1,Database!$AE:$AE,"W"))</f>
        <v>-1.0000000000000001E-5</v>
      </c>
      <c r="E50" s="233">
        <f>IF($C50="",-0.00001,COUNTIFS(Database!$AD:$AD,$C50,Database!$A:$A,$C$1,Database!$AE:$AE,"L"))</f>
        <v>-1.0000000000000001E-5</v>
      </c>
      <c r="F50" s="233">
        <f t="shared" si="4"/>
        <v>-1.0000000000000001E-5</v>
      </c>
      <c r="G50" s="185">
        <f>IF($C50="",-0.00001,COUNTIFS(Database!AD:AD,$C50,Database!A:A,$C$1))</f>
        <v>-1.0000000000000001E-5</v>
      </c>
      <c r="H50" s="185">
        <f>IFERROR(IF($C50="",-0.00001,SUMIFS(Database!AG:AG,Database!$AD:$AD,$C50,Database!$A:$A,$C$1)),-0.00001)</f>
        <v>-1.0000000000000001E-5</v>
      </c>
      <c r="I50" s="185">
        <f>IFERROR(IF($C50="",-0.00001,SUMIFS(Database!AH:AH,Database!$AD:$AD,$C50,Database!$A:$A,$C$1)),-0.00001)</f>
        <v>-1.0000000000000001E-5</v>
      </c>
      <c r="J50" s="185">
        <f>IFERROR(IF($C50="",-0.00001,SUMIFS(Database!AI:AI,Database!$AD:$AD,$C50,Database!$A:$A,$C$1)),-0.00001)</f>
        <v>-1.0000000000000001E-5</v>
      </c>
      <c r="K50" s="185">
        <f>IFERROR(IF($C50="",-0.00001,SUMIFS(Database!AJ:AJ,Database!$AD:$AD,$C50,Database!$A:$A,$C$1)),-0.00001)</f>
        <v>-1.0000000000000001E-5</v>
      </c>
      <c r="L50" s="185">
        <f>IFERROR(IF($C50="",-0.00001,SUMIFS(Database!AK:AK,Database!$AD:$AD,$C50,Database!$A:$A,$C$1)),-0.00001)</f>
        <v>-1.0000000000000001E-5</v>
      </c>
      <c r="M50" s="185">
        <f>IFERROR(IF($C50="",-0.00001,SUMIFS(Database!AL:AL,Database!$AD:$AD,$C50,Database!$A:$A,$C$1)),-0.00001)</f>
        <v>-1.0000000000000001E-5</v>
      </c>
      <c r="N50" s="185">
        <f>IFERROR(IF($C50="",-0.00001,SUMIFS(Database!AM:AM,Database!$AD:$AD,$C50,Database!$A:$A,$C$1)),-0.00001)</f>
        <v>-1.0000000000000001E-5</v>
      </c>
      <c r="O50" s="185">
        <f>IFERROR(IF($C50="",-0.00001,SUMIFS(Database!AN:AN,Database!$AD:$AD,$C50,Database!$A:$A,$C$1)),-0.00001)</f>
        <v>-1.0000000000000001E-5</v>
      </c>
      <c r="P50" s="185">
        <f>IFERROR(IF($C50="",-0.00001,SUMIFS(Database!AO:AO,Database!$AD:$AD,$C50,Database!$A:$A,$C$1)),-0.00001)</f>
        <v>-1.0000000000000001E-5</v>
      </c>
      <c r="Q50" s="185">
        <f>IFERROR(IF($C50="",-0.00001,SUMIFS(Database!AP:AP,Database!$AD:$AD,$C50,Database!$A:$A,$C$1)),-0.00001)</f>
        <v>-1.0000000000000001E-5</v>
      </c>
      <c r="R50" s="186">
        <f t="shared" si="5"/>
        <v>-1.0000000000000001E-5</v>
      </c>
      <c r="S50" s="185">
        <f>IFERROR(IF($C50="",-0.00001,SUMIFS(Database!AR:AR,Database!$AD:$AD,$C50,Database!$A:$A,$C$1)),-0.00001)</f>
        <v>-1.0000000000000001E-5</v>
      </c>
      <c r="T50" s="185">
        <f>IFERROR(IF($C50="",-0.00001,SUMIFS(Database!AS:AS,Database!$AD:$AD,$C50,Database!$A:$A,$C$1)),-0.00001)</f>
        <v>-1.0000000000000001E-5</v>
      </c>
      <c r="U50" s="186">
        <f t="shared" si="6"/>
        <v>-1.0000000000000001E-5</v>
      </c>
      <c r="V50" s="185">
        <f>IFERROR(IF($C50="",-0.00001,SUMIFS(Database!AU:AU,Database!$AD:$AD,$C50,Database!$A:$A,$C$1)),-0.00001)</f>
        <v>-1.0000000000000001E-5</v>
      </c>
      <c r="W50" s="185">
        <f>IFERROR(IF($C50="",-0.00001,SUMIFS(Database!AV:AV,Database!$AD:$AD,$C50,Database!$A:$A,$C$1)),-0.00001)</f>
        <v>-1.0000000000000001E-5</v>
      </c>
      <c r="X50" s="186">
        <f t="shared" si="7"/>
        <v>-1.0000000000000001E-5</v>
      </c>
      <c r="Y50" s="291"/>
      <c r="Z50" s="293">
        <f>IFERROR(IF($C50="",-0.00001,SUMIFS(Database!AG:AG,Database!$AD:$AD,$C50,Database!$A:$A,$C$1)/$G50),-0.00001)</f>
        <v>-1.0000000000000001E-5</v>
      </c>
      <c r="AA50" s="293">
        <f>IFERROR(IF($C50="",-0.00001,SUMIFS(Database!AH:AH,Database!$AD:$AD,$C50,Database!$A:$A,$C$1)/$G50),-0.00001)</f>
        <v>-1.0000000000000001E-5</v>
      </c>
      <c r="AB50" s="293">
        <f>IFERROR(IF($C50="",-0.00001,SUMIFS(Database!AI:AI,Database!$AD:$AD,$C50,Database!$A:$A,$C$1)/$G50),-0.00001)</f>
        <v>-1.0000000000000001E-5</v>
      </c>
      <c r="AC50" s="293">
        <f>IFERROR(IF($C50="",-0.00001,SUMIFS(Database!AJ:AJ,Database!$AD:$AD,$C50,Database!$A:$A,$C$1)/$G50),-0.00001)</f>
        <v>-1.0000000000000001E-5</v>
      </c>
      <c r="AD50" s="293">
        <f>IFERROR(IF($C50="",-0.00001,SUMIFS(Database!AK:AK,Database!$AD:$AD,$C50,Database!$A:$A,$C$1)/$G50),-0.00001)</f>
        <v>-1.0000000000000001E-5</v>
      </c>
      <c r="AE50" s="293">
        <f>IFERROR(IF($C50="",-0.00001,SUMIFS(Database!AL:AL,Database!$AD:$AD,$C50,Database!$A:$A,$C$1)/$G50),-0.00001)</f>
        <v>-1.0000000000000001E-5</v>
      </c>
      <c r="AF50" s="293">
        <f>IFERROR(IF($C50="",-0.00001,SUMIFS(Database!AM:AM,Database!$AD:$AD,$C50,Database!$A:$A,$C$1)/$G50),-0.00001)</f>
        <v>-1.0000000000000001E-5</v>
      </c>
      <c r="AG50" s="293">
        <f>IFERROR(IF($C50="",-0.00001,SUMIFS(Database!AN:AN,Database!$AD:$AD,$C50,Database!$A:$A,$C$1)/$G50),-0.00001)</f>
        <v>-1.0000000000000001E-5</v>
      </c>
      <c r="AH50" s="293">
        <f>IFERROR(IF($C50="",-0.00001,SUMIFS(Database!AO:AO,Database!$AD:$AD,$C50,Database!$A:$A,$C$1)/$G50),-0.00001)</f>
        <v>-1.0000000000000001E-5</v>
      </c>
      <c r="AI50" s="293">
        <f>IFERROR(IF($C50="",-0.00001,SUMIFS(Database!AP:AP,Database!$AD:$AD,$C50,Database!$A:$A,$C$1)/$G50),-0.00001)</f>
        <v>-1.0000000000000001E-5</v>
      </c>
      <c r="AJ50" s="293">
        <f>IFERROR(IF($C50="",-0.00001,SUMIFS(Database!AR:AR,Database!$AD:$AD,$C50,Database!$A:$A,$C$1)/$G50),-0.00001)</f>
        <v>-1.0000000000000001E-5</v>
      </c>
      <c r="AK50" s="293">
        <f>IFERROR(IF($C50="",-0.00001,SUMIFS(Database!AS:AS,Database!$AD:$AD,$C50,Database!$A:$A,$C$1)/$G50),-0.00001)</f>
        <v>-1.0000000000000001E-5</v>
      </c>
      <c r="AL50" s="293">
        <f>IFERROR(IF($C50="",-0.00001,SUMIFS(Database!AU:AU,Database!$AD:$AD,$C50,Database!$A:$A,$C$1)/$G50),-0.00001)</f>
        <v>-1.0000000000000001E-5</v>
      </c>
      <c r="AM50" s="293">
        <f>IFERROR(IF($C50="",-0.00001,SUMIFS(Database!AV:AV,Database!$AD:$AD,$C50,Database!$A:$A,$C$1)/$G50),-0.00001)</f>
        <v>-1.0000000000000001E-5</v>
      </c>
      <c r="AN50" s="187"/>
      <c r="AO50" s="187"/>
      <c r="AP50" s="187"/>
      <c r="AQ50" s="187"/>
      <c r="AR50" s="187"/>
      <c r="AS50" s="187"/>
      <c r="AT50" s="187"/>
      <c r="AU50" s="187"/>
      <c r="AV50" s="187"/>
      <c r="AW50" s="187"/>
      <c r="AX50" s="187"/>
    </row>
    <row r="51" spans="1:50" x14ac:dyDescent="0.25">
      <c r="A51" s="187"/>
      <c r="B51" s="187" t="str">
        <f>IF($C51="","",MAX($B$4:$B50)+1)</f>
        <v/>
      </c>
      <c r="C51" s="145"/>
      <c r="D51" s="233">
        <f>IF($C51="",-0.00001,COUNTIFS(Database!$AD:$AD,$C51,Database!$A:$A,$C$1,Database!$AE:$AE,"W"))</f>
        <v>-1.0000000000000001E-5</v>
      </c>
      <c r="E51" s="233">
        <f>IF($C51="",-0.00001,COUNTIFS(Database!$AD:$AD,$C51,Database!$A:$A,$C$1,Database!$AE:$AE,"L"))</f>
        <v>-1.0000000000000001E-5</v>
      </c>
      <c r="F51" s="233">
        <f t="shared" si="4"/>
        <v>-1.0000000000000001E-5</v>
      </c>
      <c r="G51" s="185">
        <f>IF($C51="",-0.00001,COUNTIFS(Database!AD:AD,$C51,Database!A:A,$C$1))</f>
        <v>-1.0000000000000001E-5</v>
      </c>
      <c r="H51" s="185">
        <f>IFERROR(IF($C51="",-0.00001,SUMIFS(Database!AG:AG,Database!$AD:$AD,$C51,Database!$A:$A,$C$1)),-0.00001)</f>
        <v>-1.0000000000000001E-5</v>
      </c>
      <c r="I51" s="185">
        <f>IFERROR(IF($C51="",-0.00001,SUMIFS(Database!AH:AH,Database!$AD:$AD,$C51,Database!$A:$A,$C$1)),-0.00001)</f>
        <v>-1.0000000000000001E-5</v>
      </c>
      <c r="J51" s="185">
        <f>IFERROR(IF($C51="",-0.00001,SUMIFS(Database!AI:AI,Database!$AD:$AD,$C51,Database!$A:$A,$C$1)),-0.00001)</f>
        <v>-1.0000000000000001E-5</v>
      </c>
      <c r="K51" s="185">
        <f>IFERROR(IF($C51="",-0.00001,SUMIFS(Database!AJ:AJ,Database!$AD:$AD,$C51,Database!$A:$A,$C$1)),-0.00001)</f>
        <v>-1.0000000000000001E-5</v>
      </c>
      <c r="L51" s="185">
        <f>IFERROR(IF($C51="",-0.00001,SUMIFS(Database!AK:AK,Database!$AD:$AD,$C51,Database!$A:$A,$C$1)),-0.00001)</f>
        <v>-1.0000000000000001E-5</v>
      </c>
      <c r="M51" s="185">
        <f>IFERROR(IF($C51="",-0.00001,SUMIFS(Database!AL:AL,Database!$AD:$AD,$C51,Database!$A:$A,$C$1)),-0.00001)</f>
        <v>-1.0000000000000001E-5</v>
      </c>
      <c r="N51" s="185">
        <f>IFERROR(IF($C51="",-0.00001,SUMIFS(Database!AM:AM,Database!$AD:$AD,$C51,Database!$A:$A,$C$1)),-0.00001)</f>
        <v>-1.0000000000000001E-5</v>
      </c>
      <c r="O51" s="185">
        <f>IFERROR(IF($C51="",-0.00001,SUMIFS(Database!AN:AN,Database!$AD:$AD,$C51,Database!$A:$A,$C$1)),-0.00001)</f>
        <v>-1.0000000000000001E-5</v>
      </c>
      <c r="P51" s="185">
        <f>IFERROR(IF($C51="",-0.00001,SUMIFS(Database!AO:AO,Database!$AD:$AD,$C51,Database!$A:$A,$C$1)),-0.00001)</f>
        <v>-1.0000000000000001E-5</v>
      </c>
      <c r="Q51" s="185">
        <f>IFERROR(IF($C51="",-0.00001,SUMIFS(Database!AP:AP,Database!$AD:$AD,$C51,Database!$A:$A,$C$1)),-0.00001)</f>
        <v>-1.0000000000000001E-5</v>
      </c>
      <c r="R51" s="186">
        <f t="shared" si="5"/>
        <v>-1.0000000000000001E-5</v>
      </c>
      <c r="S51" s="185">
        <f>IFERROR(IF($C51="",-0.00001,SUMIFS(Database!AR:AR,Database!$AD:$AD,$C51,Database!$A:$A,$C$1)),-0.00001)</f>
        <v>-1.0000000000000001E-5</v>
      </c>
      <c r="T51" s="185">
        <f>IFERROR(IF($C51="",-0.00001,SUMIFS(Database!AS:AS,Database!$AD:$AD,$C51,Database!$A:$A,$C$1)),-0.00001)</f>
        <v>-1.0000000000000001E-5</v>
      </c>
      <c r="U51" s="186">
        <f t="shared" si="6"/>
        <v>-1.0000000000000001E-5</v>
      </c>
      <c r="V51" s="185">
        <f>IFERROR(IF($C51="",-0.00001,SUMIFS(Database!AU:AU,Database!$AD:$AD,$C51,Database!$A:$A,$C$1)),-0.00001)</f>
        <v>-1.0000000000000001E-5</v>
      </c>
      <c r="W51" s="185">
        <f>IFERROR(IF($C51="",-0.00001,SUMIFS(Database!AV:AV,Database!$AD:$AD,$C51,Database!$A:$A,$C$1)),-0.00001)</f>
        <v>-1.0000000000000001E-5</v>
      </c>
      <c r="X51" s="186">
        <f t="shared" si="7"/>
        <v>-1.0000000000000001E-5</v>
      </c>
      <c r="Y51" s="291"/>
      <c r="Z51" s="293">
        <f>IFERROR(IF($C51="",-0.00001,SUMIFS(Database!AG:AG,Database!$AD:$AD,$C51,Database!$A:$A,$C$1)/$G51),-0.00001)</f>
        <v>-1.0000000000000001E-5</v>
      </c>
      <c r="AA51" s="293">
        <f>IFERROR(IF($C51="",-0.00001,SUMIFS(Database!AH:AH,Database!$AD:$AD,$C51,Database!$A:$A,$C$1)/$G51),-0.00001)</f>
        <v>-1.0000000000000001E-5</v>
      </c>
      <c r="AB51" s="293">
        <f>IFERROR(IF($C51="",-0.00001,SUMIFS(Database!AI:AI,Database!$AD:$AD,$C51,Database!$A:$A,$C$1)/$G51),-0.00001)</f>
        <v>-1.0000000000000001E-5</v>
      </c>
      <c r="AC51" s="293">
        <f>IFERROR(IF($C51="",-0.00001,SUMIFS(Database!AJ:AJ,Database!$AD:$AD,$C51,Database!$A:$A,$C$1)/$G51),-0.00001)</f>
        <v>-1.0000000000000001E-5</v>
      </c>
      <c r="AD51" s="293">
        <f>IFERROR(IF($C51="",-0.00001,SUMIFS(Database!AK:AK,Database!$AD:$AD,$C51,Database!$A:$A,$C$1)/$G51),-0.00001)</f>
        <v>-1.0000000000000001E-5</v>
      </c>
      <c r="AE51" s="293">
        <f>IFERROR(IF($C51="",-0.00001,SUMIFS(Database!AL:AL,Database!$AD:$AD,$C51,Database!$A:$A,$C$1)/$G51),-0.00001)</f>
        <v>-1.0000000000000001E-5</v>
      </c>
      <c r="AF51" s="293">
        <f>IFERROR(IF($C51="",-0.00001,SUMIFS(Database!AM:AM,Database!$AD:$AD,$C51,Database!$A:$A,$C$1)/$G51),-0.00001)</f>
        <v>-1.0000000000000001E-5</v>
      </c>
      <c r="AG51" s="293">
        <f>IFERROR(IF($C51="",-0.00001,SUMIFS(Database!AN:AN,Database!$AD:$AD,$C51,Database!$A:$A,$C$1)/$G51),-0.00001)</f>
        <v>-1.0000000000000001E-5</v>
      </c>
      <c r="AH51" s="293">
        <f>IFERROR(IF($C51="",-0.00001,SUMIFS(Database!AO:AO,Database!$AD:$AD,$C51,Database!$A:$A,$C$1)/$G51),-0.00001)</f>
        <v>-1.0000000000000001E-5</v>
      </c>
      <c r="AI51" s="293">
        <f>IFERROR(IF($C51="",-0.00001,SUMIFS(Database!AP:AP,Database!$AD:$AD,$C51,Database!$A:$A,$C$1)/$G51),-0.00001)</f>
        <v>-1.0000000000000001E-5</v>
      </c>
      <c r="AJ51" s="293">
        <f>IFERROR(IF($C51="",-0.00001,SUMIFS(Database!AR:AR,Database!$AD:$AD,$C51,Database!$A:$A,$C$1)/$G51),-0.00001)</f>
        <v>-1.0000000000000001E-5</v>
      </c>
      <c r="AK51" s="293">
        <f>IFERROR(IF($C51="",-0.00001,SUMIFS(Database!AS:AS,Database!$AD:$AD,$C51,Database!$A:$A,$C$1)/$G51),-0.00001)</f>
        <v>-1.0000000000000001E-5</v>
      </c>
      <c r="AL51" s="293">
        <f>IFERROR(IF($C51="",-0.00001,SUMIFS(Database!AU:AU,Database!$AD:$AD,$C51,Database!$A:$A,$C$1)/$G51),-0.00001)</f>
        <v>-1.0000000000000001E-5</v>
      </c>
      <c r="AM51" s="293">
        <f>IFERROR(IF($C51="",-0.00001,SUMIFS(Database!AV:AV,Database!$AD:$AD,$C51,Database!$A:$A,$C$1)/$G51),-0.00001)</f>
        <v>-1.0000000000000001E-5</v>
      </c>
      <c r="AN51" s="187"/>
      <c r="AO51" s="187"/>
      <c r="AP51" s="187"/>
      <c r="AQ51" s="187"/>
      <c r="AR51" s="187"/>
      <c r="AS51" s="187"/>
      <c r="AT51" s="187"/>
      <c r="AU51" s="187"/>
      <c r="AV51" s="187"/>
      <c r="AW51" s="187"/>
      <c r="AX51" s="187"/>
    </row>
    <row r="52" spans="1:50" x14ac:dyDescent="0.25">
      <c r="A52" s="187"/>
      <c r="B52" s="187" t="str">
        <f>IF($C52="","",MAX($B$4:$B51)+1)</f>
        <v/>
      </c>
      <c r="C52" s="145"/>
      <c r="D52" s="233">
        <f>IF($C52="",-0.00001,COUNTIFS(Database!$AD:$AD,$C52,Database!$A:$A,$C$1,Database!$AE:$AE,"W"))</f>
        <v>-1.0000000000000001E-5</v>
      </c>
      <c r="E52" s="233">
        <f>IF($C52="",-0.00001,COUNTIFS(Database!$AD:$AD,$C52,Database!$A:$A,$C$1,Database!$AE:$AE,"L"))</f>
        <v>-1.0000000000000001E-5</v>
      </c>
      <c r="F52" s="233">
        <f t="shared" si="4"/>
        <v>-1.0000000000000001E-5</v>
      </c>
      <c r="G52" s="185">
        <f>IF($C52="",-0.00001,COUNTIFS(Database!AD:AD,$C52,Database!A:A,$C$1))</f>
        <v>-1.0000000000000001E-5</v>
      </c>
      <c r="H52" s="185">
        <f>IFERROR(IF($C52="",-0.00001,SUMIFS(Database!AG:AG,Database!$AD:$AD,$C52,Database!$A:$A,$C$1)),-0.00001)</f>
        <v>-1.0000000000000001E-5</v>
      </c>
      <c r="I52" s="185">
        <f>IFERROR(IF($C52="",-0.00001,SUMIFS(Database!AH:AH,Database!$AD:$AD,$C52,Database!$A:$A,$C$1)),-0.00001)</f>
        <v>-1.0000000000000001E-5</v>
      </c>
      <c r="J52" s="185">
        <f>IFERROR(IF($C52="",-0.00001,SUMIFS(Database!AI:AI,Database!$AD:$AD,$C52,Database!$A:$A,$C$1)),-0.00001)</f>
        <v>-1.0000000000000001E-5</v>
      </c>
      <c r="K52" s="185">
        <f>IFERROR(IF($C52="",-0.00001,SUMIFS(Database!AJ:AJ,Database!$AD:$AD,$C52,Database!$A:$A,$C$1)),-0.00001)</f>
        <v>-1.0000000000000001E-5</v>
      </c>
      <c r="L52" s="185">
        <f>IFERROR(IF($C52="",-0.00001,SUMIFS(Database!AK:AK,Database!$AD:$AD,$C52,Database!$A:$A,$C$1)),-0.00001)</f>
        <v>-1.0000000000000001E-5</v>
      </c>
      <c r="M52" s="185">
        <f>IFERROR(IF($C52="",-0.00001,SUMIFS(Database!AL:AL,Database!$AD:$AD,$C52,Database!$A:$A,$C$1)),-0.00001)</f>
        <v>-1.0000000000000001E-5</v>
      </c>
      <c r="N52" s="185">
        <f>IFERROR(IF($C52="",-0.00001,SUMIFS(Database!AM:AM,Database!$AD:$AD,$C52,Database!$A:$A,$C$1)),-0.00001)</f>
        <v>-1.0000000000000001E-5</v>
      </c>
      <c r="O52" s="185">
        <f>IFERROR(IF($C52="",-0.00001,SUMIFS(Database!AN:AN,Database!$AD:$AD,$C52,Database!$A:$A,$C$1)),-0.00001)</f>
        <v>-1.0000000000000001E-5</v>
      </c>
      <c r="P52" s="185">
        <f>IFERROR(IF($C52="",-0.00001,SUMIFS(Database!AO:AO,Database!$AD:$AD,$C52,Database!$A:$A,$C$1)),-0.00001)</f>
        <v>-1.0000000000000001E-5</v>
      </c>
      <c r="Q52" s="185">
        <f>IFERROR(IF($C52="",-0.00001,SUMIFS(Database!AP:AP,Database!$AD:$AD,$C52,Database!$A:$A,$C$1)),-0.00001)</f>
        <v>-1.0000000000000001E-5</v>
      </c>
      <c r="R52" s="186">
        <f t="shared" si="5"/>
        <v>-1.0000000000000001E-5</v>
      </c>
      <c r="S52" s="185">
        <f>IFERROR(IF($C52="",-0.00001,SUMIFS(Database!AR:AR,Database!$AD:$AD,$C52,Database!$A:$A,$C$1)),-0.00001)</f>
        <v>-1.0000000000000001E-5</v>
      </c>
      <c r="T52" s="185">
        <f>IFERROR(IF($C52="",-0.00001,SUMIFS(Database!AS:AS,Database!$AD:$AD,$C52,Database!$A:$A,$C$1)),-0.00001)</f>
        <v>-1.0000000000000001E-5</v>
      </c>
      <c r="U52" s="186">
        <f t="shared" si="6"/>
        <v>-1.0000000000000001E-5</v>
      </c>
      <c r="V52" s="185">
        <f>IFERROR(IF($C52="",-0.00001,SUMIFS(Database!AU:AU,Database!$AD:$AD,$C52,Database!$A:$A,$C$1)),-0.00001)</f>
        <v>-1.0000000000000001E-5</v>
      </c>
      <c r="W52" s="185">
        <f>IFERROR(IF($C52="",-0.00001,SUMIFS(Database!AV:AV,Database!$AD:$AD,$C52,Database!$A:$A,$C$1)),-0.00001)</f>
        <v>-1.0000000000000001E-5</v>
      </c>
      <c r="X52" s="186">
        <f t="shared" si="7"/>
        <v>-1.0000000000000001E-5</v>
      </c>
      <c r="Y52" s="291"/>
      <c r="Z52" s="293">
        <f>IFERROR(IF($C52="",-0.00001,SUMIFS(Database!AG:AG,Database!$AD:$AD,$C52,Database!$A:$A,$C$1)/$G52),-0.00001)</f>
        <v>-1.0000000000000001E-5</v>
      </c>
      <c r="AA52" s="293">
        <f>IFERROR(IF($C52="",-0.00001,SUMIFS(Database!AH:AH,Database!$AD:$AD,$C52,Database!$A:$A,$C$1)/$G52),-0.00001)</f>
        <v>-1.0000000000000001E-5</v>
      </c>
      <c r="AB52" s="293">
        <f>IFERROR(IF($C52="",-0.00001,SUMIFS(Database!AI:AI,Database!$AD:$AD,$C52,Database!$A:$A,$C$1)/$G52),-0.00001)</f>
        <v>-1.0000000000000001E-5</v>
      </c>
      <c r="AC52" s="293">
        <f>IFERROR(IF($C52="",-0.00001,SUMIFS(Database!AJ:AJ,Database!$AD:$AD,$C52,Database!$A:$A,$C$1)/$G52),-0.00001)</f>
        <v>-1.0000000000000001E-5</v>
      </c>
      <c r="AD52" s="293">
        <f>IFERROR(IF($C52="",-0.00001,SUMIFS(Database!AK:AK,Database!$AD:$AD,$C52,Database!$A:$A,$C$1)/$G52),-0.00001)</f>
        <v>-1.0000000000000001E-5</v>
      </c>
      <c r="AE52" s="293">
        <f>IFERROR(IF($C52="",-0.00001,SUMIFS(Database!AL:AL,Database!$AD:$AD,$C52,Database!$A:$A,$C$1)/$G52),-0.00001)</f>
        <v>-1.0000000000000001E-5</v>
      </c>
      <c r="AF52" s="293">
        <f>IFERROR(IF($C52="",-0.00001,SUMIFS(Database!AM:AM,Database!$AD:$AD,$C52,Database!$A:$A,$C$1)/$G52),-0.00001)</f>
        <v>-1.0000000000000001E-5</v>
      </c>
      <c r="AG52" s="293">
        <f>IFERROR(IF($C52="",-0.00001,SUMIFS(Database!AN:AN,Database!$AD:$AD,$C52,Database!$A:$A,$C$1)/$G52),-0.00001)</f>
        <v>-1.0000000000000001E-5</v>
      </c>
      <c r="AH52" s="293">
        <f>IFERROR(IF($C52="",-0.00001,SUMIFS(Database!AO:AO,Database!$AD:$AD,$C52,Database!$A:$A,$C$1)/$G52),-0.00001)</f>
        <v>-1.0000000000000001E-5</v>
      </c>
      <c r="AI52" s="293">
        <f>IFERROR(IF($C52="",-0.00001,SUMIFS(Database!AP:AP,Database!$AD:$AD,$C52,Database!$A:$A,$C$1)/$G52),-0.00001)</f>
        <v>-1.0000000000000001E-5</v>
      </c>
      <c r="AJ52" s="293">
        <f>IFERROR(IF($C52="",-0.00001,SUMIFS(Database!AR:AR,Database!$AD:$AD,$C52,Database!$A:$A,$C$1)/$G52),-0.00001)</f>
        <v>-1.0000000000000001E-5</v>
      </c>
      <c r="AK52" s="293">
        <f>IFERROR(IF($C52="",-0.00001,SUMIFS(Database!AS:AS,Database!$AD:$AD,$C52,Database!$A:$A,$C$1)/$G52),-0.00001)</f>
        <v>-1.0000000000000001E-5</v>
      </c>
      <c r="AL52" s="293">
        <f>IFERROR(IF($C52="",-0.00001,SUMIFS(Database!AU:AU,Database!$AD:$AD,$C52,Database!$A:$A,$C$1)/$G52),-0.00001)</f>
        <v>-1.0000000000000001E-5</v>
      </c>
      <c r="AM52" s="293">
        <f>IFERROR(IF($C52="",-0.00001,SUMIFS(Database!AV:AV,Database!$AD:$AD,$C52,Database!$A:$A,$C$1)/$G52),-0.00001)</f>
        <v>-1.0000000000000001E-5</v>
      </c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X52" s="187"/>
    </row>
    <row r="53" spans="1:50" x14ac:dyDescent="0.25">
      <c r="A53" s="187"/>
      <c r="B53" s="187" t="str">
        <f>IF($C53="","",MAX($B$4:$B52)+1)</f>
        <v/>
      </c>
      <c r="C53" s="145"/>
      <c r="D53" s="233">
        <f>IF($C53="",-0.00001,COUNTIFS(Database!$AD:$AD,$C53,Database!$A:$A,$C$1,Database!$AE:$AE,"W"))</f>
        <v>-1.0000000000000001E-5</v>
      </c>
      <c r="E53" s="233">
        <f>IF($C53="",-0.00001,COUNTIFS(Database!$AD:$AD,$C53,Database!$A:$A,$C$1,Database!$AE:$AE,"L"))</f>
        <v>-1.0000000000000001E-5</v>
      </c>
      <c r="F53" s="233">
        <f t="shared" si="4"/>
        <v>-1.0000000000000001E-5</v>
      </c>
      <c r="G53" s="185">
        <f>IF($C53="",-0.00001,COUNTIFS(Database!AD:AD,$C53,Database!A:A,$C$1))</f>
        <v>-1.0000000000000001E-5</v>
      </c>
      <c r="H53" s="185">
        <f>IFERROR(IF($C53="",-0.00001,SUMIFS(Database!AG:AG,Database!$AD:$AD,$C53,Database!$A:$A,$C$1)),-0.00001)</f>
        <v>-1.0000000000000001E-5</v>
      </c>
      <c r="I53" s="185">
        <f>IFERROR(IF($C53="",-0.00001,SUMIFS(Database!AH:AH,Database!$AD:$AD,$C53,Database!$A:$A,$C$1)),-0.00001)</f>
        <v>-1.0000000000000001E-5</v>
      </c>
      <c r="J53" s="185">
        <f>IFERROR(IF($C53="",-0.00001,SUMIFS(Database!AI:AI,Database!$AD:$AD,$C53,Database!$A:$A,$C$1)),-0.00001)</f>
        <v>-1.0000000000000001E-5</v>
      </c>
      <c r="K53" s="185">
        <f>IFERROR(IF($C53="",-0.00001,SUMIFS(Database!AJ:AJ,Database!$AD:$AD,$C53,Database!$A:$A,$C$1)),-0.00001)</f>
        <v>-1.0000000000000001E-5</v>
      </c>
      <c r="L53" s="185">
        <f>IFERROR(IF($C53="",-0.00001,SUMIFS(Database!AK:AK,Database!$AD:$AD,$C53,Database!$A:$A,$C$1)),-0.00001)</f>
        <v>-1.0000000000000001E-5</v>
      </c>
      <c r="M53" s="185">
        <f>IFERROR(IF($C53="",-0.00001,SUMIFS(Database!AL:AL,Database!$AD:$AD,$C53,Database!$A:$A,$C$1)),-0.00001)</f>
        <v>-1.0000000000000001E-5</v>
      </c>
      <c r="N53" s="185">
        <f>IFERROR(IF($C53="",-0.00001,SUMIFS(Database!AM:AM,Database!$AD:$AD,$C53,Database!$A:$A,$C$1)),-0.00001)</f>
        <v>-1.0000000000000001E-5</v>
      </c>
      <c r="O53" s="185">
        <f>IFERROR(IF($C53="",-0.00001,SUMIFS(Database!AN:AN,Database!$AD:$AD,$C53,Database!$A:$A,$C$1)),-0.00001)</f>
        <v>-1.0000000000000001E-5</v>
      </c>
      <c r="P53" s="185">
        <f>IFERROR(IF($C53="",-0.00001,SUMIFS(Database!AO:AO,Database!$AD:$AD,$C53,Database!$A:$A,$C$1)),-0.00001)</f>
        <v>-1.0000000000000001E-5</v>
      </c>
      <c r="Q53" s="185">
        <f>IFERROR(IF($C53="",-0.00001,SUMIFS(Database!AP:AP,Database!$AD:$AD,$C53,Database!$A:$A,$C$1)),-0.00001)</f>
        <v>-1.0000000000000001E-5</v>
      </c>
      <c r="R53" s="186">
        <f t="shared" si="5"/>
        <v>-1.0000000000000001E-5</v>
      </c>
      <c r="S53" s="185">
        <f>IFERROR(IF($C53="",-0.00001,SUMIFS(Database!AR:AR,Database!$AD:$AD,$C53,Database!$A:$A,$C$1)),-0.00001)</f>
        <v>-1.0000000000000001E-5</v>
      </c>
      <c r="T53" s="185">
        <f>IFERROR(IF($C53="",-0.00001,SUMIFS(Database!AS:AS,Database!$AD:$AD,$C53,Database!$A:$A,$C$1)),-0.00001)</f>
        <v>-1.0000000000000001E-5</v>
      </c>
      <c r="U53" s="186">
        <f t="shared" si="6"/>
        <v>-1.0000000000000001E-5</v>
      </c>
      <c r="V53" s="185">
        <f>IFERROR(IF($C53="",-0.00001,SUMIFS(Database!AU:AU,Database!$AD:$AD,$C53,Database!$A:$A,$C$1)),-0.00001)</f>
        <v>-1.0000000000000001E-5</v>
      </c>
      <c r="W53" s="185">
        <f>IFERROR(IF($C53="",-0.00001,SUMIFS(Database!AV:AV,Database!$AD:$AD,$C53,Database!$A:$A,$C$1)),-0.00001)</f>
        <v>-1.0000000000000001E-5</v>
      </c>
      <c r="X53" s="186">
        <f t="shared" si="7"/>
        <v>-1.0000000000000001E-5</v>
      </c>
      <c r="Y53" s="291"/>
      <c r="Z53" s="293">
        <f>IFERROR(IF($C53="",-0.00001,SUMIFS(Database!AG:AG,Database!$AD:$AD,$C53,Database!$A:$A,$C$1)/$G53),-0.00001)</f>
        <v>-1.0000000000000001E-5</v>
      </c>
      <c r="AA53" s="293">
        <f>IFERROR(IF($C53="",-0.00001,SUMIFS(Database!AH:AH,Database!$AD:$AD,$C53,Database!$A:$A,$C$1)/$G53),-0.00001)</f>
        <v>-1.0000000000000001E-5</v>
      </c>
      <c r="AB53" s="293">
        <f>IFERROR(IF($C53="",-0.00001,SUMIFS(Database!AI:AI,Database!$AD:$AD,$C53,Database!$A:$A,$C$1)/$G53),-0.00001)</f>
        <v>-1.0000000000000001E-5</v>
      </c>
      <c r="AC53" s="293">
        <f>IFERROR(IF($C53="",-0.00001,SUMIFS(Database!AJ:AJ,Database!$AD:$AD,$C53,Database!$A:$A,$C$1)/$G53),-0.00001)</f>
        <v>-1.0000000000000001E-5</v>
      </c>
      <c r="AD53" s="293">
        <f>IFERROR(IF($C53="",-0.00001,SUMIFS(Database!AK:AK,Database!$AD:$AD,$C53,Database!$A:$A,$C$1)/$G53),-0.00001)</f>
        <v>-1.0000000000000001E-5</v>
      </c>
      <c r="AE53" s="293">
        <f>IFERROR(IF($C53="",-0.00001,SUMIFS(Database!AL:AL,Database!$AD:$AD,$C53,Database!$A:$A,$C$1)/$G53),-0.00001)</f>
        <v>-1.0000000000000001E-5</v>
      </c>
      <c r="AF53" s="293">
        <f>IFERROR(IF($C53="",-0.00001,SUMIFS(Database!AM:AM,Database!$AD:$AD,$C53,Database!$A:$A,$C$1)/$G53),-0.00001)</f>
        <v>-1.0000000000000001E-5</v>
      </c>
      <c r="AG53" s="293">
        <f>IFERROR(IF($C53="",-0.00001,SUMIFS(Database!AN:AN,Database!$AD:$AD,$C53,Database!$A:$A,$C$1)/$G53),-0.00001)</f>
        <v>-1.0000000000000001E-5</v>
      </c>
      <c r="AH53" s="293">
        <f>IFERROR(IF($C53="",-0.00001,SUMIFS(Database!AO:AO,Database!$AD:$AD,$C53,Database!$A:$A,$C$1)/$G53),-0.00001)</f>
        <v>-1.0000000000000001E-5</v>
      </c>
      <c r="AI53" s="293">
        <f>IFERROR(IF($C53="",-0.00001,SUMIFS(Database!AP:AP,Database!$AD:$AD,$C53,Database!$A:$A,$C$1)/$G53),-0.00001)</f>
        <v>-1.0000000000000001E-5</v>
      </c>
      <c r="AJ53" s="293">
        <f>IFERROR(IF($C53="",-0.00001,SUMIFS(Database!AR:AR,Database!$AD:$AD,$C53,Database!$A:$A,$C$1)/$G53),-0.00001)</f>
        <v>-1.0000000000000001E-5</v>
      </c>
      <c r="AK53" s="293">
        <f>IFERROR(IF($C53="",-0.00001,SUMIFS(Database!AS:AS,Database!$AD:$AD,$C53,Database!$A:$A,$C$1)/$G53),-0.00001)</f>
        <v>-1.0000000000000001E-5</v>
      </c>
      <c r="AL53" s="293">
        <f>IFERROR(IF($C53="",-0.00001,SUMIFS(Database!AU:AU,Database!$AD:$AD,$C53,Database!$A:$A,$C$1)/$G53),-0.00001)</f>
        <v>-1.0000000000000001E-5</v>
      </c>
      <c r="AM53" s="293">
        <f>IFERROR(IF($C53="",-0.00001,SUMIFS(Database!AV:AV,Database!$AD:$AD,$C53,Database!$A:$A,$C$1)/$G53),-0.00001)</f>
        <v>-1.0000000000000001E-5</v>
      </c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</row>
    <row r="54" spans="1:50" x14ac:dyDescent="0.25">
      <c r="A54" s="187"/>
      <c r="B54" s="187" t="str">
        <f>IF($C54="","",MAX($B$4:$B53)+1)</f>
        <v/>
      </c>
      <c r="C54" s="145"/>
      <c r="D54" s="233">
        <f>IF($C54="",-0.00001,COUNTIFS(Database!$AD:$AD,$C54,Database!$A:$A,$C$1,Database!$AE:$AE,"W"))</f>
        <v>-1.0000000000000001E-5</v>
      </c>
      <c r="E54" s="233">
        <f>IF($C54="",-0.00001,COUNTIFS(Database!$AD:$AD,$C54,Database!$A:$A,$C$1,Database!$AE:$AE,"L"))</f>
        <v>-1.0000000000000001E-5</v>
      </c>
      <c r="F54" s="233">
        <f t="shared" si="4"/>
        <v>-1.0000000000000001E-5</v>
      </c>
      <c r="G54" s="185">
        <f>IF($C54="",-0.00001,COUNTIFS(Database!AD:AD,$C54,Database!A:A,$C$1))</f>
        <v>-1.0000000000000001E-5</v>
      </c>
      <c r="H54" s="185">
        <f>IFERROR(IF($C54="",-0.00001,SUMIFS(Database!AG:AG,Database!$AD:$AD,$C54,Database!$A:$A,$C$1)),-0.00001)</f>
        <v>-1.0000000000000001E-5</v>
      </c>
      <c r="I54" s="185">
        <f>IFERROR(IF($C54="",-0.00001,SUMIFS(Database!AH:AH,Database!$AD:$AD,$C54,Database!$A:$A,$C$1)),-0.00001)</f>
        <v>-1.0000000000000001E-5</v>
      </c>
      <c r="J54" s="185">
        <f>IFERROR(IF($C54="",-0.00001,SUMIFS(Database!AI:AI,Database!$AD:$AD,$C54,Database!$A:$A,$C$1)),-0.00001)</f>
        <v>-1.0000000000000001E-5</v>
      </c>
      <c r="K54" s="185">
        <f>IFERROR(IF($C54="",-0.00001,SUMIFS(Database!AJ:AJ,Database!$AD:$AD,$C54,Database!$A:$A,$C$1)),-0.00001)</f>
        <v>-1.0000000000000001E-5</v>
      </c>
      <c r="L54" s="185">
        <f>IFERROR(IF($C54="",-0.00001,SUMIFS(Database!AK:AK,Database!$AD:$AD,$C54,Database!$A:$A,$C$1)),-0.00001)</f>
        <v>-1.0000000000000001E-5</v>
      </c>
      <c r="M54" s="185">
        <f>IFERROR(IF($C54="",-0.00001,SUMIFS(Database!AL:AL,Database!$AD:$AD,$C54,Database!$A:$A,$C$1)),-0.00001)</f>
        <v>-1.0000000000000001E-5</v>
      </c>
      <c r="N54" s="185">
        <f>IFERROR(IF($C54="",-0.00001,SUMIFS(Database!AM:AM,Database!$AD:$AD,$C54,Database!$A:$A,$C$1)),-0.00001)</f>
        <v>-1.0000000000000001E-5</v>
      </c>
      <c r="O54" s="185">
        <f>IFERROR(IF($C54="",-0.00001,SUMIFS(Database!AN:AN,Database!$AD:$AD,$C54,Database!$A:$A,$C$1)),-0.00001)</f>
        <v>-1.0000000000000001E-5</v>
      </c>
      <c r="P54" s="185">
        <f>IFERROR(IF($C54="",-0.00001,SUMIFS(Database!AO:AO,Database!$AD:$AD,$C54,Database!$A:$A,$C$1)),-0.00001)</f>
        <v>-1.0000000000000001E-5</v>
      </c>
      <c r="Q54" s="185">
        <f>IFERROR(IF($C54="",-0.00001,SUMIFS(Database!AP:AP,Database!$AD:$AD,$C54,Database!$A:$A,$C$1)),-0.00001)</f>
        <v>-1.0000000000000001E-5</v>
      </c>
      <c r="R54" s="186">
        <f t="shared" si="5"/>
        <v>-1.0000000000000001E-5</v>
      </c>
      <c r="S54" s="185">
        <f>IFERROR(IF($C54="",-0.00001,SUMIFS(Database!AR:AR,Database!$AD:$AD,$C54,Database!$A:$A,$C$1)),-0.00001)</f>
        <v>-1.0000000000000001E-5</v>
      </c>
      <c r="T54" s="185">
        <f>IFERROR(IF($C54="",-0.00001,SUMIFS(Database!AS:AS,Database!$AD:$AD,$C54,Database!$A:$A,$C$1)),-0.00001)</f>
        <v>-1.0000000000000001E-5</v>
      </c>
      <c r="U54" s="186">
        <f t="shared" si="6"/>
        <v>-1.0000000000000001E-5</v>
      </c>
      <c r="V54" s="185">
        <f>IFERROR(IF($C54="",-0.00001,SUMIFS(Database!AU:AU,Database!$AD:$AD,$C54,Database!$A:$A,$C$1)),-0.00001)</f>
        <v>-1.0000000000000001E-5</v>
      </c>
      <c r="W54" s="185">
        <f>IFERROR(IF($C54="",-0.00001,SUMIFS(Database!AV:AV,Database!$AD:$AD,$C54,Database!$A:$A,$C$1)),-0.00001)</f>
        <v>-1.0000000000000001E-5</v>
      </c>
      <c r="X54" s="186">
        <f t="shared" si="7"/>
        <v>-1.0000000000000001E-5</v>
      </c>
      <c r="Y54" s="291"/>
      <c r="Z54" s="293">
        <f>IFERROR(IF($C54="",-0.00001,SUMIFS(Database!AG:AG,Database!$AD:$AD,$C54,Database!$A:$A,$C$1)/$G54),-0.00001)</f>
        <v>-1.0000000000000001E-5</v>
      </c>
      <c r="AA54" s="293">
        <f>IFERROR(IF($C54="",-0.00001,SUMIFS(Database!AH:AH,Database!$AD:$AD,$C54,Database!$A:$A,$C$1)/$G54),-0.00001)</f>
        <v>-1.0000000000000001E-5</v>
      </c>
      <c r="AB54" s="293">
        <f>IFERROR(IF($C54="",-0.00001,SUMIFS(Database!AI:AI,Database!$AD:$AD,$C54,Database!$A:$A,$C$1)/$G54),-0.00001)</f>
        <v>-1.0000000000000001E-5</v>
      </c>
      <c r="AC54" s="293">
        <f>IFERROR(IF($C54="",-0.00001,SUMIFS(Database!AJ:AJ,Database!$AD:$AD,$C54,Database!$A:$A,$C$1)/$G54),-0.00001)</f>
        <v>-1.0000000000000001E-5</v>
      </c>
      <c r="AD54" s="293">
        <f>IFERROR(IF($C54="",-0.00001,SUMIFS(Database!AK:AK,Database!$AD:$AD,$C54,Database!$A:$A,$C$1)/$G54),-0.00001)</f>
        <v>-1.0000000000000001E-5</v>
      </c>
      <c r="AE54" s="293">
        <f>IFERROR(IF($C54="",-0.00001,SUMIFS(Database!AL:AL,Database!$AD:$AD,$C54,Database!$A:$A,$C$1)/$G54),-0.00001)</f>
        <v>-1.0000000000000001E-5</v>
      </c>
      <c r="AF54" s="293">
        <f>IFERROR(IF($C54="",-0.00001,SUMIFS(Database!AM:AM,Database!$AD:$AD,$C54,Database!$A:$A,$C$1)/$G54),-0.00001)</f>
        <v>-1.0000000000000001E-5</v>
      </c>
      <c r="AG54" s="293">
        <f>IFERROR(IF($C54="",-0.00001,SUMIFS(Database!AN:AN,Database!$AD:$AD,$C54,Database!$A:$A,$C$1)/$G54),-0.00001)</f>
        <v>-1.0000000000000001E-5</v>
      </c>
      <c r="AH54" s="293">
        <f>IFERROR(IF($C54="",-0.00001,SUMIFS(Database!AO:AO,Database!$AD:$AD,$C54,Database!$A:$A,$C$1)/$G54),-0.00001)</f>
        <v>-1.0000000000000001E-5</v>
      </c>
      <c r="AI54" s="293">
        <f>IFERROR(IF($C54="",-0.00001,SUMIFS(Database!AP:AP,Database!$AD:$AD,$C54,Database!$A:$A,$C$1)/$G54),-0.00001)</f>
        <v>-1.0000000000000001E-5</v>
      </c>
      <c r="AJ54" s="293">
        <f>IFERROR(IF($C54="",-0.00001,SUMIFS(Database!AR:AR,Database!$AD:$AD,$C54,Database!$A:$A,$C$1)/$G54),-0.00001)</f>
        <v>-1.0000000000000001E-5</v>
      </c>
      <c r="AK54" s="293">
        <f>IFERROR(IF($C54="",-0.00001,SUMIFS(Database!AS:AS,Database!$AD:$AD,$C54,Database!$A:$A,$C$1)/$G54),-0.00001)</f>
        <v>-1.0000000000000001E-5</v>
      </c>
      <c r="AL54" s="293">
        <f>IFERROR(IF($C54="",-0.00001,SUMIFS(Database!AU:AU,Database!$AD:$AD,$C54,Database!$A:$A,$C$1)/$G54),-0.00001)</f>
        <v>-1.0000000000000001E-5</v>
      </c>
      <c r="AM54" s="293">
        <f>IFERROR(IF($C54="",-0.00001,SUMIFS(Database!AV:AV,Database!$AD:$AD,$C54,Database!$A:$A,$C$1)/$G54),-0.00001)</f>
        <v>-1.0000000000000001E-5</v>
      </c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</row>
    <row r="55" spans="1:50" x14ac:dyDescent="0.25">
      <c r="A55" s="187"/>
      <c r="B55" s="187" t="str">
        <f>IF($C55="","",MAX($B$4:$B54)+1)</f>
        <v/>
      </c>
      <c r="C55" s="145"/>
      <c r="D55" s="233">
        <f>IF($C55="",-0.00001,COUNTIFS(Database!$AD:$AD,$C55,Database!$A:$A,$C$1,Database!$AE:$AE,"W"))</f>
        <v>-1.0000000000000001E-5</v>
      </c>
      <c r="E55" s="233">
        <f>IF($C55="",-0.00001,COUNTIFS(Database!$AD:$AD,$C55,Database!$A:$A,$C$1,Database!$AE:$AE,"L"))</f>
        <v>-1.0000000000000001E-5</v>
      </c>
      <c r="F55" s="233">
        <f t="shared" si="4"/>
        <v>-1.0000000000000001E-5</v>
      </c>
      <c r="G55" s="185">
        <f>IF($C55="",-0.00001,COUNTIFS(Database!AD:AD,$C55,Database!A:A,$C$1))</f>
        <v>-1.0000000000000001E-5</v>
      </c>
      <c r="H55" s="185">
        <f>IFERROR(IF($C55="",-0.00001,SUMIFS(Database!AG:AG,Database!$AD:$AD,$C55,Database!$A:$A,$C$1)),-0.00001)</f>
        <v>-1.0000000000000001E-5</v>
      </c>
      <c r="I55" s="185">
        <f>IFERROR(IF($C55="",-0.00001,SUMIFS(Database!AH:AH,Database!$AD:$AD,$C55,Database!$A:$A,$C$1)),-0.00001)</f>
        <v>-1.0000000000000001E-5</v>
      </c>
      <c r="J55" s="185">
        <f>IFERROR(IF($C55="",-0.00001,SUMIFS(Database!AI:AI,Database!$AD:$AD,$C55,Database!$A:$A,$C$1)),-0.00001)</f>
        <v>-1.0000000000000001E-5</v>
      </c>
      <c r="K55" s="185">
        <f>IFERROR(IF($C55="",-0.00001,SUMIFS(Database!AJ:AJ,Database!$AD:$AD,$C55,Database!$A:$A,$C$1)),-0.00001)</f>
        <v>-1.0000000000000001E-5</v>
      </c>
      <c r="L55" s="185">
        <f>IFERROR(IF($C55="",-0.00001,SUMIFS(Database!AK:AK,Database!$AD:$AD,$C55,Database!$A:$A,$C$1)),-0.00001)</f>
        <v>-1.0000000000000001E-5</v>
      </c>
      <c r="M55" s="185">
        <f>IFERROR(IF($C55="",-0.00001,SUMIFS(Database!AL:AL,Database!$AD:$AD,$C55,Database!$A:$A,$C$1)),-0.00001)</f>
        <v>-1.0000000000000001E-5</v>
      </c>
      <c r="N55" s="185">
        <f>IFERROR(IF($C55="",-0.00001,SUMIFS(Database!AM:AM,Database!$AD:$AD,$C55,Database!$A:$A,$C$1)),-0.00001)</f>
        <v>-1.0000000000000001E-5</v>
      </c>
      <c r="O55" s="185">
        <f>IFERROR(IF($C55="",-0.00001,SUMIFS(Database!AN:AN,Database!$AD:$AD,$C55,Database!$A:$A,$C$1)),-0.00001)</f>
        <v>-1.0000000000000001E-5</v>
      </c>
      <c r="P55" s="185">
        <f>IFERROR(IF($C55="",-0.00001,SUMIFS(Database!AO:AO,Database!$AD:$AD,$C55,Database!$A:$A,$C$1)),-0.00001)</f>
        <v>-1.0000000000000001E-5</v>
      </c>
      <c r="Q55" s="185">
        <f>IFERROR(IF($C55="",-0.00001,SUMIFS(Database!AP:AP,Database!$AD:$AD,$C55,Database!$A:$A,$C$1)),-0.00001)</f>
        <v>-1.0000000000000001E-5</v>
      </c>
      <c r="R55" s="186">
        <f t="shared" si="5"/>
        <v>-1.0000000000000001E-5</v>
      </c>
      <c r="S55" s="185">
        <f>IFERROR(IF($C55="",-0.00001,SUMIFS(Database!AR:AR,Database!$AD:$AD,$C55,Database!$A:$A,$C$1)),-0.00001)</f>
        <v>-1.0000000000000001E-5</v>
      </c>
      <c r="T55" s="185">
        <f>IFERROR(IF($C55="",-0.00001,SUMIFS(Database!AS:AS,Database!$AD:$AD,$C55,Database!$A:$A,$C$1)),-0.00001)</f>
        <v>-1.0000000000000001E-5</v>
      </c>
      <c r="U55" s="186">
        <f t="shared" si="6"/>
        <v>-1.0000000000000001E-5</v>
      </c>
      <c r="V55" s="185">
        <f>IFERROR(IF($C55="",-0.00001,SUMIFS(Database!AU:AU,Database!$AD:$AD,$C55,Database!$A:$A,$C$1)),-0.00001)</f>
        <v>-1.0000000000000001E-5</v>
      </c>
      <c r="W55" s="185">
        <f>IFERROR(IF($C55="",-0.00001,SUMIFS(Database!AV:AV,Database!$AD:$AD,$C55,Database!$A:$A,$C$1)),-0.00001)</f>
        <v>-1.0000000000000001E-5</v>
      </c>
      <c r="X55" s="186">
        <f t="shared" si="7"/>
        <v>-1.0000000000000001E-5</v>
      </c>
      <c r="Y55" s="291"/>
      <c r="Z55" s="293">
        <f>IFERROR(IF($C55="",-0.00001,SUMIFS(Database!AG:AG,Database!$AD:$AD,$C55,Database!$A:$A,$C$1)/$G55),-0.00001)</f>
        <v>-1.0000000000000001E-5</v>
      </c>
      <c r="AA55" s="293">
        <f>IFERROR(IF($C55="",-0.00001,SUMIFS(Database!AH:AH,Database!$AD:$AD,$C55,Database!$A:$A,$C$1)/$G55),-0.00001)</f>
        <v>-1.0000000000000001E-5</v>
      </c>
      <c r="AB55" s="293">
        <f>IFERROR(IF($C55="",-0.00001,SUMIFS(Database!AI:AI,Database!$AD:$AD,$C55,Database!$A:$A,$C$1)/$G55),-0.00001)</f>
        <v>-1.0000000000000001E-5</v>
      </c>
      <c r="AC55" s="293">
        <f>IFERROR(IF($C55="",-0.00001,SUMIFS(Database!AJ:AJ,Database!$AD:$AD,$C55,Database!$A:$A,$C$1)/$G55),-0.00001)</f>
        <v>-1.0000000000000001E-5</v>
      </c>
      <c r="AD55" s="293">
        <f>IFERROR(IF($C55="",-0.00001,SUMIFS(Database!AK:AK,Database!$AD:$AD,$C55,Database!$A:$A,$C$1)/$G55),-0.00001)</f>
        <v>-1.0000000000000001E-5</v>
      </c>
      <c r="AE55" s="293">
        <f>IFERROR(IF($C55="",-0.00001,SUMIFS(Database!AL:AL,Database!$AD:$AD,$C55,Database!$A:$A,$C$1)/$G55),-0.00001)</f>
        <v>-1.0000000000000001E-5</v>
      </c>
      <c r="AF55" s="293">
        <f>IFERROR(IF($C55="",-0.00001,SUMIFS(Database!AM:AM,Database!$AD:$AD,$C55,Database!$A:$A,$C$1)/$G55),-0.00001)</f>
        <v>-1.0000000000000001E-5</v>
      </c>
      <c r="AG55" s="293">
        <f>IFERROR(IF($C55="",-0.00001,SUMIFS(Database!AN:AN,Database!$AD:$AD,$C55,Database!$A:$A,$C$1)/$G55),-0.00001)</f>
        <v>-1.0000000000000001E-5</v>
      </c>
      <c r="AH55" s="293">
        <f>IFERROR(IF($C55="",-0.00001,SUMIFS(Database!AO:AO,Database!$AD:$AD,$C55,Database!$A:$A,$C$1)/$G55),-0.00001)</f>
        <v>-1.0000000000000001E-5</v>
      </c>
      <c r="AI55" s="293">
        <f>IFERROR(IF($C55="",-0.00001,SUMIFS(Database!AP:AP,Database!$AD:$AD,$C55,Database!$A:$A,$C$1)/$G55),-0.00001)</f>
        <v>-1.0000000000000001E-5</v>
      </c>
      <c r="AJ55" s="293">
        <f>IFERROR(IF($C55="",-0.00001,SUMIFS(Database!AR:AR,Database!$AD:$AD,$C55,Database!$A:$A,$C$1)/$G55),-0.00001)</f>
        <v>-1.0000000000000001E-5</v>
      </c>
      <c r="AK55" s="293">
        <f>IFERROR(IF($C55="",-0.00001,SUMIFS(Database!AS:AS,Database!$AD:$AD,$C55,Database!$A:$A,$C$1)/$G55),-0.00001)</f>
        <v>-1.0000000000000001E-5</v>
      </c>
      <c r="AL55" s="293">
        <f>IFERROR(IF($C55="",-0.00001,SUMIFS(Database!AU:AU,Database!$AD:$AD,$C55,Database!$A:$A,$C$1)/$G55),-0.00001)</f>
        <v>-1.0000000000000001E-5</v>
      </c>
      <c r="AM55" s="293">
        <f>IFERROR(IF($C55="",-0.00001,SUMIFS(Database!AV:AV,Database!$AD:$AD,$C55,Database!$A:$A,$C$1)/$G55),-0.00001)</f>
        <v>-1.0000000000000001E-5</v>
      </c>
      <c r="AN55" s="187"/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</row>
    <row r="56" spans="1:50" x14ac:dyDescent="0.25">
      <c r="A56" s="187"/>
      <c r="B56" s="187" t="str">
        <f>IF($C56="","",MAX($B$4:$B55)+1)</f>
        <v/>
      </c>
      <c r="C56" s="145"/>
      <c r="D56" s="233">
        <f>IF($C56="",-0.00001,COUNTIFS(Database!$AD:$AD,$C56,Database!$A:$A,$C$1,Database!$AE:$AE,"W"))</f>
        <v>-1.0000000000000001E-5</v>
      </c>
      <c r="E56" s="233">
        <f>IF($C56="",-0.00001,COUNTIFS(Database!$AD:$AD,$C56,Database!$A:$A,$C$1,Database!$AE:$AE,"L"))</f>
        <v>-1.0000000000000001E-5</v>
      </c>
      <c r="F56" s="233">
        <f t="shared" si="4"/>
        <v>-1.0000000000000001E-5</v>
      </c>
      <c r="G56" s="185">
        <f>IF($C56="",-0.00001,COUNTIFS(Database!AD:AD,$C56,Database!A:A,$C$1))</f>
        <v>-1.0000000000000001E-5</v>
      </c>
      <c r="H56" s="185">
        <f>IFERROR(IF($C56="",-0.00001,SUMIFS(Database!AG:AG,Database!$AD:$AD,$C56,Database!$A:$A,$C$1)),-0.00001)</f>
        <v>-1.0000000000000001E-5</v>
      </c>
      <c r="I56" s="185">
        <f>IFERROR(IF($C56="",-0.00001,SUMIFS(Database!AH:AH,Database!$AD:$AD,$C56,Database!$A:$A,$C$1)),-0.00001)</f>
        <v>-1.0000000000000001E-5</v>
      </c>
      <c r="J56" s="185">
        <f>IFERROR(IF($C56="",-0.00001,SUMIFS(Database!AI:AI,Database!$AD:$AD,$C56,Database!$A:$A,$C$1)),-0.00001)</f>
        <v>-1.0000000000000001E-5</v>
      </c>
      <c r="K56" s="185">
        <f>IFERROR(IF($C56="",-0.00001,SUMIFS(Database!AJ:AJ,Database!$AD:$AD,$C56,Database!$A:$A,$C$1)),-0.00001)</f>
        <v>-1.0000000000000001E-5</v>
      </c>
      <c r="L56" s="185">
        <f>IFERROR(IF($C56="",-0.00001,SUMIFS(Database!AK:AK,Database!$AD:$AD,$C56,Database!$A:$A,$C$1)),-0.00001)</f>
        <v>-1.0000000000000001E-5</v>
      </c>
      <c r="M56" s="185">
        <f>IFERROR(IF($C56="",-0.00001,SUMIFS(Database!AL:AL,Database!$AD:$AD,$C56,Database!$A:$A,$C$1)),-0.00001)</f>
        <v>-1.0000000000000001E-5</v>
      </c>
      <c r="N56" s="185">
        <f>IFERROR(IF($C56="",-0.00001,SUMIFS(Database!AM:AM,Database!$AD:$AD,$C56,Database!$A:$A,$C$1)),-0.00001)</f>
        <v>-1.0000000000000001E-5</v>
      </c>
      <c r="O56" s="185">
        <f>IFERROR(IF($C56="",-0.00001,SUMIFS(Database!AN:AN,Database!$AD:$AD,$C56,Database!$A:$A,$C$1)),-0.00001)</f>
        <v>-1.0000000000000001E-5</v>
      </c>
      <c r="P56" s="185">
        <f>IFERROR(IF($C56="",-0.00001,SUMIFS(Database!AO:AO,Database!$AD:$AD,$C56,Database!$A:$A,$C$1)),-0.00001)</f>
        <v>-1.0000000000000001E-5</v>
      </c>
      <c r="Q56" s="185">
        <f>IFERROR(IF($C56="",-0.00001,SUMIFS(Database!AP:AP,Database!$AD:$AD,$C56,Database!$A:$A,$C$1)),-0.00001)</f>
        <v>-1.0000000000000001E-5</v>
      </c>
      <c r="R56" s="186">
        <f t="shared" si="5"/>
        <v>-1.0000000000000001E-5</v>
      </c>
      <c r="S56" s="185">
        <f>IFERROR(IF($C56="",-0.00001,SUMIFS(Database!AR:AR,Database!$AD:$AD,$C56,Database!$A:$A,$C$1)),-0.00001)</f>
        <v>-1.0000000000000001E-5</v>
      </c>
      <c r="T56" s="185">
        <f>IFERROR(IF($C56="",-0.00001,SUMIFS(Database!AS:AS,Database!$AD:$AD,$C56,Database!$A:$A,$C$1)),-0.00001)</f>
        <v>-1.0000000000000001E-5</v>
      </c>
      <c r="U56" s="186">
        <f t="shared" si="6"/>
        <v>-1.0000000000000001E-5</v>
      </c>
      <c r="V56" s="185">
        <f>IFERROR(IF($C56="",-0.00001,SUMIFS(Database!AU:AU,Database!$AD:$AD,$C56,Database!$A:$A,$C$1)),-0.00001)</f>
        <v>-1.0000000000000001E-5</v>
      </c>
      <c r="W56" s="185">
        <f>IFERROR(IF($C56="",-0.00001,SUMIFS(Database!AV:AV,Database!$AD:$AD,$C56,Database!$A:$A,$C$1)),-0.00001)</f>
        <v>-1.0000000000000001E-5</v>
      </c>
      <c r="X56" s="186">
        <f t="shared" si="7"/>
        <v>-1.0000000000000001E-5</v>
      </c>
      <c r="Y56" s="291"/>
      <c r="Z56" s="293">
        <f>IFERROR(IF($C56="",-0.00001,SUMIFS(Database!AG:AG,Database!$AD:$AD,$C56,Database!$A:$A,$C$1)/$G56),-0.00001)</f>
        <v>-1.0000000000000001E-5</v>
      </c>
      <c r="AA56" s="293">
        <f>IFERROR(IF($C56="",-0.00001,SUMIFS(Database!AH:AH,Database!$AD:$AD,$C56,Database!$A:$A,$C$1)/$G56),-0.00001)</f>
        <v>-1.0000000000000001E-5</v>
      </c>
      <c r="AB56" s="293">
        <f>IFERROR(IF($C56="",-0.00001,SUMIFS(Database!AI:AI,Database!$AD:$AD,$C56,Database!$A:$A,$C$1)/$G56),-0.00001)</f>
        <v>-1.0000000000000001E-5</v>
      </c>
      <c r="AC56" s="293">
        <f>IFERROR(IF($C56="",-0.00001,SUMIFS(Database!AJ:AJ,Database!$AD:$AD,$C56,Database!$A:$A,$C$1)/$G56),-0.00001)</f>
        <v>-1.0000000000000001E-5</v>
      </c>
      <c r="AD56" s="293">
        <f>IFERROR(IF($C56="",-0.00001,SUMIFS(Database!AK:AK,Database!$AD:$AD,$C56,Database!$A:$A,$C$1)/$G56),-0.00001)</f>
        <v>-1.0000000000000001E-5</v>
      </c>
      <c r="AE56" s="293">
        <f>IFERROR(IF($C56="",-0.00001,SUMIFS(Database!AL:AL,Database!$AD:$AD,$C56,Database!$A:$A,$C$1)/$G56),-0.00001)</f>
        <v>-1.0000000000000001E-5</v>
      </c>
      <c r="AF56" s="293">
        <f>IFERROR(IF($C56="",-0.00001,SUMIFS(Database!AM:AM,Database!$AD:$AD,$C56,Database!$A:$A,$C$1)/$G56),-0.00001)</f>
        <v>-1.0000000000000001E-5</v>
      </c>
      <c r="AG56" s="293">
        <f>IFERROR(IF($C56="",-0.00001,SUMIFS(Database!AN:AN,Database!$AD:$AD,$C56,Database!$A:$A,$C$1)/$G56),-0.00001)</f>
        <v>-1.0000000000000001E-5</v>
      </c>
      <c r="AH56" s="293">
        <f>IFERROR(IF($C56="",-0.00001,SUMIFS(Database!AO:AO,Database!$AD:$AD,$C56,Database!$A:$A,$C$1)/$G56),-0.00001)</f>
        <v>-1.0000000000000001E-5</v>
      </c>
      <c r="AI56" s="293">
        <f>IFERROR(IF($C56="",-0.00001,SUMIFS(Database!AP:AP,Database!$AD:$AD,$C56,Database!$A:$A,$C$1)/$G56),-0.00001)</f>
        <v>-1.0000000000000001E-5</v>
      </c>
      <c r="AJ56" s="293">
        <f>IFERROR(IF($C56="",-0.00001,SUMIFS(Database!AR:AR,Database!$AD:$AD,$C56,Database!$A:$A,$C$1)/$G56),-0.00001)</f>
        <v>-1.0000000000000001E-5</v>
      </c>
      <c r="AK56" s="293">
        <f>IFERROR(IF($C56="",-0.00001,SUMIFS(Database!AS:AS,Database!$AD:$AD,$C56,Database!$A:$A,$C$1)/$G56),-0.00001)</f>
        <v>-1.0000000000000001E-5</v>
      </c>
      <c r="AL56" s="293">
        <f>IFERROR(IF($C56="",-0.00001,SUMIFS(Database!AU:AU,Database!$AD:$AD,$C56,Database!$A:$A,$C$1)/$G56),-0.00001)</f>
        <v>-1.0000000000000001E-5</v>
      </c>
      <c r="AM56" s="293">
        <f>IFERROR(IF($C56="",-0.00001,SUMIFS(Database!AV:AV,Database!$AD:$AD,$C56,Database!$A:$A,$C$1)/$G56),-0.00001)</f>
        <v>-1.0000000000000001E-5</v>
      </c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</row>
    <row r="57" spans="1:50" x14ac:dyDescent="0.25">
      <c r="A57" s="187"/>
      <c r="B57" s="187" t="str">
        <f>IF($C57="","",MAX($B$4:$B56)+1)</f>
        <v/>
      </c>
      <c r="C57" s="145"/>
      <c r="D57" s="233">
        <f>IF($C57="",-0.00001,COUNTIFS(Database!$AD:$AD,$C57,Database!$A:$A,$C$1,Database!$AE:$AE,"W"))</f>
        <v>-1.0000000000000001E-5</v>
      </c>
      <c r="E57" s="233">
        <f>IF($C57="",-0.00001,COUNTIFS(Database!$AD:$AD,$C57,Database!$A:$A,$C$1,Database!$AE:$AE,"L"))</f>
        <v>-1.0000000000000001E-5</v>
      </c>
      <c r="F57" s="233">
        <f t="shared" si="4"/>
        <v>-1.0000000000000001E-5</v>
      </c>
      <c r="G57" s="185">
        <f>IF($C57="",-0.00001,COUNTIFS(Database!AD:AD,$C57,Database!A:A,$C$1))</f>
        <v>-1.0000000000000001E-5</v>
      </c>
      <c r="H57" s="185">
        <f>IFERROR(IF($C57="",-0.00001,SUMIFS(Database!AG:AG,Database!$AD:$AD,$C57,Database!$A:$A,$C$1)),-0.00001)</f>
        <v>-1.0000000000000001E-5</v>
      </c>
      <c r="I57" s="185">
        <f>IFERROR(IF($C57="",-0.00001,SUMIFS(Database!AH:AH,Database!$AD:$AD,$C57,Database!$A:$A,$C$1)),-0.00001)</f>
        <v>-1.0000000000000001E-5</v>
      </c>
      <c r="J57" s="185">
        <f>IFERROR(IF($C57="",-0.00001,SUMIFS(Database!AI:AI,Database!$AD:$AD,$C57,Database!$A:$A,$C$1)),-0.00001)</f>
        <v>-1.0000000000000001E-5</v>
      </c>
      <c r="K57" s="185">
        <f>IFERROR(IF($C57="",-0.00001,SUMIFS(Database!AJ:AJ,Database!$AD:$AD,$C57,Database!$A:$A,$C$1)),-0.00001)</f>
        <v>-1.0000000000000001E-5</v>
      </c>
      <c r="L57" s="185">
        <f>IFERROR(IF($C57="",-0.00001,SUMIFS(Database!AK:AK,Database!$AD:$AD,$C57,Database!$A:$A,$C$1)),-0.00001)</f>
        <v>-1.0000000000000001E-5</v>
      </c>
      <c r="M57" s="185">
        <f>IFERROR(IF($C57="",-0.00001,SUMIFS(Database!AL:AL,Database!$AD:$AD,$C57,Database!$A:$A,$C$1)),-0.00001)</f>
        <v>-1.0000000000000001E-5</v>
      </c>
      <c r="N57" s="185">
        <f>IFERROR(IF($C57="",-0.00001,SUMIFS(Database!AM:AM,Database!$AD:$AD,$C57,Database!$A:$A,$C$1)),-0.00001)</f>
        <v>-1.0000000000000001E-5</v>
      </c>
      <c r="O57" s="185">
        <f>IFERROR(IF($C57="",-0.00001,SUMIFS(Database!AN:AN,Database!$AD:$AD,$C57,Database!$A:$A,$C$1)),-0.00001)</f>
        <v>-1.0000000000000001E-5</v>
      </c>
      <c r="P57" s="185">
        <f>IFERROR(IF($C57="",-0.00001,SUMIFS(Database!AO:AO,Database!$AD:$AD,$C57,Database!$A:$A,$C$1)),-0.00001)</f>
        <v>-1.0000000000000001E-5</v>
      </c>
      <c r="Q57" s="185">
        <f>IFERROR(IF($C57="",-0.00001,SUMIFS(Database!AP:AP,Database!$AD:$AD,$C57,Database!$A:$A,$C$1)),-0.00001)</f>
        <v>-1.0000000000000001E-5</v>
      </c>
      <c r="R57" s="186">
        <f t="shared" si="5"/>
        <v>-1.0000000000000001E-5</v>
      </c>
      <c r="S57" s="185">
        <f>IFERROR(IF($C57="",-0.00001,SUMIFS(Database!AR:AR,Database!$AD:$AD,$C57,Database!$A:$A,$C$1)),-0.00001)</f>
        <v>-1.0000000000000001E-5</v>
      </c>
      <c r="T57" s="185">
        <f>IFERROR(IF($C57="",-0.00001,SUMIFS(Database!AS:AS,Database!$AD:$AD,$C57,Database!$A:$A,$C$1)),-0.00001)</f>
        <v>-1.0000000000000001E-5</v>
      </c>
      <c r="U57" s="186">
        <f t="shared" si="6"/>
        <v>-1.0000000000000001E-5</v>
      </c>
      <c r="V57" s="185">
        <f>IFERROR(IF($C57="",-0.00001,SUMIFS(Database!AU:AU,Database!$AD:$AD,$C57,Database!$A:$A,$C$1)),-0.00001)</f>
        <v>-1.0000000000000001E-5</v>
      </c>
      <c r="W57" s="185">
        <f>IFERROR(IF($C57="",-0.00001,SUMIFS(Database!AV:AV,Database!$AD:$AD,$C57,Database!$A:$A,$C$1)),-0.00001)</f>
        <v>-1.0000000000000001E-5</v>
      </c>
      <c r="X57" s="186">
        <f t="shared" si="7"/>
        <v>-1.0000000000000001E-5</v>
      </c>
      <c r="Y57" s="291"/>
      <c r="Z57" s="293">
        <f>IFERROR(IF($C57="",-0.00001,SUMIFS(Database!AG:AG,Database!$AD:$AD,$C57,Database!$A:$A,$C$1)/$G57),-0.00001)</f>
        <v>-1.0000000000000001E-5</v>
      </c>
      <c r="AA57" s="293">
        <f>IFERROR(IF($C57="",-0.00001,SUMIFS(Database!AH:AH,Database!$AD:$AD,$C57,Database!$A:$A,$C$1)/$G57),-0.00001)</f>
        <v>-1.0000000000000001E-5</v>
      </c>
      <c r="AB57" s="293">
        <f>IFERROR(IF($C57="",-0.00001,SUMIFS(Database!AI:AI,Database!$AD:$AD,$C57,Database!$A:$A,$C$1)/$G57),-0.00001)</f>
        <v>-1.0000000000000001E-5</v>
      </c>
      <c r="AC57" s="293">
        <f>IFERROR(IF($C57="",-0.00001,SUMIFS(Database!AJ:AJ,Database!$AD:$AD,$C57,Database!$A:$A,$C$1)/$G57),-0.00001)</f>
        <v>-1.0000000000000001E-5</v>
      </c>
      <c r="AD57" s="293">
        <f>IFERROR(IF($C57="",-0.00001,SUMIFS(Database!AK:AK,Database!$AD:$AD,$C57,Database!$A:$A,$C$1)/$G57),-0.00001)</f>
        <v>-1.0000000000000001E-5</v>
      </c>
      <c r="AE57" s="293">
        <f>IFERROR(IF($C57="",-0.00001,SUMIFS(Database!AL:AL,Database!$AD:$AD,$C57,Database!$A:$A,$C$1)/$G57),-0.00001)</f>
        <v>-1.0000000000000001E-5</v>
      </c>
      <c r="AF57" s="293">
        <f>IFERROR(IF($C57="",-0.00001,SUMIFS(Database!AM:AM,Database!$AD:$AD,$C57,Database!$A:$A,$C$1)/$G57),-0.00001)</f>
        <v>-1.0000000000000001E-5</v>
      </c>
      <c r="AG57" s="293">
        <f>IFERROR(IF($C57="",-0.00001,SUMIFS(Database!AN:AN,Database!$AD:$AD,$C57,Database!$A:$A,$C$1)/$G57),-0.00001)</f>
        <v>-1.0000000000000001E-5</v>
      </c>
      <c r="AH57" s="293">
        <f>IFERROR(IF($C57="",-0.00001,SUMIFS(Database!AO:AO,Database!$AD:$AD,$C57,Database!$A:$A,$C$1)/$G57),-0.00001)</f>
        <v>-1.0000000000000001E-5</v>
      </c>
      <c r="AI57" s="293">
        <f>IFERROR(IF($C57="",-0.00001,SUMIFS(Database!AP:AP,Database!$AD:$AD,$C57,Database!$A:$A,$C$1)/$G57),-0.00001)</f>
        <v>-1.0000000000000001E-5</v>
      </c>
      <c r="AJ57" s="293">
        <f>IFERROR(IF($C57="",-0.00001,SUMIFS(Database!AR:AR,Database!$AD:$AD,$C57,Database!$A:$A,$C$1)/$G57),-0.00001)</f>
        <v>-1.0000000000000001E-5</v>
      </c>
      <c r="AK57" s="293">
        <f>IFERROR(IF($C57="",-0.00001,SUMIFS(Database!AS:AS,Database!$AD:$AD,$C57,Database!$A:$A,$C$1)/$G57),-0.00001)</f>
        <v>-1.0000000000000001E-5</v>
      </c>
      <c r="AL57" s="293">
        <f>IFERROR(IF($C57="",-0.00001,SUMIFS(Database!AU:AU,Database!$AD:$AD,$C57,Database!$A:$A,$C$1)/$G57),-0.00001)</f>
        <v>-1.0000000000000001E-5</v>
      </c>
      <c r="AM57" s="293">
        <f>IFERROR(IF($C57="",-0.00001,SUMIFS(Database!AV:AV,Database!$AD:$AD,$C57,Database!$A:$A,$C$1)/$G57),-0.00001)</f>
        <v>-1.0000000000000001E-5</v>
      </c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</row>
    <row r="58" spans="1:50" x14ac:dyDescent="0.25">
      <c r="A58" s="187"/>
      <c r="B58" s="187" t="str">
        <f>IF($C58="","",MAX($B$4:$B57)+1)</f>
        <v/>
      </c>
      <c r="C58" s="145"/>
      <c r="D58" s="233">
        <f>IF($C58="",-0.00001,COUNTIFS(Database!$AD:$AD,$C58,Database!$A:$A,$C$1,Database!$AE:$AE,"W"))</f>
        <v>-1.0000000000000001E-5</v>
      </c>
      <c r="E58" s="233">
        <f>IF($C58="",-0.00001,COUNTIFS(Database!$AD:$AD,$C58,Database!$A:$A,$C$1,Database!$AE:$AE,"L"))</f>
        <v>-1.0000000000000001E-5</v>
      </c>
      <c r="F58" s="233">
        <f t="shared" si="4"/>
        <v>-1.0000000000000001E-5</v>
      </c>
      <c r="G58" s="185">
        <f>IF($C58="",-0.00001,COUNTIFS(Database!AD:AD,$C58,Database!A:A,$C$1))</f>
        <v>-1.0000000000000001E-5</v>
      </c>
      <c r="H58" s="185">
        <f>IFERROR(IF($C58="",-0.00001,SUMIFS(Database!AG:AG,Database!$AD:$AD,$C58,Database!$A:$A,$C$1)),-0.00001)</f>
        <v>-1.0000000000000001E-5</v>
      </c>
      <c r="I58" s="185">
        <f>IFERROR(IF($C58="",-0.00001,SUMIFS(Database!AH:AH,Database!$AD:$AD,$C58,Database!$A:$A,$C$1)),-0.00001)</f>
        <v>-1.0000000000000001E-5</v>
      </c>
      <c r="J58" s="185">
        <f>IFERROR(IF($C58="",-0.00001,SUMIFS(Database!AI:AI,Database!$AD:$AD,$C58,Database!$A:$A,$C$1)),-0.00001)</f>
        <v>-1.0000000000000001E-5</v>
      </c>
      <c r="K58" s="185">
        <f>IFERROR(IF($C58="",-0.00001,SUMIFS(Database!AJ:AJ,Database!$AD:$AD,$C58,Database!$A:$A,$C$1)),-0.00001)</f>
        <v>-1.0000000000000001E-5</v>
      </c>
      <c r="L58" s="185">
        <f>IFERROR(IF($C58="",-0.00001,SUMIFS(Database!AK:AK,Database!$AD:$AD,$C58,Database!$A:$A,$C$1)),-0.00001)</f>
        <v>-1.0000000000000001E-5</v>
      </c>
      <c r="M58" s="185">
        <f>IFERROR(IF($C58="",-0.00001,SUMIFS(Database!AL:AL,Database!$AD:$AD,$C58,Database!$A:$A,$C$1)),-0.00001)</f>
        <v>-1.0000000000000001E-5</v>
      </c>
      <c r="N58" s="185">
        <f>IFERROR(IF($C58="",-0.00001,SUMIFS(Database!AM:AM,Database!$AD:$AD,$C58,Database!$A:$A,$C$1)),-0.00001)</f>
        <v>-1.0000000000000001E-5</v>
      </c>
      <c r="O58" s="185">
        <f>IFERROR(IF($C58="",-0.00001,SUMIFS(Database!AN:AN,Database!$AD:$AD,$C58,Database!$A:$A,$C$1)),-0.00001)</f>
        <v>-1.0000000000000001E-5</v>
      </c>
      <c r="P58" s="185">
        <f>IFERROR(IF($C58="",-0.00001,SUMIFS(Database!AO:AO,Database!$AD:$AD,$C58,Database!$A:$A,$C$1)),-0.00001)</f>
        <v>-1.0000000000000001E-5</v>
      </c>
      <c r="Q58" s="185">
        <f>IFERROR(IF($C58="",-0.00001,SUMIFS(Database!AP:AP,Database!$AD:$AD,$C58,Database!$A:$A,$C$1)),-0.00001)</f>
        <v>-1.0000000000000001E-5</v>
      </c>
      <c r="R58" s="186">
        <f t="shared" si="5"/>
        <v>-1.0000000000000001E-5</v>
      </c>
      <c r="S58" s="185">
        <f>IFERROR(IF($C58="",-0.00001,SUMIFS(Database!AR:AR,Database!$AD:$AD,$C58,Database!$A:$A,$C$1)),-0.00001)</f>
        <v>-1.0000000000000001E-5</v>
      </c>
      <c r="T58" s="185">
        <f>IFERROR(IF($C58="",-0.00001,SUMIFS(Database!AS:AS,Database!$AD:$AD,$C58,Database!$A:$A,$C$1)),-0.00001)</f>
        <v>-1.0000000000000001E-5</v>
      </c>
      <c r="U58" s="186">
        <f t="shared" si="6"/>
        <v>-1.0000000000000001E-5</v>
      </c>
      <c r="V58" s="185">
        <f>IFERROR(IF($C58="",-0.00001,SUMIFS(Database!AU:AU,Database!$AD:$AD,$C58,Database!$A:$A,$C$1)),-0.00001)</f>
        <v>-1.0000000000000001E-5</v>
      </c>
      <c r="W58" s="185">
        <f>IFERROR(IF($C58="",-0.00001,SUMIFS(Database!AV:AV,Database!$AD:$AD,$C58,Database!$A:$A,$C$1)),-0.00001)</f>
        <v>-1.0000000000000001E-5</v>
      </c>
      <c r="X58" s="186">
        <f t="shared" si="7"/>
        <v>-1.0000000000000001E-5</v>
      </c>
      <c r="Y58" s="291"/>
      <c r="Z58" s="293">
        <f>IFERROR(IF($C58="",-0.00001,SUMIFS(Database!AG:AG,Database!$AD:$AD,$C58,Database!$A:$A,$C$1)/$G58),-0.00001)</f>
        <v>-1.0000000000000001E-5</v>
      </c>
      <c r="AA58" s="293">
        <f>IFERROR(IF($C58="",-0.00001,SUMIFS(Database!AH:AH,Database!$AD:$AD,$C58,Database!$A:$A,$C$1)/$G58),-0.00001)</f>
        <v>-1.0000000000000001E-5</v>
      </c>
      <c r="AB58" s="293">
        <f>IFERROR(IF($C58="",-0.00001,SUMIFS(Database!AI:AI,Database!$AD:$AD,$C58,Database!$A:$A,$C$1)/$G58),-0.00001)</f>
        <v>-1.0000000000000001E-5</v>
      </c>
      <c r="AC58" s="293">
        <f>IFERROR(IF($C58="",-0.00001,SUMIFS(Database!AJ:AJ,Database!$AD:$AD,$C58,Database!$A:$A,$C$1)/$G58),-0.00001)</f>
        <v>-1.0000000000000001E-5</v>
      </c>
      <c r="AD58" s="293">
        <f>IFERROR(IF($C58="",-0.00001,SUMIFS(Database!AK:AK,Database!$AD:$AD,$C58,Database!$A:$A,$C$1)/$G58),-0.00001)</f>
        <v>-1.0000000000000001E-5</v>
      </c>
      <c r="AE58" s="293">
        <f>IFERROR(IF($C58="",-0.00001,SUMIFS(Database!AL:AL,Database!$AD:$AD,$C58,Database!$A:$A,$C$1)/$G58),-0.00001)</f>
        <v>-1.0000000000000001E-5</v>
      </c>
      <c r="AF58" s="293">
        <f>IFERROR(IF($C58="",-0.00001,SUMIFS(Database!AM:AM,Database!$AD:$AD,$C58,Database!$A:$A,$C$1)/$G58),-0.00001)</f>
        <v>-1.0000000000000001E-5</v>
      </c>
      <c r="AG58" s="293">
        <f>IFERROR(IF($C58="",-0.00001,SUMIFS(Database!AN:AN,Database!$AD:$AD,$C58,Database!$A:$A,$C$1)/$G58),-0.00001)</f>
        <v>-1.0000000000000001E-5</v>
      </c>
      <c r="AH58" s="293">
        <f>IFERROR(IF($C58="",-0.00001,SUMIFS(Database!AO:AO,Database!$AD:$AD,$C58,Database!$A:$A,$C$1)/$G58),-0.00001)</f>
        <v>-1.0000000000000001E-5</v>
      </c>
      <c r="AI58" s="293">
        <f>IFERROR(IF($C58="",-0.00001,SUMIFS(Database!AP:AP,Database!$AD:$AD,$C58,Database!$A:$A,$C$1)/$G58),-0.00001)</f>
        <v>-1.0000000000000001E-5</v>
      </c>
      <c r="AJ58" s="293">
        <f>IFERROR(IF($C58="",-0.00001,SUMIFS(Database!AR:AR,Database!$AD:$AD,$C58,Database!$A:$A,$C$1)/$G58),-0.00001)</f>
        <v>-1.0000000000000001E-5</v>
      </c>
      <c r="AK58" s="293">
        <f>IFERROR(IF($C58="",-0.00001,SUMIFS(Database!AS:AS,Database!$AD:$AD,$C58,Database!$A:$A,$C$1)/$G58),-0.00001)</f>
        <v>-1.0000000000000001E-5</v>
      </c>
      <c r="AL58" s="293">
        <f>IFERROR(IF($C58="",-0.00001,SUMIFS(Database!AU:AU,Database!$AD:$AD,$C58,Database!$A:$A,$C$1)/$G58),-0.00001)</f>
        <v>-1.0000000000000001E-5</v>
      </c>
      <c r="AM58" s="293">
        <f>IFERROR(IF($C58="",-0.00001,SUMIFS(Database!AV:AV,Database!$AD:$AD,$C58,Database!$A:$A,$C$1)/$G58),-0.00001)</f>
        <v>-1.0000000000000001E-5</v>
      </c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X58" s="187"/>
    </row>
    <row r="59" spans="1:50" x14ac:dyDescent="0.25">
      <c r="A59" s="187"/>
      <c r="B59" s="187" t="str">
        <f>IF($C59="","",MAX($B$4:$B58)+1)</f>
        <v/>
      </c>
      <c r="C59" s="145"/>
      <c r="D59" s="233">
        <f>IF($C59="",-0.00001,COUNTIFS(Database!$AD:$AD,$C59,Database!$A:$A,$C$1,Database!$AE:$AE,"W"))</f>
        <v>-1.0000000000000001E-5</v>
      </c>
      <c r="E59" s="233">
        <f>IF($C59="",-0.00001,COUNTIFS(Database!$AD:$AD,$C59,Database!$A:$A,$C$1,Database!$AE:$AE,"L"))</f>
        <v>-1.0000000000000001E-5</v>
      </c>
      <c r="F59" s="233">
        <f t="shared" si="4"/>
        <v>-1.0000000000000001E-5</v>
      </c>
      <c r="G59" s="185">
        <f>IF($C59="",-0.00001,COUNTIFS(Database!AD:AD,$C59,Database!A:A,$C$1))</f>
        <v>-1.0000000000000001E-5</v>
      </c>
      <c r="H59" s="185">
        <f>IFERROR(IF($C59="",-0.00001,SUMIFS(Database!AG:AG,Database!$AD:$AD,$C59,Database!$A:$A,$C$1)),-0.00001)</f>
        <v>-1.0000000000000001E-5</v>
      </c>
      <c r="I59" s="185">
        <f>IFERROR(IF($C59="",-0.00001,SUMIFS(Database!AH:AH,Database!$AD:$AD,$C59,Database!$A:$A,$C$1)),-0.00001)</f>
        <v>-1.0000000000000001E-5</v>
      </c>
      <c r="J59" s="185">
        <f>IFERROR(IF($C59="",-0.00001,SUMIFS(Database!AI:AI,Database!$AD:$AD,$C59,Database!$A:$A,$C$1)),-0.00001)</f>
        <v>-1.0000000000000001E-5</v>
      </c>
      <c r="K59" s="185">
        <f>IFERROR(IF($C59="",-0.00001,SUMIFS(Database!AJ:AJ,Database!$AD:$AD,$C59,Database!$A:$A,$C$1)),-0.00001)</f>
        <v>-1.0000000000000001E-5</v>
      </c>
      <c r="L59" s="185">
        <f>IFERROR(IF($C59="",-0.00001,SUMIFS(Database!AK:AK,Database!$AD:$AD,$C59,Database!$A:$A,$C$1)),-0.00001)</f>
        <v>-1.0000000000000001E-5</v>
      </c>
      <c r="M59" s="185">
        <f>IFERROR(IF($C59="",-0.00001,SUMIFS(Database!AL:AL,Database!$AD:$AD,$C59,Database!$A:$A,$C$1)),-0.00001)</f>
        <v>-1.0000000000000001E-5</v>
      </c>
      <c r="N59" s="185">
        <f>IFERROR(IF($C59="",-0.00001,SUMIFS(Database!AM:AM,Database!$AD:$AD,$C59,Database!$A:$A,$C$1)),-0.00001)</f>
        <v>-1.0000000000000001E-5</v>
      </c>
      <c r="O59" s="185">
        <f>IFERROR(IF($C59="",-0.00001,SUMIFS(Database!AN:AN,Database!$AD:$AD,$C59,Database!$A:$A,$C$1)),-0.00001)</f>
        <v>-1.0000000000000001E-5</v>
      </c>
      <c r="P59" s="185">
        <f>IFERROR(IF($C59="",-0.00001,SUMIFS(Database!AO:AO,Database!$AD:$AD,$C59,Database!$A:$A,$C$1)),-0.00001)</f>
        <v>-1.0000000000000001E-5</v>
      </c>
      <c r="Q59" s="185">
        <f>IFERROR(IF($C59="",-0.00001,SUMIFS(Database!AP:AP,Database!$AD:$AD,$C59,Database!$A:$A,$C$1)),-0.00001)</f>
        <v>-1.0000000000000001E-5</v>
      </c>
      <c r="R59" s="186">
        <f t="shared" si="5"/>
        <v>-1.0000000000000001E-5</v>
      </c>
      <c r="S59" s="185">
        <f>IFERROR(IF($C59="",-0.00001,SUMIFS(Database!AR:AR,Database!$AD:$AD,$C59,Database!$A:$A,$C$1)),-0.00001)</f>
        <v>-1.0000000000000001E-5</v>
      </c>
      <c r="T59" s="185">
        <f>IFERROR(IF($C59="",-0.00001,SUMIFS(Database!AS:AS,Database!$AD:$AD,$C59,Database!$A:$A,$C$1)),-0.00001)</f>
        <v>-1.0000000000000001E-5</v>
      </c>
      <c r="U59" s="186">
        <f t="shared" si="6"/>
        <v>-1.0000000000000001E-5</v>
      </c>
      <c r="V59" s="185">
        <f>IFERROR(IF($C59="",-0.00001,SUMIFS(Database!AU:AU,Database!$AD:$AD,$C59,Database!$A:$A,$C$1)),-0.00001)</f>
        <v>-1.0000000000000001E-5</v>
      </c>
      <c r="W59" s="185">
        <f>IFERROR(IF($C59="",-0.00001,SUMIFS(Database!AV:AV,Database!$AD:$AD,$C59,Database!$A:$A,$C$1)),-0.00001)</f>
        <v>-1.0000000000000001E-5</v>
      </c>
      <c r="X59" s="186">
        <f t="shared" si="7"/>
        <v>-1.0000000000000001E-5</v>
      </c>
      <c r="Y59" s="291"/>
      <c r="Z59" s="293">
        <f>IFERROR(IF($C59="",-0.00001,SUMIFS(Database!AG:AG,Database!$AD:$AD,$C59,Database!$A:$A,$C$1)/$G59),-0.00001)</f>
        <v>-1.0000000000000001E-5</v>
      </c>
      <c r="AA59" s="293">
        <f>IFERROR(IF($C59="",-0.00001,SUMIFS(Database!AH:AH,Database!$AD:$AD,$C59,Database!$A:$A,$C$1)/$G59),-0.00001)</f>
        <v>-1.0000000000000001E-5</v>
      </c>
      <c r="AB59" s="293">
        <f>IFERROR(IF($C59="",-0.00001,SUMIFS(Database!AI:AI,Database!$AD:$AD,$C59,Database!$A:$A,$C$1)/$G59),-0.00001)</f>
        <v>-1.0000000000000001E-5</v>
      </c>
      <c r="AC59" s="293">
        <f>IFERROR(IF($C59="",-0.00001,SUMIFS(Database!AJ:AJ,Database!$AD:$AD,$C59,Database!$A:$A,$C$1)/$G59),-0.00001)</f>
        <v>-1.0000000000000001E-5</v>
      </c>
      <c r="AD59" s="293">
        <f>IFERROR(IF($C59="",-0.00001,SUMIFS(Database!AK:AK,Database!$AD:$AD,$C59,Database!$A:$A,$C$1)/$G59),-0.00001)</f>
        <v>-1.0000000000000001E-5</v>
      </c>
      <c r="AE59" s="293">
        <f>IFERROR(IF($C59="",-0.00001,SUMIFS(Database!AL:AL,Database!$AD:$AD,$C59,Database!$A:$A,$C$1)/$G59),-0.00001)</f>
        <v>-1.0000000000000001E-5</v>
      </c>
      <c r="AF59" s="293">
        <f>IFERROR(IF($C59="",-0.00001,SUMIFS(Database!AM:AM,Database!$AD:$AD,$C59,Database!$A:$A,$C$1)/$G59),-0.00001)</f>
        <v>-1.0000000000000001E-5</v>
      </c>
      <c r="AG59" s="293">
        <f>IFERROR(IF($C59="",-0.00001,SUMIFS(Database!AN:AN,Database!$AD:$AD,$C59,Database!$A:$A,$C$1)/$G59),-0.00001)</f>
        <v>-1.0000000000000001E-5</v>
      </c>
      <c r="AH59" s="293">
        <f>IFERROR(IF($C59="",-0.00001,SUMIFS(Database!AO:AO,Database!$AD:$AD,$C59,Database!$A:$A,$C$1)/$G59),-0.00001)</f>
        <v>-1.0000000000000001E-5</v>
      </c>
      <c r="AI59" s="293">
        <f>IFERROR(IF($C59="",-0.00001,SUMIFS(Database!AP:AP,Database!$AD:$AD,$C59,Database!$A:$A,$C$1)/$G59),-0.00001)</f>
        <v>-1.0000000000000001E-5</v>
      </c>
      <c r="AJ59" s="293">
        <f>IFERROR(IF($C59="",-0.00001,SUMIFS(Database!AR:AR,Database!$AD:$AD,$C59,Database!$A:$A,$C$1)/$G59),-0.00001)</f>
        <v>-1.0000000000000001E-5</v>
      </c>
      <c r="AK59" s="293">
        <f>IFERROR(IF($C59="",-0.00001,SUMIFS(Database!AS:AS,Database!$AD:$AD,$C59,Database!$A:$A,$C$1)/$G59),-0.00001)</f>
        <v>-1.0000000000000001E-5</v>
      </c>
      <c r="AL59" s="293">
        <f>IFERROR(IF($C59="",-0.00001,SUMIFS(Database!AU:AU,Database!$AD:$AD,$C59,Database!$A:$A,$C$1)/$G59),-0.00001)</f>
        <v>-1.0000000000000001E-5</v>
      </c>
      <c r="AM59" s="293">
        <f>IFERROR(IF($C59="",-0.00001,SUMIFS(Database!AV:AV,Database!$AD:$AD,$C59,Database!$A:$A,$C$1)/$G59),-0.00001)</f>
        <v>-1.0000000000000001E-5</v>
      </c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</row>
    <row r="60" spans="1:50" x14ac:dyDescent="0.25">
      <c r="A60" s="187"/>
      <c r="B60" s="187" t="str">
        <f>IF($C60="","",MAX($B$4:$B59)+1)</f>
        <v/>
      </c>
      <c r="C60" s="145"/>
      <c r="D60" s="233">
        <f>IF($C60="",-0.00001,COUNTIFS(Database!$AD:$AD,$C60,Database!$A:$A,$C$1,Database!$AE:$AE,"W"))</f>
        <v>-1.0000000000000001E-5</v>
      </c>
      <c r="E60" s="233">
        <f>IF($C60="",-0.00001,COUNTIFS(Database!$AD:$AD,$C60,Database!$A:$A,$C$1,Database!$AE:$AE,"L"))</f>
        <v>-1.0000000000000001E-5</v>
      </c>
      <c r="F60" s="233">
        <f t="shared" si="4"/>
        <v>-1.0000000000000001E-5</v>
      </c>
      <c r="G60" s="185">
        <f>IF($C60="",-0.00001,COUNTIFS(Database!AD:AD,$C60,Database!A:A,$C$1))</f>
        <v>-1.0000000000000001E-5</v>
      </c>
      <c r="H60" s="185">
        <f>IFERROR(IF($C60="",-0.00001,SUMIFS(Database!AG:AG,Database!$AD:$AD,$C60,Database!$A:$A,$C$1)),-0.00001)</f>
        <v>-1.0000000000000001E-5</v>
      </c>
      <c r="I60" s="185">
        <f>IFERROR(IF($C60="",-0.00001,SUMIFS(Database!AH:AH,Database!$AD:$AD,$C60,Database!$A:$A,$C$1)),-0.00001)</f>
        <v>-1.0000000000000001E-5</v>
      </c>
      <c r="J60" s="185">
        <f>IFERROR(IF($C60="",-0.00001,SUMIFS(Database!AI:AI,Database!$AD:$AD,$C60,Database!$A:$A,$C$1)),-0.00001)</f>
        <v>-1.0000000000000001E-5</v>
      </c>
      <c r="K60" s="185">
        <f>IFERROR(IF($C60="",-0.00001,SUMIFS(Database!AJ:AJ,Database!$AD:$AD,$C60,Database!$A:$A,$C$1)),-0.00001)</f>
        <v>-1.0000000000000001E-5</v>
      </c>
      <c r="L60" s="185">
        <f>IFERROR(IF($C60="",-0.00001,SUMIFS(Database!AK:AK,Database!$AD:$AD,$C60,Database!$A:$A,$C$1)),-0.00001)</f>
        <v>-1.0000000000000001E-5</v>
      </c>
      <c r="M60" s="185">
        <f>IFERROR(IF($C60="",-0.00001,SUMIFS(Database!AL:AL,Database!$AD:$AD,$C60,Database!$A:$A,$C$1)),-0.00001)</f>
        <v>-1.0000000000000001E-5</v>
      </c>
      <c r="N60" s="185">
        <f>IFERROR(IF($C60="",-0.00001,SUMIFS(Database!AM:AM,Database!$AD:$AD,$C60,Database!$A:$A,$C$1)),-0.00001)</f>
        <v>-1.0000000000000001E-5</v>
      </c>
      <c r="O60" s="185">
        <f>IFERROR(IF($C60="",-0.00001,SUMIFS(Database!AN:AN,Database!$AD:$AD,$C60,Database!$A:$A,$C$1)),-0.00001)</f>
        <v>-1.0000000000000001E-5</v>
      </c>
      <c r="P60" s="185">
        <f>IFERROR(IF($C60="",-0.00001,SUMIFS(Database!AO:AO,Database!$AD:$AD,$C60,Database!$A:$A,$C$1)),-0.00001)</f>
        <v>-1.0000000000000001E-5</v>
      </c>
      <c r="Q60" s="185">
        <f>IFERROR(IF($C60="",-0.00001,SUMIFS(Database!AP:AP,Database!$AD:$AD,$C60,Database!$A:$A,$C$1)),-0.00001)</f>
        <v>-1.0000000000000001E-5</v>
      </c>
      <c r="R60" s="186">
        <f t="shared" si="5"/>
        <v>-1.0000000000000001E-5</v>
      </c>
      <c r="S60" s="185">
        <f>IFERROR(IF($C60="",-0.00001,SUMIFS(Database!AR:AR,Database!$AD:$AD,$C60,Database!$A:$A,$C$1)),-0.00001)</f>
        <v>-1.0000000000000001E-5</v>
      </c>
      <c r="T60" s="185">
        <f>IFERROR(IF($C60="",-0.00001,SUMIFS(Database!AS:AS,Database!$AD:$AD,$C60,Database!$A:$A,$C$1)),-0.00001)</f>
        <v>-1.0000000000000001E-5</v>
      </c>
      <c r="U60" s="186">
        <f t="shared" si="6"/>
        <v>-1.0000000000000001E-5</v>
      </c>
      <c r="V60" s="185">
        <f>IFERROR(IF($C60="",-0.00001,SUMIFS(Database!AU:AU,Database!$AD:$AD,$C60,Database!$A:$A,$C$1)),-0.00001)</f>
        <v>-1.0000000000000001E-5</v>
      </c>
      <c r="W60" s="185">
        <f>IFERROR(IF($C60="",-0.00001,SUMIFS(Database!AV:AV,Database!$AD:$AD,$C60,Database!$A:$A,$C$1)),-0.00001)</f>
        <v>-1.0000000000000001E-5</v>
      </c>
      <c r="X60" s="186">
        <f t="shared" si="7"/>
        <v>-1.0000000000000001E-5</v>
      </c>
      <c r="Y60" s="291"/>
      <c r="Z60" s="293">
        <f>IFERROR(IF($C60="",-0.00001,SUMIFS(Database!AG:AG,Database!$AD:$AD,$C60,Database!$A:$A,$C$1)/$G60),-0.00001)</f>
        <v>-1.0000000000000001E-5</v>
      </c>
      <c r="AA60" s="293">
        <f>IFERROR(IF($C60="",-0.00001,SUMIFS(Database!AH:AH,Database!$AD:$AD,$C60,Database!$A:$A,$C$1)/$G60),-0.00001)</f>
        <v>-1.0000000000000001E-5</v>
      </c>
      <c r="AB60" s="293">
        <f>IFERROR(IF($C60="",-0.00001,SUMIFS(Database!AI:AI,Database!$AD:$AD,$C60,Database!$A:$A,$C$1)/$G60),-0.00001)</f>
        <v>-1.0000000000000001E-5</v>
      </c>
      <c r="AC60" s="293">
        <f>IFERROR(IF($C60="",-0.00001,SUMIFS(Database!AJ:AJ,Database!$AD:$AD,$C60,Database!$A:$A,$C$1)/$G60),-0.00001)</f>
        <v>-1.0000000000000001E-5</v>
      </c>
      <c r="AD60" s="293">
        <f>IFERROR(IF($C60="",-0.00001,SUMIFS(Database!AK:AK,Database!$AD:$AD,$C60,Database!$A:$A,$C$1)/$G60),-0.00001)</f>
        <v>-1.0000000000000001E-5</v>
      </c>
      <c r="AE60" s="293">
        <f>IFERROR(IF($C60="",-0.00001,SUMIFS(Database!AL:AL,Database!$AD:$AD,$C60,Database!$A:$A,$C$1)/$G60),-0.00001)</f>
        <v>-1.0000000000000001E-5</v>
      </c>
      <c r="AF60" s="293">
        <f>IFERROR(IF($C60="",-0.00001,SUMIFS(Database!AM:AM,Database!$AD:$AD,$C60,Database!$A:$A,$C$1)/$G60),-0.00001)</f>
        <v>-1.0000000000000001E-5</v>
      </c>
      <c r="AG60" s="293">
        <f>IFERROR(IF($C60="",-0.00001,SUMIFS(Database!AN:AN,Database!$AD:$AD,$C60,Database!$A:$A,$C$1)/$G60),-0.00001)</f>
        <v>-1.0000000000000001E-5</v>
      </c>
      <c r="AH60" s="293">
        <f>IFERROR(IF($C60="",-0.00001,SUMIFS(Database!AO:AO,Database!$AD:$AD,$C60,Database!$A:$A,$C$1)/$G60),-0.00001)</f>
        <v>-1.0000000000000001E-5</v>
      </c>
      <c r="AI60" s="293">
        <f>IFERROR(IF($C60="",-0.00001,SUMIFS(Database!AP:AP,Database!$AD:$AD,$C60,Database!$A:$A,$C$1)/$G60),-0.00001)</f>
        <v>-1.0000000000000001E-5</v>
      </c>
      <c r="AJ60" s="293">
        <f>IFERROR(IF($C60="",-0.00001,SUMIFS(Database!AR:AR,Database!$AD:$AD,$C60,Database!$A:$A,$C$1)/$G60),-0.00001)</f>
        <v>-1.0000000000000001E-5</v>
      </c>
      <c r="AK60" s="293">
        <f>IFERROR(IF($C60="",-0.00001,SUMIFS(Database!AS:AS,Database!$AD:$AD,$C60,Database!$A:$A,$C$1)/$G60),-0.00001)</f>
        <v>-1.0000000000000001E-5</v>
      </c>
      <c r="AL60" s="293">
        <f>IFERROR(IF($C60="",-0.00001,SUMIFS(Database!AU:AU,Database!$AD:$AD,$C60,Database!$A:$A,$C$1)/$G60),-0.00001)</f>
        <v>-1.0000000000000001E-5</v>
      </c>
      <c r="AM60" s="293">
        <f>IFERROR(IF($C60="",-0.00001,SUMIFS(Database!AV:AV,Database!$AD:$AD,$C60,Database!$A:$A,$C$1)/$G60),-0.00001)</f>
        <v>-1.0000000000000001E-5</v>
      </c>
      <c r="AN60" s="187"/>
      <c r="AO60" s="187"/>
      <c r="AP60" s="187"/>
      <c r="AQ60" s="187"/>
      <c r="AR60" s="187"/>
      <c r="AS60" s="187"/>
      <c r="AT60" s="187"/>
      <c r="AU60" s="187"/>
      <c r="AV60" s="187"/>
      <c r="AW60" s="187"/>
      <c r="AX60" s="187"/>
    </row>
    <row r="61" spans="1:50" x14ac:dyDescent="0.25">
      <c r="A61" s="187"/>
      <c r="B61" s="187" t="str">
        <f>IF($C61="","",MAX($B$4:$B60)+1)</f>
        <v/>
      </c>
      <c r="C61" s="145"/>
      <c r="D61" s="233">
        <f>IF($C61="",-0.00001,COUNTIFS(Database!$AD:$AD,$C61,Database!$A:$A,$C$1,Database!$AE:$AE,"W"))</f>
        <v>-1.0000000000000001E-5</v>
      </c>
      <c r="E61" s="233">
        <f>IF($C61="",-0.00001,COUNTIFS(Database!$AD:$AD,$C61,Database!$A:$A,$C$1,Database!$AE:$AE,"L"))</f>
        <v>-1.0000000000000001E-5</v>
      </c>
      <c r="F61" s="233">
        <f t="shared" si="4"/>
        <v>-1.0000000000000001E-5</v>
      </c>
      <c r="G61" s="185">
        <f>IF($C61="",-0.00001,COUNTIFS(Database!AD:AD,$C61,Database!A:A,$C$1))</f>
        <v>-1.0000000000000001E-5</v>
      </c>
      <c r="H61" s="185">
        <f>IFERROR(IF($C61="",-0.00001,SUMIFS(Database!AG:AG,Database!$AD:$AD,$C61,Database!$A:$A,$C$1)),-0.00001)</f>
        <v>-1.0000000000000001E-5</v>
      </c>
      <c r="I61" s="185">
        <f>IFERROR(IF($C61="",-0.00001,SUMIFS(Database!AH:AH,Database!$AD:$AD,$C61,Database!$A:$A,$C$1)),-0.00001)</f>
        <v>-1.0000000000000001E-5</v>
      </c>
      <c r="J61" s="185">
        <f>IFERROR(IF($C61="",-0.00001,SUMIFS(Database!AI:AI,Database!$AD:$AD,$C61,Database!$A:$A,$C$1)),-0.00001)</f>
        <v>-1.0000000000000001E-5</v>
      </c>
      <c r="K61" s="185">
        <f>IFERROR(IF($C61="",-0.00001,SUMIFS(Database!AJ:AJ,Database!$AD:$AD,$C61,Database!$A:$A,$C$1)),-0.00001)</f>
        <v>-1.0000000000000001E-5</v>
      </c>
      <c r="L61" s="185">
        <f>IFERROR(IF($C61="",-0.00001,SUMIFS(Database!AK:AK,Database!$AD:$AD,$C61,Database!$A:$A,$C$1)),-0.00001)</f>
        <v>-1.0000000000000001E-5</v>
      </c>
      <c r="M61" s="185">
        <f>IFERROR(IF($C61="",-0.00001,SUMIFS(Database!AL:AL,Database!$AD:$AD,$C61,Database!$A:$A,$C$1)),-0.00001)</f>
        <v>-1.0000000000000001E-5</v>
      </c>
      <c r="N61" s="185">
        <f>IFERROR(IF($C61="",-0.00001,SUMIFS(Database!AM:AM,Database!$AD:$AD,$C61,Database!$A:$A,$C$1)),-0.00001)</f>
        <v>-1.0000000000000001E-5</v>
      </c>
      <c r="O61" s="185">
        <f>IFERROR(IF($C61="",-0.00001,SUMIFS(Database!AN:AN,Database!$AD:$AD,$C61,Database!$A:$A,$C$1)),-0.00001)</f>
        <v>-1.0000000000000001E-5</v>
      </c>
      <c r="P61" s="185">
        <f>IFERROR(IF($C61="",-0.00001,SUMIFS(Database!AO:AO,Database!$AD:$AD,$C61,Database!$A:$A,$C$1)),-0.00001)</f>
        <v>-1.0000000000000001E-5</v>
      </c>
      <c r="Q61" s="185">
        <f>IFERROR(IF($C61="",-0.00001,SUMIFS(Database!AP:AP,Database!$AD:$AD,$C61,Database!$A:$A,$C$1)),-0.00001)</f>
        <v>-1.0000000000000001E-5</v>
      </c>
      <c r="R61" s="186">
        <f t="shared" si="5"/>
        <v>-1.0000000000000001E-5</v>
      </c>
      <c r="S61" s="185">
        <f>IFERROR(IF($C61="",-0.00001,SUMIFS(Database!AR:AR,Database!$AD:$AD,$C61,Database!$A:$A,$C$1)),-0.00001)</f>
        <v>-1.0000000000000001E-5</v>
      </c>
      <c r="T61" s="185">
        <f>IFERROR(IF($C61="",-0.00001,SUMIFS(Database!AS:AS,Database!$AD:$AD,$C61,Database!$A:$A,$C$1)),-0.00001)</f>
        <v>-1.0000000000000001E-5</v>
      </c>
      <c r="U61" s="186">
        <f t="shared" si="6"/>
        <v>-1.0000000000000001E-5</v>
      </c>
      <c r="V61" s="185">
        <f>IFERROR(IF($C61="",-0.00001,SUMIFS(Database!AU:AU,Database!$AD:$AD,$C61,Database!$A:$A,$C$1)),-0.00001)</f>
        <v>-1.0000000000000001E-5</v>
      </c>
      <c r="W61" s="185">
        <f>IFERROR(IF($C61="",-0.00001,SUMIFS(Database!AV:AV,Database!$AD:$AD,$C61,Database!$A:$A,$C$1)),-0.00001)</f>
        <v>-1.0000000000000001E-5</v>
      </c>
      <c r="X61" s="186">
        <f t="shared" si="7"/>
        <v>-1.0000000000000001E-5</v>
      </c>
      <c r="Y61" s="291"/>
      <c r="Z61" s="293">
        <f>IFERROR(IF($C61="",-0.00001,SUMIFS(Database!AG:AG,Database!$AD:$AD,$C61,Database!$A:$A,$C$1)/$G61),-0.00001)</f>
        <v>-1.0000000000000001E-5</v>
      </c>
      <c r="AA61" s="293">
        <f>IFERROR(IF($C61="",-0.00001,SUMIFS(Database!AH:AH,Database!$AD:$AD,$C61,Database!$A:$A,$C$1)/$G61),-0.00001)</f>
        <v>-1.0000000000000001E-5</v>
      </c>
      <c r="AB61" s="293">
        <f>IFERROR(IF($C61="",-0.00001,SUMIFS(Database!AI:AI,Database!$AD:$AD,$C61,Database!$A:$A,$C$1)/$G61),-0.00001)</f>
        <v>-1.0000000000000001E-5</v>
      </c>
      <c r="AC61" s="293">
        <f>IFERROR(IF($C61="",-0.00001,SUMIFS(Database!AJ:AJ,Database!$AD:$AD,$C61,Database!$A:$A,$C$1)/$G61),-0.00001)</f>
        <v>-1.0000000000000001E-5</v>
      </c>
      <c r="AD61" s="293">
        <f>IFERROR(IF($C61="",-0.00001,SUMIFS(Database!AK:AK,Database!$AD:$AD,$C61,Database!$A:$A,$C$1)/$G61),-0.00001)</f>
        <v>-1.0000000000000001E-5</v>
      </c>
      <c r="AE61" s="293">
        <f>IFERROR(IF($C61="",-0.00001,SUMIFS(Database!AL:AL,Database!$AD:$AD,$C61,Database!$A:$A,$C$1)/$G61),-0.00001)</f>
        <v>-1.0000000000000001E-5</v>
      </c>
      <c r="AF61" s="293">
        <f>IFERROR(IF($C61="",-0.00001,SUMIFS(Database!AM:AM,Database!$AD:$AD,$C61,Database!$A:$A,$C$1)/$G61),-0.00001)</f>
        <v>-1.0000000000000001E-5</v>
      </c>
      <c r="AG61" s="293">
        <f>IFERROR(IF($C61="",-0.00001,SUMIFS(Database!AN:AN,Database!$AD:$AD,$C61,Database!$A:$A,$C$1)/$G61),-0.00001)</f>
        <v>-1.0000000000000001E-5</v>
      </c>
      <c r="AH61" s="293">
        <f>IFERROR(IF($C61="",-0.00001,SUMIFS(Database!AO:AO,Database!$AD:$AD,$C61,Database!$A:$A,$C$1)/$G61),-0.00001)</f>
        <v>-1.0000000000000001E-5</v>
      </c>
      <c r="AI61" s="293">
        <f>IFERROR(IF($C61="",-0.00001,SUMIFS(Database!AP:AP,Database!$AD:$AD,$C61,Database!$A:$A,$C$1)/$G61),-0.00001)</f>
        <v>-1.0000000000000001E-5</v>
      </c>
      <c r="AJ61" s="293">
        <f>IFERROR(IF($C61="",-0.00001,SUMIFS(Database!AR:AR,Database!$AD:$AD,$C61,Database!$A:$A,$C$1)/$G61),-0.00001)</f>
        <v>-1.0000000000000001E-5</v>
      </c>
      <c r="AK61" s="293">
        <f>IFERROR(IF($C61="",-0.00001,SUMIFS(Database!AS:AS,Database!$AD:$AD,$C61,Database!$A:$A,$C$1)/$G61),-0.00001)</f>
        <v>-1.0000000000000001E-5</v>
      </c>
      <c r="AL61" s="293">
        <f>IFERROR(IF($C61="",-0.00001,SUMIFS(Database!AU:AU,Database!$AD:$AD,$C61,Database!$A:$A,$C$1)/$G61),-0.00001)</f>
        <v>-1.0000000000000001E-5</v>
      </c>
      <c r="AM61" s="293">
        <f>IFERROR(IF($C61="",-0.00001,SUMIFS(Database!AV:AV,Database!$AD:$AD,$C61,Database!$A:$A,$C$1)/$G61),-0.00001)</f>
        <v>-1.0000000000000001E-5</v>
      </c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X61" s="187"/>
    </row>
    <row r="62" spans="1:50" x14ac:dyDescent="0.25">
      <c r="A62" s="187"/>
      <c r="B62" s="187" t="str">
        <f>IF($C62="","",MAX($B$4:$B61)+1)</f>
        <v/>
      </c>
      <c r="C62" s="145"/>
      <c r="D62" s="233">
        <f>IF($C62="",-0.00001,COUNTIFS(Database!$AD:$AD,$C62,Database!$A:$A,$C$1,Database!$AE:$AE,"W"))</f>
        <v>-1.0000000000000001E-5</v>
      </c>
      <c r="E62" s="233">
        <f>IF($C62="",-0.00001,COUNTIFS(Database!$AD:$AD,$C62,Database!$A:$A,$C$1,Database!$AE:$AE,"L"))</f>
        <v>-1.0000000000000001E-5</v>
      </c>
      <c r="F62" s="233">
        <f t="shared" si="4"/>
        <v>-1.0000000000000001E-5</v>
      </c>
      <c r="G62" s="185">
        <f>IF($C62="",-0.00001,COUNTIFS(Database!AD:AD,$C62,Database!A:A,$C$1))</f>
        <v>-1.0000000000000001E-5</v>
      </c>
      <c r="H62" s="185">
        <f>IFERROR(IF($C62="",-0.00001,SUMIFS(Database!AG:AG,Database!$AD:$AD,$C62,Database!$A:$A,$C$1)),-0.00001)</f>
        <v>-1.0000000000000001E-5</v>
      </c>
      <c r="I62" s="185">
        <f>IFERROR(IF($C62="",-0.00001,SUMIFS(Database!AH:AH,Database!$AD:$AD,$C62,Database!$A:$A,$C$1)),-0.00001)</f>
        <v>-1.0000000000000001E-5</v>
      </c>
      <c r="J62" s="185">
        <f>IFERROR(IF($C62="",-0.00001,SUMIFS(Database!AI:AI,Database!$AD:$AD,$C62,Database!$A:$A,$C$1)),-0.00001)</f>
        <v>-1.0000000000000001E-5</v>
      </c>
      <c r="K62" s="185">
        <f>IFERROR(IF($C62="",-0.00001,SUMIFS(Database!AJ:AJ,Database!$AD:$AD,$C62,Database!$A:$A,$C$1)),-0.00001)</f>
        <v>-1.0000000000000001E-5</v>
      </c>
      <c r="L62" s="185">
        <f>IFERROR(IF($C62="",-0.00001,SUMIFS(Database!AK:AK,Database!$AD:$AD,$C62,Database!$A:$A,$C$1)),-0.00001)</f>
        <v>-1.0000000000000001E-5</v>
      </c>
      <c r="M62" s="185">
        <f>IFERROR(IF($C62="",-0.00001,SUMIFS(Database!AL:AL,Database!$AD:$AD,$C62,Database!$A:$A,$C$1)),-0.00001)</f>
        <v>-1.0000000000000001E-5</v>
      </c>
      <c r="N62" s="185">
        <f>IFERROR(IF($C62="",-0.00001,SUMIFS(Database!AM:AM,Database!$AD:$AD,$C62,Database!$A:$A,$C$1)),-0.00001)</f>
        <v>-1.0000000000000001E-5</v>
      </c>
      <c r="O62" s="185">
        <f>IFERROR(IF($C62="",-0.00001,SUMIFS(Database!AN:AN,Database!$AD:$AD,$C62,Database!$A:$A,$C$1)),-0.00001)</f>
        <v>-1.0000000000000001E-5</v>
      </c>
      <c r="P62" s="185">
        <f>IFERROR(IF($C62="",-0.00001,SUMIFS(Database!AO:AO,Database!$AD:$AD,$C62,Database!$A:$A,$C$1)),-0.00001)</f>
        <v>-1.0000000000000001E-5</v>
      </c>
      <c r="Q62" s="185">
        <f>IFERROR(IF($C62="",-0.00001,SUMIFS(Database!AP:AP,Database!$AD:$AD,$C62,Database!$A:$A,$C$1)),-0.00001)</f>
        <v>-1.0000000000000001E-5</v>
      </c>
      <c r="R62" s="186">
        <f t="shared" si="5"/>
        <v>-1.0000000000000001E-5</v>
      </c>
      <c r="S62" s="185">
        <f>IFERROR(IF($C62="",-0.00001,SUMIFS(Database!AR:AR,Database!$AD:$AD,$C62,Database!$A:$A,$C$1)),-0.00001)</f>
        <v>-1.0000000000000001E-5</v>
      </c>
      <c r="T62" s="185">
        <f>IFERROR(IF($C62="",-0.00001,SUMIFS(Database!AS:AS,Database!$AD:$AD,$C62,Database!$A:$A,$C$1)),-0.00001)</f>
        <v>-1.0000000000000001E-5</v>
      </c>
      <c r="U62" s="186">
        <f t="shared" si="6"/>
        <v>-1.0000000000000001E-5</v>
      </c>
      <c r="V62" s="185">
        <f>IFERROR(IF($C62="",-0.00001,SUMIFS(Database!AU:AU,Database!$AD:$AD,$C62,Database!$A:$A,$C$1)),-0.00001)</f>
        <v>-1.0000000000000001E-5</v>
      </c>
      <c r="W62" s="185">
        <f>IFERROR(IF($C62="",-0.00001,SUMIFS(Database!AV:AV,Database!$AD:$AD,$C62,Database!$A:$A,$C$1)),-0.00001)</f>
        <v>-1.0000000000000001E-5</v>
      </c>
      <c r="X62" s="186">
        <f t="shared" si="7"/>
        <v>-1.0000000000000001E-5</v>
      </c>
      <c r="Y62" s="291"/>
      <c r="Z62" s="293">
        <f>IFERROR(IF($C62="",-0.00001,SUMIFS(Database!AG:AG,Database!$AD:$AD,$C62,Database!$A:$A,$C$1)/$G62),-0.00001)</f>
        <v>-1.0000000000000001E-5</v>
      </c>
      <c r="AA62" s="293">
        <f>IFERROR(IF($C62="",-0.00001,SUMIFS(Database!AH:AH,Database!$AD:$AD,$C62,Database!$A:$A,$C$1)/$G62),-0.00001)</f>
        <v>-1.0000000000000001E-5</v>
      </c>
      <c r="AB62" s="293">
        <f>IFERROR(IF($C62="",-0.00001,SUMIFS(Database!AI:AI,Database!$AD:$AD,$C62,Database!$A:$A,$C$1)/$G62),-0.00001)</f>
        <v>-1.0000000000000001E-5</v>
      </c>
      <c r="AC62" s="293">
        <f>IFERROR(IF($C62="",-0.00001,SUMIFS(Database!AJ:AJ,Database!$AD:$AD,$C62,Database!$A:$A,$C$1)/$G62),-0.00001)</f>
        <v>-1.0000000000000001E-5</v>
      </c>
      <c r="AD62" s="293">
        <f>IFERROR(IF($C62="",-0.00001,SUMIFS(Database!AK:AK,Database!$AD:$AD,$C62,Database!$A:$A,$C$1)/$G62),-0.00001)</f>
        <v>-1.0000000000000001E-5</v>
      </c>
      <c r="AE62" s="293">
        <f>IFERROR(IF($C62="",-0.00001,SUMIFS(Database!AL:AL,Database!$AD:$AD,$C62,Database!$A:$A,$C$1)/$G62),-0.00001)</f>
        <v>-1.0000000000000001E-5</v>
      </c>
      <c r="AF62" s="293">
        <f>IFERROR(IF($C62="",-0.00001,SUMIFS(Database!AM:AM,Database!$AD:$AD,$C62,Database!$A:$A,$C$1)/$G62),-0.00001)</f>
        <v>-1.0000000000000001E-5</v>
      </c>
      <c r="AG62" s="293">
        <f>IFERROR(IF($C62="",-0.00001,SUMIFS(Database!AN:AN,Database!$AD:$AD,$C62,Database!$A:$A,$C$1)/$G62),-0.00001)</f>
        <v>-1.0000000000000001E-5</v>
      </c>
      <c r="AH62" s="293">
        <f>IFERROR(IF($C62="",-0.00001,SUMIFS(Database!AO:AO,Database!$AD:$AD,$C62,Database!$A:$A,$C$1)/$G62),-0.00001)</f>
        <v>-1.0000000000000001E-5</v>
      </c>
      <c r="AI62" s="293">
        <f>IFERROR(IF($C62="",-0.00001,SUMIFS(Database!AP:AP,Database!$AD:$AD,$C62,Database!$A:$A,$C$1)/$G62),-0.00001)</f>
        <v>-1.0000000000000001E-5</v>
      </c>
      <c r="AJ62" s="293">
        <f>IFERROR(IF($C62="",-0.00001,SUMIFS(Database!AR:AR,Database!$AD:$AD,$C62,Database!$A:$A,$C$1)/$G62),-0.00001)</f>
        <v>-1.0000000000000001E-5</v>
      </c>
      <c r="AK62" s="293">
        <f>IFERROR(IF($C62="",-0.00001,SUMIFS(Database!AS:AS,Database!$AD:$AD,$C62,Database!$A:$A,$C$1)/$G62),-0.00001)</f>
        <v>-1.0000000000000001E-5</v>
      </c>
      <c r="AL62" s="293">
        <f>IFERROR(IF($C62="",-0.00001,SUMIFS(Database!AU:AU,Database!$AD:$AD,$C62,Database!$A:$A,$C$1)/$G62),-0.00001)</f>
        <v>-1.0000000000000001E-5</v>
      </c>
      <c r="AM62" s="293">
        <f>IFERROR(IF($C62="",-0.00001,SUMIFS(Database!AV:AV,Database!$AD:$AD,$C62,Database!$A:$A,$C$1)/$G62),-0.00001)</f>
        <v>-1.0000000000000001E-5</v>
      </c>
      <c r="AN62" s="187"/>
      <c r="AO62" s="187"/>
      <c r="AP62" s="187"/>
      <c r="AQ62" s="187"/>
      <c r="AR62" s="187"/>
      <c r="AS62" s="187"/>
      <c r="AT62" s="187"/>
      <c r="AU62" s="187"/>
      <c r="AV62" s="187"/>
      <c r="AW62" s="187"/>
      <c r="AX62" s="187"/>
    </row>
    <row r="63" spans="1:50" x14ac:dyDescent="0.25">
      <c r="A63" s="187"/>
      <c r="B63" s="187" t="str">
        <f>IF($C63="","",MAX($B$4:$B62)+1)</f>
        <v/>
      </c>
      <c r="C63" s="145"/>
      <c r="D63" s="233">
        <f>IF($C63="",-0.00001,COUNTIFS(Database!$AD:$AD,$C63,Database!$A:$A,$C$1,Database!$AE:$AE,"W"))</f>
        <v>-1.0000000000000001E-5</v>
      </c>
      <c r="E63" s="233">
        <f>IF($C63="",-0.00001,COUNTIFS(Database!$AD:$AD,$C63,Database!$A:$A,$C$1,Database!$AE:$AE,"L"))</f>
        <v>-1.0000000000000001E-5</v>
      </c>
      <c r="F63" s="233">
        <f t="shared" si="4"/>
        <v>-1.0000000000000001E-5</v>
      </c>
      <c r="G63" s="185">
        <f>IF($C63="",-0.00001,COUNTIFS(Database!AD:AD,$C63,Database!A:A,$C$1))</f>
        <v>-1.0000000000000001E-5</v>
      </c>
      <c r="H63" s="185">
        <f>IFERROR(IF($C63="",-0.00001,SUMIFS(Database!AG:AG,Database!$AD:$AD,$C63,Database!$A:$A,$C$1)),-0.00001)</f>
        <v>-1.0000000000000001E-5</v>
      </c>
      <c r="I63" s="185">
        <f>IFERROR(IF($C63="",-0.00001,SUMIFS(Database!AH:AH,Database!$AD:$AD,$C63,Database!$A:$A,$C$1)),-0.00001)</f>
        <v>-1.0000000000000001E-5</v>
      </c>
      <c r="J63" s="185">
        <f>IFERROR(IF($C63="",-0.00001,SUMIFS(Database!AI:AI,Database!$AD:$AD,$C63,Database!$A:$A,$C$1)),-0.00001)</f>
        <v>-1.0000000000000001E-5</v>
      </c>
      <c r="K63" s="185">
        <f>IFERROR(IF($C63="",-0.00001,SUMIFS(Database!AJ:AJ,Database!$AD:$AD,$C63,Database!$A:$A,$C$1)),-0.00001)</f>
        <v>-1.0000000000000001E-5</v>
      </c>
      <c r="L63" s="185">
        <f>IFERROR(IF($C63="",-0.00001,SUMIFS(Database!AK:AK,Database!$AD:$AD,$C63,Database!$A:$A,$C$1)),-0.00001)</f>
        <v>-1.0000000000000001E-5</v>
      </c>
      <c r="M63" s="185">
        <f>IFERROR(IF($C63="",-0.00001,SUMIFS(Database!AL:AL,Database!$AD:$AD,$C63,Database!$A:$A,$C$1)),-0.00001)</f>
        <v>-1.0000000000000001E-5</v>
      </c>
      <c r="N63" s="185">
        <f>IFERROR(IF($C63="",-0.00001,SUMIFS(Database!AM:AM,Database!$AD:$AD,$C63,Database!$A:$A,$C$1)),-0.00001)</f>
        <v>-1.0000000000000001E-5</v>
      </c>
      <c r="O63" s="185">
        <f>IFERROR(IF($C63="",-0.00001,SUMIFS(Database!AN:AN,Database!$AD:$AD,$C63,Database!$A:$A,$C$1)),-0.00001)</f>
        <v>-1.0000000000000001E-5</v>
      </c>
      <c r="P63" s="185">
        <f>IFERROR(IF($C63="",-0.00001,SUMIFS(Database!AO:AO,Database!$AD:$AD,$C63,Database!$A:$A,$C$1)),-0.00001)</f>
        <v>-1.0000000000000001E-5</v>
      </c>
      <c r="Q63" s="185">
        <f>IFERROR(IF($C63="",-0.00001,SUMIFS(Database!AP:AP,Database!$AD:$AD,$C63,Database!$A:$A,$C$1)),-0.00001)</f>
        <v>-1.0000000000000001E-5</v>
      </c>
      <c r="R63" s="186">
        <f t="shared" si="5"/>
        <v>-1.0000000000000001E-5</v>
      </c>
      <c r="S63" s="185">
        <f>IFERROR(IF($C63="",-0.00001,SUMIFS(Database!AR:AR,Database!$AD:$AD,$C63,Database!$A:$A,$C$1)),-0.00001)</f>
        <v>-1.0000000000000001E-5</v>
      </c>
      <c r="T63" s="185">
        <f>IFERROR(IF($C63="",-0.00001,SUMIFS(Database!AS:AS,Database!$AD:$AD,$C63,Database!$A:$A,$C$1)),-0.00001)</f>
        <v>-1.0000000000000001E-5</v>
      </c>
      <c r="U63" s="186">
        <f t="shared" si="6"/>
        <v>-1.0000000000000001E-5</v>
      </c>
      <c r="V63" s="185">
        <f>IFERROR(IF($C63="",-0.00001,SUMIFS(Database!AU:AU,Database!$AD:$AD,$C63,Database!$A:$A,$C$1)),-0.00001)</f>
        <v>-1.0000000000000001E-5</v>
      </c>
      <c r="W63" s="185">
        <f>IFERROR(IF($C63="",-0.00001,SUMIFS(Database!AV:AV,Database!$AD:$AD,$C63,Database!$A:$A,$C$1)),-0.00001)</f>
        <v>-1.0000000000000001E-5</v>
      </c>
      <c r="X63" s="186">
        <f t="shared" si="7"/>
        <v>-1.0000000000000001E-5</v>
      </c>
      <c r="Y63" s="291"/>
      <c r="Z63" s="293">
        <f>IFERROR(IF($C63="",-0.00001,SUMIFS(Database!AG:AG,Database!$AD:$AD,$C63,Database!$A:$A,$C$1)/$G63),-0.00001)</f>
        <v>-1.0000000000000001E-5</v>
      </c>
      <c r="AA63" s="293">
        <f>IFERROR(IF($C63="",-0.00001,SUMIFS(Database!AH:AH,Database!$AD:$AD,$C63,Database!$A:$A,$C$1)/$G63),-0.00001)</f>
        <v>-1.0000000000000001E-5</v>
      </c>
      <c r="AB63" s="293">
        <f>IFERROR(IF($C63="",-0.00001,SUMIFS(Database!AI:AI,Database!$AD:$AD,$C63,Database!$A:$A,$C$1)/$G63),-0.00001)</f>
        <v>-1.0000000000000001E-5</v>
      </c>
      <c r="AC63" s="293">
        <f>IFERROR(IF($C63="",-0.00001,SUMIFS(Database!AJ:AJ,Database!$AD:$AD,$C63,Database!$A:$A,$C$1)/$G63),-0.00001)</f>
        <v>-1.0000000000000001E-5</v>
      </c>
      <c r="AD63" s="293">
        <f>IFERROR(IF($C63="",-0.00001,SUMIFS(Database!AK:AK,Database!$AD:$AD,$C63,Database!$A:$A,$C$1)/$G63),-0.00001)</f>
        <v>-1.0000000000000001E-5</v>
      </c>
      <c r="AE63" s="293">
        <f>IFERROR(IF($C63="",-0.00001,SUMIFS(Database!AL:AL,Database!$AD:$AD,$C63,Database!$A:$A,$C$1)/$G63),-0.00001)</f>
        <v>-1.0000000000000001E-5</v>
      </c>
      <c r="AF63" s="293">
        <f>IFERROR(IF($C63="",-0.00001,SUMIFS(Database!AM:AM,Database!$AD:$AD,$C63,Database!$A:$A,$C$1)/$G63),-0.00001)</f>
        <v>-1.0000000000000001E-5</v>
      </c>
      <c r="AG63" s="293">
        <f>IFERROR(IF($C63="",-0.00001,SUMIFS(Database!AN:AN,Database!$AD:$AD,$C63,Database!$A:$A,$C$1)/$G63),-0.00001)</f>
        <v>-1.0000000000000001E-5</v>
      </c>
      <c r="AH63" s="293">
        <f>IFERROR(IF($C63="",-0.00001,SUMIFS(Database!AO:AO,Database!$AD:$AD,$C63,Database!$A:$A,$C$1)/$G63),-0.00001)</f>
        <v>-1.0000000000000001E-5</v>
      </c>
      <c r="AI63" s="293">
        <f>IFERROR(IF($C63="",-0.00001,SUMIFS(Database!AP:AP,Database!$AD:$AD,$C63,Database!$A:$A,$C$1)/$G63),-0.00001)</f>
        <v>-1.0000000000000001E-5</v>
      </c>
      <c r="AJ63" s="293">
        <f>IFERROR(IF($C63="",-0.00001,SUMIFS(Database!AR:AR,Database!$AD:$AD,$C63,Database!$A:$A,$C$1)/$G63),-0.00001)</f>
        <v>-1.0000000000000001E-5</v>
      </c>
      <c r="AK63" s="293">
        <f>IFERROR(IF($C63="",-0.00001,SUMIFS(Database!AS:AS,Database!$AD:$AD,$C63,Database!$A:$A,$C$1)/$G63),-0.00001)</f>
        <v>-1.0000000000000001E-5</v>
      </c>
      <c r="AL63" s="293">
        <f>IFERROR(IF($C63="",-0.00001,SUMIFS(Database!AU:AU,Database!$AD:$AD,$C63,Database!$A:$A,$C$1)/$G63),-0.00001)</f>
        <v>-1.0000000000000001E-5</v>
      </c>
      <c r="AM63" s="293">
        <f>IFERROR(IF($C63="",-0.00001,SUMIFS(Database!AV:AV,Database!$AD:$AD,$C63,Database!$A:$A,$C$1)/$G63),-0.00001)</f>
        <v>-1.0000000000000001E-5</v>
      </c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X63" s="187"/>
    </row>
    <row r="64" spans="1:50" x14ac:dyDescent="0.25">
      <c r="A64" s="187"/>
      <c r="B64" s="187" t="str">
        <f>IF($C64="","",MAX($B$4:$B63)+1)</f>
        <v/>
      </c>
      <c r="C64" s="145"/>
      <c r="D64" s="233">
        <f>IF($C64="",-0.00001,COUNTIFS(Database!$AD:$AD,$C64,Database!$A:$A,$C$1,Database!$AE:$AE,"W"))</f>
        <v>-1.0000000000000001E-5</v>
      </c>
      <c r="E64" s="233">
        <f>IF($C64="",-0.00001,COUNTIFS(Database!$AD:$AD,$C64,Database!$A:$A,$C$1,Database!$AE:$AE,"L"))</f>
        <v>-1.0000000000000001E-5</v>
      </c>
      <c r="F64" s="233">
        <f t="shared" si="4"/>
        <v>-1.0000000000000001E-5</v>
      </c>
      <c r="G64" s="185">
        <f>IF($C64="",-0.00001,COUNTIFS(Database!AD:AD,$C64,Database!A:A,$C$1))</f>
        <v>-1.0000000000000001E-5</v>
      </c>
      <c r="H64" s="185">
        <f>IFERROR(IF($C64="",-0.00001,SUMIFS(Database!AG:AG,Database!$AD:$AD,$C64,Database!$A:$A,$C$1)),-0.00001)</f>
        <v>-1.0000000000000001E-5</v>
      </c>
      <c r="I64" s="185">
        <f>IFERROR(IF($C64="",-0.00001,SUMIFS(Database!AH:AH,Database!$AD:$AD,$C64,Database!$A:$A,$C$1)),-0.00001)</f>
        <v>-1.0000000000000001E-5</v>
      </c>
      <c r="J64" s="185">
        <f>IFERROR(IF($C64="",-0.00001,SUMIFS(Database!AI:AI,Database!$AD:$AD,$C64,Database!$A:$A,$C$1)),-0.00001)</f>
        <v>-1.0000000000000001E-5</v>
      </c>
      <c r="K64" s="185">
        <f>IFERROR(IF($C64="",-0.00001,SUMIFS(Database!AJ:AJ,Database!$AD:$AD,$C64,Database!$A:$A,$C$1)),-0.00001)</f>
        <v>-1.0000000000000001E-5</v>
      </c>
      <c r="L64" s="185">
        <f>IFERROR(IF($C64="",-0.00001,SUMIFS(Database!AK:AK,Database!$AD:$AD,$C64,Database!$A:$A,$C$1)),-0.00001)</f>
        <v>-1.0000000000000001E-5</v>
      </c>
      <c r="M64" s="185">
        <f>IFERROR(IF($C64="",-0.00001,SUMIFS(Database!AL:AL,Database!$AD:$AD,$C64,Database!$A:$A,$C$1)),-0.00001)</f>
        <v>-1.0000000000000001E-5</v>
      </c>
      <c r="N64" s="185">
        <f>IFERROR(IF($C64="",-0.00001,SUMIFS(Database!AM:AM,Database!$AD:$AD,$C64,Database!$A:$A,$C$1)),-0.00001)</f>
        <v>-1.0000000000000001E-5</v>
      </c>
      <c r="O64" s="185">
        <f>IFERROR(IF($C64="",-0.00001,SUMIFS(Database!AN:AN,Database!$AD:$AD,$C64,Database!$A:$A,$C$1)),-0.00001)</f>
        <v>-1.0000000000000001E-5</v>
      </c>
      <c r="P64" s="185">
        <f>IFERROR(IF($C64="",-0.00001,SUMIFS(Database!AO:AO,Database!$AD:$AD,$C64,Database!$A:$A,$C$1)),-0.00001)</f>
        <v>-1.0000000000000001E-5</v>
      </c>
      <c r="Q64" s="185">
        <f>IFERROR(IF($C64="",-0.00001,SUMIFS(Database!AP:AP,Database!$AD:$AD,$C64,Database!$A:$A,$C$1)),-0.00001)</f>
        <v>-1.0000000000000001E-5</v>
      </c>
      <c r="R64" s="186">
        <f t="shared" si="5"/>
        <v>-1.0000000000000001E-5</v>
      </c>
      <c r="S64" s="185">
        <f>IFERROR(IF($C64="",-0.00001,SUMIFS(Database!AR:AR,Database!$AD:$AD,$C64,Database!$A:$A,$C$1)),-0.00001)</f>
        <v>-1.0000000000000001E-5</v>
      </c>
      <c r="T64" s="185">
        <f>IFERROR(IF($C64="",-0.00001,SUMIFS(Database!AS:AS,Database!$AD:$AD,$C64,Database!$A:$A,$C$1)),-0.00001)</f>
        <v>-1.0000000000000001E-5</v>
      </c>
      <c r="U64" s="186">
        <f t="shared" si="6"/>
        <v>-1.0000000000000001E-5</v>
      </c>
      <c r="V64" s="185">
        <f>IFERROR(IF($C64="",-0.00001,SUMIFS(Database!AU:AU,Database!$AD:$AD,$C64,Database!$A:$A,$C$1)),-0.00001)</f>
        <v>-1.0000000000000001E-5</v>
      </c>
      <c r="W64" s="185">
        <f>IFERROR(IF($C64="",-0.00001,SUMIFS(Database!AV:AV,Database!$AD:$AD,$C64,Database!$A:$A,$C$1)),-0.00001)</f>
        <v>-1.0000000000000001E-5</v>
      </c>
      <c r="X64" s="186">
        <f t="shared" si="7"/>
        <v>-1.0000000000000001E-5</v>
      </c>
      <c r="Y64" s="291"/>
      <c r="Z64" s="293">
        <f>IFERROR(IF($C64="",-0.00001,SUMIFS(Database!AG:AG,Database!$AD:$AD,$C64,Database!$A:$A,$C$1)/$G64),-0.00001)</f>
        <v>-1.0000000000000001E-5</v>
      </c>
      <c r="AA64" s="293">
        <f>IFERROR(IF($C64="",-0.00001,SUMIFS(Database!AH:AH,Database!$AD:$AD,$C64,Database!$A:$A,$C$1)/$G64),-0.00001)</f>
        <v>-1.0000000000000001E-5</v>
      </c>
      <c r="AB64" s="293">
        <f>IFERROR(IF($C64="",-0.00001,SUMIFS(Database!AI:AI,Database!$AD:$AD,$C64,Database!$A:$A,$C$1)/$G64),-0.00001)</f>
        <v>-1.0000000000000001E-5</v>
      </c>
      <c r="AC64" s="293">
        <f>IFERROR(IF($C64="",-0.00001,SUMIFS(Database!AJ:AJ,Database!$AD:$AD,$C64,Database!$A:$A,$C$1)/$G64),-0.00001)</f>
        <v>-1.0000000000000001E-5</v>
      </c>
      <c r="AD64" s="293">
        <f>IFERROR(IF($C64="",-0.00001,SUMIFS(Database!AK:AK,Database!$AD:$AD,$C64,Database!$A:$A,$C$1)/$G64),-0.00001)</f>
        <v>-1.0000000000000001E-5</v>
      </c>
      <c r="AE64" s="293">
        <f>IFERROR(IF($C64="",-0.00001,SUMIFS(Database!AL:AL,Database!$AD:$AD,$C64,Database!$A:$A,$C$1)/$G64),-0.00001)</f>
        <v>-1.0000000000000001E-5</v>
      </c>
      <c r="AF64" s="293">
        <f>IFERROR(IF($C64="",-0.00001,SUMIFS(Database!AM:AM,Database!$AD:$AD,$C64,Database!$A:$A,$C$1)/$G64),-0.00001)</f>
        <v>-1.0000000000000001E-5</v>
      </c>
      <c r="AG64" s="293">
        <f>IFERROR(IF($C64="",-0.00001,SUMIFS(Database!AN:AN,Database!$AD:$AD,$C64,Database!$A:$A,$C$1)/$G64),-0.00001)</f>
        <v>-1.0000000000000001E-5</v>
      </c>
      <c r="AH64" s="293">
        <f>IFERROR(IF($C64="",-0.00001,SUMIFS(Database!AO:AO,Database!$AD:$AD,$C64,Database!$A:$A,$C$1)/$G64),-0.00001)</f>
        <v>-1.0000000000000001E-5</v>
      </c>
      <c r="AI64" s="293">
        <f>IFERROR(IF($C64="",-0.00001,SUMIFS(Database!AP:AP,Database!$AD:$AD,$C64,Database!$A:$A,$C$1)/$G64),-0.00001)</f>
        <v>-1.0000000000000001E-5</v>
      </c>
      <c r="AJ64" s="293">
        <f>IFERROR(IF($C64="",-0.00001,SUMIFS(Database!AR:AR,Database!$AD:$AD,$C64,Database!$A:$A,$C$1)/$G64),-0.00001)</f>
        <v>-1.0000000000000001E-5</v>
      </c>
      <c r="AK64" s="293">
        <f>IFERROR(IF($C64="",-0.00001,SUMIFS(Database!AS:AS,Database!$AD:$AD,$C64,Database!$A:$A,$C$1)/$G64),-0.00001)</f>
        <v>-1.0000000000000001E-5</v>
      </c>
      <c r="AL64" s="293">
        <f>IFERROR(IF($C64="",-0.00001,SUMIFS(Database!AU:AU,Database!$AD:$AD,$C64,Database!$A:$A,$C$1)/$G64),-0.00001)</f>
        <v>-1.0000000000000001E-5</v>
      </c>
      <c r="AM64" s="293">
        <f>IFERROR(IF($C64="",-0.00001,SUMIFS(Database!AV:AV,Database!$AD:$AD,$C64,Database!$A:$A,$C$1)/$G64),-0.00001)</f>
        <v>-1.0000000000000001E-5</v>
      </c>
      <c r="AN64" s="187"/>
      <c r="AO64" s="187"/>
      <c r="AP64" s="187"/>
      <c r="AQ64" s="187"/>
      <c r="AR64" s="187"/>
      <c r="AS64" s="187"/>
      <c r="AT64" s="187"/>
      <c r="AU64" s="187"/>
      <c r="AV64" s="187"/>
      <c r="AW64" s="187"/>
      <c r="AX64" s="187"/>
    </row>
    <row r="65" spans="1:50" x14ac:dyDescent="0.25">
      <c r="A65" s="187"/>
      <c r="B65" s="187" t="str">
        <f>IF($C65="","",MAX($B$4:$B64)+1)</f>
        <v/>
      </c>
      <c r="C65" s="145"/>
      <c r="D65" s="233">
        <f>IF($C65="",-0.00001,COUNTIFS(Database!$AD:$AD,$C65,Database!$A:$A,$C$1,Database!$AE:$AE,"W"))</f>
        <v>-1.0000000000000001E-5</v>
      </c>
      <c r="E65" s="233">
        <f>IF($C65="",-0.00001,COUNTIFS(Database!$AD:$AD,$C65,Database!$A:$A,$C$1,Database!$AE:$AE,"L"))</f>
        <v>-1.0000000000000001E-5</v>
      </c>
      <c r="F65" s="233">
        <f t="shared" si="4"/>
        <v>-1.0000000000000001E-5</v>
      </c>
      <c r="G65" s="185">
        <f>IF($C65="",-0.00001,COUNTIFS(Database!AD:AD,$C65,Database!A:A,$C$1))</f>
        <v>-1.0000000000000001E-5</v>
      </c>
      <c r="H65" s="185">
        <f>IFERROR(IF($C65="",-0.00001,SUMIFS(Database!AG:AG,Database!$AD:$AD,$C65,Database!$A:$A,$C$1)),-0.00001)</f>
        <v>-1.0000000000000001E-5</v>
      </c>
      <c r="I65" s="185">
        <f>IFERROR(IF($C65="",-0.00001,SUMIFS(Database!AH:AH,Database!$AD:$AD,$C65,Database!$A:$A,$C$1)),-0.00001)</f>
        <v>-1.0000000000000001E-5</v>
      </c>
      <c r="J65" s="185">
        <f>IFERROR(IF($C65="",-0.00001,SUMIFS(Database!AI:AI,Database!$AD:$AD,$C65,Database!$A:$A,$C$1)),-0.00001)</f>
        <v>-1.0000000000000001E-5</v>
      </c>
      <c r="K65" s="185">
        <f>IFERROR(IF($C65="",-0.00001,SUMIFS(Database!AJ:AJ,Database!$AD:$AD,$C65,Database!$A:$A,$C$1)),-0.00001)</f>
        <v>-1.0000000000000001E-5</v>
      </c>
      <c r="L65" s="185">
        <f>IFERROR(IF($C65="",-0.00001,SUMIFS(Database!AK:AK,Database!$AD:$AD,$C65,Database!$A:$A,$C$1)),-0.00001)</f>
        <v>-1.0000000000000001E-5</v>
      </c>
      <c r="M65" s="185">
        <f>IFERROR(IF($C65="",-0.00001,SUMIFS(Database!AL:AL,Database!$AD:$AD,$C65,Database!$A:$A,$C$1)),-0.00001)</f>
        <v>-1.0000000000000001E-5</v>
      </c>
      <c r="N65" s="185">
        <f>IFERROR(IF($C65="",-0.00001,SUMIFS(Database!AM:AM,Database!$AD:$AD,$C65,Database!$A:$A,$C$1)),-0.00001)</f>
        <v>-1.0000000000000001E-5</v>
      </c>
      <c r="O65" s="185">
        <f>IFERROR(IF($C65="",-0.00001,SUMIFS(Database!AN:AN,Database!$AD:$AD,$C65,Database!$A:$A,$C$1)),-0.00001)</f>
        <v>-1.0000000000000001E-5</v>
      </c>
      <c r="P65" s="185">
        <f>IFERROR(IF($C65="",-0.00001,SUMIFS(Database!AO:AO,Database!$AD:$AD,$C65,Database!$A:$A,$C$1)),-0.00001)</f>
        <v>-1.0000000000000001E-5</v>
      </c>
      <c r="Q65" s="185">
        <f>IFERROR(IF($C65="",-0.00001,SUMIFS(Database!AP:AP,Database!$AD:$AD,$C65,Database!$A:$A,$C$1)),-0.00001)</f>
        <v>-1.0000000000000001E-5</v>
      </c>
      <c r="R65" s="186">
        <f t="shared" si="5"/>
        <v>-1.0000000000000001E-5</v>
      </c>
      <c r="S65" s="185">
        <f>IFERROR(IF($C65="",-0.00001,SUMIFS(Database!AR:AR,Database!$AD:$AD,$C65,Database!$A:$A,$C$1)),-0.00001)</f>
        <v>-1.0000000000000001E-5</v>
      </c>
      <c r="T65" s="185">
        <f>IFERROR(IF($C65="",-0.00001,SUMIFS(Database!AS:AS,Database!$AD:$AD,$C65,Database!$A:$A,$C$1)),-0.00001)</f>
        <v>-1.0000000000000001E-5</v>
      </c>
      <c r="U65" s="186">
        <f t="shared" si="6"/>
        <v>-1.0000000000000001E-5</v>
      </c>
      <c r="V65" s="185">
        <f>IFERROR(IF($C65="",-0.00001,SUMIFS(Database!AU:AU,Database!$AD:$AD,$C65,Database!$A:$A,$C$1)),-0.00001)</f>
        <v>-1.0000000000000001E-5</v>
      </c>
      <c r="W65" s="185">
        <f>IFERROR(IF($C65="",-0.00001,SUMIFS(Database!AV:AV,Database!$AD:$AD,$C65,Database!$A:$A,$C$1)),-0.00001)</f>
        <v>-1.0000000000000001E-5</v>
      </c>
      <c r="X65" s="186">
        <f t="shared" si="7"/>
        <v>-1.0000000000000001E-5</v>
      </c>
      <c r="Y65" s="291"/>
      <c r="Z65" s="293">
        <f>IFERROR(IF($C65="",-0.00001,SUMIFS(Database!AG:AG,Database!$AD:$AD,$C65,Database!$A:$A,$C$1)/$G65),-0.00001)</f>
        <v>-1.0000000000000001E-5</v>
      </c>
      <c r="AA65" s="293">
        <f>IFERROR(IF($C65="",-0.00001,SUMIFS(Database!AH:AH,Database!$AD:$AD,$C65,Database!$A:$A,$C$1)/$G65),-0.00001)</f>
        <v>-1.0000000000000001E-5</v>
      </c>
      <c r="AB65" s="293">
        <f>IFERROR(IF($C65="",-0.00001,SUMIFS(Database!AI:AI,Database!$AD:$AD,$C65,Database!$A:$A,$C$1)/$G65),-0.00001)</f>
        <v>-1.0000000000000001E-5</v>
      </c>
      <c r="AC65" s="293">
        <f>IFERROR(IF($C65="",-0.00001,SUMIFS(Database!AJ:AJ,Database!$AD:$AD,$C65,Database!$A:$A,$C$1)/$G65),-0.00001)</f>
        <v>-1.0000000000000001E-5</v>
      </c>
      <c r="AD65" s="293">
        <f>IFERROR(IF($C65="",-0.00001,SUMIFS(Database!AK:AK,Database!$AD:$AD,$C65,Database!$A:$A,$C$1)/$G65),-0.00001)</f>
        <v>-1.0000000000000001E-5</v>
      </c>
      <c r="AE65" s="293">
        <f>IFERROR(IF($C65="",-0.00001,SUMIFS(Database!AL:AL,Database!$AD:$AD,$C65,Database!$A:$A,$C$1)/$G65),-0.00001)</f>
        <v>-1.0000000000000001E-5</v>
      </c>
      <c r="AF65" s="293">
        <f>IFERROR(IF($C65="",-0.00001,SUMIFS(Database!AM:AM,Database!$AD:$AD,$C65,Database!$A:$A,$C$1)/$G65),-0.00001)</f>
        <v>-1.0000000000000001E-5</v>
      </c>
      <c r="AG65" s="293">
        <f>IFERROR(IF($C65="",-0.00001,SUMIFS(Database!AN:AN,Database!$AD:$AD,$C65,Database!$A:$A,$C$1)/$G65),-0.00001)</f>
        <v>-1.0000000000000001E-5</v>
      </c>
      <c r="AH65" s="293">
        <f>IFERROR(IF($C65="",-0.00001,SUMIFS(Database!AO:AO,Database!$AD:$AD,$C65,Database!$A:$A,$C$1)/$G65),-0.00001)</f>
        <v>-1.0000000000000001E-5</v>
      </c>
      <c r="AI65" s="293">
        <f>IFERROR(IF($C65="",-0.00001,SUMIFS(Database!AP:AP,Database!$AD:$AD,$C65,Database!$A:$A,$C$1)/$G65),-0.00001)</f>
        <v>-1.0000000000000001E-5</v>
      </c>
      <c r="AJ65" s="293">
        <f>IFERROR(IF($C65="",-0.00001,SUMIFS(Database!AR:AR,Database!$AD:$AD,$C65,Database!$A:$A,$C$1)/$G65),-0.00001)</f>
        <v>-1.0000000000000001E-5</v>
      </c>
      <c r="AK65" s="293">
        <f>IFERROR(IF($C65="",-0.00001,SUMIFS(Database!AS:AS,Database!$AD:$AD,$C65,Database!$A:$A,$C$1)/$G65),-0.00001)</f>
        <v>-1.0000000000000001E-5</v>
      </c>
      <c r="AL65" s="293">
        <f>IFERROR(IF($C65="",-0.00001,SUMIFS(Database!AU:AU,Database!$AD:$AD,$C65,Database!$A:$A,$C$1)/$G65),-0.00001)</f>
        <v>-1.0000000000000001E-5</v>
      </c>
      <c r="AM65" s="293">
        <f>IFERROR(IF($C65="",-0.00001,SUMIFS(Database!AV:AV,Database!$AD:$AD,$C65,Database!$A:$A,$C$1)/$G65),-0.00001)</f>
        <v>-1.0000000000000001E-5</v>
      </c>
      <c r="AN65" s="187"/>
      <c r="AO65" s="187"/>
      <c r="AP65" s="187"/>
      <c r="AQ65" s="187"/>
      <c r="AR65" s="187"/>
      <c r="AS65" s="187"/>
      <c r="AT65" s="187"/>
      <c r="AU65" s="187"/>
      <c r="AV65" s="187"/>
      <c r="AW65" s="187"/>
      <c r="AX65" s="187"/>
    </row>
    <row r="66" spans="1:50" x14ac:dyDescent="0.25">
      <c r="A66" s="187"/>
      <c r="B66" s="187" t="str">
        <f>IF($C66="","",MAX($B$4:$B65)+1)</f>
        <v/>
      </c>
      <c r="C66" s="145"/>
      <c r="D66" s="233">
        <f>IF($C66="",-0.00001,COUNTIFS(Database!$AD:$AD,$C66,Database!$A:$A,$C$1,Database!$AE:$AE,"W"))</f>
        <v>-1.0000000000000001E-5</v>
      </c>
      <c r="E66" s="233">
        <f>IF($C66="",-0.00001,COUNTIFS(Database!$AD:$AD,$C66,Database!$A:$A,$C$1,Database!$AE:$AE,"L"))</f>
        <v>-1.0000000000000001E-5</v>
      </c>
      <c r="F66" s="233">
        <f t="shared" si="4"/>
        <v>-1.0000000000000001E-5</v>
      </c>
      <c r="G66" s="185">
        <f>IF($C66="",-0.00001,COUNTIFS(Database!AD:AD,$C66,Database!A:A,$C$1))</f>
        <v>-1.0000000000000001E-5</v>
      </c>
      <c r="H66" s="185">
        <f>IFERROR(IF($C66="",-0.00001,SUMIFS(Database!AG:AG,Database!$AD:$AD,$C66,Database!$A:$A,$C$1)),-0.00001)</f>
        <v>-1.0000000000000001E-5</v>
      </c>
      <c r="I66" s="185">
        <f>IFERROR(IF($C66="",-0.00001,SUMIFS(Database!AH:AH,Database!$AD:$AD,$C66,Database!$A:$A,$C$1)),-0.00001)</f>
        <v>-1.0000000000000001E-5</v>
      </c>
      <c r="J66" s="185">
        <f>IFERROR(IF($C66="",-0.00001,SUMIFS(Database!AI:AI,Database!$AD:$AD,$C66,Database!$A:$A,$C$1)),-0.00001)</f>
        <v>-1.0000000000000001E-5</v>
      </c>
      <c r="K66" s="185">
        <f>IFERROR(IF($C66="",-0.00001,SUMIFS(Database!AJ:AJ,Database!$AD:$AD,$C66,Database!$A:$A,$C$1)),-0.00001)</f>
        <v>-1.0000000000000001E-5</v>
      </c>
      <c r="L66" s="185">
        <f>IFERROR(IF($C66="",-0.00001,SUMIFS(Database!AK:AK,Database!$AD:$AD,$C66,Database!$A:$A,$C$1)),-0.00001)</f>
        <v>-1.0000000000000001E-5</v>
      </c>
      <c r="M66" s="185">
        <f>IFERROR(IF($C66="",-0.00001,SUMIFS(Database!AL:AL,Database!$AD:$AD,$C66,Database!$A:$A,$C$1)),-0.00001)</f>
        <v>-1.0000000000000001E-5</v>
      </c>
      <c r="N66" s="185">
        <f>IFERROR(IF($C66="",-0.00001,SUMIFS(Database!AM:AM,Database!$AD:$AD,$C66,Database!$A:$A,$C$1)),-0.00001)</f>
        <v>-1.0000000000000001E-5</v>
      </c>
      <c r="O66" s="185">
        <f>IFERROR(IF($C66="",-0.00001,SUMIFS(Database!AN:AN,Database!$AD:$AD,$C66,Database!$A:$A,$C$1)),-0.00001)</f>
        <v>-1.0000000000000001E-5</v>
      </c>
      <c r="P66" s="185">
        <f>IFERROR(IF($C66="",-0.00001,SUMIFS(Database!AO:AO,Database!$AD:$AD,$C66,Database!$A:$A,$C$1)),-0.00001)</f>
        <v>-1.0000000000000001E-5</v>
      </c>
      <c r="Q66" s="185">
        <f>IFERROR(IF($C66="",-0.00001,SUMIFS(Database!AP:AP,Database!$AD:$AD,$C66,Database!$A:$A,$C$1)),-0.00001)</f>
        <v>-1.0000000000000001E-5</v>
      </c>
      <c r="R66" s="186">
        <f t="shared" si="5"/>
        <v>-1.0000000000000001E-5</v>
      </c>
      <c r="S66" s="185">
        <f>IFERROR(IF($C66="",-0.00001,SUMIFS(Database!AR:AR,Database!$AD:$AD,$C66,Database!$A:$A,$C$1)),-0.00001)</f>
        <v>-1.0000000000000001E-5</v>
      </c>
      <c r="T66" s="185">
        <f>IFERROR(IF($C66="",-0.00001,SUMIFS(Database!AS:AS,Database!$AD:$AD,$C66,Database!$A:$A,$C$1)),-0.00001)</f>
        <v>-1.0000000000000001E-5</v>
      </c>
      <c r="U66" s="186">
        <f t="shared" si="6"/>
        <v>-1.0000000000000001E-5</v>
      </c>
      <c r="V66" s="185">
        <f>IFERROR(IF($C66="",-0.00001,SUMIFS(Database!AU:AU,Database!$AD:$AD,$C66,Database!$A:$A,$C$1)),-0.00001)</f>
        <v>-1.0000000000000001E-5</v>
      </c>
      <c r="W66" s="185">
        <f>IFERROR(IF($C66="",-0.00001,SUMIFS(Database!AV:AV,Database!$AD:$AD,$C66,Database!$A:$A,$C$1)),-0.00001)</f>
        <v>-1.0000000000000001E-5</v>
      </c>
      <c r="X66" s="186">
        <f t="shared" si="7"/>
        <v>-1.0000000000000001E-5</v>
      </c>
      <c r="Y66" s="291"/>
      <c r="Z66" s="293">
        <f>IFERROR(IF($C66="",-0.00001,SUMIFS(Database!AG:AG,Database!$AD:$AD,$C66,Database!$A:$A,$C$1)/$G66),-0.00001)</f>
        <v>-1.0000000000000001E-5</v>
      </c>
      <c r="AA66" s="293">
        <f>IFERROR(IF($C66="",-0.00001,SUMIFS(Database!AH:AH,Database!$AD:$AD,$C66,Database!$A:$A,$C$1)/$G66),-0.00001)</f>
        <v>-1.0000000000000001E-5</v>
      </c>
      <c r="AB66" s="293">
        <f>IFERROR(IF($C66="",-0.00001,SUMIFS(Database!AI:AI,Database!$AD:$AD,$C66,Database!$A:$A,$C$1)/$G66),-0.00001)</f>
        <v>-1.0000000000000001E-5</v>
      </c>
      <c r="AC66" s="293">
        <f>IFERROR(IF($C66="",-0.00001,SUMIFS(Database!AJ:AJ,Database!$AD:$AD,$C66,Database!$A:$A,$C$1)/$G66),-0.00001)</f>
        <v>-1.0000000000000001E-5</v>
      </c>
      <c r="AD66" s="293">
        <f>IFERROR(IF($C66="",-0.00001,SUMIFS(Database!AK:AK,Database!$AD:$AD,$C66,Database!$A:$A,$C$1)/$G66),-0.00001)</f>
        <v>-1.0000000000000001E-5</v>
      </c>
      <c r="AE66" s="293">
        <f>IFERROR(IF($C66="",-0.00001,SUMIFS(Database!AL:AL,Database!$AD:$AD,$C66,Database!$A:$A,$C$1)/$G66),-0.00001)</f>
        <v>-1.0000000000000001E-5</v>
      </c>
      <c r="AF66" s="293">
        <f>IFERROR(IF($C66="",-0.00001,SUMIFS(Database!AM:AM,Database!$AD:$AD,$C66,Database!$A:$A,$C$1)/$G66),-0.00001)</f>
        <v>-1.0000000000000001E-5</v>
      </c>
      <c r="AG66" s="293">
        <f>IFERROR(IF($C66="",-0.00001,SUMIFS(Database!AN:AN,Database!$AD:$AD,$C66,Database!$A:$A,$C$1)/$G66),-0.00001)</f>
        <v>-1.0000000000000001E-5</v>
      </c>
      <c r="AH66" s="293">
        <f>IFERROR(IF($C66="",-0.00001,SUMIFS(Database!AO:AO,Database!$AD:$AD,$C66,Database!$A:$A,$C$1)/$G66),-0.00001)</f>
        <v>-1.0000000000000001E-5</v>
      </c>
      <c r="AI66" s="293">
        <f>IFERROR(IF($C66="",-0.00001,SUMIFS(Database!AP:AP,Database!$AD:$AD,$C66,Database!$A:$A,$C$1)/$G66),-0.00001)</f>
        <v>-1.0000000000000001E-5</v>
      </c>
      <c r="AJ66" s="293">
        <f>IFERROR(IF($C66="",-0.00001,SUMIFS(Database!AR:AR,Database!$AD:$AD,$C66,Database!$A:$A,$C$1)/$G66),-0.00001)</f>
        <v>-1.0000000000000001E-5</v>
      </c>
      <c r="AK66" s="293">
        <f>IFERROR(IF($C66="",-0.00001,SUMIFS(Database!AS:AS,Database!$AD:$AD,$C66,Database!$A:$A,$C$1)/$G66),-0.00001)</f>
        <v>-1.0000000000000001E-5</v>
      </c>
      <c r="AL66" s="293">
        <f>IFERROR(IF($C66="",-0.00001,SUMIFS(Database!AU:AU,Database!$AD:$AD,$C66,Database!$A:$A,$C$1)/$G66),-0.00001)</f>
        <v>-1.0000000000000001E-5</v>
      </c>
      <c r="AM66" s="293">
        <f>IFERROR(IF($C66="",-0.00001,SUMIFS(Database!AV:AV,Database!$AD:$AD,$C66,Database!$A:$A,$C$1)/$G66),-0.00001)</f>
        <v>-1.0000000000000001E-5</v>
      </c>
      <c r="AN66" s="187"/>
      <c r="AO66" s="187"/>
      <c r="AP66" s="187"/>
      <c r="AQ66" s="187"/>
      <c r="AR66" s="187"/>
      <c r="AS66" s="187"/>
      <c r="AT66" s="187"/>
      <c r="AU66" s="187"/>
      <c r="AV66" s="187"/>
      <c r="AW66" s="187"/>
      <c r="AX66" s="187"/>
    </row>
    <row r="67" spans="1:50" x14ac:dyDescent="0.25">
      <c r="A67" s="187"/>
      <c r="B67" s="187" t="str">
        <f>IF($C67="","",MAX($B$4:$B66)+1)</f>
        <v/>
      </c>
      <c r="C67" s="145"/>
      <c r="D67" s="233">
        <f>IF($C67="",-0.00001,COUNTIFS(Database!$AD:$AD,$C67,Database!$A:$A,$C$1,Database!$AE:$AE,"W"))</f>
        <v>-1.0000000000000001E-5</v>
      </c>
      <c r="E67" s="233">
        <f>IF($C67="",-0.00001,COUNTIFS(Database!$AD:$AD,$C67,Database!$A:$A,$C$1,Database!$AE:$AE,"L"))</f>
        <v>-1.0000000000000001E-5</v>
      </c>
      <c r="F67" s="233">
        <f t="shared" si="4"/>
        <v>-1.0000000000000001E-5</v>
      </c>
      <c r="G67" s="185">
        <f>IF($C67="",-0.00001,COUNTIFS(Database!AD:AD,$C67,Database!A:A,$C$1))</f>
        <v>-1.0000000000000001E-5</v>
      </c>
      <c r="H67" s="185">
        <f>IFERROR(IF($C67="",-0.00001,SUMIFS(Database!AG:AG,Database!$AD:$AD,$C67,Database!$A:$A,$C$1)),-0.00001)</f>
        <v>-1.0000000000000001E-5</v>
      </c>
      <c r="I67" s="185">
        <f>IFERROR(IF($C67="",-0.00001,SUMIFS(Database!AH:AH,Database!$AD:$AD,$C67,Database!$A:$A,$C$1)),-0.00001)</f>
        <v>-1.0000000000000001E-5</v>
      </c>
      <c r="J67" s="185">
        <f>IFERROR(IF($C67="",-0.00001,SUMIFS(Database!AI:AI,Database!$AD:$AD,$C67,Database!$A:$A,$C$1)),-0.00001)</f>
        <v>-1.0000000000000001E-5</v>
      </c>
      <c r="K67" s="185">
        <f>IFERROR(IF($C67="",-0.00001,SUMIFS(Database!AJ:AJ,Database!$AD:$AD,$C67,Database!$A:$A,$C$1)),-0.00001)</f>
        <v>-1.0000000000000001E-5</v>
      </c>
      <c r="L67" s="185">
        <f>IFERROR(IF($C67="",-0.00001,SUMIFS(Database!AK:AK,Database!$AD:$AD,$C67,Database!$A:$A,$C$1)),-0.00001)</f>
        <v>-1.0000000000000001E-5</v>
      </c>
      <c r="M67" s="185">
        <f>IFERROR(IF($C67="",-0.00001,SUMIFS(Database!AL:AL,Database!$AD:$AD,$C67,Database!$A:$A,$C$1)),-0.00001)</f>
        <v>-1.0000000000000001E-5</v>
      </c>
      <c r="N67" s="185">
        <f>IFERROR(IF($C67="",-0.00001,SUMIFS(Database!AM:AM,Database!$AD:$AD,$C67,Database!$A:$A,$C$1)),-0.00001)</f>
        <v>-1.0000000000000001E-5</v>
      </c>
      <c r="O67" s="185">
        <f>IFERROR(IF($C67="",-0.00001,SUMIFS(Database!AN:AN,Database!$AD:$AD,$C67,Database!$A:$A,$C$1)),-0.00001)</f>
        <v>-1.0000000000000001E-5</v>
      </c>
      <c r="P67" s="185">
        <f>IFERROR(IF($C67="",-0.00001,SUMIFS(Database!AO:AO,Database!$AD:$AD,$C67,Database!$A:$A,$C$1)),-0.00001)</f>
        <v>-1.0000000000000001E-5</v>
      </c>
      <c r="Q67" s="185">
        <f>IFERROR(IF($C67="",-0.00001,SUMIFS(Database!AP:AP,Database!$AD:$AD,$C67,Database!$A:$A,$C$1)),-0.00001)</f>
        <v>-1.0000000000000001E-5</v>
      </c>
      <c r="R67" s="186">
        <f t="shared" si="5"/>
        <v>-1.0000000000000001E-5</v>
      </c>
      <c r="S67" s="185">
        <f>IFERROR(IF($C67="",-0.00001,SUMIFS(Database!AR:AR,Database!$AD:$AD,$C67,Database!$A:$A,$C$1)),-0.00001)</f>
        <v>-1.0000000000000001E-5</v>
      </c>
      <c r="T67" s="185">
        <f>IFERROR(IF($C67="",-0.00001,SUMIFS(Database!AS:AS,Database!$AD:$AD,$C67,Database!$A:$A,$C$1)),-0.00001)</f>
        <v>-1.0000000000000001E-5</v>
      </c>
      <c r="U67" s="186">
        <f t="shared" si="6"/>
        <v>-1.0000000000000001E-5</v>
      </c>
      <c r="V67" s="185">
        <f>IFERROR(IF($C67="",-0.00001,SUMIFS(Database!AU:AU,Database!$AD:$AD,$C67,Database!$A:$A,$C$1)),-0.00001)</f>
        <v>-1.0000000000000001E-5</v>
      </c>
      <c r="W67" s="185">
        <f>IFERROR(IF($C67="",-0.00001,SUMIFS(Database!AV:AV,Database!$AD:$AD,$C67,Database!$A:$A,$C$1)),-0.00001)</f>
        <v>-1.0000000000000001E-5</v>
      </c>
      <c r="X67" s="186">
        <f t="shared" si="7"/>
        <v>-1.0000000000000001E-5</v>
      </c>
      <c r="Y67" s="291"/>
      <c r="Z67" s="293">
        <f>IFERROR(IF($C67="",-0.00001,SUMIFS(Database!AG:AG,Database!$AD:$AD,$C67,Database!$A:$A,$C$1)/$G67),-0.00001)</f>
        <v>-1.0000000000000001E-5</v>
      </c>
      <c r="AA67" s="293">
        <f>IFERROR(IF($C67="",-0.00001,SUMIFS(Database!AH:AH,Database!$AD:$AD,$C67,Database!$A:$A,$C$1)/$G67),-0.00001)</f>
        <v>-1.0000000000000001E-5</v>
      </c>
      <c r="AB67" s="293">
        <f>IFERROR(IF($C67="",-0.00001,SUMIFS(Database!AI:AI,Database!$AD:$AD,$C67,Database!$A:$A,$C$1)/$G67),-0.00001)</f>
        <v>-1.0000000000000001E-5</v>
      </c>
      <c r="AC67" s="293">
        <f>IFERROR(IF($C67="",-0.00001,SUMIFS(Database!AJ:AJ,Database!$AD:$AD,$C67,Database!$A:$A,$C$1)/$G67),-0.00001)</f>
        <v>-1.0000000000000001E-5</v>
      </c>
      <c r="AD67" s="293">
        <f>IFERROR(IF($C67="",-0.00001,SUMIFS(Database!AK:AK,Database!$AD:$AD,$C67,Database!$A:$A,$C$1)/$G67),-0.00001)</f>
        <v>-1.0000000000000001E-5</v>
      </c>
      <c r="AE67" s="293">
        <f>IFERROR(IF($C67="",-0.00001,SUMIFS(Database!AL:AL,Database!$AD:$AD,$C67,Database!$A:$A,$C$1)/$G67),-0.00001)</f>
        <v>-1.0000000000000001E-5</v>
      </c>
      <c r="AF67" s="293">
        <f>IFERROR(IF($C67="",-0.00001,SUMIFS(Database!AM:AM,Database!$AD:$AD,$C67,Database!$A:$A,$C$1)/$G67),-0.00001)</f>
        <v>-1.0000000000000001E-5</v>
      </c>
      <c r="AG67" s="293">
        <f>IFERROR(IF($C67="",-0.00001,SUMIFS(Database!AN:AN,Database!$AD:$AD,$C67,Database!$A:$A,$C$1)/$G67),-0.00001)</f>
        <v>-1.0000000000000001E-5</v>
      </c>
      <c r="AH67" s="293">
        <f>IFERROR(IF($C67="",-0.00001,SUMIFS(Database!AO:AO,Database!$AD:$AD,$C67,Database!$A:$A,$C$1)/$G67),-0.00001)</f>
        <v>-1.0000000000000001E-5</v>
      </c>
      <c r="AI67" s="293">
        <f>IFERROR(IF($C67="",-0.00001,SUMIFS(Database!AP:AP,Database!$AD:$AD,$C67,Database!$A:$A,$C$1)/$G67),-0.00001)</f>
        <v>-1.0000000000000001E-5</v>
      </c>
      <c r="AJ67" s="293">
        <f>IFERROR(IF($C67="",-0.00001,SUMIFS(Database!AR:AR,Database!$AD:$AD,$C67,Database!$A:$A,$C$1)/$G67),-0.00001)</f>
        <v>-1.0000000000000001E-5</v>
      </c>
      <c r="AK67" s="293">
        <f>IFERROR(IF($C67="",-0.00001,SUMIFS(Database!AS:AS,Database!$AD:$AD,$C67,Database!$A:$A,$C$1)/$G67),-0.00001)</f>
        <v>-1.0000000000000001E-5</v>
      </c>
      <c r="AL67" s="293">
        <f>IFERROR(IF($C67="",-0.00001,SUMIFS(Database!AU:AU,Database!$AD:$AD,$C67,Database!$A:$A,$C$1)/$G67),-0.00001)</f>
        <v>-1.0000000000000001E-5</v>
      </c>
      <c r="AM67" s="293">
        <f>IFERROR(IF($C67="",-0.00001,SUMIFS(Database!AV:AV,Database!$AD:$AD,$C67,Database!$A:$A,$C$1)/$G67),-0.00001)</f>
        <v>-1.0000000000000001E-5</v>
      </c>
      <c r="AN67" s="187"/>
      <c r="AO67" s="187"/>
      <c r="AP67" s="187"/>
      <c r="AQ67" s="187"/>
      <c r="AR67" s="187"/>
      <c r="AS67" s="187"/>
      <c r="AT67" s="187"/>
      <c r="AU67" s="187"/>
      <c r="AV67" s="187"/>
      <c r="AW67" s="187"/>
      <c r="AX67" s="187"/>
    </row>
    <row r="68" spans="1:50" x14ac:dyDescent="0.25">
      <c r="A68" s="187"/>
      <c r="B68" s="187" t="str">
        <f>IF($C68="","",MAX($B$4:$B67)+1)</f>
        <v/>
      </c>
      <c r="C68" s="145"/>
      <c r="D68" s="233">
        <f>IF($C68="",-0.00001,COUNTIFS(Database!$AD:$AD,$C68,Database!$A:$A,$C$1,Database!$AE:$AE,"W"))</f>
        <v>-1.0000000000000001E-5</v>
      </c>
      <c r="E68" s="233">
        <f>IF($C68="",-0.00001,COUNTIFS(Database!$AD:$AD,$C68,Database!$A:$A,$C$1,Database!$AE:$AE,"L"))</f>
        <v>-1.0000000000000001E-5</v>
      </c>
      <c r="F68" s="233">
        <f t="shared" ref="F68:F80" si="8">IF($C68="",-0.00001,IF($D68=MAX($D$4:$D$80),"-",$D68-MAX($D$4:$D$80)))</f>
        <v>-1.0000000000000001E-5</v>
      </c>
      <c r="G68" s="185">
        <f>IF($C68="",-0.00001,COUNTIFS(Database!AD:AD,$C68,Database!A:A,$C$1))</f>
        <v>-1.0000000000000001E-5</v>
      </c>
      <c r="H68" s="185">
        <f>IFERROR(IF($C68="",-0.00001,SUMIFS(Database!AG:AG,Database!$AD:$AD,$C68,Database!$A:$A,$C$1)),-0.00001)</f>
        <v>-1.0000000000000001E-5</v>
      </c>
      <c r="I68" s="185">
        <f>IFERROR(IF($C68="",-0.00001,SUMIFS(Database!AH:AH,Database!$AD:$AD,$C68,Database!$A:$A,$C$1)),-0.00001)</f>
        <v>-1.0000000000000001E-5</v>
      </c>
      <c r="J68" s="185">
        <f>IFERROR(IF($C68="",-0.00001,SUMIFS(Database!AI:AI,Database!$AD:$AD,$C68,Database!$A:$A,$C$1)),-0.00001)</f>
        <v>-1.0000000000000001E-5</v>
      </c>
      <c r="K68" s="185">
        <f>IFERROR(IF($C68="",-0.00001,SUMIFS(Database!AJ:AJ,Database!$AD:$AD,$C68,Database!$A:$A,$C$1)),-0.00001)</f>
        <v>-1.0000000000000001E-5</v>
      </c>
      <c r="L68" s="185">
        <f>IFERROR(IF($C68="",-0.00001,SUMIFS(Database!AK:AK,Database!$AD:$AD,$C68,Database!$A:$A,$C$1)),-0.00001)</f>
        <v>-1.0000000000000001E-5</v>
      </c>
      <c r="M68" s="185">
        <f>IFERROR(IF($C68="",-0.00001,SUMIFS(Database!AL:AL,Database!$AD:$AD,$C68,Database!$A:$A,$C$1)),-0.00001)</f>
        <v>-1.0000000000000001E-5</v>
      </c>
      <c r="N68" s="185">
        <f>IFERROR(IF($C68="",-0.00001,SUMIFS(Database!AM:AM,Database!$AD:$AD,$C68,Database!$A:$A,$C$1)),-0.00001)</f>
        <v>-1.0000000000000001E-5</v>
      </c>
      <c r="O68" s="185">
        <f>IFERROR(IF($C68="",-0.00001,SUMIFS(Database!AN:AN,Database!$AD:$AD,$C68,Database!$A:$A,$C$1)),-0.00001)</f>
        <v>-1.0000000000000001E-5</v>
      </c>
      <c r="P68" s="185">
        <f>IFERROR(IF($C68="",-0.00001,SUMIFS(Database!AO:AO,Database!$AD:$AD,$C68,Database!$A:$A,$C$1)),-0.00001)</f>
        <v>-1.0000000000000001E-5</v>
      </c>
      <c r="Q68" s="185">
        <f>IFERROR(IF($C68="",-0.00001,SUMIFS(Database!AP:AP,Database!$AD:$AD,$C68,Database!$A:$A,$C$1)),-0.00001)</f>
        <v>-1.0000000000000001E-5</v>
      </c>
      <c r="R68" s="186">
        <f t="shared" ref="R68:R80" si="9">IFERROR(IF($C68="",-0.00001,$P68/$Q68),-0.00001)</f>
        <v>-1.0000000000000001E-5</v>
      </c>
      <c r="S68" s="185">
        <f>IFERROR(IF($C68="",-0.00001,SUMIFS(Database!AR:AR,Database!$AD:$AD,$C68,Database!$A:$A,$C$1)),-0.00001)</f>
        <v>-1.0000000000000001E-5</v>
      </c>
      <c r="T68" s="185">
        <f>IFERROR(IF($C68="",-0.00001,SUMIFS(Database!AS:AS,Database!$AD:$AD,$C68,Database!$A:$A,$C$1)),-0.00001)</f>
        <v>-1.0000000000000001E-5</v>
      </c>
      <c r="U68" s="186">
        <f t="shared" ref="U68:U80" si="10">IFERROR(IF($C68="",-0.00001,$S68/$T68),-0.00001)</f>
        <v>-1.0000000000000001E-5</v>
      </c>
      <c r="V68" s="185">
        <f>IFERROR(IF($C68="",-0.00001,SUMIFS(Database!AU:AU,Database!$AD:$AD,$C68,Database!$A:$A,$C$1)),-0.00001)</f>
        <v>-1.0000000000000001E-5</v>
      </c>
      <c r="W68" s="185">
        <f>IFERROR(IF($C68="",-0.00001,SUMIFS(Database!AV:AV,Database!$AD:$AD,$C68,Database!$A:$A,$C$1)),-0.00001)</f>
        <v>-1.0000000000000001E-5</v>
      </c>
      <c r="X68" s="186">
        <f t="shared" ref="X68:X80" si="11">IFERROR(IF($C68="",-0.00001,$V68/$W68),-0.00001)</f>
        <v>-1.0000000000000001E-5</v>
      </c>
      <c r="Y68" s="291"/>
      <c r="Z68" s="293">
        <f>IFERROR(IF($C68="",-0.00001,SUMIFS(Database!AG:AG,Database!$AD:$AD,$C68,Database!$A:$A,$C$1)/$G68),-0.00001)</f>
        <v>-1.0000000000000001E-5</v>
      </c>
      <c r="AA68" s="293">
        <f>IFERROR(IF($C68="",-0.00001,SUMIFS(Database!AH:AH,Database!$AD:$AD,$C68,Database!$A:$A,$C$1)/$G68),-0.00001)</f>
        <v>-1.0000000000000001E-5</v>
      </c>
      <c r="AB68" s="293">
        <f>IFERROR(IF($C68="",-0.00001,SUMIFS(Database!AI:AI,Database!$AD:$AD,$C68,Database!$A:$A,$C$1)/$G68),-0.00001)</f>
        <v>-1.0000000000000001E-5</v>
      </c>
      <c r="AC68" s="293">
        <f>IFERROR(IF($C68="",-0.00001,SUMIFS(Database!AJ:AJ,Database!$AD:$AD,$C68,Database!$A:$A,$C$1)/$G68),-0.00001)</f>
        <v>-1.0000000000000001E-5</v>
      </c>
      <c r="AD68" s="293">
        <f>IFERROR(IF($C68="",-0.00001,SUMIFS(Database!AK:AK,Database!$AD:$AD,$C68,Database!$A:$A,$C$1)/$G68),-0.00001)</f>
        <v>-1.0000000000000001E-5</v>
      </c>
      <c r="AE68" s="293">
        <f>IFERROR(IF($C68="",-0.00001,SUMIFS(Database!AL:AL,Database!$AD:$AD,$C68,Database!$A:$A,$C$1)/$G68),-0.00001)</f>
        <v>-1.0000000000000001E-5</v>
      </c>
      <c r="AF68" s="293">
        <f>IFERROR(IF($C68="",-0.00001,SUMIFS(Database!AM:AM,Database!$AD:$AD,$C68,Database!$A:$A,$C$1)/$G68),-0.00001)</f>
        <v>-1.0000000000000001E-5</v>
      </c>
      <c r="AG68" s="293">
        <f>IFERROR(IF($C68="",-0.00001,SUMIFS(Database!AN:AN,Database!$AD:$AD,$C68,Database!$A:$A,$C$1)/$G68),-0.00001)</f>
        <v>-1.0000000000000001E-5</v>
      </c>
      <c r="AH68" s="293">
        <f>IFERROR(IF($C68="",-0.00001,SUMIFS(Database!AO:AO,Database!$AD:$AD,$C68,Database!$A:$A,$C$1)/$G68),-0.00001)</f>
        <v>-1.0000000000000001E-5</v>
      </c>
      <c r="AI68" s="293">
        <f>IFERROR(IF($C68="",-0.00001,SUMIFS(Database!AP:AP,Database!$AD:$AD,$C68,Database!$A:$A,$C$1)/$G68),-0.00001)</f>
        <v>-1.0000000000000001E-5</v>
      </c>
      <c r="AJ68" s="293">
        <f>IFERROR(IF($C68="",-0.00001,SUMIFS(Database!AR:AR,Database!$AD:$AD,$C68,Database!$A:$A,$C$1)/$G68),-0.00001)</f>
        <v>-1.0000000000000001E-5</v>
      </c>
      <c r="AK68" s="293">
        <f>IFERROR(IF($C68="",-0.00001,SUMIFS(Database!AS:AS,Database!$AD:$AD,$C68,Database!$A:$A,$C$1)/$G68),-0.00001)</f>
        <v>-1.0000000000000001E-5</v>
      </c>
      <c r="AL68" s="293">
        <f>IFERROR(IF($C68="",-0.00001,SUMIFS(Database!AU:AU,Database!$AD:$AD,$C68,Database!$A:$A,$C$1)/$G68),-0.00001)</f>
        <v>-1.0000000000000001E-5</v>
      </c>
      <c r="AM68" s="293">
        <f>IFERROR(IF($C68="",-0.00001,SUMIFS(Database!AV:AV,Database!$AD:$AD,$C68,Database!$A:$A,$C$1)/$G68),-0.00001)</f>
        <v>-1.0000000000000001E-5</v>
      </c>
      <c r="AN68" s="187"/>
      <c r="AO68" s="187"/>
      <c r="AP68" s="187"/>
      <c r="AQ68" s="187"/>
      <c r="AR68" s="187"/>
      <c r="AS68" s="187"/>
      <c r="AT68" s="187"/>
      <c r="AU68" s="187"/>
      <c r="AV68" s="187"/>
      <c r="AW68" s="187"/>
      <c r="AX68" s="187"/>
    </row>
    <row r="69" spans="1:50" x14ac:dyDescent="0.25">
      <c r="A69" s="187"/>
      <c r="B69" s="187" t="str">
        <f>IF($C69="","",MAX($B$4:$B68)+1)</f>
        <v/>
      </c>
      <c r="C69" s="145"/>
      <c r="D69" s="233">
        <f>IF($C69="",-0.00001,COUNTIFS(Database!$AD:$AD,$C69,Database!$A:$A,$C$1,Database!$AE:$AE,"W"))</f>
        <v>-1.0000000000000001E-5</v>
      </c>
      <c r="E69" s="233">
        <f>IF($C69="",-0.00001,COUNTIFS(Database!$AD:$AD,$C69,Database!$A:$A,$C$1,Database!$AE:$AE,"L"))</f>
        <v>-1.0000000000000001E-5</v>
      </c>
      <c r="F69" s="233">
        <f t="shared" si="8"/>
        <v>-1.0000000000000001E-5</v>
      </c>
      <c r="G69" s="185">
        <f>IF($C69="",-0.00001,COUNTIFS(Database!AD:AD,$C69,Database!A:A,$C$1))</f>
        <v>-1.0000000000000001E-5</v>
      </c>
      <c r="H69" s="185">
        <f>IFERROR(IF($C69="",-0.00001,SUMIFS(Database!AG:AG,Database!$AD:$AD,$C69,Database!$A:$A,$C$1)),-0.00001)</f>
        <v>-1.0000000000000001E-5</v>
      </c>
      <c r="I69" s="185">
        <f>IFERROR(IF($C69="",-0.00001,SUMIFS(Database!AH:AH,Database!$AD:$AD,$C69,Database!$A:$A,$C$1)),-0.00001)</f>
        <v>-1.0000000000000001E-5</v>
      </c>
      <c r="J69" s="185">
        <f>IFERROR(IF($C69="",-0.00001,SUMIFS(Database!AI:AI,Database!$AD:$AD,$C69,Database!$A:$A,$C$1)),-0.00001)</f>
        <v>-1.0000000000000001E-5</v>
      </c>
      <c r="K69" s="185">
        <f>IFERROR(IF($C69="",-0.00001,SUMIFS(Database!AJ:AJ,Database!$AD:$AD,$C69,Database!$A:$A,$C$1)),-0.00001)</f>
        <v>-1.0000000000000001E-5</v>
      </c>
      <c r="L69" s="185">
        <f>IFERROR(IF($C69="",-0.00001,SUMIFS(Database!AK:AK,Database!$AD:$AD,$C69,Database!$A:$A,$C$1)),-0.00001)</f>
        <v>-1.0000000000000001E-5</v>
      </c>
      <c r="M69" s="185">
        <f>IFERROR(IF($C69="",-0.00001,SUMIFS(Database!AL:AL,Database!$AD:$AD,$C69,Database!$A:$A,$C$1)),-0.00001)</f>
        <v>-1.0000000000000001E-5</v>
      </c>
      <c r="N69" s="185">
        <f>IFERROR(IF($C69="",-0.00001,SUMIFS(Database!AM:AM,Database!$AD:$AD,$C69,Database!$A:$A,$C$1)),-0.00001)</f>
        <v>-1.0000000000000001E-5</v>
      </c>
      <c r="O69" s="185">
        <f>IFERROR(IF($C69="",-0.00001,SUMIFS(Database!AN:AN,Database!$AD:$AD,$C69,Database!$A:$A,$C$1)),-0.00001)</f>
        <v>-1.0000000000000001E-5</v>
      </c>
      <c r="P69" s="185">
        <f>IFERROR(IF($C69="",-0.00001,SUMIFS(Database!AO:AO,Database!$AD:$AD,$C69,Database!$A:$A,$C$1)),-0.00001)</f>
        <v>-1.0000000000000001E-5</v>
      </c>
      <c r="Q69" s="185">
        <f>IFERROR(IF($C69="",-0.00001,SUMIFS(Database!AP:AP,Database!$AD:$AD,$C69,Database!$A:$A,$C$1)),-0.00001)</f>
        <v>-1.0000000000000001E-5</v>
      </c>
      <c r="R69" s="186">
        <f t="shared" si="9"/>
        <v>-1.0000000000000001E-5</v>
      </c>
      <c r="S69" s="185">
        <f>IFERROR(IF($C69="",-0.00001,SUMIFS(Database!AR:AR,Database!$AD:$AD,$C69,Database!$A:$A,$C$1)),-0.00001)</f>
        <v>-1.0000000000000001E-5</v>
      </c>
      <c r="T69" s="185">
        <f>IFERROR(IF($C69="",-0.00001,SUMIFS(Database!AS:AS,Database!$AD:$AD,$C69,Database!$A:$A,$C$1)),-0.00001)</f>
        <v>-1.0000000000000001E-5</v>
      </c>
      <c r="U69" s="186">
        <f t="shared" si="10"/>
        <v>-1.0000000000000001E-5</v>
      </c>
      <c r="V69" s="185">
        <f>IFERROR(IF($C69="",-0.00001,SUMIFS(Database!AU:AU,Database!$AD:$AD,$C69,Database!$A:$A,$C$1)),-0.00001)</f>
        <v>-1.0000000000000001E-5</v>
      </c>
      <c r="W69" s="185">
        <f>IFERROR(IF($C69="",-0.00001,SUMIFS(Database!AV:AV,Database!$AD:$AD,$C69,Database!$A:$A,$C$1)),-0.00001)</f>
        <v>-1.0000000000000001E-5</v>
      </c>
      <c r="X69" s="186">
        <f t="shared" si="11"/>
        <v>-1.0000000000000001E-5</v>
      </c>
      <c r="Y69" s="291"/>
      <c r="Z69" s="293">
        <f>IFERROR(IF($C69="",-0.00001,SUMIFS(Database!AG:AG,Database!$AD:$AD,$C69,Database!$A:$A,$C$1)/$G69),-0.00001)</f>
        <v>-1.0000000000000001E-5</v>
      </c>
      <c r="AA69" s="293">
        <f>IFERROR(IF($C69="",-0.00001,SUMIFS(Database!AH:AH,Database!$AD:$AD,$C69,Database!$A:$A,$C$1)/$G69),-0.00001)</f>
        <v>-1.0000000000000001E-5</v>
      </c>
      <c r="AB69" s="293">
        <f>IFERROR(IF($C69="",-0.00001,SUMIFS(Database!AI:AI,Database!$AD:$AD,$C69,Database!$A:$A,$C$1)/$G69),-0.00001)</f>
        <v>-1.0000000000000001E-5</v>
      </c>
      <c r="AC69" s="293">
        <f>IFERROR(IF($C69="",-0.00001,SUMIFS(Database!AJ:AJ,Database!$AD:$AD,$C69,Database!$A:$A,$C$1)/$G69),-0.00001)</f>
        <v>-1.0000000000000001E-5</v>
      </c>
      <c r="AD69" s="293">
        <f>IFERROR(IF($C69="",-0.00001,SUMIFS(Database!AK:AK,Database!$AD:$AD,$C69,Database!$A:$A,$C$1)/$G69),-0.00001)</f>
        <v>-1.0000000000000001E-5</v>
      </c>
      <c r="AE69" s="293">
        <f>IFERROR(IF($C69="",-0.00001,SUMIFS(Database!AL:AL,Database!$AD:$AD,$C69,Database!$A:$A,$C$1)/$G69),-0.00001)</f>
        <v>-1.0000000000000001E-5</v>
      </c>
      <c r="AF69" s="293">
        <f>IFERROR(IF($C69="",-0.00001,SUMIFS(Database!AM:AM,Database!$AD:$AD,$C69,Database!$A:$A,$C$1)/$G69),-0.00001)</f>
        <v>-1.0000000000000001E-5</v>
      </c>
      <c r="AG69" s="293">
        <f>IFERROR(IF($C69="",-0.00001,SUMIFS(Database!AN:AN,Database!$AD:$AD,$C69,Database!$A:$A,$C$1)/$G69),-0.00001)</f>
        <v>-1.0000000000000001E-5</v>
      </c>
      <c r="AH69" s="293">
        <f>IFERROR(IF($C69="",-0.00001,SUMIFS(Database!AO:AO,Database!$AD:$AD,$C69,Database!$A:$A,$C$1)/$G69),-0.00001)</f>
        <v>-1.0000000000000001E-5</v>
      </c>
      <c r="AI69" s="293">
        <f>IFERROR(IF($C69="",-0.00001,SUMIFS(Database!AP:AP,Database!$AD:$AD,$C69,Database!$A:$A,$C$1)/$G69),-0.00001)</f>
        <v>-1.0000000000000001E-5</v>
      </c>
      <c r="AJ69" s="293">
        <f>IFERROR(IF($C69="",-0.00001,SUMIFS(Database!AR:AR,Database!$AD:$AD,$C69,Database!$A:$A,$C$1)/$G69),-0.00001)</f>
        <v>-1.0000000000000001E-5</v>
      </c>
      <c r="AK69" s="293">
        <f>IFERROR(IF($C69="",-0.00001,SUMIFS(Database!AS:AS,Database!$AD:$AD,$C69,Database!$A:$A,$C$1)/$G69),-0.00001)</f>
        <v>-1.0000000000000001E-5</v>
      </c>
      <c r="AL69" s="293">
        <f>IFERROR(IF($C69="",-0.00001,SUMIFS(Database!AU:AU,Database!$AD:$AD,$C69,Database!$A:$A,$C$1)/$G69),-0.00001)</f>
        <v>-1.0000000000000001E-5</v>
      </c>
      <c r="AM69" s="293">
        <f>IFERROR(IF($C69="",-0.00001,SUMIFS(Database!AV:AV,Database!$AD:$AD,$C69,Database!$A:$A,$C$1)/$G69),-0.00001)</f>
        <v>-1.0000000000000001E-5</v>
      </c>
      <c r="AN69" s="187"/>
      <c r="AO69" s="187"/>
      <c r="AP69" s="187"/>
      <c r="AQ69" s="187"/>
      <c r="AR69" s="187"/>
      <c r="AS69" s="187"/>
      <c r="AT69" s="187"/>
      <c r="AU69" s="187"/>
      <c r="AV69" s="187"/>
      <c r="AW69" s="187"/>
      <c r="AX69" s="187"/>
    </row>
    <row r="70" spans="1:50" x14ac:dyDescent="0.25">
      <c r="A70" s="187"/>
      <c r="B70" s="187" t="str">
        <f>IF($C70="","",MAX($B$4:$B69)+1)</f>
        <v/>
      </c>
      <c r="C70" s="145"/>
      <c r="D70" s="233">
        <f>IF($C70="",-0.00001,COUNTIFS(Database!$AD:$AD,$C70,Database!$A:$A,$C$1,Database!$AE:$AE,"W"))</f>
        <v>-1.0000000000000001E-5</v>
      </c>
      <c r="E70" s="233">
        <f>IF($C70="",-0.00001,COUNTIFS(Database!$AD:$AD,$C70,Database!$A:$A,$C$1,Database!$AE:$AE,"L"))</f>
        <v>-1.0000000000000001E-5</v>
      </c>
      <c r="F70" s="233">
        <f t="shared" si="8"/>
        <v>-1.0000000000000001E-5</v>
      </c>
      <c r="G70" s="185">
        <f>IF($C70="",-0.00001,COUNTIFS(Database!AD:AD,$C70,Database!A:A,$C$1))</f>
        <v>-1.0000000000000001E-5</v>
      </c>
      <c r="H70" s="185">
        <f>IFERROR(IF($C70="",-0.00001,SUMIFS(Database!AG:AG,Database!$AD:$AD,$C70,Database!$A:$A,$C$1)),-0.00001)</f>
        <v>-1.0000000000000001E-5</v>
      </c>
      <c r="I70" s="185">
        <f>IFERROR(IF($C70="",-0.00001,SUMIFS(Database!AH:AH,Database!$AD:$AD,$C70,Database!$A:$A,$C$1)),-0.00001)</f>
        <v>-1.0000000000000001E-5</v>
      </c>
      <c r="J70" s="185">
        <f>IFERROR(IF($C70="",-0.00001,SUMIFS(Database!AI:AI,Database!$AD:$AD,$C70,Database!$A:$A,$C$1)),-0.00001)</f>
        <v>-1.0000000000000001E-5</v>
      </c>
      <c r="K70" s="185">
        <f>IFERROR(IF($C70="",-0.00001,SUMIFS(Database!AJ:AJ,Database!$AD:$AD,$C70,Database!$A:$A,$C$1)),-0.00001)</f>
        <v>-1.0000000000000001E-5</v>
      </c>
      <c r="L70" s="185">
        <f>IFERROR(IF($C70="",-0.00001,SUMIFS(Database!AK:AK,Database!$AD:$AD,$C70,Database!$A:$A,$C$1)),-0.00001)</f>
        <v>-1.0000000000000001E-5</v>
      </c>
      <c r="M70" s="185">
        <f>IFERROR(IF($C70="",-0.00001,SUMIFS(Database!AL:AL,Database!$AD:$AD,$C70,Database!$A:$A,$C$1)),-0.00001)</f>
        <v>-1.0000000000000001E-5</v>
      </c>
      <c r="N70" s="185">
        <f>IFERROR(IF($C70="",-0.00001,SUMIFS(Database!AM:AM,Database!$AD:$AD,$C70,Database!$A:$A,$C$1)),-0.00001)</f>
        <v>-1.0000000000000001E-5</v>
      </c>
      <c r="O70" s="185">
        <f>IFERROR(IF($C70="",-0.00001,SUMIFS(Database!AN:AN,Database!$AD:$AD,$C70,Database!$A:$A,$C$1)),-0.00001)</f>
        <v>-1.0000000000000001E-5</v>
      </c>
      <c r="P70" s="185">
        <f>IFERROR(IF($C70="",-0.00001,SUMIFS(Database!AO:AO,Database!$AD:$AD,$C70,Database!$A:$A,$C$1)),-0.00001)</f>
        <v>-1.0000000000000001E-5</v>
      </c>
      <c r="Q70" s="185">
        <f>IFERROR(IF($C70="",-0.00001,SUMIFS(Database!AP:AP,Database!$AD:$AD,$C70,Database!$A:$A,$C$1)),-0.00001)</f>
        <v>-1.0000000000000001E-5</v>
      </c>
      <c r="R70" s="186">
        <f t="shared" si="9"/>
        <v>-1.0000000000000001E-5</v>
      </c>
      <c r="S70" s="185">
        <f>IFERROR(IF($C70="",-0.00001,SUMIFS(Database!AR:AR,Database!$AD:$AD,$C70,Database!$A:$A,$C$1)),-0.00001)</f>
        <v>-1.0000000000000001E-5</v>
      </c>
      <c r="T70" s="185">
        <f>IFERROR(IF($C70="",-0.00001,SUMIFS(Database!AS:AS,Database!$AD:$AD,$C70,Database!$A:$A,$C$1)),-0.00001)</f>
        <v>-1.0000000000000001E-5</v>
      </c>
      <c r="U70" s="186">
        <f t="shared" si="10"/>
        <v>-1.0000000000000001E-5</v>
      </c>
      <c r="V70" s="185">
        <f>IFERROR(IF($C70="",-0.00001,SUMIFS(Database!AU:AU,Database!$AD:$AD,$C70,Database!$A:$A,$C$1)),-0.00001)</f>
        <v>-1.0000000000000001E-5</v>
      </c>
      <c r="W70" s="185">
        <f>IFERROR(IF($C70="",-0.00001,SUMIFS(Database!AV:AV,Database!$AD:$AD,$C70,Database!$A:$A,$C$1)),-0.00001)</f>
        <v>-1.0000000000000001E-5</v>
      </c>
      <c r="X70" s="186">
        <f t="shared" si="11"/>
        <v>-1.0000000000000001E-5</v>
      </c>
      <c r="Y70" s="291"/>
      <c r="Z70" s="293">
        <f>IFERROR(IF($C70="",-0.00001,SUMIFS(Database!AG:AG,Database!$AD:$AD,$C70,Database!$A:$A,$C$1)/$G70),-0.00001)</f>
        <v>-1.0000000000000001E-5</v>
      </c>
      <c r="AA70" s="293">
        <f>IFERROR(IF($C70="",-0.00001,SUMIFS(Database!AH:AH,Database!$AD:$AD,$C70,Database!$A:$A,$C$1)/$G70),-0.00001)</f>
        <v>-1.0000000000000001E-5</v>
      </c>
      <c r="AB70" s="293">
        <f>IFERROR(IF($C70="",-0.00001,SUMIFS(Database!AI:AI,Database!$AD:$AD,$C70,Database!$A:$A,$C$1)/$G70),-0.00001)</f>
        <v>-1.0000000000000001E-5</v>
      </c>
      <c r="AC70" s="293">
        <f>IFERROR(IF($C70="",-0.00001,SUMIFS(Database!AJ:AJ,Database!$AD:$AD,$C70,Database!$A:$A,$C$1)/$G70),-0.00001)</f>
        <v>-1.0000000000000001E-5</v>
      </c>
      <c r="AD70" s="293">
        <f>IFERROR(IF($C70="",-0.00001,SUMIFS(Database!AK:AK,Database!$AD:$AD,$C70,Database!$A:$A,$C$1)/$G70),-0.00001)</f>
        <v>-1.0000000000000001E-5</v>
      </c>
      <c r="AE70" s="293">
        <f>IFERROR(IF($C70="",-0.00001,SUMIFS(Database!AL:AL,Database!$AD:$AD,$C70,Database!$A:$A,$C$1)/$G70),-0.00001)</f>
        <v>-1.0000000000000001E-5</v>
      </c>
      <c r="AF70" s="293">
        <f>IFERROR(IF($C70="",-0.00001,SUMIFS(Database!AM:AM,Database!$AD:$AD,$C70,Database!$A:$A,$C$1)/$G70),-0.00001)</f>
        <v>-1.0000000000000001E-5</v>
      </c>
      <c r="AG70" s="293">
        <f>IFERROR(IF($C70="",-0.00001,SUMIFS(Database!AN:AN,Database!$AD:$AD,$C70,Database!$A:$A,$C$1)/$G70),-0.00001)</f>
        <v>-1.0000000000000001E-5</v>
      </c>
      <c r="AH70" s="293">
        <f>IFERROR(IF($C70="",-0.00001,SUMIFS(Database!AO:AO,Database!$AD:$AD,$C70,Database!$A:$A,$C$1)/$G70),-0.00001)</f>
        <v>-1.0000000000000001E-5</v>
      </c>
      <c r="AI70" s="293">
        <f>IFERROR(IF($C70="",-0.00001,SUMIFS(Database!AP:AP,Database!$AD:$AD,$C70,Database!$A:$A,$C$1)/$G70),-0.00001)</f>
        <v>-1.0000000000000001E-5</v>
      </c>
      <c r="AJ70" s="293">
        <f>IFERROR(IF($C70="",-0.00001,SUMIFS(Database!AR:AR,Database!$AD:$AD,$C70,Database!$A:$A,$C$1)/$G70),-0.00001)</f>
        <v>-1.0000000000000001E-5</v>
      </c>
      <c r="AK70" s="293">
        <f>IFERROR(IF($C70="",-0.00001,SUMIFS(Database!AS:AS,Database!$AD:$AD,$C70,Database!$A:$A,$C$1)/$G70),-0.00001)</f>
        <v>-1.0000000000000001E-5</v>
      </c>
      <c r="AL70" s="293">
        <f>IFERROR(IF($C70="",-0.00001,SUMIFS(Database!AU:AU,Database!$AD:$AD,$C70,Database!$A:$A,$C$1)/$G70),-0.00001)</f>
        <v>-1.0000000000000001E-5</v>
      </c>
      <c r="AM70" s="293">
        <f>IFERROR(IF($C70="",-0.00001,SUMIFS(Database!AV:AV,Database!$AD:$AD,$C70,Database!$A:$A,$C$1)/$G70),-0.00001)</f>
        <v>-1.0000000000000001E-5</v>
      </c>
      <c r="AN70" s="187"/>
      <c r="AO70" s="187"/>
      <c r="AP70" s="187"/>
      <c r="AQ70" s="187"/>
      <c r="AR70" s="187"/>
      <c r="AS70" s="187"/>
      <c r="AT70" s="187"/>
      <c r="AU70" s="187"/>
      <c r="AV70" s="187"/>
      <c r="AW70" s="187"/>
      <c r="AX70" s="187"/>
    </row>
    <row r="71" spans="1:50" x14ac:dyDescent="0.25">
      <c r="A71" s="187"/>
      <c r="B71" s="187" t="str">
        <f>IF($C71="","",MAX($B$4:$B70)+1)</f>
        <v/>
      </c>
      <c r="C71" s="145"/>
      <c r="D71" s="233">
        <f>IF($C71="",-0.00001,COUNTIFS(Database!$AD:$AD,$C71,Database!$A:$A,$C$1,Database!$AE:$AE,"W"))</f>
        <v>-1.0000000000000001E-5</v>
      </c>
      <c r="E71" s="233">
        <f>IF($C71="",-0.00001,COUNTIFS(Database!$AD:$AD,$C71,Database!$A:$A,$C$1,Database!$AE:$AE,"L"))</f>
        <v>-1.0000000000000001E-5</v>
      </c>
      <c r="F71" s="233">
        <f t="shared" si="8"/>
        <v>-1.0000000000000001E-5</v>
      </c>
      <c r="G71" s="185">
        <f>IF($C71="",-0.00001,COUNTIFS(Database!AD:AD,$C71,Database!A:A,$C$1))</f>
        <v>-1.0000000000000001E-5</v>
      </c>
      <c r="H71" s="185">
        <f>IFERROR(IF($C71="",-0.00001,SUMIFS(Database!AG:AG,Database!$AD:$AD,$C71,Database!$A:$A,$C$1)),-0.00001)</f>
        <v>-1.0000000000000001E-5</v>
      </c>
      <c r="I71" s="185">
        <f>IFERROR(IF($C71="",-0.00001,SUMIFS(Database!AH:AH,Database!$AD:$AD,$C71,Database!$A:$A,$C$1)),-0.00001)</f>
        <v>-1.0000000000000001E-5</v>
      </c>
      <c r="J71" s="185">
        <f>IFERROR(IF($C71="",-0.00001,SUMIFS(Database!AI:AI,Database!$AD:$AD,$C71,Database!$A:$A,$C$1)),-0.00001)</f>
        <v>-1.0000000000000001E-5</v>
      </c>
      <c r="K71" s="185">
        <f>IFERROR(IF($C71="",-0.00001,SUMIFS(Database!AJ:AJ,Database!$AD:$AD,$C71,Database!$A:$A,$C$1)),-0.00001)</f>
        <v>-1.0000000000000001E-5</v>
      </c>
      <c r="L71" s="185">
        <f>IFERROR(IF($C71="",-0.00001,SUMIFS(Database!AK:AK,Database!$AD:$AD,$C71,Database!$A:$A,$C$1)),-0.00001)</f>
        <v>-1.0000000000000001E-5</v>
      </c>
      <c r="M71" s="185">
        <f>IFERROR(IF($C71="",-0.00001,SUMIFS(Database!AL:AL,Database!$AD:$AD,$C71,Database!$A:$A,$C$1)),-0.00001)</f>
        <v>-1.0000000000000001E-5</v>
      </c>
      <c r="N71" s="185">
        <f>IFERROR(IF($C71="",-0.00001,SUMIFS(Database!AM:AM,Database!$AD:$AD,$C71,Database!$A:$A,$C$1)),-0.00001)</f>
        <v>-1.0000000000000001E-5</v>
      </c>
      <c r="O71" s="185">
        <f>IFERROR(IF($C71="",-0.00001,SUMIFS(Database!AN:AN,Database!$AD:$AD,$C71,Database!$A:$A,$C$1)),-0.00001)</f>
        <v>-1.0000000000000001E-5</v>
      </c>
      <c r="P71" s="185">
        <f>IFERROR(IF($C71="",-0.00001,SUMIFS(Database!AO:AO,Database!$AD:$AD,$C71,Database!$A:$A,$C$1)),-0.00001)</f>
        <v>-1.0000000000000001E-5</v>
      </c>
      <c r="Q71" s="185">
        <f>IFERROR(IF($C71="",-0.00001,SUMIFS(Database!AP:AP,Database!$AD:$AD,$C71,Database!$A:$A,$C$1)),-0.00001)</f>
        <v>-1.0000000000000001E-5</v>
      </c>
      <c r="R71" s="186">
        <f t="shared" si="9"/>
        <v>-1.0000000000000001E-5</v>
      </c>
      <c r="S71" s="185">
        <f>IFERROR(IF($C71="",-0.00001,SUMIFS(Database!AR:AR,Database!$AD:$AD,$C71,Database!$A:$A,$C$1)),-0.00001)</f>
        <v>-1.0000000000000001E-5</v>
      </c>
      <c r="T71" s="185">
        <f>IFERROR(IF($C71="",-0.00001,SUMIFS(Database!AS:AS,Database!$AD:$AD,$C71,Database!$A:$A,$C$1)),-0.00001)</f>
        <v>-1.0000000000000001E-5</v>
      </c>
      <c r="U71" s="186">
        <f t="shared" si="10"/>
        <v>-1.0000000000000001E-5</v>
      </c>
      <c r="V71" s="185">
        <f>IFERROR(IF($C71="",-0.00001,SUMIFS(Database!AU:AU,Database!$AD:$AD,$C71,Database!$A:$A,$C$1)),-0.00001)</f>
        <v>-1.0000000000000001E-5</v>
      </c>
      <c r="W71" s="185">
        <f>IFERROR(IF($C71="",-0.00001,SUMIFS(Database!AV:AV,Database!$AD:$AD,$C71,Database!$A:$A,$C$1)),-0.00001)</f>
        <v>-1.0000000000000001E-5</v>
      </c>
      <c r="X71" s="186">
        <f t="shared" si="11"/>
        <v>-1.0000000000000001E-5</v>
      </c>
      <c r="Y71" s="291"/>
      <c r="Z71" s="293">
        <f>IFERROR(IF($C71="",-0.00001,SUMIFS(Database!AG:AG,Database!$AD:$AD,$C71,Database!$A:$A,$C$1)/$G71),-0.00001)</f>
        <v>-1.0000000000000001E-5</v>
      </c>
      <c r="AA71" s="293">
        <f>IFERROR(IF($C71="",-0.00001,SUMIFS(Database!AH:AH,Database!$AD:$AD,$C71,Database!$A:$A,$C$1)/$G71),-0.00001)</f>
        <v>-1.0000000000000001E-5</v>
      </c>
      <c r="AB71" s="293">
        <f>IFERROR(IF($C71="",-0.00001,SUMIFS(Database!AI:AI,Database!$AD:$AD,$C71,Database!$A:$A,$C$1)/$G71),-0.00001)</f>
        <v>-1.0000000000000001E-5</v>
      </c>
      <c r="AC71" s="293">
        <f>IFERROR(IF($C71="",-0.00001,SUMIFS(Database!AJ:AJ,Database!$AD:$AD,$C71,Database!$A:$A,$C$1)/$G71),-0.00001)</f>
        <v>-1.0000000000000001E-5</v>
      </c>
      <c r="AD71" s="293">
        <f>IFERROR(IF($C71="",-0.00001,SUMIFS(Database!AK:AK,Database!$AD:$AD,$C71,Database!$A:$A,$C$1)/$G71),-0.00001)</f>
        <v>-1.0000000000000001E-5</v>
      </c>
      <c r="AE71" s="293">
        <f>IFERROR(IF($C71="",-0.00001,SUMIFS(Database!AL:AL,Database!$AD:$AD,$C71,Database!$A:$A,$C$1)/$G71),-0.00001)</f>
        <v>-1.0000000000000001E-5</v>
      </c>
      <c r="AF71" s="293">
        <f>IFERROR(IF($C71="",-0.00001,SUMIFS(Database!AM:AM,Database!$AD:$AD,$C71,Database!$A:$A,$C$1)/$G71),-0.00001)</f>
        <v>-1.0000000000000001E-5</v>
      </c>
      <c r="AG71" s="293">
        <f>IFERROR(IF($C71="",-0.00001,SUMIFS(Database!AN:AN,Database!$AD:$AD,$C71,Database!$A:$A,$C$1)/$G71),-0.00001)</f>
        <v>-1.0000000000000001E-5</v>
      </c>
      <c r="AH71" s="293">
        <f>IFERROR(IF($C71="",-0.00001,SUMIFS(Database!AO:AO,Database!$AD:$AD,$C71,Database!$A:$A,$C$1)/$G71),-0.00001)</f>
        <v>-1.0000000000000001E-5</v>
      </c>
      <c r="AI71" s="293">
        <f>IFERROR(IF($C71="",-0.00001,SUMIFS(Database!AP:AP,Database!$AD:$AD,$C71,Database!$A:$A,$C$1)/$G71),-0.00001)</f>
        <v>-1.0000000000000001E-5</v>
      </c>
      <c r="AJ71" s="293">
        <f>IFERROR(IF($C71="",-0.00001,SUMIFS(Database!AR:AR,Database!$AD:$AD,$C71,Database!$A:$A,$C$1)/$G71),-0.00001)</f>
        <v>-1.0000000000000001E-5</v>
      </c>
      <c r="AK71" s="293">
        <f>IFERROR(IF($C71="",-0.00001,SUMIFS(Database!AS:AS,Database!$AD:$AD,$C71,Database!$A:$A,$C$1)/$G71),-0.00001)</f>
        <v>-1.0000000000000001E-5</v>
      </c>
      <c r="AL71" s="293">
        <f>IFERROR(IF($C71="",-0.00001,SUMIFS(Database!AU:AU,Database!$AD:$AD,$C71,Database!$A:$A,$C$1)/$G71),-0.00001)</f>
        <v>-1.0000000000000001E-5</v>
      </c>
      <c r="AM71" s="293">
        <f>IFERROR(IF($C71="",-0.00001,SUMIFS(Database!AV:AV,Database!$AD:$AD,$C71,Database!$A:$A,$C$1)/$G71),-0.00001)</f>
        <v>-1.0000000000000001E-5</v>
      </c>
      <c r="AN71" s="187"/>
      <c r="AO71" s="187"/>
      <c r="AP71" s="187"/>
      <c r="AQ71" s="187"/>
      <c r="AR71" s="187"/>
      <c r="AS71" s="187"/>
      <c r="AT71" s="187"/>
      <c r="AU71" s="187"/>
      <c r="AV71" s="187"/>
      <c r="AW71" s="187"/>
      <c r="AX71" s="187"/>
    </row>
    <row r="72" spans="1:50" x14ac:dyDescent="0.25">
      <c r="A72" s="187"/>
      <c r="B72" s="187" t="str">
        <f>IF($C72="","",MAX($B$4:$B71)+1)</f>
        <v/>
      </c>
      <c r="C72" s="145"/>
      <c r="D72" s="233">
        <f>IF($C72="",-0.00001,COUNTIFS(Database!$AD:$AD,$C72,Database!$A:$A,$C$1,Database!$AE:$AE,"W"))</f>
        <v>-1.0000000000000001E-5</v>
      </c>
      <c r="E72" s="233">
        <f>IF($C72="",-0.00001,COUNTIFS(Database!$AD:$AD,$C72,Database!$A:$A,$C$1,Database!$AE:$AE,"L"))</f>
        <v>-1.0000000000000001E-5</v>
      </c>
      <c r="F72" s="233">
        <f t="shared" si="8"/>
        <v>-1.0000000000000001E-5</v>
      </c>
      <c r="G72" s="185">
        <f>IF($C72="",-0.00001,COUNTIFS(Database!AD:AD,$C72,Database!A:A,$C$1))</f>
        <v>-1.0000000000000001E-5</v>
      </c>
      <c r="H72" s="185">
        <f>IFERROR(IF($C72="",-0.00001,SUMIFS(Database!AG:AG,Database!$AD:$AD,$C72,Database!$A:$A,$C$1)),-0.00001)</f>
        <v>-1.0000000000000001E-5</v>
      </c>
      <c r="I72" s="185">
        <f>IFERROR(IF($C72="",-0.00001,SUMIFS(Database!AH:AH,Database!$AD:$AD,$C72,Database!$A:$A,$C$1)),-0.00001)</f>
        <v>-1.0000000000000001E-5</v>
      </c>
      <c r="J72" s="185">
        <f>IFERROR(IF($C72="",-0.00001,SUMIFS(Database!AI:AI,Database!$AD:$AD,$C72,Database!$A:$A,$C$1)),-0.00001)</f>
        <v>-1.0000000000000001E-5</v>
      </c>
      <c r="K72" s="185">
        <f>IFERROR(IF($C72="",-0.00001,SUMIFS(Database!AJ:AJ,Database!$AD:$AD,$C72,Database!$A:$A,$C$1)),-0.00001)</f>
        <v>-1.0000000000000001E-5</v>
      </c>
      <c r="L72" s="185">
        <f>IFERROR(IF($C72="",-0.00001,SUMIFS(Database!AK:AK,Database!$AD:$AD,$C72,Database!$A:$A,$C$1)),-0.00001)</f>
        <v>-1.0000000000000001E-5</v>
      </c>
      <c r="M72" s="185">
        <f>IFERROR(IF($C72="",-0.00001,SUMIFS(Database!AL:AL,Database!$AD:$AD,$C72,Database!$A:$A,$C$1)),-0.00001)</f>
        <v>-1.0000000000000001E-5</v>
      </c>
      <c r="N72" s="185">
        <f>IFERROR(IF($C72="",-0.00001,SUMIFS(Database!AM:AM,Database!$AD:$AD,$C72,Database!$A:$A,$C$1)),-0.00001)</f>
        <v>-1.0000000000000001E-5</v>
      </c>
      <c r="O72" s="185">
        <f>IFERROR(IF($C72="",-0.00001,SUMIFS(Database!AN:AN,Database!$AD:$AD,$C72,Database!$A:$A,$C$1)),-0.00001)</f>
        <v>-1.0000000000000001E-5</v>
      </c>
      <c r="P72" s="185">
        <f>IFERROR(IF($C72="",-0.00001,SUMIFS(Database!AO:AO,Database!$AD:$AD,$C72,Database!$A:$A,$C$1)),-0.00001)</f>
        <v>-1.0000000000000001E-5</v>
      </c>
      <c r="Q72" s="185">
        <f>IFERROR(IF($C72="",-0.00001,SUMIFS(Database!AP:AP,Database!$AD:$AD,$C72,Database!$A:$A,$C$1)),-0.00001)</f>
        <v>-1.0000000000000001E-5</v>
      </c>
      <c r="R72" s="186">
        <f t="shared" si="9"/>
        <v>-1.0000000000000001E-5</v>
      </c>
      <c r="S72" s="185">
        <f>IFERROR(IF($C72="",-0.00001,SUMIFS(Database!AR:AR,Database!$AD:$AD,$C72,Database!$A:$A,$C$1)),-0.00001)</f>
        <v>-1.0000000000000001E-5</v>
      </c>
      <c r="T72" s="185">
        <f>IFERROR(IF($C72="",-0.00001,SUMIFS(Database!AS:AS,Database!$AD:$AD,$C72,Database!$A:$A,$C$1)),-0.00001)</f>
        <v>-1.0000000000000001E-5</v>
      </c>
      <c r="U72" s="186">
        <f t="shared" si="10"/>
        <v>-1.0000000000000001E-5</v>
      </c>
      <c r="V72" s="185">
        <f>IFERROR(IF($C72="",-0.00001,SUMIFS(Database!AU:AU,Database!$AD:$AD,$C72,Database!$A:$A,$C$1)),-0.00001)</f>
        <v>-1.0000000000000001E-5</v>
      </c>
      <c r="W72" s="185">
        <f>IFERROR(IF($C72="",-0.00001,SUMIFS(Database!AV:AV,Database!$AD:$AD,$C72,Database!$A:$A,$C$1)),-0.00001)</f>
        <v>-1.0000000000000001E-5</v>
      </c>
      <c r="X72" s="186">
        <f t="shared" si="11"/>
        <v>-1.0000000000000001E-5</v>
      </c>
      <c r="Y72" s="291"/>
      <c r="Z72" s="293">
        <f>IFERROR(IF($C72="",-0.00001,SUMIFS(Database!AG:AG,Database!$AD:$AD,$C72,Database!$A:$A,$C$1)/$G72),-0.00001)</f>
        <v>-1.0000000000000001E-5</v>
      </c>
      <c r="AA72" s="293">
        <f>IFERROR(IF($C72="",-0.00001,SUMIFS(Database!AH:AH,Database!$AD:$AD,$C72,Database!$A:$A,$C$1)/$G72),-0.00001)</f>
        <v>-1.0000000000000001E-5</v>
      </c>
      <c r="AB72" s="293">
        <f>IFERROR(IF($C72="",-0.00001,SUMIFS(Database!AI:AI,Database!$AD:$AD,$C72,Database!$A:$A,$C$1)/$G72),-0.00001)</f>
        <v>-1.0000000000000001E-5</v>
      </c>
      <c r="AC72" s="293">
        <f>IFERROR(IF($C72="",-0.00001,SUMIFS(Database!AJ:AJ,Database!$AD:$AD,$C72,Database!$A:$A,$C$1)/$G72),-0.00001)</f>
        <v>-1.0000000000000001E-5</v>
      </c>
      <c r="AD72" s="293">
        <f>IFERROR(IF($C72="",-0.00001,SUMIFS(Database!AK:AK,Database!$AD:$AD,$C72,Database!$A:$A,$C$1)/$G72),-0.00001)</f>
        <v>-1.0000000000000001E-5</v>
      </c>
      <c r="AE72" s="293">
        <f>IFERROR(IF($C72="",-0.00001,SUMIFS(Database!AL:AL,Database!$AD:$AD,$C72,Database!$A:$A,$C$1)/$G72),-0.00001)</f>
        <v>-1.0000000000000001E-5</v>
      </c>
      <c r="AF72" s="293">
        <f>IFERROR(IF($C72="",-0.00001,SUMIFS(Database!AM:AM,Database!$AD:$AD,$C72,Database!$A:$A,$C$1)/$G72),-0.00001)</f>
        <v>-1.0000000000000001E-5</v>
      </c>
      <c r="AG72" s="293">
        <f>IFERROR(IF($C72="",-0.00001,SUMIFS(Database!AN:AN,Database!$AD:$AD,$C72,Database!$A:$A,$C$1)/$G72),-0.00001)</f>
        <v>-1.0000000000000001E-5</v>
      </c>
      <c r="AH72" s="293">
        <f>IFERROR(IF($C72="",-0.00001,SUMIFS(Database!AO:AO,Database!$AD:$AD,$C72,Database!$A:$A,$C$1)/$G72),-0.00001)</f>
        <v>-1.0000000000000001E-5</v>
      </c>
      <c r="AI72" s="293">
        <f>IFERROR(IF($C72="",-0.00001,SUMIFS(Database!AP:AP,Database!$AD:$AD,$C72,Database!$A:$A,$C$1)/$G72),-0.00001)</f>
        <v>-1.0000000000000001E-5</v>
      </c>
      <c r="AJ72" s="293">
        <f>IFERROR(IF($C72="",-0.00001,SUMIFS(Database!AR:AR,Database!$AD:$AD,$C72,Database!$A:$A,$C$1)/$G72),-0.00001)</f>
        <v>-1.0000000000000001E-5</v>
      </c>
      <c r="AK72" s="293">
        <f>IFERROR(IF($C72="",-0.00001,SUMIFS(Database!AS:AS,Database!$AD:$AD,$C72,Database!$A:$A,$C$1)/$G72),-0.00001)</f>
        <v>-1.0000000000000001E-5</v>
      </c>
      <c r="AL72" s="293">
        <f>IFERROR(IF($C72="",-0.00001,SUMIFS(Database!AU:AU,Database!$AD:$AD,$C72,Database!$A:$A,$C$1)/$G72),-0.00001)</f>
        <v>-1.0000000000000001E-5</v>
      </c>
      <c r="AM72" s="293">
        <f>IFERROR(IF($C72="",-0.00001,SUMIFS(Database!AV:AV,Database!$AD:$AD,$C72,Database!$A:$A,$C$1)/$G72),-0.00001)</f>
        <v>-1.0000000000000001E-5</v>
      </c>
      <c r="AN72" s="187"/>
      <c r="AO72" s="187"/>
      <c r="AP72" s="187"/>
      <c r="AQ72" s="187"/>
      <c r="AR72" s="187"/>
      <c r="AS72" s="187"/>
      <c r="AT72" s="187"/>
      <c r="AU72" s="187"/>
      <c r="AV72" s="187"/>
      <c r="AW72" s="187"/>
      <c r="AX72" s="187"/>
    </row>
    <row r="73" spans="1:50" x14ac:dyDescent="0.25">
      <c r="A73" s="187"/>
      <c r="B73" s="187" t="str">
        <f>IF($C73="","",MAX($B$4:$B72)+1)</f>
        <v/>
      </c>
      <c r="C73" s="145"/>
      <c r="D73" s="233">
        <f>IF($C73="",-0.00001,COUNTIFS(Database!$AD:$AD,$C73,Database!$A:$A,$C$1,Database!$AE:$AE,"W"))</f>
        <v>-1.0000000000000001E-5</v>
      </c>
      <c r="E73" s="233">
        <f>IF($C73="",-0.00001,COUNTIFS(Database!$AD:$AD,$C73,Database!$A:$A,$C$1,Database!$AE:$AE,"L"))</f>
        <v>-1.0000000000000001E-5</v>
      </c>
      <c r="F73" s="233">
        <f t="shared" si="8"/>
        <v>-1.0000000000000001E-5</v>
      </c>
      <c r="G73" s="185">
        <f>IF($C73="",-0.00001,COUNTIFS(Database!AD:AD,$C73,Database!A:A,$C$1))</f>
        <v>-1.0000000000000001E-5</v>
      </c>
      <c r="H73" s="185">
        <f>IFERROR(IF($C73="",-0.00001,SUMIFS(Database!AG:AG,Database!$AD:$AD,$C73,Database!$A:$A,$C$1)),-0.00001)</f>
        <v>-1.0000000000000001E-5</v>
      </c>
      <c r="I73" s="185">
        <f>IFERROR(IF($C73="",-0.00001,SUMIFS(Database!AH:AH,Database!$AD:$AD,$C73,Database!$A:$A,$C$1)),-0.00001)</f>
        <v>-1.0000000000000001E-5</v>
      </c>
      <c r="J73" s="185">
        <f>IFERROR(IF($C73="",-0.00001,SUMIFS(Database!AI:AI,Database!$AD:$AD,$C73,Database!$A:$A,$C$1)),-0.00001)</f>
        <v>-1.0000000000000001E-5</v>
      </c>
      <c r="K73" s="185">
        <f>IFERROR(IF($C73="",-0.00001,SUMIFS(Database!AJ:AJ,Database!$AD:$AD,$C73,Database!$A:$A,$C$1)),-0.00001)</f>
        <v>-1.0000000000000001E-5</v>
      </c>
      <c r="L73" s="185">
        <f>IFERROR(IF($C73="",-0.00001,SUMIFS(Database!AK:AK,Database!$AD:$AD,$C73,Database!$A:$A,$C$1)),-0.00001)</f>
        <v>-1.0000000000000001E-5</v>
      </c>
      <c r="M73" s="185">
        <f>IFERROR(IF($C73="",-0.00001,SUMIFS(Database!AL:AL,Database!$AD:$AD,$C73,Database!$A:$A,$C$1)),-0.00001)</f>
        <v>-1.0000000000000001E-5</v>
      </c>
      <c r="N73" s="185">
        <f>IFERROR(IF($C73="",-0.00001,SUMIFS(Database!AM:AM,Database!$AD:$AD,$C73,Database!$A:$A,$C$1)),-0.00001)</f>
        <v>-1.0000000000000001E-5</v>
      </c>
      <c r="O73" s="185">
        <f>IFERROR(IF($C73="",-0.00001,SUMIFS(Database!AN:AN,Database!$AD:$AD,$C73,Database!$A:$A,$C$1)),-0.00001)</f>
        <v>-1.0000000000000001E-5</v>
      </c>
      <c r="P73" s="185">
        <f>IFERROR(IF($C73="",-0.00001,SUMIFS(Database!AO:AO,Database!$AD:$AD,$C73,Database!$A:$A,$C$1)),-0.00001)</f>
        <v>-1.0000000000000001E-5</v>
      </c>
      <c r="Q73" s="185">
        <f>IFERROR(IF($C73="",-0.00001,SUMIFS(Database!AP:AP,Database!$AD:$AD,$C73,Database!$A:$A,$C$1)),-0.00001)</f>
        <v>-1.0000000000000001E-5</v>
      </c>
      <c r="R73" s="186">
        <f t="shared" si="9"/>
        <v>-1.0000000000000001E-5</v>
      </c>
      <c r="S73" s="185">
        <f>IFERROR(IF($C73="",-0.00001,SUMIFS(Database!AR:AR,Database!$AD:$AD,$C73,Database!$A:$A,$C$1)),-0.00001)</f>
        <v>-1.0000000000000001E-5</v>
      </c>
      <c r="T73" s="185">
        <f>IFERROR(IF($C73="",-0.00001,SUMIFS(Database!AS:AS,Database!$AD:$AD,$C73,Database!$A:$A,$C$1)),-0.00001)</f>
        <v>-1.0000000000000001E-5</v>
      </c>
      <c r="U73" s="186">
        <f t="shared" si="10"/>
        <v>-1.0000000000000001E-5</v>
      </c>
      <c r="V73" s="185">
        <f>IFERROR(IF($C73="",-0.00001,SUMIFS(Database!AU:AU,Database!$AD:$AD,$C73,Database!$A:$A,$C$1)),-0.00001)</f>
        <v>-1.0000000000000001E-5</v>
      </c>
      <c r="W73" s="185">
        <f>IFERROR(IF($C73="",-0.00001,SUMIFS(Database!AV:AV,Database!$AD:$AD,$C73,Database!$A:$A,$C$1)),-0.00001)</f>
        <v>-1.0000000000000001E-5</v>
      </c>
      <c r="X73" s="186">
        <f t="shared" si="11"/>
        <v>-1.0000000000000001E-5</v>
      </c>
      <c r="Y73" s="291"/>
      <c r="Z73" s="293">
        <f>IFERROR(IF($C73="",-0.00001,SUMIFS(Database!AG:AG,Database!$AD:$AD,$C73,Database!$A:$A,$C$1)/$G73),-0.00001)</f>
        <v>-1.0000000000000001E-5</v>
      </c>
      <c r="AA73" s="293">
        <f>IFERROR(IF($C73="",-0.00001,SUMIFS(Database!AH:AH,Database!$AD:$AD,$C73,Database!$A:$A,$C$1)/$G73),-0.00001)</f>
        <v>-1.0000000000000001E-5</v>
      </c>
      <c r="AB73" s="293">
        <f>IFERROR(IF($C73="",-0.00001,SUMIFS(Database!AI:AI,Database!$AD:$AD,$C73,Database!$A:$A,$C$1)/$G73),-0.00001)</f>
        <v>-1.0000000000000001E-5</v>
      </c>
      <c r="AC73" s="293">
        <f>IFERROR(IF($C73="",-0.00001,SUMIFS(Database!AJ:AJ,Database!$AD:$AD,$C73,Database!$A:$A,$C$1)/$G73),-0.00001)</f>
        <v>-1.0000000000000001E-5</v>
      </c>
      <c r="AD73" s="293">
        <f>IFERROR(IF($C73="",-0.00001,SUMIFS(Database!AK:AK,Database!$AD:$AD,$C73,Database!$A:$A,$C$1)/$G73),-0.00001)</f>
        <v>-1.0000000000000001E-5</v>
      </c>
      <c r="AE73" s="293">
        <f>IFERROR(IF($C73="",-0.00001,SUMIFS(Database!AL:AL,Database!$AD:$AD,$C73,Database!$A:$A,$C$1)/$G73),-0.00001)</f>
        <v>-1.0000000000000001E-5</v>
      </c>
      <c r="AF73" s="293">
        <f>IFERROR(IF($C73="",-0.00001,SUMIFS(Database!AM:AM,Database!$AD:$AD,$C73,Database!$A:$A,$C$1)/$G73),-0.00001)</f>
        <v>-1.0000000000000001E-5</v>
      </c>
      <c r="AG73" s="293">
        <f>IFERROR(IF($C73="",-0.00001,SUMIFS(Database!AN:AN,Database!$AD:$AD,$C73,Database!$A:$A,$C$1)/$G73),-0.00001)</f>
        <v>-1.0000000000000001E-5</v>
      </c>
      <c r="AH73" s="293">
        <f>IFERROR(IF($C73="",-0.00001,SUMIFS(Database!AO:AO,Database!$AD:$AD,$C73,Database!$A:$A,$C$1)/$G73),-0.00001)</f>
        <v>-1.0000000000000001E-5</v>
      </c>
      <c r="AI73" s="293">
        <f>IFERROR(IF($C73="",-0.00001,SUMIFS(Database!AP:AP,Database!$AD:$AD,$C73,Database!$A:$A,$C$1)/$G73),-0.00001)</f>
        <v>-1.0000000000000001E-5</v>
      </c>
      <c r="AJ73" s="293">
        <f>IFERROR(IF($C73="",-0.00001,SUMIFS(Database!AR:AR,Database!$AD:$AD,$C73,Database!$A:$A,$C$1)/$G73),-0.00001)</f>
        <v>-1.0000000000000001E-5</v>
      </c>
      <c r="AK73" s="293">
        <f>IFERROR(IF($C73="",-0.00001,SUMIFS(Database!AS:AS,Database!$AD:$AD,$C73,Database!$A:$A,$C$1)/$G73),-0.00001)</f>
        <v>-1.0000000000000001E-5</v>
      </c>
      <c r="AL73" s="293">
        <f>IFERROR(IF($C73="",-0.00001,SUMIFS(Database!AU:AU,Database!$AD:$AD,$C73,Database!$A:$A,$C$1)/$G73),-0.00001)</f>
        <v>-1.0000000000000001E-5</v>
      </c>
      <c r="AM73" s="293">
        <f>IFERROR(IF($C73="",-0.00001,SUMIFS(Database!AV:AV,Database!$AD:$AD,$C73,Database!$A:$A,$C$1)/$G73),-0.00001)</f>
        <v>-1.0000000000000001E-5</v>
      </c>
      <c r="AN73" s="187"/>
      <c r="AO73" s="187"/>
      <c r="AP73" s="187"/>
      <c r="AQ73" s="187"/>
      <c r="AR73" s="187"/>
      <c r="AS73" s="187"/>
      <c r="AT73" s="187"/>
      <c r="AU73" s="187"/>
      <c r="AV73" s="187"/>
      <c r="AW73" s="187"/>
      <c r="AX73" s="187"/>
    </row>
    <row r="74" spans="1:50" x14ac:dyDescent="0.25">
      <c r="A74" s="187"/>
      <c r="B74" s="187" t="str">
        <f>IF($C74="","",MAX($B$4:$B73)+1)</f>
        <v/>
      </c>
      <c r="C74" s="145"/>
      <c r="D74" s="233">
        <f>IF($C74="",-0.00001,COUNTIFS(Database!$AD:$AD,$C74,Database!$A:$A,$C$1,Database!$AE:$AE,"W"))</f>
        <v>-1.0000000000000001E-5</v>
      </c>
      <c r="E74" s="233">
        <f>IF($C74="",-0.00001,COUNTIFS(Database!$AD:$AD,$C74,Database!$A:$A,$C$1,Database!$AE:$AE,"L"))</f>
        <v>-1.0000000000000001E-5</v>
      </c>
      <c r="F74" s="233">
        <f t="shared" si="8"/>
        <v>-1.0000000000000001E-5</v>
      </c>
      <c r="G74" s="185">
        <f>IF($C74="",-0.00001,COUNTIFS(Database!AD:AD,$C74,Database!A:A,$C$1))</f>
        <v>-1.0000000000000001E-5</v>
      </c>
      <c r="H74" s="185">
        <f>IFERROR(IF($C74="",-0.00001,SUMIFS(Database!AG:AG,Database!$AD:$AD,$C74,Database!$A:$A,$C$1)),-0.00001)</f>
        <v>-1.0000000000000001E-5</v>
      </c>
      <c r="I74" s="185">
        <f>IFERROR(IF($C74="",-0.00001,SUMIFS(Database!AH:AH,Database!$AD:$AD,$C74,Database!$A:$A,$C$1)),-0.00001)</f>
        <v>-1.0000000000000001E-5</v>
      </c>
      <c r="J74" s="185">
        <f>IFERROR(IF($C74="",-0.00001,SUMIFS(Database!AI:AI,Database!$AD:$AD,$C74,Database!$A:$A,$C$1)),-0.00001)</f>
        <v>-1.0000000000000001E-5</v>
      </c>
      <c r="K74" s="185">
        <f>IFERROR(IF($C74="",-0.00001,SUMIFS(Database!AJ:AJ,Database!$AD:$AD,$C74,Database!$A:$A,$C$1)),-0.00001)</f>
        <v>-1.0000000000000001E-5</v>
      </c>
      <c r="L74" s="185">
        <f>IFERROR(IF($C74="",-0.00001,SUMIFS(Database!AK:AK,Database!$AD:$AD,$C74,Database!$A:$A,$C$1)),-0.00001)</f>
        <v>-1.0000000000000001E-5</v>
      </c>
      <c r="M74" s="185">
        <f>IFERROR(IF($C74="",-0.00001,SUMIFS(Database!AL:AL,Database!$AD:$AD,$C74,Database!$A:$A,$C$1)),-0.00001)</f>
        <v>-1.0000000000000001E-5</v>
      </c>
      <c r="N74" s="185">
        <f>IFERROR(IF($C74="",-0.00001,SUMIFS(Database!AM:AM,Database!$AD:$AD,$C74,Database!$A:$A,$C$1)),-0.00001)</f>
        <v>-1.0000000000000001E-5</v>
      </c>
      <c r="O74" s="185">
        <f>IFERROR(IF($C74="",-0.00001,SUMIFS(Database!AN:AN,Database!$AD:$AD,$C74,Database!$A:$A,$C$1)),-0.00001)</f>
        <v>-1.0000000000000001E-5</v>
      </c>
      <c r="P74" s="185">
        <f>IFERROR(IF($C74="",-0.00001,SUMIFS(Database!AO:AO,Database!$AD:$AD,$C74,Database!$A:$A,$C$1)),-0.00001)</f>
        <v>-1.0000000000000001E-5</v>
      </c>
      <c r="Q74" s="185">
        <f>IFERROR(IF($C74="",-0.00001,SUMIFS(Database!AP:AP,Database!$AD:$AD,$C74,Database!$A:$A,$C$1)),-0.00001)</f>
        <v>-1.0000000000000001E-5</v>
      </c>
      <c r="R74" s="186">
        <f t="shared" si="9"/>
        <v>-1.0000000000000001E-5</v>
      </c>
      <c r="S74" s="185">
        <f>IFERROR(IF($C74="",-0.00001,SUMIFS(Database!AR:AR,Database!$AD:$AD,$C74,Database!$A:$A,$C$1)),-0.00001)</f>
        <v>-1.0000000000000001E-5</v>
      </c>
      <c r="T74" s="185">
        <f>IFERROR(IF($C74="",-0.00001,SUMIFS(Database!AS:AS,Database!$AD:$AD,$C74,Database!$A:$A,$C$1)),-0.00001)</f>
        <v>-1.0000000000000001E-5</v>
      </c>
      <c r="U74" s="186">
        <f t="shared" si="10"/>
        <v>-1.0000000000000001E-5</v>
      </c>
      <c r="V74" s="185">
        <f>IFERROR(IF($C74="",-0.00001,SUMIFS(Database!AU:AU,Database!$AD:$AD,$C74,Database!$A:$A,$C$1)),-0.00001)</f>
        <v>-1.0000000000000001E-5</v>
      </c>
      <c r="W74" s="185">
        <f>IFERROR(IF($C74="",-0.00001,SUMIFS(Database!AV:AV,Database!$AD:$AD,$C74,Database!$A:$A,$C$1)),-0.00001)</f>
        <v>-1.0000000000000001E-5</v>
      </c>
      <c r="X74" s="186">
        <f t="shared" si="11"/>
        <v>-1.0000000000000001E-5</v>
      </c>
      <c r="Y74" s="291"/>
      <c r="Z74" s="293">
        <f>IFERROR(IF($C74="",-0.00001,SUMIFS(Database!AG:AG,Database!$AD:$AD,$C74,Database!$A:$A,$C$1)/$G74),-0.00001)</f>
        <v>-1.0000000000000001E-5</v>
      </c>
      <c r="AA74" s="293">
        <f>IFERROR(IF($C74="",-0.00001,SUMIFS(Database!AH:AH,Database!$AD:$AD,$C74,Database!$A:$A,$C$1)/$G74),-0.00001)</f>
        <v>-1.0000000000000001E-5</v>
      </c>
      <c r="AB74" s="293">
        <f>IFERROR(IF($C74="",-0.00001,SUMIFS(Database!AI:AI,Database!$AD:$AD,$C74,Database!$A:$A,$C$1)/$G74),-0.00001)</f>
        <v>-1.0000000000000001E-5</v>
      </c>
      <c r="AC74" s="293">
        <f>IFERROR(IF($C74="",-0.00001,SUMIFS(Database!AJ:AJ,Database!$AD:$AD,$C74,Database!$A:$A,$C$1)/$G74),-0.00001)</f>
        <v>-1.0000000000000001E-5</v>
      </c>
      <c r="AD74" s="293">
        <f>IFERROR(IF($C74="",-0.00001,SUMIFS(Database!AK:AK,Database!$AD:$AD,$C74,Database!$A:$A,$C$1)/$G74),-0.00001)</f>
        <v>-1.0000000000000001E-5</v>
      </c>
      <c r="AE74" s="293">
        <f>IFERROR(IF($C74="",-0.00001,SUMIFS(Database!AL:AL,Database!$AD:$AD,$C74,Database!$A:$A,$C$1)/$G74),-0.00001)</f>
        <v>-1.0000000000000001E-5</v>
      </c>
      <c r="AF74" s="293">
        <f>IFERROR(IF($C74="",-0.00001,SUMIFS(Database!AM:AM,Database!$AD:$AD,$C74,Database!$A:$A,$C$1)/$G74),-0.00001)</f>
        <v>-1.0000000000000001E-5</v>
      </c>
      <c r="AG74" s="293">
        <f>IFERROR(IF($C74="",-0.00001,SUMIFS(Database!AN:AN,Database!$AD:$AD,$C74,Database!$A:$A,$C$1)/$G74),-0.00001)</f>
        <v>-1.0000000000000001E-5</v>
      </c>
      <c r="AH74" s="293">
        <f>IFERROR(IF($C74="",-0.00001,SUMIFS(Database!AO:AO,Database!$AD:$AD,$C74,Database!$A:$A,$C$1)/$G74),-0.00001)</f>
        <v>-1.0000000000000001E-5</v>
      </c>
      <c r="AI74" s="293">
        <f>IFERROR(IF($C74="",-0.00001,SUMIFS(Database!AP:AP,Database!$AD:$AD,$C74,Database!$A:$A,$C$1)/$G74),-0.00001)</f>
        <v>-1.0000000000000001E-5</v>
      </c>
      <c r="AJ74" s="293">
        <f>IFERROR(IF($C74="",-0.00001,SUMIFS(Database!AR:AR,Database!$AD:$AD,$C74,Database!$A:$A,$C$1)/$G74),-0.00001)</f>
        <v>-1.0000000000000001E-5</v>
      </c>
      <c r="AK74" s="293">
        <f>IFERROR(IF($C74="",-0.00001,SUMIFS(Database!AS:AS,Database!$AD:$AD,$C74,Database!$A:$A,$C$1)/$G74),-0.00001)</f>
        <v>-1.0000000000000001E-5</v>
      </c>
      <c r="AL74" s="293">
        <f>IFERROR(IF($C74="",-0.00001,SUMIFS(Database!AU:AU,Database!$AD:$AD,$C74,Database!$A:$A,$C$1)/$G74),-0.00001)</f>
        <v>-1.0000000000000001E-5</v>
      </c>
      <c r="AM74" s="293">
        <f>IFERROR(IF($C74="",-0.00001,SUMIFS(Database!AV:AV,Database!$AD:$AD,$C74,Database!$A:$A,$C$1)/$G74),-0.00001)</f>
        <v>-1.0000000000000001E-5</v>
      </c>
      <c r="AN74" s="187"/>
      <c r="AO74" s="187"/>
      <c r="AP74" s="187"/>
      <c r="AQ74" s="187"/>
      <c r="AR74" s="187"/>
      <c r="AS74" s="187"/>
      <c r="AT74" s="187"/>
      <c r="AU74" s="187"/>
      <c r="AV74" s="187"/>
      <c r="AW74" s="187"/>
      <c r="AX74" s="187"/>
    </row>
    <row r="75" spans="1:50" x14ac:dyDescent="0.25">
      <c r="A75" s="187"/>
      <c r="B75" s="187" t="str">
        <f>IF($C75="","",MAX($B$4:$B74)+1)</f>
        <v/>
      </c>
      <c r="C75" s="145"/>
      <c r="D75" s="233">
        <f>IF($C75="",-0.00001,COUNTIFS(Database!$AD:$AD,$C75,Database!$A:$A,$C$1,Database!$AE:$AE,"W"))</f>
        <v>-1.0000000000000001E-5</v>
      </c>
      <c r="E75" s="233">
        <f>IF($C75="",-0.00001,COUNTIFS(Database!$AD:$AD,$C75,Database!$A:$A,$C$1,Database!$AE:$AE,"L"))</f>
        <v>-1.0000000000000001E-5</v>
      </c>
      <c r="F75" s="233">
        <f t="shared" si="8"/>
        <v>-1.0000000000000001E-5</v>
      </c>
      <c r="G75" s="185">
        <f>IF($C75="",-0.00001,COUNTIFS(Database!AD:AD,$C75,Database!A:A,$C$1))</f>
        <v>-1.0000000000000001E-5</v>
      </c>
      <c r="H75" s="185">
        <f>IFERROR(IF($C75="",-0.00001,SUMIFS(Database!AG:AG,Database!$AD:$AD,$C75,Database!$A:$A,$C$1)),-0.00001)</f>
        <v>-1.0000000000000001E-5</v>
      </c>
      <c r="I75" s="185">
        <f>IFERROR(IF($C75="",-0.00001,SUMIFS(Database!AH:AH,Database!$AD:$AD,$C75,Database!$A:$A,$C$1)),-0.00001)</f>
        <v>-1.0000000000000001E-5</v>
      </c>
      <c r="J75" s="185">
        <f>IFERROR(IF($C75="",-0.00001,SUMIFS(Database!AI:AI,Database!$AD:$AD,$C75,Database!$A:$A,$C$1)),-0.00001)</f>
        <v>-1.0000000000000001E-5</v>
      </c>
      <c r="K75" s="185">
        <f>IFERROR(IF($C75="",-0.00001,SUMIFS(Database!AJ:AJ,Database!$AD:$AD,$C75,Database!$A:$A,$C$1)),-0.00001)</f>
        <v>-1.0000000000000001E-5</v>
      </c>
      <c r="L75" s="185">
        <f>IFERROR(IF($C75="",-0.00001,SUMIFS(Database!AK:AK,Database!$AD:$AD,$C75,Database!$A:$A,$C$1)),-0.00001)</f>
        <v>-1.0000000000000001E-5</v>
      </c>
      <c r="M75" s="185">
        <f>IFERROR(IF($C75="",-0.00001,SUMIFS(Database!AL:AL,Database!$AD:$AD,$C75,Database!$A:$A,$C$1)),-0.00001)</f>
        <v>-1.0000000000000001E-5</v>
      </c>
      <c r="N75" s="185">
        <f>IFERROR(IF($C75="",-0.00001,SUMIFS(Database!AM:AM,Database!$AD:$AD,$C75,Database!$A:$A,$C$1)),-0.00001)</f>
        <v>-1.0000000000000001E-5</v>
      </c>
      <c r="O75" s="185">
        <f>IFERROR(IF($C75="",-0.00001,SUMIFS(Database!AN:AN,Database!$AD:$AD,$C75,Database!$A:$A,$C$1)),-0.00001)</f>
        <v>-1.0000000000000001E-5</v>
      </c>
      <c r="P75" s="185">
        <f>IFERROR(IF($C75="",-0.00001,SUMIFS(Database!AO:AO,Database!$AD:$AD,$C75,Database!$A:$A,$C$1)),-0.00001)</f>
        <v>-1.0000000000000001E-5</v>
      </c>
      <c r="Q75" s="185">
        <f>IFERROR(IF($C75="",-0.00001,SUMIFS(Database!AP:AP,Database!$AD:$AD,$C75,Database!$A:$A,$C$1)),-0.00001)</f>
        <v>-1.0000000000000001E-5</v>
      </c>
      <c r="R75" s="186">
        <f t="shared" si="9"/>
        <v>-1.0000000000000001E-5</v>
      </c>
      <c r="S75" s="185">
        <f>IFERROR(IF($C75="",-0.00001,SUMIFS(Database!AR:AR,Database!$AD:$AD,$C75,Database!$A:$A,$C$1)),-0.00001)</f>
        <v>-1.0000000000000001E-5</v>
      </c>
      <c r="T75" s="185">
        <f>IFERROR(IF($C75="",-0.00001,SUMIFS(Database!AS:AS,Database!$AD:$AD,$C75,Database!$A:$A,$C$1)),-0.00001)</f>
        <v>-1.0000000000000001E-5</v>
      </c>
      <c r="U75" s="186">
        <f t="shared" si="10"/>
        <v>-1.0000000000000001E-5</v>
      </c>
      <c r="V75" s="185">
        <f>IFERROR(IF($C75="",-0.00001,SUMIFS(Database!AU:AU,Database!$AD:$AD,$C75,Database!$A:$A,$C$1)),-0.00001)</f>
        <v>-1.0000000000000001E-5</v>
      </c>
      <c r="W75" s="185">
        <f>IFERROR(IF($C75="",-0.00001,SUMIFS(Database!AV:AV,Database!$AD:$AD,$C75,Database!$A:$A,$C$1)),-0.00001)</f>
        <v>-1.0000000000000001E-5</v>
      </c>
      <c r="X75" s="186">
        <f t="shared" si="11"/>
        <v>-1.0000000000000001E-5</v>
      </c>
      <c r="Y75" s="291"/>
      <c r="Z75" s="293">
        <f>IFERROR(IF($C75="",-0.00001,SUMIFS(Database!AG:AG,Database!$AD:$AD,$C75,Database!$A:$A,$C$1)/$G75),-0.00001)</f>
        <v>-1.0000000000000001E-5</v>
      </c>
      <c r="AA75" s="293">
        <f>IFERROR(IF($C75="",-0.00001,SUMIFS(Database!AH:AH,Database!$AD:$AD,$C75,Database!$A:$A,$C$1)/$G75),-0.00001)</f>
        <v>-1.0000000000000001E-5</v>
      </c>
      <c r="AB75" s="293">
        <f>IFERROR(IF($C75="",-0.00001,SUMIFS(Database!AI:AI,Database!$AD:$AD,$C75,Database!$A:$A,$C$1)/$G75),-0.00001)</f>
        <v>-1.0000000000000001E-5</v>
      </c>
      <c r="AC75" s="293">
        <f>IFERROR(IF($C75="",-0.00001,SUMIFS(Database!AJ:AJ,Database!$AD:$AD,$C75,Database!$A:$A,$C$1)/$G75),-0.00001)</f>
        <v>-1.0000000000000001E-5</v>
      </c>
      <c r="AD75" s="293">
        <f>IFERROR(IF($C75="",-0.00001,SUMIFS(Database!AK:AK,Database!$AD:$AD,$C75,Database!$A:$A,$C$1)/$G75),-0.00001)</f>
        <v>-1.0000000000000001E-5</v>
      </c>
      <c r="AE75" s="293">
        <f>IFERROR(IF($C75="",-0.00001,SUMIFS(Database!AL:AL,Database!$AD:$AD,$C75,Database!$A:$A,$C$1)/$G75),-0.00001)</f>
        <v>-1.0000000000000001E-5</v>
      </c>
      <c r="AF75" s="293">
        <f>IFERROR(IF($C75="",-0.00001,SUMIFS(Database!AM:AM,Database!$AD:$AD,$C75,Database!$A:$A,$C$1)/$G75),-0.00001)</f>
        <v>-1.0000000000000001E-5</v>
      </c>
      <c r="AG75" s="293">
        <f>IFERROR(IF($C75="",-0.00001,SUMIFS(Database!AN:AN,Database!$AD:$AD,$C75,Database!$A:$A,$C$1)/$G75),-0.00001)</f>
        <v>-1.0000000000000001E-5</v>
      </c>
      <c r="AH75" s="293">
        <f>IFERROR(IF($C75="",-0.00001,SUMIFS(Database!AO:AO,Database!$AD:$AD,$C75,Database!$A:$A,$C$1)/$G75),-0.00001)</f>
        <v>-1.0000000000000001E-5</v>
      </c>
      <c r="AI75" s="293">
        <f>IFERROR(IF($C75="",-0.00001,SUMIFS(Database!AP:AP,Database!$AD:$AD,$C75,Database!$A:$A,$C$1)/$G75),-0.00001)</f>
        <v>-1.0000000000000001E-5</v>
      </c>
      <c r="AJ75" s="293">
        <f>IFERROR(IF($C75="",-0.00001,SUMIFS(Database!AR:AR,Database!$AD:$AD,$C75,Database!$A:$A,$C$1)/$G75),-0.00001)</f>
        <v>-1.0000000000000001E-5</v>
      </c>
      <c r="AK75" s="293">
        <f>IFERROR(IF($C75="",-0.00001,SUMIFS(Database!AS:AS,Database!$AD:$AD,$C75,Database!$A:$A,$C$1)/$G75),-0.00001)</f>
        <v>-1.0000000000000001E-5</v>
      </c>
      <c r="AL75" s="293">
        <f>IFERROR(IF($C75="",-0.00001,SUMIFS(Database!AU:AU,Database!$AD:$AD,$C75,Database!$A:$A,$C$1)/$G75),-0.00001)</f>
        <v>-1.0000000000000001E-5</v>
      </c>
      <c r="AM75" s="293">
        <f>IFERROR(IF($C75="",-0.00001,SUMIFS(Database!AV:AV,Database!$AD:$AD,$C75,Database!$A:$A,$C$1)/$G75),-0.00001)</f>
        <v>-1.0000000000000001E-5</v>
      </c>
      <c r="AN75" s="187"/>
      <c r="AO75" s="187"/>
      <c r="AP75" s="187"/>
      <c r="AQ75" s="187"/>
      <c r="AR75" s="187"/>
      <c r="AS75" s="187"/>
      <c r="AT75" s="187"/>
      <c r="AU75" s="187"/>
      <c r="AV75" s="187"/>
      <c r="AW75" s="187"/>
      <c r="AX75" s="187"/>
    </row>
    <row r="76" spans="1:50" x14ac:dyDescent="0.25">
      <c r="A76" s="187"/>
      <c r="B76" s="187" t="str">
        <f>IF($C76="","",MAX($B$4:$B75)+1)</f>
        <v/>
      </c>
      <c r="C76" s="145"/>
      <c r="D76" s="233">
        <f>IF($C76="",-0.00001,COUNTIFS(Database!$AD:$AD,$C76,Database!$A:$A,$C$1,Database!$AE:$AE,"W"))</f>
        <v>-1.0000000000000001E-5</v>
      </c>
      <c r="E76" s="233">
        <f>IF($C76="",-0.00001,COUNTIFS(Database!$AD:$AD,$C76,Database!$A:$A,$C$1,Database!$AE:$AE,"L"))</f>
        <v>-1.0000000000000001E-5</v>
      </c>
      <c r="F76" s="233">
        <f t="shared" si="8"/>
        <v>-1.0000000000000001E-5</v>
      </c>
      <c r="G76" s="185">
        <f>IF($C76="",-0.00001,COUNTIFS(Database!AD:AD,$C76,Database!A:A,$C$1))</f>
        <v>-1.0000000000000001E-5</v>
      </c>
      <c r="H76" s="185">
        <f>IFERROR(IF($C76="",-0.00001,SUMIFS(Database!AG:AG,Database!$AD:$AD,$C76,Database!$A:$A,$C$1)),-0.00001)</f>
        <v>-1.0000000000000001E-5</v>
      </c>
      <c r="I76" s="185">
        <f>IFERROR(IF($C76="",-0.00001,SUMIFS(Database!AH:AH,Database!$AD:$AD,$C76,Database!$A:$A,$C$1)),-0.00001)</f>
        <v>-1.0000000000000001E-5</v>
      </c>
      <c r="J76" s="185">
        <f>IFERROR(IF($C76="",-0.00001,SUMIFS(Database!AI:AI,Database!$AD:$AD,$C76,Database!$A:$A,$C$1)),-0.00001)</f>
        <v>-1.0000000000000001E-5</v>
      </c>
      <c r="K76" s="185">
        <f>IFERROR(IF($C76="",-0.00001,SUMIFS(Database!AJ:AJ,Database!$AD:$AD,$C76,Database!$A:$A,$C$1)),-0.00001)</f>
        <v>-1.0000000000000001E-5</v>
      </c>
      <c r="L76" s="185">
        <f>IFERROR(IF($C76="",-0.00001,SUMIFS(Database!AK:AK,Database!$AD:$AD,$C76,Database!$A:$A,$C$1)),-0.00001)</f>
        <v>-1.0000000000000001E-5</v>
      </c>
      <c r="M76" s="185">
        <f>IFERROR(IF($C76="",-0.00001,SUMIFS(Database!AL:AL,Database!$AD:$AD,$C76,Database!$A:$A,$C$1)),-0.00001)</f>
        <v>-1.0000000000000001E-5</v>
      </c>
      <c r="N76" s="185">
        <f>IFERROR(IF($C76="",-0.00001,SUMIFS(Database!AM:AM,Database!$AD:$AD,$C76,Database!$A:$A,$C$1)),-0.00001)</f>
        <v>-1.0000000000000001E-5</v>
      </c>
      <c r="O76" s="185">
        <f>IFERROR(IF($C76="",-0.00001,SUMIFS(Database!AN:AN,Database!$AD:$AD,$C76,Database!$A:$A,$C$1)),-0.00001)</f>
        <v>-1.0000000000000001E-5</v>
      </c>
      <c r="P76" s="185">
        <f>IFERROR(IF($C76="",-0.00001,SUMIFS(Database!AO:AO,Database!$AD:$AD,$C76,Database!$A:$A,$C$1)),-0.00001)</f>
        <v>-1.0000000000000001E-5</v>
      </c>
      <c r="Q76" s="185">
        <f>IFERROR(IF($C76="",-0.00001,SUMIFS(Database!AP:AP,Database!$AD:$AD,$C76,Database!$A:$A,$C$1)),-0.00001)</f>
        <v>-1.0000000000000001E-5</v>
      </c>
      <c r="R76" s="186">
        <f t="shared" si="9"/>
        <v>-1.0000000000000001E-5</v>
      </c>
      <c r="S76" s="185">
        <f>IFERROR(IF($C76="",-0.00001,SUMIFS(Database!AR:AR,Database!$AD:$AD,$C76,Database!$A:$A,$C$1)),-0.00001)</f>
        <v>-1.0000000000000001E-5</v>
      </c>
      <c r="T76" s="185">
        <f>IFERROR(IF($C76="",-0.00001,SUMIFS(Database!AS:AS,Database!$AD:$AD,$C76,Database!$A:$A,$C$1)),-0.00001)</f>
        <v>-1.0000000000000001E-5</v>
      </c>
      <c r="U76" s="186">
        <f t="shared" si="10"/>
        <v>-1.0000000000000001E-5</v>
      </c>
      <c r="V76" s="185">
        <f>IFERROR(IF($C76="",-0.00001,SUMIFS(Database!AU:AU,Database!$AD:$AD,$C76,Database!$A:$A,$C$1)),-0.00001)</f>
        <v>-1.0000000000000001E-5</v>
      </c>
      <c r="W76" s="185">
        <f>IFERROR(IF($C76="",-0.00001,SUMIFS(Database!AV:AV,Database!$AD:$AD,$C76,Database!$A:$A,$C$1)),-0.00001)</f>
        <v>-1.0000000000000001E-5</v>
      </c>
      <c r="X76" s="186">
        <f t="shared" si="11"/>
        <v>-1.0000000000000001E-5</v>
      </c>
      <c r="Y76" s="291"/>
      <c r="Z76" s="293">
        <f>IFERROR(IF($C76="",-0.00001,SUMIFS(Database!AG:AG,Database!$AD:$AD,$C76,Database!$A:$A,$C$1)/$G76),-0.00001)</f>
        <v>-1.0000000000000001E-5</v>
      </c>
      <c r="AA76" s="293">
        <f>IFERROR(IF($C76="",-0.00001,SUMIFS(Database!AH:AH,Database!$AD:$AD,$C76,Database!$A:$A,$C$1)/$G76),-0.00001)</f>
        <v>-1.0000000000000001E-5</v>
      </c>
      <c r="AB76" s="293">
        <f>IFERROR(IF($C76="",-0.00001,SUMIFS(Database!AI:AI,Database!$AD:$AD,$C76,Database!$A:$A,$C$1)/$G76),-0.00001)</f>
        <v>-1.0000000000000001E-5</v>
      </c>
      <c r="AC76" s="293">
        <f>IFERROR(IF($C76="",-0.00001,SUMIFS(Database!AJ:AJ,Database!$AD:$AD,$C76,Database!$A:$A,$C$1)/$G76),-0.00001)</f>
        <v>-1.0000000000000001E-5</v>
      </c>
      <c r="AD76" s="293">
        <f>IFERROR(IF($C76="",-0.00001,SUMIFS(Database!AK:AK,Database!$AD:$AD,$C76,Database!$A:$A,$C$1)/$G76),-0.00001)</f>
        <v>-1.0000000000000001E-5</v>
      </c>
      <c r="AE76" s="293">
        <f>IFERROR(IF($C76="",-0.00001,SUMIFS(Database!AL:AL,Database!$AD:$AD,$C76,Database!$A:$A,$C$1)/$G76),-0.00001)</f>
        <v>-1.0000000000000001E-5</v>
      </c>
      <c r="AF76" s="293">
        <f>IFERROR(IF($C76="",-0.00001,SUMIFS(Database!AM:AM,Database!$AD:$AD,$C76,Database!$A:$A,$C$1)/$G76),-0.00001)</f>
        <v>-1.0000000000000001E-5</v>
      </c>
      <c r="AG76" s="293">
        <f>IFERROR(IF($C76="",-0.00001,SUMIFS(Database!AN:AN,Database!$AD:$AD,$C76,Database!$A:$A,$C$1)/$G76),-0.00001)</f>
        <v>-1.0000000000000001E-5</v>
      </c>
      <c r="AH76" s="293">
        <f>IFERROR(IF($C76="",-0.00001,SUMIFS(Database!AO:AO,Database!$AD:$AD,$C76,Database!$A:$A,$C$1)/$G76),-0.00001)</f>
        <v>-1.0000000000000001E-5</v>
      </c>
      <c r="AI76" s="293">
        <f>IFERROR(IF($C76="",-0.00001,SUMIFS(Database!AP:AP,Database!$AD:$AD,$C76,Database!$A:$A,$C$1)/$G76),-0.00001)</f>
        <v>-1.0000000000000001E-5</v>
      </c>
      <c r="AJ76" s="293">
        <f>IFERROR(IF($C76="",-0.00001,SUMIFS(Database!AR:AR,Database!$AD:$AD,$C76,Database!$A:$A,$C$1)/$G76),-0.00001)</f>
        <v>-1.0000000000000001E-5</v>
      </c>
      <c r="AK76" s="293">
        <f>IFERROR(IF($C76="",-0.00001,SUMIFS(Database!AS:AS,Database!$AD:$AD,$C76,Database!$A:$A,$C$1)/$G76),-0.00001)</f>
        <v>-1.0000000000000001E-5</v>
      </c>
      <c r="AL76" s="293">
        <f>IFERROR(IF($C76="",-0.00001,SUMIFS(Database!AU:AU,Database!$AD:$AD,$C76,Database!$A:$A,$C$1)/$G76),-0.00001)</f>
        <v>-1.0000000000000001E-5</v>
      </c>
      <c r="AM76" s="293">
        <f>IFERROR(IF($C76="",-0.00001,SUMIFS(Database!AV:AV,Database!$AD:$AD,$C76,Database!$A:$A,$C$1)/$G76),-0.00001)</f>
        <v>-1.0000000000000001E-5</v>
      </c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X76" s="187"/>
    </row>
    <row r="77" spans="1:50" x14ac:dyDescent="0.25">
      <c r="A77" s="187"/>
      <c r="B77" s="187" t="str">
        <f>IF($C77="","",MAX($B$4:$B76)+1)</f>
        <v/>
      </c>
      <c r="C77" s="145"/>
      <c r="D77" s="233">
        <f>IF($C77="",-0.00001,COUNTIFS(Database!$AD:$AD,$C77,Database!$A:$A,$C$1,Database!$AE:$AE,"W"))</f>
        <v>-1.0000000000000001E-5</v>
      </c>
      <c r="E77" s="233">
        <f>IF($C77="",-0.00001,COUNTIFS(Database!$AD:$AD,$C77,Database!$A:$A,$C$1,Database!$AE:$AE,"L"))</f>
        <v>-1.0000000000000001E-5</v>
      </c>
      <c r="F77" s="233">
        <f t="shared" si="8"/>
        <v>-1.0000000000000001E-5</v>
      </c>
      <c r="G77" s="185">
        <f>IF($C77="",-0.00001,COUNTIFS(Database!AD:AD,$C77,Database!A:A,$C$1))</f>
        <v>-1.0000000000000001E-5</v>
      </c>
      <c r="H77" s="185">
        <f>IFERROR(IF($C77="",-0.00001,SUMIFS(Database!AG:AG,Database!$AD:$AD,$C77,Database!$A:$A,$C$1)),-0.00001)</f>
        <v>-1.0000000000000001E-5</v>
      </c>
      <c r="I77" s="185">
        <f>IFERROR(IF($C77="",-0.00001,SUMIFS(Database!AH:AH,Database!$AD:$AD,$C77,Database!$A:$A,$C$1)),-0.00001)</f>
        <v>-1.0000000000000001E-5</v>
      </c>
      <c r="J77" s="185">
        <f>IFERROR(IF($C77="",-0.00001,SUMIFS(Database!AI:AI,Database!$AD:$AD,$C77,Database!$A:$A,$C$1)),-0.00001)</f>
        <v>-1.0000000000000001E-5</v>
      </c>
      <c r="K77" s="185">
        <f>IFERROR(IF($C77="",-0.00001,SUMIFS(Database!AJ:AJ,Database!$AD:$AD,$C77,Database!$A:$A,$C$1)),-0.00001)</f>
        <v>-1.0000000000000001E-5</v>
      </c>
      <c r="L77" s="185">
        <f>IFERROR(IF($C77="",-0.00001,SUMIFS(Database!AK:AK,Database!$AD:$AD,$C77,Database!$A:$A,$C$1)),-0.00001)</f>
        <v>-1.0000000000000001E-5</v>
      </c>
      <c r="M77" s="185">
        <f>IFERROR(IF($C77="",-0.00001,SUMIFS(Database!AL:AL,Database!$AD:$AD,$C77,Database!$A:$A,$C$1)),-0.00001)</f>
        <v>-1.0000000000000001E-5</v>
      </c>
      <c r="N77" s="185">
        <f>IFERROR(IF($C77="",-0.00001,SUMIFS(Database!AM:AM,Database!$AD:$AD,$C77,Database!$A:$A,$C$1)),-0.00001)</f>
        <v>-1.0000000000000001E-5</v>
      </c>
      <c r="O77" s="185">
        <f>IFERROR(IF($C77="",-0.00001,SUMIFS(Database!AN:AN,Database!$AD:$AD,$C77,Database!$A:$A,$C$1)),-0.00001)</f>
        <v>-1.0000000000000001E-5</v>
      </c>
      <c r="P77" s="185">
        <f>IFERROR(IF($C77="",-0.00001,SUMIFS(Database!AO:AO,Database!$AD:$AD,$C77,Database!$A:$A,$C$1)),-0.00001)</f>
        <v>-1.0000000000000001E-5</v>
      </c>
      <c r="Q77" s="185">
        <f>IFERROR(IF($C77="",-0.00001,SUMIFS(Database!AP:AP,Database!$AD:$AD,$C77,Database!$A:$A,$C$1)),-0.00001)</f>
        <v>-1.0000000000000001E-5</v>
      </c>
      <c r="R77" s="186">
        <f t="shared" si="9"/>
        <v>-1.0000000000000001E-5</v>
      </c>
      <c r="S77" s="185">
        <f>IFERROR(IF($C77="",-0.00001,SUMIFS(Database!AR:AR,Database!$AD:$AD,$C77,Database!$A:$A,$C$1)),-0.00001)</f>
        <v>-1.0000000000000001E-5</v>
      </c>
      <c r="T77" s="185">
        <f>IFERROR(IF($C77="",-0.00001,SUMIFS(Database!AS:AS,Database!$AD:$AD,$C77,Database!$A:$A,$C$1)),-0.00001)</f>
        <v>-1.0000000000000001E-5</v>
      </c>
      <c r="U77" s="186">
        <f t="shared" si="10"/>
        <v>-1.0000000000000001E-5</v>
      </c>
      <c r="V77" s="185">
        <f>IFERROR(IF($C77="",-0.00001,SUMIFS(Database!AU:AU,Database!$AD:$AD,$C77,Database!$A:$A,$C$1)),-0.00001)</f>
        <v>-1.0000000000000001E-5</v>
      </c>
      <c r="W77" s="185">
        <f>IFERROR(IF($C77="",-0.00001,SUMIFS(Database!AV:AV,Database!$AD:$AD,$C77,Database!$A:$A,$C$1)),-0.00001)</f>
        <v>-1.0000000000000001E-5</v>
      </c>
      <c r="X77" s="186">
        <f t="shared" si="11"/>
        <v>-1.0000000000000001E-5</v>
      </c>
      <c r="Y77" s="291"/>
      <c r="Z77" s="293">
        <f>IFERROR(IF($C77="",-0.00001,SUMIFS(Database!AG:AG,Database!$AD:$AD,$C77,Database!$A:$A,$C$1)/$G77),-0.00001)</f>
        <v>-1.0000000000000001E-5</v>
      </c>
      <c r="AA77" s="293">
        <f>IFERROR(IF($C77="",-0.00001,SUMIFS(Database!AH:AH,Database!$AD:$AD,$C77,Database!$A:$A,$C$1)/$G77),-0.00001)</f>
        <v>-1.0000000000000001E-5</v>
      </c>
      <c r="AB77" s="293">
        <f>IFERROR(IF($C77="",-0.00001,SUMIFS(Database!AI:AI,Database!$AD:$AD,$C77,Database!$A:$A,$C$1)/$G77),-0.00001)</f>
        <v>-1.0000000000000001E-5</v>
      </c>
      <c r="AC77" s="293">
        <f>IFERROR(IF($C77="",-0.00001,SUMIFS(Database!AJ:AJ,Database!$AD:$AD,$C77,Database!$A:$A,$C$1)/$G77),-0.00001)</f>
        <v>-1.0000000000000001E-5</v>
      </c>
      <c r="AD77" s="293">
        <f>IFERROR(IF($C77="",-0.00001,SUMIFS(Database!AK:AK,Database!$AD:$AD,$C77,Database!$A:$A,$C$1)/$G77),-0.00001)</f>
        <v>-1.0000000000000001E-5</v>
      </c>
      <c r="AE77" s="293">
        <f>IFERROR(IF($C77="",-0.00001,SUMIFS(Database!AL:AL,Database!$AD:$AD,$C77,Database!$A:$A,$C$1)/$G77),-0.00001)</f>
        <v>-1.0000000000000001E-5</v>
      </c>
      <c r="AF77" s="293">
        <f>IFERROR(IF($C77="",-0.00001,SUMIFS(Database!AM:AM,Database!$AD:$AD,$C77,Database!$A:$A,$C$1)/$G77),-0.00001)</f>
        <v>-1.0000000000000001E-5</v>
      </c>
      <c r="AG77" s="293">
        <f>IFERROR(IF($C77="",-0.00001,SUMIFS(Database!AN:AN,Database!$AD:$AD,$C77,Database!$A:$A,$C$1)/$G77),-0.00001)</f>
        <v>-1.0000000000000001E-5</v>
      </c>
      <c r="AH77" s="293">
        <f>IFERROR(IF($C77="",-0.00001,SUMIFS(Database!AO:AO,Database!$AD:$AD,$C77,Database!$A:$A,$C$1)/$G77),-0.00001)</f>
        <v>-1.0000000000000001E-5</v>
      </c>
      <c r="AI77" s="293">
        <f>IFERROR(IF($C77="",-0.00001,SUMIFS(Database!AP:AP,Database!$AD:$AD,$C77,Database!$A:$A,$C$1)/$G77),-0.00001)</f>
        <v>-1.0000000000000001E-5</v>
      </c>
      <c r="AJ77" s="293">
        <f>IFERROR(IF($C77="",-0.00001,SUMIFS(Database!AR:AR,Database!$AD:$AD,$C77,Database!$A:$A,$C$1)/$G77),-0.00001)</f>
        <v>-1.0000000000000001E-5</v>
      </c>
      <c r="AK77" s="293">
        <f>IFERROR(IF($C77="",-0.00001,SUMIFS(Database!AS:AS,Database!$AD:$AD,$C77,Database!$A:$A,$C$1)/$G77),-0.00001)</f>
        <v>-1.0000000000000001E-5</v>
      </c>
      <c r="AL77" s="293">
        <f>IFERROR(IF($C77="",-0.00001,SUMIFS(Database!AU:AU,Database!$AD:$AD,$C77,Database!$A:$A,$C$1)/$G77),-0.00001)</f>
        <v>-1.0000000000000001E-5</v>
      </c>
      <c r="AM77" s="293">
        <f>IFERROR(IF($C77="",-0.00001,SUMIFS(Database!AV:AV,Database!$AD:$AD,$C77,Database!$A:$A,$C$1)/$G77),-0.00001)</f>
        <v>-1.0000000000000001E-5</v>
      </c>
      <c r="AN77" s="187"/>
      <c r="AO77" s="187"/>
      <c r="AP77" s="187"/>
      <c r="AQ77" s="187"/>
      <c r="AR77" s="187"/>
      <c r="AS77" s="187"/>
      <c r="AT77" s="187"/>
      <c r="AU77" s="187"/>
      <c r="AV77" s="187"/>
      <c r="AW77" s="187"/>
      <c r="AX77" s="187"/>
    </row>
    <row r="78" spans="1:50" x14ac:dyDescent="0.25">
      <c r="A78" s="187"/>
      <c r="B78" s="187" t="str">
        <f>IF($C78="","",MAX($B$4:$B77)+1)</f>
        <v/>
      </c>
      <c r="C78" s="145"/>
      <c r="D78" s="233">
        <f>IF($C78="",-0.00001,COUNTIFS(Database!$AD:$AD,$C78,Database!$A:$A,$C$1,Database!$AE:$AE,"W"))</f>
        <v>-1.0000000000000001E-5</v>
      </c>
      <c r="E78" s="233">
        <f>IF($C78="",-0.00001,COUNTIFS(Database!$AD:$AD,$C78,Database!$A:$A,$C$1,Database!$AE:$AE,"L"))</f>
        <v>-1.0000000000000001E-5</v>
      </c>
      <c r="F78" s="233">
        <f t="shared" si="8"/>
        <v>-1.0000000000000001E-5</v>
      </c>
      <c r="G78" s="185">
        <f>IF($C78="",-0.00001,COUNTIFS(Database!AD:AD,$C78,Database!A:A,$C$1))</f>
        <v>-1.0000000000000001E-5</v>
      </c>
      <c r="H78" s="185">
        <f>IFERROR(IF($C78="",-0.00001,SUMIFS(Database!AG:AG,Database!$AD:$AD,$C78,Database!$A:$A,$C$1)),-0.00001)</f>
        <v>-1.0000000000000001E-5</v>
      </c>
      <c r="I78" s="185">
        <f>IFERROR(IF($C78="",-0.00001,SUMIFS(Database!AH:AH,Database!$AD:$AD,$C78,Database!$A:$A,$C$1)),-0.00001)</f>
        <v>-1.0000000000000001E-5</v>
      </c>
      <c r="J78" s="185">
        <f>IFERROR(IF($C78="",-0.00001,SUMIFS(Database!AI:AI,Database!$AD:$AD,$C78,Database!$A:$A,$C$1)),-0.00001)</f>
        <v>-1.0000000000000001E-5</v>
      </c>
      <c r="K78" s="185">
        <f>IFERROR(IF($C78="",-0.00001,SUMIFS(Database!AJ:AJ,Database!$AD:$AD,$C78,Database!$A:$A,$C$1)),-0.00001)</f>
        <v>-1.0000000000000001E-5</v>
      </c>
      <c r="L78" s="185">
        <f>IFERROR(IF($C78="",-0.00001,SUMIFS(Database!AK:AK,Database!$AD:$AD,$C78,Database!$A:$A,$C$1)),-0.00001)</f>
        <v>-1.0000000000000001E-5</v>
      </c>
      <c r="M78" s="185">
        <f>IFERROR(IF($C78="",-0.00001,SUMIFS(Database!AL:AL,Database!$AD:$AD,$C78,Database!$A:$A,$C$1)),-0.00001)</f>
        <v>-1.0000000000000001E-5</v>
      </c>
      <c r="N78" s="185">
        <f>IFERROR(IF($C78="",-0.00001,SUMIFS(Database!AM:AM,Database!$AD:$AD,$C78,Database!$A:$A,$C$1)),-0.00001)</f>
        <v>-1.0000000000000001E-5</v>
      </c>
      <c r="O78" s="185">
        <f>IFERROR(IF($C78="",-0.00001,SUMIFS(Database!AN:AN,Database!$AD:$AD,$C78,Database!$A:$A,$C$1)),-0.00001)</f>
        <v>-1.0000000000000001E-5</v>
      </c>
      <c r="P78" s="185">
        <f>IFERROR(IF($C78="",-0.00001,SUMIFS(Database!AO:AO,Database!$AD:$AD,$C78,Database!$A:$A,$C$1)),-0.00001)</f>
        <v>-1.0000000000000001E-5</v>
      </c>
      <c r="Q78" s="185">
        <f>IFERROR(IF($C78="",-0.00001,SUMIFS(Database!AP:AP,Database!$AD:$AD,$C78,Database!$A:$A,$C$1)),-0.00001)</f>
        <v>-1.0000000000000001E-5</v>
      </c>
      <c r="R78" s="186">
        <f t="shared" si="9"/>
        <v>-1.0000000000000001E-5</v>
      </c>
      <c r="S78" s="185">
        <f>IFERROR(IF($C78="",-0.00001,SUMIFS(Database!AR:AR,Database!$AD:$AD,$C78,Database!$A:$A,$C$1)),-0.00001)</f>
        <v>-1.0000000000000001E-5</v>
      </c>
      <c r="T78" s="185">
        <f>IFERROR(IF($C78="",-0.00001,SUMIFS(Database!AS:AS,Database!$AD:$AD,$C78,Database!$A:$A,$C$1)),-0.00001)</f>
        <v>-1.0000000000000001E-5</v>
      </c>
      <c r="U78" s="186">
        <f t="shared" si="10"/>
        <v>-1.0000000000000001E-5</v>
      </c>
      <c r="V78" s="185">
        <f>IFERROR(IF($C78="",-0.00001,SUMIFS(Database!AU:AU,Database!$AD:$AD,$C78,Database!$A:$A,$C$1)),-0.00001)</f>
        <v>-1.0000000000000001E-5</v>
      </c>
      <c r="W78" s="185">
        <f>IFERROR(IF($C78="",-0.00001,SUMIFS(Database!AV:AV,Database!$AD:$AD,$C78,Database!$A:$A,$C$1)),-0.00001)</f>
        <v>-1.0000000000000001E-5</v>
      </c>
      <c r="X78" s="186">
        <f t="shared" si="11"/>
        <v>-1.0000000000000001E-5</v>
      </c>
      <c r="Y78" s="291"/>
      <c r="Z78" s="293">
        <f>IFERROR(IF($C78="",-0.00001,SUMIFS(Database!AG:AG,Database!$AD:$AD,$C78,Database!$A:$A,$C$1)/$G78),-0.00001)</f>
        <v>-1.0000000000000001E-5</v>
      </c>
      <c r="AA78" s="293">
        <f>IFERROR(IF($C78="",-0.00001,SUMIFS(Database!AH:AH,Database!$AD:$AD,$C78,Database!$A:$A,$C$1)/$G78),-0.00001)</f>
        <v>-1.0000000000000001E-5</v>
      </c>
      <c r="AB78" s="293">
        <f>IFERROR(IF($C78="",-0.00001,SUMIFS(Database!AI:AI,Database!$AD:$AD,$C78,Database!$A:$A,$C$1)/$G78),-0.00001)</f>
        <v>-1.0000000000000001E-5</v>
      </c>
      <c r="AC78" s="293">
        <f>IFERROR(IF($C78="",-0.00001,SUMIFS(Database!AJ:AJ,Database!$AD:$AD,$C78,Database!$A:$A,$C$1)/$G78),-0.00001)</f>
        <v>-1.0000000000000001E-5</v>
      </c>
      <c r="AD78" s="293">
        <f>IFERROR(IF($C78="",-0.00001,SUMIFS(Database!AK:AK,Database!$AD:$AD,$C78,Database!$A:$A,$C$1)/$G78),-0.00001)</f>
        <v>-1.0000000000000001E-5</v>
      </c>
      <c r="AE78" s="293">
        <f>IFERROR(IF($C78="",-0.00001,SUMIFS(Database!AL:AL,Database!$AD:$AD,$C78,Database!$A:$A,$C$1)/$G78),-0.00001)</f>
        <v>-1.0000000000000001E-5</v>
      </c>
      <c r="AF78" s="293">
        <f>IFERROR(IF($C78="",-0.00001,SUMIFS(Database!AM:AM,Database!$AD:$AD,$C78,Database!$A:$A,$C$1)/$G78),-0.00001)</f>
        <v>-1.0000000000000001E-5</v>
      </c>
      <c r="AG78" s="293">
        <f>IFERROR(IF($C78="",-0.00001,SUMIFS(Database!AN:AN,Database!$AD:$AD,$C78,Database!$A:$A,$C$1)/$G78),-0.00001)</f>
        <v>-1.0000000000000001E-5</v>
      </c>
      <c r="AH78" s="293">
        <f>IFERROR(IF($C78="",-0.00001,SUMIFS(Database!AO:AO,Database!$AD:$AD,$C78,Database!$A:$A,$C$1)/$G78),-0.00001)</f>
        <v>-1.0000000000000001E-5</v>
      </c>
      <c r="AI78" s="293">
        <f>IFERROR(IF($C78="",-0.00001,SUMIFS(Database!AP:AP,Database!$AD:$AD,$C78,Database!$A:$A,$C$1)/$G78),-0.00001)</f>
        <v>-1.0000000000000001E-5</v>
      </c>
      <c r="AJ78" s="293">
        <f>IFERROR(IF($C78="",-0.00001,SUMIFS(Database!AR:AR,Database!$AD:$AD,$C78,Database!$A:$A,$C$1)/$G78),-0.00001)</f>
        <v>-1.0000000000000001E-5</v>
      </c>
      <c r="AK78" s="293">
        <f>IFERROR(IF($C78="",-0.00001,SUMIFS(Database!AS:AS,Database!$AD:$AD,$C78,Database!$A:$A,$C$1)/$G78),-0.00001)</f>
        <v>-1.0000000000000001E-5</v>
      </c>
      <c r="AL78" s="293">
        <f>IFERROR(IF($C78="",-0.00001,SUMIFS(Database!AU:AU,Database!$AD:$AD,$C78,Database!$A:$A,$C$1)/$G78),-0.00001)</f>
        <v>-1.0000000000000001E-5</v>
      </c>
      <c r="AM78" s="293">
        <f>IFERROR(IF($C78="",-0.00001,SUMIFS(Database!AV:AV,Database!$AD:$AD,$C78,Database!$A:$A,$C$1)/$G78),-0.00001)</f>
        <v>-1.0000000000000001E-5</v>
      </c>
      <c r="AN78" s="187"/>
      <c r="AO78" s="187"/>
      <c r="AP78" s="187"/>
      <c r="AQ78" s="187"/>
      <c r="AR78" s="187"/>
      <c r="AS78" s="187"/>
      <c r="AT78" s="187"/>
      <c r="AU78" s="187"/>
      <c r="AV78" s="187"/>
      <c r="AW78" s="187"/>
      <c r="AX78" s="187"/>
    </row>
    <row r="79" spans="1:50" x14ac:dyDescent="0.25">
      <c r="A79" s="187"/>
      <c r="B79" s="187" t="str">
        <f>IF($C79="","",MAX($B$4:$B78)+1)</f>
        <v/>
      </c>
      <c r="C79" s="145"/>
      <c r="D79" s="233">
        <f>IF($C79="",-0.00001,COUNTIFS(Database!$AD:$AD,$C79,Database!$A:$A,$C$1,Database!$AE:$AE,"W"))</f>
        <v>-1.0000000000000001E-5</v>
      </c>
      <c r="E79" s="233">
        <f>IF($C79="",-0.00001,COUNTIFS(Database!$AD:$AD,$C79,Database!$A:$A,$C$1,Database!$AE:$AE,"L"))</f>
        <v>-1.0000000000000001E-5</v>
      </c>
      <c r="F79" s="233">
        <f t="shared" si="8"/>
        <v>-1.0000000000000001E-5</v>
      </c>
      <c r="G79" s="185">
        <f>IF($C79="",-0.00001,COUNTIFS(Database!AD:AD,$C79,Database!A:A,$C$1))</f>
        <v>-1.0000000000000001E-5</v>
      </c>
      <c r="H79" s="185">
        <f>IFERROR(IF($C79="",-0.00001,SUMIFS(Database!AG:AG,Database!$AD:$AD,$C79,Database!$A:$A,$C$1)),-0.00001)</f>
        <v>-1.0000000000000001E-5</v>
      </c>
      <c r="I79" s="185">
        <f>IFERROR(IF($C79="",-0.00001,SUMIFS(Database!AH:AH,Database!$AD:$AD,$C79,Database!$A:$A,$C$1)),-0.00001)</f>
        <v>-1.0000000000000001E-5</v>
      </c>
      <c r="J79" s="185">
        <f>IFERROR(IF($C79="",-0.00001,SUMIFS(Database!AI:AI,Database!$AD:$AD,$C79,Database!$A:$A,$C$1)),-0.00001)</f>
        <v>-1.0000000000000001E-5</v>
      </c>
      <c r="K79" s="185">
        <f>IFERROR(IF($C79="",-0.00001,SUMIFS(Database!AJ:AJ,Database!$AD:$AD,$C79,Database!$A:$A,$C$1)),-0.00001)</f>
        <v>-1.0000000000000001E-5</v>
      </c>
      <c r="L79" s="185">
        <f>IFERROR(IF($C79="",-0.00001,SUMIFS(Database!AK:AK,Database!$AD:$AD,$C79,Database!$A:$A,$C$1)),-0.00001)</f>
        <v>-1.0000000000000001E-5</v>
      </c>
      <c r="M79" s="185">
        <f>IFERROR(IF($C79="",-0.00001,SUMIFS(Database!AL:AL,Database!$AD:$AD,$C79,Database!$A:$A,$C$1)),-0.00001)</f>
        <v>-1.0000000000000001E-5</v>
      </c>
      <c r="N79" s="185">
        <f>IFERROR(IF($C79="",-0.00001,SUMIFS(Database!AM:AM,Database!$AD:$AD,$C79,Database!$A:$A,$C$1)),-0.00001)</f>
        <v>-1.0000000000000001E-5</v>
      </c>
      <c r="O79" s="185">
        <f>IFERROR(IF($C79="",-0.00001,SUMIFS(Database!AN:AN,Database!$AD:$AD,$C79,Database!$A:$A,$C$1)),-0.00001)</f>
        <v>-1.0000000000000001E-5</v>
      </c>
      <c r="P79" s="185">
        <f>IFERROR(IF($C79="",-0.00001,SUMIFS(Database!AO:AO,Database!$AD:$AD,$C79,Database!$A:$A,$C$1)),-0.00001)</f>
        <v>-1.0000000000000001E-5</v>
      </c>
      <c r="Q79" s="185">
        <f>IFERROR(IF($C79="",-0.00001,SUMIFS(Database!AP:AP,Database!$AD:$AD,$C79,Database!$A:$A,$C$1)),-0.00001)</f>
        <v>-1.0000000000000001E-5</v>
      </c>
      <c r="R79" s="186">
        <f t="shared" si="9"/>
        <v>-1.0000000000000001E-5</v>
      </c>
      <c r="S79" s="185">
        <f>IFERROR(IF($C79="",-0.00001,SUMIFS(Database!AR:AR,Database!$AD:$AD,$C79,Database!$A:$A,$C$1)),-0.00001)</f>
        <v>-1.0000000000000001E-5</v>
      </c>
      <c r="T79" s="185">
        <f>IFERROR(IF($C79="",-0.00001,SUMIFS(Database!AS:AS,Database!$AD:$AD,$C79,Database!$A:$A,$C$1)),-0.00001)</f>
        <v>-1.0000000000000001E-5</v>
      </c>
      <c r="U79" s="186">
        <f t="shared" si="10"/>
        <v>-1.0000000000000001E-5</v>
      </c>
      <c r="V79" s="185">
        <f>IFERROR(IF($C79="",-0.00001,SUMIFS(Database!AU:AU,Database!$AD:$AD,$C79,Database!$A:$A,$C$1)),-0.00001)</f>
        <v>-1.0000000000000001E-5</v>
      </c>
      <c r="W79" s="185">
        <f>IFERROR(IF($C79="",-0.00001,SUMIFS(Database!AV:AV,Database!$AD:$AD,$C79,Database!$A:$A,$C$1)),-0.00001)</f>
        <v>-1.0000000000000001E-5</v>
      </c>
      <c r="X79" s="186">
        <f t="shared" si="11"/>
        <v>-1.0000000000000001E-5</v>
      </c>
      <c r="Y79" s="291"/>
      <c r="Z79" s="293">
        <f>IFERROR(IF($C79="",-0.00001,SUMIFS(Database!AG:AG,Database!$AD:$AD,$C79,Database!$A:$A,$C$1)/$G79),-0.00001)</f>
        <v>-1.0000000000000001E-5</v>
      </c>
      <c r="AA79" s="293">
        <f>IFERROR(IF($C79="",-0.00001,SUMIFS(Database!AH:AH,Database!$AD:$AD,$C79,Database!$A:$A,$C$1)/$G79),-0.00001)</f>
        <v>-1.0000000000000001E-5</v>
      </c>
      <c r="AB79" s="293">
        <f>IFERROR(IF($C79="",-0.00001,SUMIFS(Database!AI:AI,Database!$AD:$AD,$C79,Database!$A:$A,$C$1)/$G79),-0.00001)</f>
        <v>-1.0000000000000001E-5</v>
      </c>
      <c r="AC79" s="293">
        <f>IFERROR(IF($C79="",-0.00001,SUMIFS(Database!AJ:AJ,Database!$AD:$AD,$C79,Database!$A:$A,$C$1)/$G79),-0.00001)</f>
        <v>-1.0000000000000001E-5</v>
      </c>
      <c r="AD79" s="293">
        <f>IFERROR(IF($C79="",-0.00001,SUMIFS(Database!AK:AK,Database!$AD:$AD,$C79,Database!$A:$A,$C$1)/$G79),-0.00001)</f>
        <v>-1.0000000000000001E-5</v>
      </c>
      <c r="AE79" s="293">
        <f>IFERROR(IF($C79="",-0.00001,SUMIFS(Database!AL:AL,Database!$AD:$AD,$C79,Database!$A:$A,$C$1)/$G79),-0.00001)</f>
        <v>-1.0000000000000001E-5</v>
      </c>
      <c r="AF79" s="293">
        <f>IFERROR(IF($C79="",-0.00001,SUMIFS(Database!AM:AM,Database!$AD:$AD,$C79,Database!$A:$A,$C$1)/$G79),-0.00001)</f>
        <v>-1.0000000000000001E-5</v>
      </c>
      <c r="AG79" s="293">
        <f>IFERROR(IF($C79="",-0.00001,SUMIFS(Database!AN:AN,Database!$AD:$AD,$C79,Database!$A:$A,$C$1)/$G79),-0.00001)</f>
        <v>-1.0000000000000001E-5</v>
      </c>
      <c r="AH79" s="293">
        <f>IFERROR(IF($C79="",-0.00001,SUMIFS(Database!AO:AO,Database!$AD:$AD,$C79,Database!$A:$A,$C$1)/$G79),-0.00001)</f>
        <v>-1.0000000000000001E-5</v>
      </c>
      <c r="AI79" s="293">
        <f>IFERROR(IF($C79="",-0.00001,SUMIFS(Database!AP:AP,Database!$AD:$AD,$C79,Database!$A:$A,$C$1)/$G79),-0.00001)</f>
        <v>-1.0000000000000001E-5</v>
      </c>
      <c r="AJ79" s="293">
        <f>IFERROR(IF($C79="",-0.00001,SUMIFS(Database!AR:AR,Database!$AD:$AD,$C79,Database!$A:$A,$C$1)/$G79),-0.00001)</f>
        <v>-1.0000000000000001E-5</v>
      </c>
      <c r="AK79" s="293">
        <f>IFERROR(IF($C79="",-0.00001,SUMIFS(Database!AS:AS,Database!$AD:$AD,$C79,Database!$A:$A,$C$1)/$G79),-0.00001)</f>
        <v>-1.0000000000000001E-5</v>
      </c>
      <c r="AL79" s="293">
        <f>IFERROR(IF($C79="",-0.00001,SUMIFS(Database!AU:AU,Database!$AD:$AD,$C79,Database!$A:$A,$C$1)/$G79),-0.00001)</f>
        <v>-1.0000000000000001E-5</v>
      </c>
      <c r="AM79" s="293">
        <f>IFERROR(IF($C79="",-0.00001,SUMIFS(Database!AV:AV,Database!$AD:$AD,$C79,Database!$A:$A,$C$1)/$G79),-0.00001)</f>
        <v>-1.0000000000000001E-5</v>
      </c>
      <c r="AN79" s="187"/>
      <c r="AO79" s="187"/>
      <c r="AP79" s="187"/>
      <c r="AQ79" s="187"/>
      <c r="AR79" s="187"/>
      <c r="AS79" s="187"/>
      <c r="AT79" s="187"/>
      <c r="AU79" s="187"/>
      <c r="AV79" s="187"/>
      <c r="AW79" s="187"/>
      <c r="AX79" s="187"/>
    </row>
    <row r="80" spans="1:50" x14ac:dyDescent="0.25">
      <c r="A80" s="187"/>
      <c r="B80" s="187" t="str">
        <f>IF($C80="","",MAX($B$4:$B79)+1)</f>
        <v/>
      </c>
      <c r="C80" s="145"/>
      <c r="D80" s="233">
        <f>IF($C80="",-0.00001,COUNTIFS(Database!$AD:$AD,$C80,Database!$A:$A,$C$1,Database!$AE:$AE,"W"))</f>
        <v>-1.0000000000000001E-5</v>
      </c>
      <c r="E80" s="233">
        <f>IF($C80="",-0.00001,COUNTIFS(Database!$AD:$AD,$C80,Database!$A:$A,$C$1,Database!$AE:$AE,"L"))</f>
        <v>-1.0000000000000001E-5</v>
      </c>
      <c r="F80" s="233">
        <f t="shared" si="8"/>
        <v>-1.0000000000000001E-5</v>
      </c>
      <c r="G80" s="185">
        <f>IF($C80="",-0.00001,COUNTIFS(Database!AD:AD,$C80,Database!A:A,$C$1))</f>
        <v>-1.0000000000000001E-5</v>
      </c>
      <c r="H80" s="185">
        <f>IFERROR(IF($C80="",-0.00001,SUMIFS(Database!AG:AG,Database!$AD:$AD,$C80,Database!$A:$A,$C$1)),-0.00001)</f>
        <v>-1.0000000000000001E-5</v>
      </c>
      <c r="I80" s="185">
        <f>IFERROR(IF($C80="",-0.00001,SUMIFS(Database!AH:AH,Database!$AD:$AD,$C80,Database!$A:$A,$C$1)),-0.00001)</f>
        <v>-1.0000000000000001E-5</v>
      </c>
      <c r="J80" s="185">
        <f>IFERROR(IF($C80="",-0.00001,SUMIFS(Database!AI:AI,Database!$AD:$AD,$C80,Database!$A:$A,$C$1)),-0.00001)</f>
        <v>-1.0000000000000001E-5</v>
      </c>
      <c r="K80" s="185">
        <f>IFERROR(IF($C80="",-0.00001,SUMIFS(Database!AJ:AJ,Database!$AD:$AD,$C80,Database!$A:$A,$C$1)),-0.00001)</f>
        <v>-1.0000000000000001E-5</v>
      </c>
      <c r="L80" s="185">
        <f>IFERROR(IF($C80="",-0.00001,SUMIFS(Database!AK:AK,Database!$AD:$AD,$C80,Database!$A:$A,$C$1)),-0.00001)</f>
        <v>-1.0000000000000001E-5</v>
      </c>
      <c r="M80" s="185">
        <f>IFERROR(IF($C80="",-0.00001,SUMIFS(Database!AL:AL,Database!$AD:$AD,$C80,Database!$A:$A,$C$1)),-0.00001)</f>
        <v>-1.0000000000000001E-5</v>
      </c>
      <c r="N80" s="185">
        <f>IFERROR(IF($C80="",-0.00001,SUMIFS(Database!AM:AM,Database!$AD:$AD,$C80,Database!$A:$A,$C$1)),-0.00001)</f>
        <v>-1.0000000000000001E-5</v>
      </c>
      <c r="O80" s="185">
        <f>IFERROR(IF($C80="",-0.00001,SUMIFS(Database!AN:AN,Database!$AD:$AD,$C80,Database!$A:$A,$C$1)),-0.00001)</f>
        <v>-1.0000000000000001E-5</v>
      </c>
      <c r="P80" s="185">
        <f>IFERROR(IF($C80="",-0.00001,SUMIFS(Database!AO:AO,Database!$AD:$AD,$C80,Database!$A:$A,$C$1)),-0.00001)</f>
        <v>-1.0000000000000001E-5</v>
      </c>
      <c r="Q80" s="185">
        <f>IFERROR(IF($C80="",-0.00001,SUMIFS(Database!AP:AP,Database!$AD:$AD,$C80,Database!$A:$A,$C$1)),-0.00001)</f>
        <v>-1.0000000000000001E-5</v>
      </c>
      <c r="R80" s="186">
        <f t="shared" si="9"/>
        <v>-1.0000000000000001E-5</v>
      </c>
      <c r="S80" s="185">
        <f>IFERROR(IF($C80="",-0.00001,SUMIFS(Database!AR:AR,Database!$AD:$AD,$C80,Database!$A:$A,$C$1)),-0.00001)</f>
        <v>-1.0000000000000001E-5</v>
      </c>
      <c r="T80" s="185">
        <f>IFERROR(IF($C80="",-0.00001,SUMIFS(Database!AS:AS,Database!$AD:$AD,$C80,Database!$A:$A,$C$1)),-0.00001)</f>
        <v>-1.0000000000000001E-5</v>
      </c>
      <c r="U80" s="186">
        <f t="shared" si="10"/>
        <v>-1.0000000000000001E-5</v>
      </c>
      <c r="V80" s="185">
        <f>IFERROR(IF($C80="",-0.00001,SUMIFS(Database!AU:AU,Database!$AD:$AD,$C80,Database!$A:$A,$C$1)),-0.00001)</f>
        <v>-1.0000000000000001E-5</v>
      </c>
      <c r="W80" s="185">
        <f>IFERROR(IF($C80="",-0.00001,SUMIFS(Database!AV:AV,Database!$AD:$AD,$C80,Database!$A:$A,$C$1)),-0.00001)</f>
        <v>-1.0000000000000001E-5</v>
      </c>
      <c r="X80" s="186">
        <f t="shared" si="11"/>
        <v>-1.0000000000000001E-5</v>
      </c>
      <c r="Y80" s="291"/>
      <c r="Z80" s="293">
        <f>IFERROR(IF($C80="",-0.00001,SUMIFS(Database!AG:AG,Database!$AD:$AD,$C80,Database!$A:$A,$C$1)/$G80),-0.00001)</f>
        <v>-1.0000000000000001E-5</v>
      </c>
      <c r="AA80" s="293">
        <f>IFERROR(IF($C80="",-0.00001,SUMIFS(Database!AH:AH,Database!$AD:$AD,$C80,Database!$A:$A,$C$1)/$G80),-0.00001)</f>
        <v>-1.0000000000000001E-5</v>
      </c>
      <c r="AB80" s="293">
        <f>IFERROR(IF($C80="",-0.00001,SUMIFS(Database!AI:AI,Database!$AD:$AD,$C80,Database!$A:$A,$C$1)/$G80),-0.00001)</f>
        <v>-1.0000000000000001E-5</v>
      </c>
      <c r="AC80" s="293">
        <f>IFERROR(IF($C80="",-0.00001,SUMIFS(Database!AJ:AJ,Database!$AD:$AD,$C80,Database!$A:$A,$C$1)/$G80),-0.00001)</f>
        <v>-1.0000000000000001E-5</v>
      </c>
      <c r="AD80" s="293">
        <f>IFERROR(IF($C80="",-0.00001,SUMIFS(Database!AK:AK,Database!$AD:$AD,$C80,Database!$A:$A,$C$1)/$G80),-0.00001)</f>
        <v>-1.0000000000000001E-5</v>
      </c>
      <c r="AE80" s="293">
        <f>IFERROR(IF($C80="",-0.00001,SUMIFS(Database!AL:AL,Database!$AD:$AD,$C80,Database!$A:$A,$C$1)/$G80),-0.00001)</f>
        <v>-1.0000000000000001E-5</v>
      </c>
      <c r="AF80" s="293">
        <f>IFERROR(IF($C80="",-0.00001,SUMIFS(Database!AM:AM,Database!$AD:$AD,$C80,Database!$A:$A,$C$1)/$G80),-0.00001)</f>
        <v>-1.0000000000000001E-5</v>
      </c>
      <c r="AG80" s="293">
        <f>IFERROR(IF($C80="",-0.00001,SUMIFS(Database!AN:AN,Database!$AD:$AD,$C80,Database!$A:$A,$C$1)/$G80),-0.00001)</f>
        <v>-1.0000000000000001E-5</v>
      </c>
      <c r="AH80" s="293">
        <f>IFERROR(IF($C80="",-0.00001,SUMIFS(Database!AO:AO,Database!$AD:$AD,$C80,Database!$A:$A,$C$1)/$G80),-0.00001)</f>
        <v>-1.0000000000000001E-5</v>
      </c>
      <c r="AI80" s="293">
        <f>IFERROR(IF($C80="",-0.00001,SUMIFS(Database!AP:AP,Database!$AD:$AD,$C80,Database!$A:$A,$C$1)/$G80),-0.00001)</f>
        <v>-1.0000000000000001E-5</v>
      </c>
      <c r="AJ80" s="293">
        <f>IFERROR(IF($C80="",-0.00001,SUMIFS(Database!AR:AR,Database!$AD:$AD,$C80,Database!$A:$A,$C$1)/$G80),-0.00001)</f>
        <v>-1.0000000000000001E-5</v>
      </c>
      <c r="AK80" s="293">
        <f>IFERROR(IF($C80="",-0.00001,SUMIFS(Database!AS:AS,Database!$AD:$AD,$C80,Database!$A:$A,$C$1)/$G80),-0.00001)</f>
        <v>-1.0000000000000001E-5</v>
      </c>
      <c r="AL80" s="293">
        <f>IFERROR(IF($C80="",-0.00001,SUMIFS(Database!AU:AU,Database!$AD:$AD,$C80,Database!$A:$A,$C$1)/$G80),-0.00001)</f>
        <v>-1.0000000000000001E-5</v>
      </c>
      <c r="AM80" s="293">
        <f>IFERROR(IF($C80="",-0.00001,SUMIFS(Database!AV:AV,Database!$AD:$AD,$C80,Database!$A:$A,$C$1)/$G80),-0.00001)</f>
        <v>-1.0000000000000001E-5</v>
      </c>
      <c r="AN80" s="187"/>
      <c r="AO80" s="187"/>
      <c r="AP80" s="187"/>
      <c r="AQ80" s="187"/>
      <c r="AR80" s="187"/>
      <c r="AS80" s="187"/>
      <c r="AT80" s="187"/>
      <c r="AU80" s="187"/>
      <c r="AV80" s="187"/>
      <c r="AW80" s="187"/>
      <c r="AX80" s="187"/>
    </row>
    <row r="81" spans="1:50" x14ac:dyDescent="0.25">
      <c r="A81" s="187"/>
      <c r="B81" s="187"/>
      <c r="C81" s="187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  <c r="R81" s="190"/>
      <c r="S81" s="189"/>
      <c r="T81" s="189"/>
      <c r="U81" s="190"/>
      <c r="V81" s="189"/>
      <c r="W81" s="189"/>
      <c r="X81" s="190"/>
      <c r="Y81" s="190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Q81" s="187"/>
      <c r="AR81" s="187"/>
      <c r="AS81" s="187"/>
      <c r="AT81" s="187"/>
      <c r="AU81" s="187"/>
      <c r="AV81" s="187"/>
      <c r="AW81" s="187"/>
      <c r="AX81" s="187"/>
    </row>
    <row r="82" spans="1:50" x14ac:dyDescent="0.25">
      <c r="A82" s="187"/>
      <c r="B82" s="187"/>
      <c r="C82" s="187"/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90"/>
      <c r="S82" s="189"/>
      <c r="T82" s="189"/>
      <c r="U82" s="190"/>
      <c r="V82" s="189"/>
      <c r="W82" s="189"/>
      <c r="X82" s="190"/>
      <c r="Y82" s="190"/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87"/>
      <c r="AR82" s="187"/>
      <c r="AS82" s="187"/>
      <c r="AT82" s="187"/>
      <c r="AU82" s="187"/>
      <c r="AV82" s="187"/>
      <c r="AW82" s="187"/>
      <c r="AX82" s="187"/>
    </row>
  </sheetData>
  <sheetProtection algorithmName="SHA-512" hashValue="5isSBUUMZPv+ic88ZClIraZmU3MlEC89cklAc6ivBE2Kv1szntQXy6a8Gj8OJuHZ3zTyHcXu5HCtkhRc2DrOyg==" saltValue="Owz9RfXQ/h35iVBcKub69Q==" spinCount="100000" sheet="1" objects="1" scenarios="1" selectLockedCells="1"/>
  <mergeCells count="1">
    <mergeCell ref="Z2:AM2"/>
  </mergeCells>
  <conditionalFormatting sqref="D4:Y80">
    <cfRule type="cellIs" dxfId="28" priority="3" operator="equal">
      <formula>-0.00001</formula>
    </cfRule>
  </conditionalFormatting>
  <conditionalFormatting sqref="Z4:AM80">
    <cfRule type="cellIs" dxfId="27" priority="1" operator="equal">
      <formula>-0.00001</formula>
    </cfRule>
    <cfRule type="cellIs" dxfId="26" priority="2" operator="equal">
      <formula>-0.00001</formula>
    </cfRule>
  </conditionalFormatting>
  <pageMargins left="0.7" right="0.7" top="0.75" bottom="0.75" header="0.3" footer="0.3"/>
  <pageSetup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92D050"/>
  </sheetPr>
  <dimension ref="A1:AF82"/>
  <sheetViews>
    <sheetView showGridLines="0" showRowColHeaders="0" workbookViewId="0">
      <pane xSplit="3" ySplit="3" topLeftCell="D4" activePane="bottomRight" state="frozen"/>
      <selection activeCell="D4" sqref="D4"/>
      <selection pane="topRight" activeCell="D4" sqref="D4"/>
      <selection pane="bottomLeft" activeCell="D4" sqref="D4"/>
      <selection pane="bottomRight" activeCell="C11" sqref="C11"/>
    </sheetView>
  </sheetViews>
  <sheetFormatPr defaultColWidth="8.85546875" defaultRowHeight="15" x14ac:dyDescent="0.25"/>
  <cols>
    <col min="1" max="2" width="2.85546875" customWidth="1"/>
    <col min="3" max="3" width="20.28515625" bestFit="1" customWidth="1"/>
    <col min="4" max="14" width="7.85546875" style="1" customWidth="1"/>
    <col min="15" max="15" width="7.85546875" style="105" customWidth="1"/>
    <col min="16" max="17" width="7.85546875" style="1" customWidth="1"/>
    <col min="18" max="18" width="7.85546875" style="105" customWidth="1"/>
    <col min="19" max="20" width="7.85546875" style="1" customWidth="1"/>
    <col min="21" max="21" width="7.85546875" style="105" customWidth="1"/>
  </cols>
  <sheetData>
    <row r="1" spans="1:32" ht="60" customHeight="1" x14ac:dyDescent="0.4">
      <c r="A1" s="187"/>
      <c r="B1" s="187"/>
      <c r="C1" s="191" t="str">
        <f>Lists!$E$5</f>
        <v>Season 2</v>
      </c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  <c r="P1" s="189"/>
      <c r="Q1" s="189"/>
      <c r="R1" s="190"/>
      <c r="S1" s="189"/>
      <c r="T1" s="189"/>
      <c r="U1" s="190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</row>
    <row r="2" spans="1:32" x14ac:dyDescent="0.25">
      <c r="A2" s="187"/>
      <c r="B2" s="187"/>
      <c r="C2" s="187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90"/>
      <c r="P2" s="189"/>
      <c r="Q2" s="189"/>
      <c r="R2" s="190"/>
      <c r="S2" s="189"/>
      <c r="T2" s="189"/>
      <c r="U2" s="190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</row>
    <row r="3" spans="1:32" s="178" customFormat="1" ht="32.25" thickBot="1" x14ac:dyDescent="0.3">
      <c r="A3" s="188"/>
      <c r="B3" s="188"/>
      <c r="C3" s="180" t="s">
        <v>70</v>
      </c>
      <c r="D3" s="180" t="s">
        <v>71</v>
      </c>
      <c r="E3" s="180" t="s">
        <v>72</v>
      </c>
      <c r="F3" s="180" t="s">
        <v>73</v>
      </c>
      <c r="G3" s="180" t="s">
        <v>74</v>
      </c>
      <c r="H3" s="180" t="s">
        <v>75</v>
      </c>
      <c r="I3" s="180" t="s">
        <v>76</v>
      </c>
      <c r="J3" s="180" t="s">
        <v>77</v>
      </c>
      <c r="K3" s="180" t="s">
        <v>78</v>
      </c>
      <c r="L3" s="180" t="s">
        <v>79</v>
      </c>
      <c r="M3" s="180" t="s">
        <v>80</v>
      </c>
      <c r="N3" s="180" t="s">
        <v>124</v>
      </c>
      <c r="O3" s="181" t="s">
        <v>82</v>
      </c>
      <c r="P3" s="180" t="s">
        <v>125</v>
      </c>
      <c r="Q3" s="180" t="s">
        <v>126</v>
      </c>
      <c r="R3" s="181" t="s">
        <v>85</v>
      </c>
      <c r="S3" s="180" t="s">
        <v>127</v>
      </c>
      <c r="T3" s="180" t="s">
        <v>128</v>
      </c>
      <c r="U3" s="182" t="s">
        <v>88</v>
      </c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</row>
    <row r="4" spans="1:32" x14ac:dyDescent="0.25">
      <c r="A4" s="187"/>
      <c r="B4" s="187"/>
      <c r="C4" s="145" t="s">
        <v>134</v>
      </c>
      <c r="D4" s="194">
        <f>COUNTIF(Database!$BW:$BW,"*"&amp;$C$1&amp;"*")</f>
        <v>12</v>
      </c>
      <c r="E4" s="185">
        <f>SUMIF(Database!$BW:$BW,"*"&amp;$C$1&amp;"*",Database!BF:BF)</f>
        <v>1391</v>
      </c>
      <c r="F4" s="185">
        <f>SUMIF(Database!$BW:$BW,"*"&amp;$C$1&amp;"*",Database!BG:BG)</f>
        <v>846</v>
      </c>
      <c r="G4" s="185">
        <f>SUMIF(Database!$BW:$BW,"*"&amp;$C$1&amp;"*",Database!BH:BH)</f>
        <v>253</v>
      </c>
      <c r="H4" s="185">
        <f>SUMIF(Database!$BW:$BW,"*"&amp;$C$1&amp;"*",Database!BI:BI)</f>
        <v>176</v>
      </c>
      <c r="I4" s="185">
        <f>SUMIF(Database!$BW:$BW,"*"&amp;$C$1&amp;"*",Database!BJ:BJ)</f>
        <v>50</v>
      </c>
      <c r="J4" s="185">
        <f>SUMIF(Database!$BW:$BW,"*"&amp;$C$1&amp;"*",Database!BK:BK)</f>
        <v>259</v>
      </c>
      <c r="K4" s="185">
        <f>SUMIF(Database!$BW:$BW,"*"&amp;$C$1&amp;"*",Database!BL:BL)</f>
        <v>218</v>
      </c>
      <c r="L4" s="185">
        <f>SUMIF(Database!$BW:$BW,"*"&amp;$C$1&amp;"*",Database!BM:BM)</f>
        <v>559</v>
      </c>
      <c r="M4" s="185">
        <f>SUMIF(Database!$BW:$BW,"*"&amp;$C$1&amp;"*",Database!BN:BN)</f>
        <v>184</v>
      </c>
      <c r="N4" s="185">
        <f>SUMIF(Database!$BW:$BW,"*"&amp;$C$1&amp;"*",Database!BO:BO)</f>
        <v>651</v>
      </c>
      <c r="O4" s="186">
        <f>IFERROR($M4/$N4,"-")</f>
        <v>0.28264208909370198</v>
      </c>
      <c r="P4" s="185">
        <f>SUMIF(Database!$BW:$BW,"*"&amp;$C$1&amp;"*",Database!BQ:BQ)</f>
        <v>568</v>
      </c>
      <c r="Q4" s="185">
        <f>SUMIF(Database!$BW:$BW,"*"&amp;$C$1&amp;"*",Database!BR:BR)</f>
        <v>1544</v>
      </c>
      <c r="R4" s="186">
        <f>IFERROR($P4/$Q4,"-")</f>
        <v>0.36787564766839376</v>
      </c>
      <c r="S4" s="185">
        <f>SUMIF(Database!$BW:$BW,"*"&amp;$C$1&amp;"*",Database!BT:BT)</f>
        <v>70</v>
      </c>
      <c r="T4" s="185">
        <f>SUMIF(Database!$BW:$BW,"*"&amp;$C$1&amp;"*",Database!BU:BU)</f>
        <v>130</v>
      </c>
      <c r="U4" s="186">
        <f>IFERROR($S4/$T4,"-")</f>
        <v>0.53846153846153844</v>
      </c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</row>
    <row r="5" spans="1:32" x14ac:dyDescent="0.25">
      <c r="A5" s="187"/>
      <c r="B5" s="187"/>
      <c r="C5" s="145" t="s">
        <v>155</v>
      </c>
      <c r="D5" s="194">
        <f>COUNTIF(Database!$BW:$BW,"*"&amp;$C$1&amp;"*")/COUNTA(Teams!$C$4:$C$80)*2</f>
        <v>4</v>
      </c>
      <c r="E5" s="194">
        <f>SUMIF(Database!$BW:$BW,"*"&amp;$C$1&amp;"*",Database!BF:BF)/COUNTA(Teams!$C$4:$C$80)</f>
        <v>231.83333333333334</v>
      </c>
      <c r="F5" s="194">
        <f>SUMIF(Database!$BW:$BW,"*"&amp;$C$1&amp;"*",Database!BG:BG)/COUNTA(Teams!$C$4:$C$80)</f>
        <v>141</v>
      </c>
      <c r="G5" s="194">
        <f>SUMIF(Database!$BW:$BW,"*"&amp;$C$1&amp;"*",Database!BH:BH)/COUNTA(Teams!$C$4:$C$80)</f>
        <v>42.166666666666664</v>
      </c>
      <c r="H5" s="194">
        <f>SUMIF(Database!$BW:$BW,"*"&amp;$C$1&amp;"*",Database!BI:BI)/COUNTA(Teams!$C$4:$C$80)</f>
        <v>29.333333333333332</v>
      </c>
      <c r="I5" s="194">
        <f>SUMIF(Database!$BW:$BW,"*"&amp;$C$1&amp;"*",Database!BJ:BJ)/COUNTA(Teams!$C$4:$C$80)</f>
        <v>8.3333333333333339</v>
      </c>
      <c r="J5" s="194">
        <f>SUMIF(Database!$BW:$BW,"*"&amp;$C$1&amp;"*",Database!BK:BK)/COUNTA(Teams!$C$4:$C$80)</f>
        <v>43.166666666666664</v>
      </c>
      <c r="K5" s="194">
        <f>SUMIF(Database!$BW:$BW,"*"&amp;$C$1&amp;"*",Database!BL:BL)/COUNTA(Teams!$C$4:$C$80)</f>
        <v>36.333333333333336</v>
      </c>
      <c r="L5" s="194">
        <f>SUMIF(Database!$BW:$BW,"*"&amp;$C$1&amp;"*",Database!BM:BM)/COUNTA(Teams!$C$4:$C$80)</f>
        <v>93.166666666666671</v>
      </c>
      <c r="M5" s="194">
        <f>SUMIF(Database!$BW:$BW,"*"&amp;$C$1&amp;"*",Database!BN:BN)/COUNTA(Teams!$C$4:$C$80)</f>
        <v>30.666666666666668</v>
      </c>
      <c r="N5" s="194">
        <f>SUMIF(Database!$BW:$BW,"*"&amp;$C$1&amp;"*",Database!BO:BO)/COUNTA(Teams!$C$4:$C$80)</f>
        <v>108.5</v>
      </c>
      <c r="O5" s="186">
        <f>IFERROR($M5/$N5,"-")</f>
        <v>0.28264208909370203</v>
      </c>
      <c r="P5" s="194">
        <f>SUMIF(Database!$BW:$BW,"*"&amp;$C$1&amp;"*",Database!BQ:BQ)/COUNTA(Teams!$C$4:$C$80)</f>
        <v>94.666666666666671</v>
      </c>
      <c r="Q5" s="194">
        <f>SUMIF(Database!$BW:$BW,"*"&amp;$C$1&amp;"*",Database!BR:BR)/COUNTA(Teams!$C$4:$C$80)</f>
        <v>257.33333333333331</v>
      </c>
      <c r="R5" s="186">
        <f>IFERROR($P5/$Q5,"-")</f>
        <v>0.36787564766839381</v>
      </c>
      <c r="S5" s="194">
        <f>SUMIF(Database!$BW:$BW,"*"&amp;$C$1&amp;"*",Database!BT:BT)/COUNTA(Teams!$C$4:$C$80)</f>
        <v>11.666666666666666</v>
      </c>
      <c r="T5" s="194">
        <f>SUMIF(Database!$BW:$BW,"*"&amp;$C$1&amp;"*",Database!BU:BU)/COUNTA(Teams!$C$4:$C$80)</f>
        <v>21.666666666666668</v>
      </c>
      <c r="U5" s="186">
        <f>IFERROR($S5/$T5,"-")</f>
        <v>0.53846153846153844</v>
      </c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</row>
    <row r="6" spans="1:32" x14ac:dyDescent="0.25">
      <c r="A6" s="187"/>
      <c r="B6" s="187"/>
      <c r="C6" s="145" t="s">
        <v>156</v>
      </c>
      <c r="D6" s="194">
        <f>COUNTIF(Database!$A:$A,$C$1)/COUNTA(Lists!$C$5:$C$80)</f>
        <v>3.5</v>
      </c>
      <c r="E6" s="194">
        <f>SUMIF(Database!$BW:$BW,"*"&amp;$C$1&amp;"*",Database!BF:BF)/COUNTA(Individuals!$C$4:$C$80)</f>
        <v>36.60526315789474</v>
      </c>
      <c r="F6" s="194">
        <f>SUMIF(Database!$BW:$BW,"*"&amp;$C$1&amp;"*",Database!BG:BG)/COUNTA(Individuals!$C$4:$C$80)</f>
        <v>22.263157894736842</v>
      </c>
      <c r="G6" s="194">
        <f>SUMIF(Database!$BW:$BW,"*"&amp;$C$1&amp;"*",Database!BH:BH)/COUNTA(Individuals!$C$4:$C$80)</f>
        <v>6.6578947368421053</v>
      </c>
      <c r="H6" s="194">
        <f>SUMIF(Database!$BW:$BW,"*"&amp;$C$1&amp;"*",Database!BI:BI)/COUNTA(Individuals!$C$4:$C$80)</f>
        <v>4.6315789473684212</v>
      </c>
      <c r="I6" s="194">
        <f>SUMIF(Database!$BW:$BW,"*"&amp;$C$1&amp;"*",Database!BJ:BJ)/COUNTA(Individuals!$C$4:$C$80)</f>
        <v>1.3157894736842106</v>
      </c>
      <c r="J6" s="194">
        <f>SUMIF(Database!$BW:$BW,"*"&amp;$C$1&amp;"*",Database!BK:BK)/COUNTA(Individuals!$C$4:$C$80)</f>
        <v>6.8157894736842106</v>
      </c>
      <c r="K6" s="194">
        <f>SUMIF(Database!$BW:$BW,"*"&amp;$C$1&amp;"*",Database!BL:BL)/COUNTA(Individuals!$C$4:$C$80)</f>
        <v>5.7368421052631575</v>
      </c>
      <c r="L6" s="194">
        <f>SUMIF(Database!$BW:$BW,"*"&amp;$C$1&amp;"*",Database!BM:BM)/COUNTA(Individuals!$C$4:$C$80)</f>
        <v>14.710526315789474</v>
      </c>
      <c r="M6" s="194">
        <f>SUMIF(Database!$BW:$BW,"*"&amp;$C$1&amp;"*",Database!BN:BN)/COUNTA(Individuals!$C$4:$C$80)</f>
        <v>4.8421052631578947</v>
      </c>
      <c r="N6" s="194">
        <f>SUMIF(Database!$BW:$BW,"*"&amp;$C$1&amp;"*",Database!BO:BO)/COUNTA(Individuals!$C$4:$C$80)</f>
        <v>17.131578947368421</v>
      </c>
      <c r="O6" s="186">
        <f>IFERROR($M6/$N6,"-")</f>
        <v>0.28264208909370198</v>
      </c>
      <c r="P6" s="194">
        <f>SUMIF(Database!$BW:$BW,"*"&amp;$C$1&amp;"*",Database!BQ:BQ)/COUNTA(Individuals!$C$4:$C$80)</f>
        <v>14.947368421052632</v>
      </c>
      <c r="Q6" s="194">
        <f>SUMIF(Database!$BW:$BW,"*"&amp;$C$1&amp;"*",Database!BR:BR)/COUNTA(Individuals!$C$4:$C$80)</f>
        <v>40.631578947368418</v>
      </c>
      <c r="R6" s="186">
        <f>IFERROR($P6/$Q6,"-")</f>
        <v>0.36787564766839381</v>
      </c>
      <c r="S6" s="194">
        <f>SUMIF(Database!$BW:$BW,"*"&amp;$C$1&amp;"*",Database!BT:BT)/COUNTA(Individuals!$C$4:$C$80)</f>
        <v>1.8421052631578947</v>
      </c>
      <c r="T6" s="194">
        <f>SUMIF(Database!$BW:$BW,"*"&amp;$C$1&amp;"*",Database!BU:BU)/COUNTA(Individuals!$C$4:$C$80)</f>
        <v>3.4210526315789473</v>
      </c>
      <c r="U6" s="186">
        <f>IFERROR($S6/$T6,"-")</f>
        <v>0.53846153846153844</v>
      </c>
      <c r="V6" s="187"/>
      <c r="W6" s="187"/>
      <c r="X6" s="187"/>
      <c r="Y6" s="187"/>
      <c r="Z6" s="187"/>
      <c r="AA6" s="187"/>
      <c r="AB6" s="187"/>
      <c r="AC6" s="187"/>
      <c r="AD6" s="187"/>
      <c r="AE6" s="187"/>
      <c r="AF6" s="187"/>
    </row>
    <row r="7" spans="1:32" x14ac:dyDescent="0.25">
      <c r="A7" s="187"/>
      <c r="B7" s="187"/>
      <c r="C7" s="375" t="s">
        <v>242</v>
      </c>
      <c r="D7" s="376">
        <f>IF($C7="","",D$4/(COUNTA(Lists!$D$5:$D$80)/2))</f>
        <v>4</v>
      </c>
      <c r="E7" s="376">
        <f>IF($C7="","",E$4/($D$4*2))</f>
        <v>57.958333333333336</v>
      </c>
      <c r="F7" s="376">
        <f t="shared" ref="F7:T7" si="0">IF($C7="","",F$4/($D$4*2))</f>
        <v>35.25</v>
      </c>
      <c r="G7" s="376">
        <f t="shared" si="0"/>
        <v>10.541666666666666</v>
      </c>
      <c r="H7" s="376">
        <f t="shared" si="0"/>
        <v>7.333333333333333</v>
      </c>
      <c r="I7" s="376">
        <f t="shared" si="0"/>
        <v>2.0833333333333335</v>
      </c>
      <c r="J7" s="376">
        <f t="shared" si="0"/>
        <v>10.791666666666666</v>
      </c>
      <c r="K7" s="376">
        <f t="shared" si="0"/>
        <v>9.0833333333333339</v>
      </c>
      <c r="L7" s="376">
        <f t="shared" si="0"/>
        <v>23.291666666666668</v>
      </c>
      <c r="M7" s="376">
        <f t="shared" si="0"/>
        <v>7.666666666666667</v>
      </c>
      <c r="N7" s="376">
        <f t="shared" si="0"/>
        <v>27.125</v>
      </c>
      <c r="O7" s="377">
        <f>IFERROR($M7/$N7,"-")</f>
        <v>0.28264208909370203</v>
      </c>
      <c r="P7" s="376">
        <f t="shared" si="0"/>
        <v>23.666666666666668</v>
      </c>
      <c r="Q7" s="376">
        <f t="shared" si="0"/>
        <v>64.333333333333329</v>
      </c>
      <c r="R7" s="377">
        <f>IFERROR($P7/$Q7,"-")</f>
        <v>0.36787564766839381</v>
      </c>
      <c r="S7" s="376">
        <f t="shared" si="0"/>
        <v>2.9166666666666665</v>
      </c>
      <c r="T7" s="376">
        <f t="shared" si="0"/>
        <v>5.416666666666667</v>
      </c>
      <c r="U7" s="377">
        <f>IFERROR($S7/$T7,"-")</f>
        <v>0.53846153846153844</v>
      </c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</row>
    <row r="8" spans="1:32" x14ac:dyDescent="0.25">
      <c r="A8" s="187"/>
      <c r="B8" s="187"/>
      <c r="C8" s="145"/>
      <c r="D8" s="185" t="str">
        <f>IF($C8="","",COUNTIF(Database!AD:AD,$C8))</f>
        <v/>
      </c>
      <c r="E8" s="185" t="str">
        <f>IFERROR(IF($C8="","",SUMIFS(Database!AG:AG,Database!$AD:$AD,$C8)),"")</f>
        <v/>
      </c>
      <c r="F8" s="185" t="str">
        <f>IFERROR(IF($C8="","",SUMIFS(Database!AH:AH,Database!$AD:$AD,$C8)),"")</f>
        <v/>
      </c>
      <c r="G8" s="185" t="str">
        <f>IFERROR(IF($C8="","",SUMIFS(Database!AI:AI,Database!$AD:$AD,$C8)),"")</f>
        <v/>
      </c>
      <c r="H8" s="185" t="str">
        <f>IFERROR(IF($C8="","",SUMIFS(Database!AJ:AJ,Database!$AD:$AD,$C8)),"")</f>
        <v/>
      </c>
      <c r="I8" s="185" t="str">
        <f>IFERROR(IF($C8="","",SUMIFS(Database!AK:AK,Database!$AD:$AD,$C8)),"")</f>
        <v/>
      </c>
      <c r="J8" s="185" t="str">
        <f>IFERROR(IF($C8="","",SUMIFS(Database!AL:AL,Database!$AD:$AD,$C8)),"")</f>
        <v/>
      </c>
      <c r="K8" s="185" t="str">
        <f>IFERROR(IF($C8="","",SUMIFS(Database!AM:AM,Database!$AD:$AD,$C8)),"")</f>
        <v/>
      </c>
      <c r="L8" s="185" t="str">
        <f>IFERROR(IF($C8="","",SUMIFS(Database!AN:AN,Database!$AD:$AD,$C8)),"")</f>
        <v/>
      </c>
      <c r="M8" s="185" t="str">
        <f>IFERROR(IF($C8="","",SUMIFS(Database!AO:AO,Database!$AD:$AD,$C8)),"")</f>
        <v/>
      </c>
      <c r="N8" s="185" t="str">
        <f>IFERROR(IF($C8="","",SUMIFS(Database!AP:AP,Database!$AD:$AD,$C8)),"")</f>
        <v/>
      </c>
      <c r="O8" s="186" t="str">
        <f t="shared" ref="O8:O68" si="1">IFERROR(IF($C8="","",$M8/$N8),"-")</f>
        <v/>
      </c>
      <c r="P8" s="185" t="str">
        <f>IFERROR(IF($C8="","",SUMIFS(Database!AR:AR,Database!$AD:$AD,$C8)),"")</f>
        <v/>
      </c>
      <c r="Q8" s="185" t="str">
        <f>IFERROR(IF($C8="","",SUMIFS(Database!AS:AS,Database!$AD:$AD,$C8)),"")</f>
        <v/>
      </c>
      <c r="R8" s="186" t="str">
        <f t="shared" ref="R8:R68" si="2">IFERROR(IF($C8="","",$P8/$Q8),"-")</f>
        <v/>
      </c>
      <c r="S8" s="185" t="str">
        <f>IFERROR(IF($C8="","",SUMIFS(Database!AU:AU,Database!$AD:$AD,$C8)),"")</f>
        <v/>
      </c>
      <c r="T8" s="185" t="str">
        <f>IFERROR(IF($C8="","",SUMIFS(Database!AV:AV,Database!$AD:$AD,$C8)),"")</f>
        <v/>
      </c>
      <c r="U8" s="186" t="str">
        <f t="shared" ref="U8:U68" si="3">IFERROR(IF($C8="","",$S8/$T8),"-")</f>
        <v/>
      </c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187"/>
    </row>
    <row r="9" spans="1:32" ht="15.75" thickBot="1" x14ac:dyDescent="0.3">
      <c r="A9" s="187"/>
      <c r="B9" s="187"/>
      <c r="C9" s="195"/>
      <c r="D9" s="196" t="str">
        <f>IF($C9="","",COUNTIF(Database!AD:AD,$C9))</f>
        <v/>
      </c>
      <c r="E9" s="196" t="str">
        <f>IFERROR(IF($C9="","",SUMIFS(Database!AG:AG,Database!$AD:$AD,$C9)),"")</f>
        <v/>
      </c>
      <c r="F9" s="196" t="str">
        <f>IFERROR(IF($C9="","",SUMIFS(Database!AH:AH,Database!$AD:$AD,$C9)),"")</f>
        <v/>
      </c>
      <c r="G9" s="196" t="str">
        <f>IFERROR(IF($C9="","",SUMIFS(Database!AI:AI,Database!$AD:$AD,$C9)),"")</f>
        <v/>
      </c>
      <c r="H9" s="196" t="str">
        <f>IFERROR(IF($C9="","",SUMIFS(Database!AJ:AJ,Database!$AD:$AD,$C9)),"")</f>
        <v/>
      </c>
      <c r="I9" s="196" t="str">
        <f>IFERROR(IF($C9="","",SUMIFS(Database!AK:AK,Database!$AD:$AD,$C9)),"")</f>
        <v/>
      </c>
      <c r="J9" s="196" t="str">
        <f>IFERROR(IF($C9="","",SUMIFS(Database!AL:AL,Database!$AD:$AD,$C9)),"")</f>
        <v/>
      </c>
      <c r="K9" s="196" t="str">
        <f>IFERROR(IF($C9="","",SUMIFS(Database!AM:AM,Database!$AD:$AD,$C9)),"")</f>
        <v/>
      </c>
      <c r="L9" s="196" t="str">
        <f>IFERROR(IF($C9="","",SUMIFS(Database!AN:AN,Database!$AD:$AD,$C9)),"")</f>
        <v/>
      </c>
      <c r="M9" s="196" t="str">
        <f>IFERROR(IF($C9="","",SUMIFS(Database!AO:AO,Database!$AD:$AD,$C9)),"")</f>
        <v/>
      </c>
      <c r="N9" s="196" t="str">
        <f>IFERROR(IF($C9="","",SUMIFS(Database!AP:AP,Database!$AD:$AD,$C9)),"")</f>
        <v/>
      </c>
      <c r="O9" s="197" t="str">
        <f t="shared" si="1"/>
        <v/>
      </c>
      <c r="P9" s="196" t="str">
        <f>IFERROR(IF($C9="","",SUMIFS(Database!AR:AR,Database!$AD:$AD,$C9)),"")</f>
        <v/>
      </c>
      <c r="Q9" s="196" t="str">
        <f>IFERROR(IF($C9="","",SUMIFS(Database!AS:AS,Database!$AD:$AD,$C9)),"")</f>
        <v/>
      </c>
      <c r="R9" s="197" t="str">
        <f t="shared" si="2"/>
        <v/>
      </c>
      <c r="S9" s="196" t="str">
        <f>IFERROR(IF($C9="","",SUMIFS(Database!AU:AU,Database!$AD:$AD,$C9)),"")</f>
        <v/>
      </c>
      <c r="T9" s="196" t="str">
        <f>IFERROR(IF($C9="","",SUMIFS(Database!AV:AV,Database!$AD:$AD,$C9)),"")</f>
        <v/>
      </c>
      <c r="U9" s="197" t="str">
        <f t="shared" si="3"/>
        <v/>
      </c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</row>
    <row r="10" spans="1:32" ht="14.25" customHeight="1" x14ac:dyDescent="0.25">
      <c r="A10" s="187"/>
      <c r="B10" s="187"/>
      <c r="C10" s="434" t="s">
        <v>135</v>
      </c>
      <c r="D10" s="435"/>
      <c r="E10" s="435"/>
      <c r="F10" s="435"/>
      <c r="G10" s="435"/>
      <c r="H10" s="435"/>
      <c r="I10" s="435"/>
      <c r="J10" s="435"/>
      <c r="K10" s="435"/>
      <c r="L10" s="435"/>
      <c r="M10" s="435"/>
      <c r="N10" s="435"/>
      <c r="O10" s="435"/>
      <c r="P10" s="435"/>
      <c r="Q10" s="435"/>
      <c r="R10" s="435"/>
      <c r="S10" s="435"/>
      <c r="T10" s="435"/>
      <c r="U10" s="436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</row>
    <row r="11" spans="1:32" ht="14.25" customHeight="1" x14ac:dyDescent="0.25">
      <c r="A11" s="187"/>
      <c r="B11" s="187"/>
      <c r="C11" s="206"/>
      <c r="D11" s="199" t="str">
        <f>IF($C11="","",COUNTIFS(Database!AD:AD,$C11,Database!$Z:$Z,$C$1))</f>
        <v/>
      </c>
      <c r="E11" s="199" t="str">
        <f>IFERROR(IF($C11="","",SUMIFS(Database!AG:AG,Database!$AD:$AD,$C11,Database!$Z:$Z,LeagueTotals!$C$1)),"")</f>
        <v/>
      </c>
      <c r="F11" s="199" t="str">
        <f>IFERROR(IF($C11="","",SUMIFS(Database!AH:AH,Database!$AD:$AD,$C11,Database!$Z:$Z,LeagueTotals!$C$1)),"")</f>
        <v/>
      </c>
      <c r="G11" s="199" t="str">
        <f>IFERROR(IF($C11="","",SUMIFS(Database!AI:AI,Database!$AD:$AD,$C11,Database!$Z:$Z,LeagueTotals!$C$1)),"")</f>
        <v/>
      </c>
      <c r="H11" s="199" t="str">
        <f>IFERROR(IF($C11="","",SUMIFS(Database!AJ:AJ,Database!$AD:$AD,$C11,Database!$Z:$Z,LeagueTotals!$C$1)),"")</f>
        <v/>
      </c>
      <c r="I11" s="199" t="str">
        <f>IFERROR(IF($C11="","",SUMIFS(Database!AK:AK,Database!$AD:$AD,$C11,Database!$Z:$Z,LeagueTotals!$C$1)),"")</f>
        <v/>
      </c>
      <c r="J11" s="199" t="str">
        <f>IFERROR(IF($C11="","",SUMIFS(Database!AL:AL,Database!$AD:$AD,$C11,Database!$Z:$Z,LeagueTotals!$C$1)),"")</f>
        <v/>
      </c>
      <c r="K11" s="199" t="str">
        <f>IFERROR(IF($C11="","",SUMIFS(Database!AM:AM,Database!$AD:$AD,$C11,Database!$Z:$Z,LeagueTotals!$C$1)),"")</f>
        <v/>
      </c>
      <c r="L11" s="199" t="str">
        <f>IFERROR(IF($C11="","",SUMIFS(Database!AN:AN,Database!$AD:$AD,$C11,Database!$Z:$Z,LeagueTotals!$C$1)),"")</f>
        <v/>
      </c>
      <c r="M11" s="199" t="str">
        <f>IFERROR(IF($C11="","",SUMIFS(Database!AO:AO,Database!$AD:$AD,$C11,Database!$Z:$Z,LeagueTotals!$C$1)),"")</f>
        <v/>
      </c>
      <c r="N11" s="199" t="str">
        <f>IFERROR(IF($C11="","",SUMIFS(Database!AP:AP,Database!$AD:$AD,$C11,Database!$Z:$Z,LeagueTotals!$C$1)),"")</f>
        <v/>
      </c>
      <c r="O11" s="200" t="str">
        <f>IFERROR(IF($C11="","",$M11/$N11),"-")</f>
        <v/>
      </c>
      <c r="P11" s="199" t="str">
        <f>IFERROR(IF($C11="","",SUMIFS(Database!AR:AR,Database!$AD:$AD,$C11,Database!$Z:$Z,LeagueTotals!$C$1)),"")</f>
        <v/>
      </c>
      <c r="Q11" s="199" t="str">
        <f>IFERROR(IF($C11="","",SUMIFS(Database!AS:AS,Database!$AD:$AD,$C11,Database!$Z:$Z,LeagueTotals!$C$1)),"")</f>
        <v/>
      </c>
      <c r="R11" s="200" t="str">
        <f>IFERROR(IF($C11="","",$P11/$Q11),"-")</f>
        <v/>
      </c>
      <c r="S11" s="199" t="str">
        <f>IFERROR(IF($C11="","",SUMIFS(Database!AU:AU,Database!$AD:$AD,$C11,Database!$Z:$Z,LeagueTotals!$C$1)),"")</f>
        <v/>
      </c>
      <c r="T11" s="199" t="str">
        <f>IFERROR(IF($C11="","",SUMIFS(Database!AV:AV,Database!$AD:$AD,$C11,Database!$Z:$Z,LeagueTotals!$C$1)),"")</f>
        <v/>
      </c>
      <c r="U11" s="200" t="str">
        <f>IFERROR(IF($C11="","",$S11/$T11),"-")</f>
        <v/>
      </c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</row>
    <row r="12" spans="1:32" ht="15" customHeight="1" thickBot="1" x14ac:dyDescent="0.3">
      <c r="A12" s="187"/>
      <c r="B12" s="187"/>
      <c r="C12" s="207"/>
      <c r="D12" s="201" t="str">
        <f>IF($C12="","",COUNTIFS(Database!AD:AD,$C12,Database!$Z:$Z,$C$1))</f>
        <v/>
      </c>
      <c r="E12" s="201" t="str">
        <f>IFERROR(IF($C12="","",SUMIFS(Database!AG:AG,Database!$AD:$AD,$C12,Database!$Z:$Z,LeagueTotals!$C$1)),"")</f>
        <v/>
      </c>
      <c r="F12" s="201" t="str">
        <f>IFERROR(IF($C12="","",SUMIFS(Database!AH:AH,Database!$AD:$AD,$C12,Database!$Z:$Z,LeagueTotals!$C$1)),"")</f>
        <v/>
      </c>
      <c r="G12" s="201" t="str">
        <f>IFERROR(IF($C12="","",SUMIFS(Database!AI:AI,Database!$AD:$AD,$C12,Database!$Z:$Z,LeagueTotals!$C$1)),"")</f>
        <v/>
      </c>
      <c r="H12" s="201" t="str">
        <f>IFERROR(IF($C12="","",SUMIFS(Database!AJ:AJ,Database!$AD:$AD,$C12,Database!$Z:$Z,LeagueTotals!$C$1)),"")</f>
        <v/>
      </c>
      <c r="I12" s="201" t="str">
        <f>IFERROR(IF($C12="","",SUMIFS(Database!AK:AK,Database!$AD:$AD,$C12,Database!$Z:$Z,LeagueTotals!$C$1)),"")</f>
        <v/>
      </c>
      <c r="J12" s="201" t="str">
        <f>IFERROR(IF($C12="","",SUMIFS(Database!AL:AL,Database!$AD:$AD,$C12,Database!$Z:$Z,LeagueTotals!$C$1)),"")</f>
        <v/>
      </c>
      <c r="K12" s="201" t="str">
        <f>IFERROR(IF($C12="","",SUMIFS(Database!AM:AM,Database!$AD:$AD,$C12,Database!$Z:$Z,LeagueTotals!$C$1)),"")</f>
        <v/>
      </c>
      <c r="L12" s="201" t="str">
        <f>IFERROR(IF($C12="","",SUMIFS(Database!AN:AN,Database!$AD:$AD,$C12,Database!$Z:$Z,LeagueTotals!$C$1)),"")</f>
        <v/>
      </c>
      <c r="M12" s="201" t="str">
        <f>IFERROR(IF($C12="","",SUMIFS(Database!AO:AO,Database!$AD:$AD,$C12,Database!$Z:$Z,LeagueTotals!$C$1)),"")</f>
        <v/>
      </c>
      <c r="N12" s="201" t="str">
        <f>IFERROR(IF($C12="","",SUMIFS(Database!AP:AP,Database!$AD:$AD,$C12,Database!$Z:$Z,LeagueTotals!$C$1)),"")</f>
        <v/>
      </c>
      <c r="O12" s="202" t="str">
        <f>IFERROR(IF($C12="","",$M12/$N12),"-")</f>
        <v/>
      </c>
      <c r="P12" s="201" t="str">
        <f>IFERROR(IF($C12="","",SUMIFS(Database!AR:AR,Database!$AD:$AD,$C12,Database!$Z:$Z,LeagueTotals!$C$1)),"")</f>
        <v/>
      </c>
      <c r="Q12" s="201" t="str">
        <f>IFERROR(IF($C12="","",SUMIFS(Database!AS:AS,Database!$AD:$AD,$C12,Database!$Z:$Z,LeagueTotals!$C$1)),"")</f>
        <v/>
      </c>
      <c r="R12" s="202" t="str">
        <f>IFERROR(IF($C12="","",$P12/$Q12),"-")</f>
        <v/>
      </c>
      <c r="S12" s="201" t="str">
        <f>IFERROR(IF($C12="","",SUMIFS(Database!AU:AU,Database!$AD:$AD,$C12,Database!$Z:$Z,LeagueTotals!$C$1)),"")</f>
        <v/>
      </c>
      <c r="T12" s="201" t="str">
        <f>IFERROR(IF($C12="","",SUMIFS(Database!AV:AV,Database!$AD:$AD,$C12,Database!$Z:$Z,LeagueTotals!$C$1)),"")</f>
        <v/>
      </c>
      <c r="U12" s="202" t="str">
        <f>IFERROR(IF($C12="","",$S12/$T12),"-")</f>
        <v/>
      </c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</row>
    <row r="13" spans="1:32" ht="14.25" customHeight="1" thickTop="1" thickBot="1" x14ac:dyDescent="0.3">
      <c r="A13" s="187"/>
      <c r="B13" s="187"/>
      <c r="C13" s="203" t="s">
        <v>136</v>
      </c>
      <c r="D13" s="204">
        <f>MAX(D$11:D$12)-MIN(D$11:D$12)</f>
        <v>0</v>
      </c>
      <c r="E13" s="204">
        <f t="shared" ref="E13:U13" si="4">MAX(E$11:E$12)-MIN(E$11:E$12)</f>
        <v>0</v>
      </c>
      <c r="F13" s="204">
        <f t="shared" si="4"/>
        <v>0</v>
      </c>
      <c r="G13" s="204">
        <f t="shared" si="4"/>
        <v>0</v>
      </c>
      <c r="H13" s="204">
        <f t="shared" si="4"/>
        <v>0</v>
      </c>
      <c r="I13" s="204">
        <f t="shared" si="4"/>
        <v>0</v>
      </c>
      <c r="J13" s="204">
        <f t="shared" si="4"/>
        <v>0</v>
      </c>
      <c r="K13" s="204">
        <f t="shared" si="4"/>
        <v>0</v>
      </c>
      <c r="L13" s="204">
        <f t="shared" si="4"/>
        <v>0</v>
      </c>
      <c r="M13" s="204">
        <f t="shared" si="4"/>
        <v>0</v>
      </c>
      <c r="N13" s="204">
        <f t="shared" si="4"/>
        <v>0</v>
      </c>
      <c r="O13" s="205">
        <f t="shared" si="4"/>
        <v>0</v>
      </c>
      <c r="P13" s="204">
        <f t="shared" si="4"/>
        <v>0</v>
      </c>
      <c r="Q13" s="204">
        <f t="shared" si="4"/>
        <v>0</v>
      </c>
      <c r="R13" s="205">
        <f t="shared" si="4"/>
        <v>0</v>
      </c>
      <c r="S13" s="204">
        <f t="shared" si="4"/>
        <v>0</v>
      </c>
      <c r="T13" s="204">
        <f t="shared" si="4"/>
        <v>0</v>
      </c>
      <c r="U13" s="205">
        <f t="shared" si="4"/>
        <v>0</v>
      </c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</row>
    <row r="14" spans="1:32" x14ac:dyDescent="0.25">
      <c r="A14" s="187"/>
      <c r="B14" s="187"/>
      <c r="C14" s="198"/>
      <c r="D14" s="185" t="str">
        <f>IF($C14="","",COUNTIF(Database!AD:AD,$C14))</f>
        <v/>
      </c>
      <c r="E14" s="185" t="str">
        <f>IFERROR(IF($C14="","",SUMIFS(Database!AG:AG,Database!$AD:$AD,$C14)),"")</f>
        <v/>
      </c>
      <c r="F14" s="185" t="str">
        <f>IFERROR(IF($C14="","",SUMIFS(Database!AH:AH,Database!$AD:$AD,$C14)),"")</f>
        <v/>
      </c>
      <c r="G14" s="185" t="str">
        <f>IFERROR(IF($C14="","",SUMIFS(Database!AI:AI,Database!$AD:$AD,$C14)),"")</f>
        <v/>
      </c>
      <c r="H14" s="185" t="str">
        <f>IFERROR(IF($C14="","",SUMIFS(Database!AJ:AJ,Database!$AD:$AD,$C14)),"")</f>
        <v/>
      </c>
      <c r="I14" s="185" t="str">
        <f>IFERROR(IF($C14="","",SUMIFS(Database!AK:AK,Database!$AD:$AD,$C14)),"")</f>
        <v/>
      </c>
      <c r="J14" s="185" t="str">
        <f>IFERROR(IF($C14="","",SUMIFS(Database!AL:AL,Database!$AD:$AD,$C14)),"")</f>
        <v/>
      </c>
      <c r="K14" s="185" t="str">
        <f>IFERROR(IF($C14="","",SUMIFS(Database!AM:AM,Database!$AD:$AD,$C14)),"")</f>
        <v/>
      </c>
      <c r="L14" s="185" t="str">
        <f>IFERROR(IF($C14="","",SUMIFS(Database!AN:AN,Database!$AD:$AD,$C14)),"")</f>
        <v/>
      </c>
      <c r="M14" s="185" t="str">
        <f>IFERROR(IF($C14="","",SUMIFS(Database!AO:AO,Database!$AD:$AD,$C14)),"")</f>
        <v/>
      </c>
      <c r="N14" s="185" t="str">
        <f>IFERROR(IF($C14="","",SUMIFS(Database!AP:AP,Database!$AD:$AD,$C14)),"")</f>
        <v/>
      </c>
      <c r="O14" s="186" t="str">
        <f t="shared" si="1"/>
        <v/>
      </c>
      <c r="P14" s="185" t="str">
        <f>IFERROR(IF($C14="","",SUMIFS(Database!AR:AR,Database!$AD:$AD,$C14)),"")</f>
        <v/>
      </c>
      <c r="Q14" s="185" t="str">
        <f>IFERROR(IF($C14="","",SUMIFS(Database!AS:AS,Database!$AD:$AD,$C14)),"")</f>
        <v/>
      </c>
      <c r="R14" s="186" t="str">
        <f t="shared" si="2"/>
        <v/>
      </c>
      <c r="S14" s="185" t="str">
        <f>IFERROR(IF($C14="","",SUMIFS(Database!AU:AU,Database!$AD:$AD,$C14)),"")</f>
        <v/>
      </c>
      <c r="T14" s="185" t="str">
        <f>IFERROR(IF($C14="","",SUMIFS(Database!AV:AV,Database!$AD:$AD,$C14)),"")</f>
        <v/>
      </c>
      <c r="U14" s="186" t="str">
        <f t="shared" si="3"/>
        <v/>
      </c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</row>
    <row r="15" spans="1:32" x14ac:dyDescent="0.25">
      <c r="A15" s="187"/>
      <c r="B15" s="187"/>
      <c r="C15" s="145"/>
      <c r="D15" s="185" t="str">
        <f>IF($C15="","",COUNTIF(Database!AD:AD,$C15))</f>
        <v/>
      </c>
      <c r="E15" s="185" t="str">
        <f>IFERROR(IF($C15="","",SUMIFS(Database!AG:AG,Database!$AD:$AD,$C15)),"")</f>
        <v/>
      </c>
      <c r="F15" s="185" t="str">
        <f>IFERROR(IF($C15="","",SUMIFS(Database!AH:AH,Database!$AD:$AD,$C15)),"")</f>
        <v/>
      </c>
      <c r="G15" s="185" t="str">
        <f>IFERROR(IF($C15="","",SUMIFS(Database!AI:AI,Database!$AD:$AD,$C15)),"")</f>
        <v/>
      </c>
      <c r="H15" s="185" t="str">
        <f>IFERROR(IF($C15="","",SUMIFS(Database!AJ:AJ,Database!$AD:$AD,$C15)),"")</f>
        <v/>
      </c>
      <c r="I15" s="185" t="str">
        <f>IFERROR(IF($C15="","",SUMIFS(Database!AK:AK,Database!$AD:$AD,$C15)),"")</f>
        <v/>
      </c>
      <c r="J15" s="185" t="str">
        <f>IFERROR(IF($C15="","",SUMIFS(Database!AL:AL,Database!$AD:$AD,$C15)),"")</f>
        <v/>
      </c>
      <c r="K15" s="185" t="str">
        <f>IFERROR(IF($C15="","",SUMIFS(Database!AM:AM,Database!$AD:$AD,$C15)),"")</f>
        <v/>
      </c>
      <c r="L15" s="185" t="str">
        <f>IFERROR(IF($C15="","",SUMIFS(Database!AN:AN,Database!$AD:$AD,$C15)),"")</f>
        <v/>
      </c>
      <c r="M15" s="185" t="str">
        <f>IFERROR(IF($C15="","",SUMIFS(Database!AO:AO,Database!$AD:$AD,$C15)),"")</f>
        <v/>
      </c>
      <c r="N15" s="185" t="str">
        <f>IFERROR(IF($C15="","",SUMIFS(Database!AP:AP,Database!$AD:$AD,$C15)),"")</f>
        <v/>
      </c>
      <c r="O15" s="186" t="str">
        <f t="shared" si="1"/>
        <v/>
      </c>
      <c r="P15" s="185" t="str">
        <f>IFERROR(IF($C15="","",SUMIFS(Database!AR:AR,Database!$AD:$AD,$C15)),"")</f>
        <v/>
      </c>
      <c r="Q15" s="185" t="str">
        <f>IFERROR(IF($C15="","",SUMIFS(Database!AS:AS,Database!$AD:$AD,$C15)),"")</f>
        <v/>
      </c>
      <c r="R15" s="186" t="str">
        <f t="shared" si="2"/>
        <v/>
      </c>
      <c r="S15" s="185" t="str">
        <f>IFERROR(IF($C15="","",SUMIFS(Database!AU:AU,Database!$AD:$AD,$C15)),"")</f>
        <v/>
      </c>
      <c r="T15" s="185" t="str">
        <f>IFERROR(IF($C15="","",SUMIFS(Database!AV:AV,Database!$AD:$AD,$C15)),"")</f>
        <v/>
      </c>
      <c r="U15" s="186" t="str">
        <f t="shared" si="3"/>
        <v/>
      </c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</row>
    <row r="16" spans="1:32" x14ac:dyDescent="0.25">
      <c r="A16" s="187"/>
      <c r="B16" s="187"/>
      <c r="C16" s="145"/>
      <c r="D16" s="185" t="str">
        <f>IF($C16="","",COUNTIF(Database!AD:AD,$C16))</f>
        <v/>
      </c>
      <c r="E16" s="185" t="str">
        <f>IFERROR(IF($C16="","",SUMIFS(Database!AG:AG,Database!$AD:$AD,$C16)),"")</f>
        <v/>
      </c>
      <c r="F16" s="185" t="str">
        <f>IFERROR(IF($C16="","",SUMIFS(Database!AH:AH,Database!$AD:$AD,$C16)),"")</f>
        <v/>
      </c>
      <c r="G16" s="185" t="str">
        <f>IFERROR(IF($C16="","",SUMIFS(Database!AI:AI,Database!$AD:$AD,$C16)),"")</f>
        <v/>
      </c>
      <c r="H16" s="185" t="str">
        <f>IFERROR(IF($C16="","",SUMIFS(Database!AJ:AJ,Database!$AD:$AD,$C16)),"")</f>
        <v/>
      </c>
      <c r="I16" s="185" t="str">
        <f>IFERROR(IF($C16="","",SUMIFS(Database!AK:AK,Database!$AD:$AD,$C16)),"")</f>
        <v/>
      </c>
      <c r="J16" s="185" t="str">
        <f>IFERROR(IF($C16="","",SUMIFS(Database!AL:AL,Database!$AD:$AD,$C16)),"")</f>
        <v/>
      </c>
      <c r="K16" s="185" t="str">
        <f>IFERROR(IF($C16="","",SUMIFS(Database!AM:AM,Database!$AD:$AD,$C16)),"")</f>
        <v/>
      </c>
      <c r="L16" s="185" t="str">
        <f>IFERROR(IF($C16="","",SUMIFS(Database!AN:AN,Database!$AD:$AD,$C16)),"")</f>
        <v/>
      </c>
      <c r="M16" s="185" t="str">
        <f>IFERROR(IF($C16="","",SUMIFS(Database!AO:AO,Database!$AD:$AD,$C16)),"")</f>
        <v/>
      </c>
      <c r="N16" s="185" t="str">
        <f>IFERROR(IF($C16="","",SUMIFS(Database!AP:AP,Database!$AD:$AD,$C16)),"")</f>
        <v/>
      </c>
      <c r="O16" s="186" t="str">
        <f t="shared" si="1"/>
        <v/>
      </c>
      <c r="P16" s="185" t="str">
        <f>IFERROR(IF($C16="","",SUMIFS(Database!AR:AR,Database!$AD:$AD,$C16)),"")</f>
        <v/>
      </c>
      <c r="Q16" s="185" t="str">
        <f>IFERROR(IF($C16="","",SUMIFS(Database!AS:AS,Database!$AD:$AD,$C16)),"")</f>
        <v/>
      </c>
      <c r="R16" s="186" t="str">
        <f t="shared" si="2"/>
        <v/>
      </c>
      <c r="S16" s="185" t="str">
        <f>IFERROR(IF($C16="","",SUMIFS(Database!AU:AU,Database!$AD:$AD,$C16)),"")</f>
        <v/>
      </c>
      <c r="T16" s="185" t="str">
        <f>IFERROR(IF($C16="","",SUMIFS(Database!AV:AV,Database!$AD:$AD,$C16)),"")</f>
        <v/>
      </c>
      <c r="U16" s="186" t="str">
        <f t="shared" si="3"/>
        <v/>
      </c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</row>
    <row r="17" spans="1:32" x14ac:dyDescent="0.25">
      <c r="A17" s="187"/>
      <c r="B17" s="187"/>
      <c r="C17" s="145"/>
      <c r="D17" s="185" t="str">
        <f>IF($C17="","",COUNTIF(Database!AD:AD,$C17))</f>
        <v/>
      </c>
      <c r="E17" s="185" t="str">
        <f>IFERROR(IF($C17="","",SUMIFS(Database!AG:AG,Database!$AD:$AD,$C17)),"")</f>
        <v/>
      </c>
      <c r="F17" s="185" t="str">
        <f>IFERROR(IF($C17="","",SUMIFS(Database!AH:AH,Database!$AD:$AD,$C17)),"")</f>
        <v/>
      </c>
      <c r="G17" s="185" t="str">
        <f>IFERROR(IF($C17="","",SUMIFS(Database!AI:AI,Database!$AD:$AD,$C17)),"")</f>
        <v/>
      </c>
      <c r="H17" s="185" t="str">
        <f>IFERROR(IF($C17="","",SUMIFS(Database!AJ:AJ,Database!$AD:$AD,$C17)),"")</f>
        <v/>
      </c>
      <c r="I17" s="185" t="str">
        <f>IFERROR(IF($C17="","",SUMIFS(Database!AK:AK,Database!$AD:$AD,$C17)),"")</f>
        <v/>
      </c>
      <c r="J17" s="185" t="str">
        <f>IFERROR(IF($C17="","",SUMIFS(Database!AL:AL,Database!$AD:$AD,$C17)),"")</f>
        <v/>
      </c>
      <c r="K17" s="185" t="str">
        <f>IFERROR(IF($C17="","",SUMIFS(Database!AM:AM,Database!$AD:$AD,$C17)),"")</f>
        <v/>
      </c>
      <c r="L17" s="185" t="str">
        <f>IFERROR(IF($C17="","",SUMIFS(Database!AN:AN,Database!$AD:$AD,$C17)),"")</f>
        <v/>
      </c>
      <c r="M17" s="185" t="str">
        <f>IFERROR(IF($C17="","",SUMIFS(Database!AO:AO,Database!$AD:$AD,$C17)),"")</f>
        <v/>
      </c>
      <c r="N17" s="185" t="str">
        <f>IFERROR(IF($C17="","",SUMIFS(Database!AP:AP,Database!$AD:$AD,$C17)),"")</f>
        <v/>
      </c>
      <c r="O17" s="186" t="str">
        <f t="shared" si="1"/>
        <v/>
      </c>
      <c r="P17" s="185" t="str">
        <f>IFERROR(IF($C17="","",SUMIFS(Database!AR:AR,Database!$AD:$AD,$C17)),"")</f>
        <v/>
      </c>
      <c r="Q17" s="185" t="str">
        <f>IFERROR(IF($C17="","",SUMIFS(Database!AS:AS,Database!$AD:$AD,$C17)),"")</f>
        <v/>
      </c>
      <c r="R17" s="186" t="str">
        <f t="shared" si="2"/>
        <v/>
      </c>
      <c r="S17" s="185" t="str">
        <f>IFERROR(IF($C17="","",SUMIFS(Database!AU:AU,Database!$AD:$AD,$C17)),"")</f>
        <v/>
      </c>
      <c r="T17" s="185" t="str">
        <f>IFERROR(IF($C17="","",SUMIFS(Database!AV:AV,Database!$AD:$AD,$C17)),"")</f>
        <v/>
      </c>
      <c r="U17" s="186" t="str">
        <f t="shared" si="3"/>
        <v/>
      </c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</row>
    <row r="18" spans="1:32" x14ac:dyDescent="0.25">
      <c r="A18" s="187"/>
      <c r="B18" s="187"/>
      <c r="C18" s="145"/>
      <c r="D18" s="185" t="str">
        <f>IF($C18="","",COUNTIF(Database!AD:AD,$C18))</f>
        <v/>
      </c>
      <c r="E18" s="185" t="str">
        <f>IFERROR(IF($C18="","",SUMIFS(Database!AG:AG,Database!$AD:$AD,$C18)),"")</f>
        <v/>
      </c>
      <c r="F18" s="185" t="str">
        <f>IFERROR(IF($C18="","",SUMIFS(Database!AH:AH,Database!$AD:$AD,$C18)),"")</f>
        <v/>
      </c>
      <c r="G18" s="185" t="str">
        <f>IFERROR(IF($C18="","",SUMIFS(Database!AI:AI,Database!$AD:$AD,$C18)),"")</f>
        <v/>
      </c>
      <c r="H18" s="185" t="str">
        <f>IFERROR(IF($C18="","",SUMIFS(Database!AJ:AJ,Database!$AD:$AD,$C18)),"")</f>
        <v/>
      </c>
      <c r="I18" s="185" t="str">
        <f>IFERROR(IF($C18="","",SUMIFS(Database!AK:AK,Database!$AD:$AD,$C18)),"")</f>
        <v/>
      </c>
      <c r="J18" s="185" t="str">
        <f>IFERROR(IF($C18="","",SUMIFS(Database!AL:AL,Database!$AD:$AD,$C18)),"")</f>
        <v/>
      </c>
      <c r="K18" s="185" t="str">
        <f>IFERROR(IF($C18="","",SUMIFS(Database!AM:AM,Database!$AD:$AD,$C18)),"")</f>
        <v/>
      </c>
      <c r="L18" s="185" t="str">
        <f>IFERROR(IF($C18="","",SUMIFS(Database!AN:AN,Database!$AD:$AD,$C18)),"")</f>
        <v/>
      </c>
      <c r="M18" s="185" t="str">
        <f>IFERROR(IF($C18="","",SUMIFS(Database!AO:AO,Database!$AD:$AD,$C18)),"")</f>
        <v/>
      </c>
      <c r="N18" s="185" t="str">
        <f>IFERROR(IF($C18="","",SUMIFS(Database!AP:AP,Database!$AD:$AD,$C18)),"")</f>
        <v/>
      </c>
      <c r="O18" s="186" t="str">
        <f t="shared" si="1"/>
        <v/>
      </c>
      <c r="P18" s="185" t="str">
        <f>IFERROR(IF($C18="","",SUMIFS(Database!AR:AR,Database!$AD:$AD,$C18)),"")</f>
        <v/>
      </c>
      <c r="Q18" s="185" t="str">
        <f>IFERROR(IF($C18="","",SUMIFS(Database!AS:AS,Database!$AD:$AD,$C18)),"")</f>
        <v/>
      </c>
      <c r="R18" s="186" t="str">
        <f t="shared" si="2"/>
        <v/>
      </c>
      <c r="S18" s="185" t="str">
        <f>IFERROR(IF($C18="","",SUMIFS(Database!AU:AU,Database!$AD:$AD,$C18)),"")</f>
        <v/>
      </c>
      <c r="T18" s="185" t="str">
        <f>IFERROR(IF($C18="","",SUMIFS(Database!AV:AV,Database!$AD:$AD,$C18)),"")</f>
        <v/>
      </c>
      <c r="U18" s="186" t="str">
        <f t="shared" si="3"/>
        <v/>
      </c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</row>
    <row r="19" spans="1:32" x14ac:dyDescent="0.25">
      <c r="A19" s="187"/>
      <c r="B19" s="187"/>
      <c r="C19" s="145"/>
      <c r="D19" s="185" t="str">
        <f>IF($C19="","",COUNTIF(Database!AD:AD,$C19))</f>
        <v/>
      </c>
      <c r="E19" s="185" t="str">
        <f>IFERROR(IF($C19="","",SUMIFS(Database!AG:AG,Database!$AD:$AD,$C19)),"")</f>
        <v/>
      </c>
      <c r="F19" s="185" t="str">
        <f>IFERROR(IF($C19="","",SUMIFS(Database!AH:AH,Database!$AD:$AD,$C19)),"")</f>
        <v/>
      </c>
      <c r="G19" s="185" t="str">
        <f>IFERROR(IF($C19="","",SUMIFS(Database!AI:AI,Database!$AD:$AD,$C19)),"")</f>
        <v/>
      </c>
      <c r="H19" s="185" t="str">
        <f>IFERROR(IF($C19="","",SUMIFS(Database!AJ:AJ,Database!$AD:$AD,$C19)),"")</f>
        <v/>
      </c>
      <c r="I19" s="185" t="str">
        <f>IFERROR(IF($C19="","",SUMIFS(Database!AK:AK,Database!$AD:$AD,$C19)),"")</f>
        <v/>
      </c>
      <c r="J19" s="185" t="str">
        <f>IFERROR(IF($C19="","",SUMIFS(Database!AL:AL,Database!$AD:$AD,$C19)),"")</f>
        <v/>
      </c>
      <c r="K19" s="185" t="str">
        <f>IFERROR(IF($C19="","",SUMIFS(Database!AM:AM,Database!$AD:$AD,$C19)),"")</f>
        <v/>
      </c>
      <c r="L19" s="185" t="str">
        <f>IFERROR(IF($C19="","",SUMIFS(Database!AN:AN,Database!$AD:$AD,$C19)),"")</f>
        <v/>
      </c>
      <c r="M19" s="185" t="str">
        <f>IFERROR(IF($C19="","",SUMIFS(Database!AO:AO,Database!$AD:$AD,$C19)),"")</f>
        <v/>
      </c>
      <c r="N19" s="185" t="str">
        <f>IFERROR(IF($C19="","",SUMIFS(Database!AP:AP,Database!$AD:$AD,$C19)),"")</f>
        <v/>
      </c>
      <c r="O19" s="186" t="str">
        <f t="shared" si="1"/>
        <v/>
      </c>
      <c r="P19" s="185" t="str">
        <f>IFERROR(IF($C19="","",SUMIFS(Database!AR:AR,Database!$AD:$AD,$C19)),"")</f>
        <v/>
      </c>
      <c r="Q19" s="185" t="str">
        <f>IFERROR(IF($C19="","",SUMIFS(Database!AS:AS,Database!$AD:$AD,$C19)),"")</f>
        <v/>
      </c>
      <c r="R19" s="186" t="str">
        <f t="shared" si="2"/>
        <v/>
      </c>
      <c r="S19" s="185" t="str">
        <f>IFERROR(IF($C19="","",SUMIFS(Database!AU:AU,Database!$AD:$AD,$C19)),"")</f>
        <v/>
      </c>
      <c r="T19" s="185" t="str">
        <f>IFERROR(IF($C19="","",SUMIFS(Database!AV:AV,Database!$AD:$AD,$C19)),"")</f>
        <v/>
      </c>
      <c r="U19" s="186" t="str">
        <f t="shared" si="3"/>
        <v/>
      </c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</row>
    <row r="20" spans="1:32" x14ac:dyDescent="0.25">
      <c r="A20" s="187"/>
      <c r="B20" s="187"/>
      <c r="C20" s="145"/>
      <c r="D20" s="185" t="str">
        <f>IF($C20="","",COUNTIF(Database!AD:AD,$C20))</f>
        <v/>
      </c>
      <c r="E20" s="185" t="str">
        <f>IFERROR(IF($C20="","",SUMIFS(Database!AG:AG,Database!$AD:$AD,$C20)),"")</f>
        <v/>
      </c>
      <c r="F20" s="185" t="str">
        <f>IFERROR(IF($C20="","",SUMIFS(Database!AH:AH,Database!$AD:$AD,$C20)),"")</f>
        <v/>
      </c>
      <c r="G20" s="185" t="str">
        <f>IFERROR(IF($C20="","",SUMIFS(Database!AI:AI,Database!$AD:$AD,$C20)),"")</f>
        <v/>
      </c>
      <c r="H20" s="185" t="str">
        <f>IFERROR(IF($C20="","",SUMIFS(Database!AJ:AJ,Database!$AD:$AD,$C20)),"")</f>
        <v/>
      </c>
      <c r="I20" s="185" t="str">
        <f>IFERROR(IF($C20="","",SUMIFS(Database!AK:AK,Database!$AD:$AD,$C20)),"")</f>
        <v/>
      </c>
      <c r="J20" s="185" t="str">
        <f>IFERROR(IF($C20="","",SUMIFS(Database!AL:AL,Database!$AD:$AD,$C20)),"")</f>
        <v/>
      </c>
      <c r="K20" s="185" t="str">
        <f>IFERROR(IF($C20="","",SUMIFS(Database!AM:AM,Database!$AD:$AD,$C20)),"")</f>
        <v/>
      </c>
      <c r="L20" s="185" t="str">
        <f>IFERROR(IF($C20="","",SUMIFS(Database!AN:AN,Database!$AD:$AD,$C20)),"")</f>
        <v/>
      </c>
      <c r="M20" s="185" t="str">
        <f>IFERROR(IF($C20="","",SUMIFS(Database!AO:AO,Database!$AD:$AD,$C20)),"")</f>
        <v/>
      </c>
      <c r="N20" s="185" t="str">
        <f>IFERROR(IF($C20="","",SUMIFS(Database!AP:AP,Database!$AD:$AD,$C20)),"")</f>
        <v/>
      </c>
      <c r="O20" s="186" t="str">
        <f t="shared" si="1"/>
        <v/>
      </c>
      <c r="P20" s="185" t="str">
        <f>IFERROR(IF($C20="","",SUMIFS(Database!AR:AR,Database!$AD:$AD,$C20)),"")</f>
        <v/>
      </c>
      <c r="Q20" s="185" t="str">
        <f>IFERROR(IF($C20="","",SUMIFS(Database!AS:AS,Database!$AD:$AD,$C20)),"")</f>
        <v/>
      </c>
      <c r="R20" s="186" t="str">
        <f t="shared" si="2"/>
        <v/>
      </c>
      <c r="S20" s="185" t="str">
        <f>IFERROR(IF($C20="","",SUMIFS(Database!AU:AU,Database!$AD:$AD,$C20)),"")</f>
        <v/>
      </c>
      <c r="T20" s="185" t="str">
        <f>IFERROR(IF($C20="","",SUMIFS(Database!AV:AV,Database!$AD:$AD,$C20)),"")</f>
        <v/>
      </c>
      <c r="U20" s="186" t="str">
        <f t="shared" si="3"/>
        <v/>
      </c>
      <c r="V20" s="187"/>
      <c r="W20" s="187"/>
      <c r="X20" s="187"/>
      <c r="Y20" s="187"/>
      <c r="Z20" s="187"/>
      <c r="AA20" s="187"/>
      <c r="AB20" s="187"/>
      <c r="AC20" s="187"/>
      <c r="AD20" s="187"/>
      <c r="AE20" s="187"/>
      <c r="AF20" s="187"/>
    </row>
    <row r="21" spans="1:32" x14ac:dyDescent="0.25">
      <c r="A21" s="187"/>
      <c r="B21" s="187"/>
      <c r="C21" s="145"/>
      <c r="D21" s="185" t="str">
        <f>IF($C21="","",COUNTIF(Database!AD:AD,$C21))</f>
        <v/>
      </c>
      <c r="E21" s="185" t="str">
        <f>IFERROR(IF($C21="","",SUMIFS(Database!AG:AG,Database!$AD:$AD,$C21)),"")</f>
        <v/>
      </c>
      <c r="F21" s="185" t="str">
        <f>IFERROR(IF($C21="","",SUMIFS(Database!AH:AH,Database!$AD:$AD,$C21)),"")</f>
        <v/>
      </c>
      <c r="G21" s="185" t="str">
        <f>IFERROR(IF($C21="","",SUMIFS(Database!AI:AI,Database!$AD:$AD,$C21)),"")</f>
        <v/>
      </c>
      <c r="H21" s="185" t="str">
        <f>IFERROR(IF($C21="","",SUMIFS(Database!AJ:AJ,Database!$AD:$AD,$C21)),"")</f>
        <v/>
      </c>
      <c r="I21" s="185" t="str">
        <f>IFERROR(IF($C21="","",SUMIFS(Database!AK:AK,Database!$AD:$AD,$C21)),"")</f>
        <v/>
      </c>
      <c r="J21" s="185" t="str">
        <f>IFERROR(IF($C21="","",SUMIFS(Database!AL:AL,Database!$AD:$AD,$C21)),"")</f>
        <v/>
      </c>
      <c r="K21" s="185" t="str">
        <f>IFERROR(IF($C21="","",SUMIFS(Database!AM:AM,Database!$AD:$AD,$C21)),"")</f>
        <v/>
      </c>
      <c r="L21" s="185" t="str">
        <f>IFERROR(IF($C21="","",SUMIFS(Database!AN:AN,Database!$AD:$AD,$C21)),"")</f>
        <v/>
      </c>
      <c r="M21" s="185" t="str">
        <f>IFERROR(IF($C21="","",SUMIFS(Database!AO:AO,Database!$AD:$AD,$C21)),"")</f>
        <v/>
      </c>
      <c r="N21" s="185" t="str">
        <f>IFERROR(IF($C21="","",SUMIFS(Database!AP:AP,Database!$AD:$AD,$C21)),"")</f>
        <v/>
      </c>
      <c r="O21" s="186" t="str">
        <f t="shared" si="1"/>
        <v/>
      </c>
      <c r="P21" s="185" t="str">
        <f>IFERROR(IF($C21="","",SUMIFS(Database!AR:AR,Database!$AD:$AD,$C21)),"")</f>
        <v/>
      </c>
      <c r="Q21" s="185" t="str">
        <f>IFERROR(IF($C21="","",SUMIFS(Database!AS:AS,Database!$AD:$AD,$C21)),"")</f>
        <v/>
      </c>
      <c r="R21" s="186" t="str">
        <f t="shared" si="2"/>
        <v/>
      </c>
      <c r="S21" s="185" t="str">
        <f>IFERROR(IF($C21="","",SUMIFS(Database!AU:AU,Database!$AD:$AD,$C21)),"")</f>
        <v/>
      </c>
      <c r="T21" s="185" t="str">
        <f>IFERROR(IF($C21="","",SUMIFS(Database!AV:AV,Database!$AD:$AD,$C21)),"")</f>
        <v/>
      </c>
      <c r="U21" s="186" t="str">
        <f t="shared" si="3"/>
        <v/>
      </c>
      <c r="V21" s="187"/>
      <c r="W21" s="187"/>
      <c r="X21" s="187"/>
      <c r="Y21" s="187"/>
      <c r="Z21" s="187"/>
      <c r="AA21" s="187"/>
      <c r="AB21" s="187"/>
      <c r="AC21" s="187"/>
      <c r="AD21" s="187"/>
      <c r="AE21" s="187"/>
      <c r="AF21" s="187"/>
    </row>
    <row r="22" spans="1:32" x14ac:dyDescent="0.25">
      <c r="A22" s="187"/>
      <c r="B22" s="187"/>
      <c r="C22" s="145"/>
      <c r="D22" s="185" t="str">
        <f>IF($C22="","",COUNTIF(Database!AD:AD,$C22))</f>
        <v/>
      </c>
      <c r="E22" s="185" t="str">
        <f>IFERROR(IF($C22="","",SUMIFS(Database!AG:AG,Database!$AD:$AD,$C22)),"")</f>
        <v/>
      </c>
      <c r="F22" s="185" t="str">
        <f>IFERROR(IF($C22="","",SUMIFS(Database!AH:AH,Database!$AD:$AD,$C22)),"")</f>
        <v/>
      </c>
      <c r="G22" s="185" t="str">
        <f>IFERROR(IF($C22="","",SUMIFS(Database!AI:AI,Database!$AD:$AD,$C22)),"")</f>
        <v/>
      </c>
      <c r="H22" s="185" t="str">
        <f>IFERROR(IF($C22="","",SUMIFS(Database!AJ:AJ,Database!$AD:$AD,$C22)),"")</f>
        <v/>
      </c>
      <c r="I22" s="185" t="str">
        <f>IFERROR(IF($C22="","",SUMIFS(Database!AK:AK,Database!$AD:$AD,$C22)),"")</f>
        <v/>
      </c>
      <c r="J22" s="185" t="str">
        <f>IFERROR(IF($C22="","",SUMIFS(Database!AL:AL,Database!$AD:$AD,$C22)),"")</f>
        <v/>
      </c>
      <c r="K22" s="185" t="str">
        <f>IFERROR(IF($C22="","",SUMIFS(Database!AM:AM,Database!$AD:$AD,$C22)),"")</f>
        <v/>
      </c>
      <c r="L22" s="185" t="str">
        <f>IFERROR(IF($C22="","",SUMIFS(Database!AN:AN,Database!$AD:$AD,$C22)),"")</f>
        <v/>
      </c>
      <c r="M22" s="185" t="str">
        <f>IFERROR(IF($C22="","",SUMIFS(Database!AO:AO,Database!$AD:$AD,$C22)),"")</f>
        <v/>
      </c>
      <c r="N22" s="185" t="str">
        <f>IFERROR(IF($C22="","",SUMIFS(Database!AP:AP,Database!$AD:$AD,$C22)),"")</f>
        <v/>
      </c>
      <c r="O22" s="186" t="str">
        <f t="shared" si="1"/>
        <v/>
      </c>
      <c r="P22" s="185" t="str">
        <f>IFERROR(IF($C22="","",SUMIFS(Database!AR:AR,Database!$AD:$AD,$C22)),"")</f>
        <v/>
      </c>
      <c r="Q22" s="185" t="str">
        <f>IFERROR(IF($C22="","",SUMIFS(Database!AS:AS,Database!$AD:$AD,$C22)),"")</f>
        <v/>
      </c>
      <c r="R22" s="186" t="str">
        <f t="shared" si="2"/>
        <v/>
      </c>
      <c r="S22" s="185" t="str">
        <f>IFERROR(IF($C22="","",SUMIFS(Database!AU:AU,Database!$AD:$AD,$C22)),"")</f>
        <v/>
      </c>
      <c r="T22" s="185" t="str">
        <f>IFERROR(IF($C22="","",SUMIFS(Database!AV:AV,Database!$AD:$AD,$C22)),"")</f>
        <v/>
      </c>
      <c r="U22" s="186" t="str">
        <f t="shared" si="3"/>
        <v/>
      </c>
      <c r="V22" s="187"/>
      <c r="W22" s="187"/>
      <c r="X22" s="187"/>
      <c r="Y22" s="187"/>
      <c r="Z22" s="187"/>
      <c r="AA22" s="187"/>
      <c r="AB22" s="187"/>
      <c r="AC22" s="187"/>
      <c r="AD22" s="187"/>
      <c r="AE22" s="187"/>
      <c r="AF22" s="187"/>
    </row>
    <row r="23" spans="1:32" x14ac:dyDescent="0.25">
      <c r="A23" s="187"/>
      <c r="B23" s="187"/>
      <c r="C23" s="145"/>
      <c r="D23" s="185" t="str">
        <f>IF($C23="","",COUNTIF(Database!AD:AD,$C23))</f>
        <v/>
      </c>
      <c r="E23" s="185" t="str">
        <f>IFERROR(IF($C23="","",SUMIFS(Database!AG:AG,Database!$AD:$AD,$C23)),"")</f>
        <v/>
      </c>
      <c r="F23" s="185" t="str">
        <f>IFERROR(IF($C23="","",SUMIFS(Database!AH:AH,Database!$AD:$AD,$C23)),"")</f>
        <v/>
      </c>
      <c r="G23" s="185" t="str">
        <f>IFERROR(IF($C23="","",SUMIFS(Database!AI:AI,Database!$AD:$AD,$C23)),"")</f>
        <v/>
      </c>
      <c r="H23" s="185" t="str">
        <f>IFERROR(IF($C23="","",SUMIFS(Database!AJ:AJ,Database!$AD:$AD,$C23)),"")</f>
        <v/>
      </c>
      <c r="I23" s="185" t="str">
        <f>IFERROR(IF($C23="","",SUMIFS(Database!AK:AK,Database!$AD:$AD,$C23)),"")</f>
        <v/>
      </c>
      <c r="J23" s="185" t="str">
        <f>IFERROR(IF($C23="","",SUMIFS(Database!AL:AL,Database!$AD:$AD,$C23)),"")</f>
        <v/>
      </c>
      <c r="K23" s="185" t="str">
        <f>IFERROR(IF($C23="","",SUMIFS(Database!AM:AM,Database!$AD:$AD,$C23)),"")</f>
        <v/>
      </c>
      <c r="L23" s="185" t="str">
        <f>IFERROR(IF($C23="","",SUMIFS(Database!AN:AN,Database!$AD:$AD,$C23)),"")</f>
        <v/>
      </c>
      <c r="M23" s="185" t="str">
        <f>IFERROR(IF($C23="","",SUMIFS(Database!AO:AO,Database!$AD:$AD,$C23)),"")</f>
        <v/>
      </c>
      <c r="N23" s="185" t="str">
        <f>IFERROR(IF($C23="","",SUMIFS(Database!AP:AP,Database!$AD:$AD,$C23)),"")</f>
        <v/>
      </c>
      <c r="O23" s="186" t="str">
        <f t="shared" si="1"/>
        <v/>
      </c>
      <c r="P23" s="185" t="str">
        <f>IFERROR(IF($C23="","",SUMIFS(Database!AR:AR,Database!$AD:$AD,$C23)),"")</f>
        <v/>
      </c>
      <c r="Q23" s="185" t="str">
        <f>IFERROR(IF($C23="","",SUMIFS(Database!AS:AS,Database!$AD:$AD,$C23)),"")</f>
        <v/>
      </c>
      <c r="R23" s="186" t="str">
        <f t="shared" si="2"/>
        <v/>
      </c>
      <c r="S23" s="185" t="str">
        <f>IFERROR(IF($C23="","",SUMIFS(Database!AU:AU,Database!$AD:$AD,$C23)),"")</f>
        <v/>
      </c>
      <c r="T23" s="185" t="str">
        <f>IFERROR(IF($C23="","",SUMIFS(Database!AV:AV,Database!$AD:$AD,$C23)),"")</f>
        <v/>
      </c>
      <c r="U23" s="186" t="str">
        <f t="shared" si="3"/>
        <v/>
      </c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</row>
    <row r="24" spans="1:32" x14ac:dyDescent="0.25">
      <c r="A24" s="187"/>
      <c r="B24" s="187"/>
      <c r="C24" s="145"/>
      <c r="D24" s="185" t="str">
        <f>IF($C24="","",COUNTIF(Database!AD:AD,$C24))</f>
        <v/>
      </c>
      <c r="E24" s="185" t="str">
        <f>IFERROR(IF($C24="","",SUMIFS(Database!AG:AG,Database!$AD:$AD,$C24)),"")</f>
        <v/>
      </c>
      <c r="F24" s="185" t="str">
        <f>IFERROR(IF($C24="","",SUMIFS(Database!AH:AH,Database!$AD:$AD,$C24)),"")</f>
        <v/>
      </c>
      <c r="G24" s="185" t="str">
        <f>IFERROR(IF($C24="","",SUMIFS(Database!AI:AI,Database!$AD:$AD,$C24)),"")</f>
        <v/>
      </c>
      <c r="H24" s="185" t="str">
        <f>IFERROR(IF($C24="","",SUMIFS(Database!AJ:AJ,Database!$AD:$AD,$C24)),"")</f>
        <v/>
      </c>
      <c r="I24" s="185" t="str">
        <f>IFERROR(IF($C24="","",SUMIFS(Database!AK:AK,Database!$AD:$AD,$C24)),"")</f>
        <v/>
      </c>
      <c r="J24" s="185" t="str">
        <f>IFERROR(IF($C24="","",SUMIFS(Database!AL:AL,Database!$AD:$AD,$C24)),"")</f>
        <v/>
      </c>
      <c r="K24" s="185" t="str">
        <f>IFERROR(IF($C24="","",SUMIFS(Database!AM:AM,Database!$AD:$AD,$C24)),"")</f>
        <v/>
      </c>
      <c r="L24" s="185" t="str">
        <f>IFERROR(IF($C24="","",SUMIFS(Database!AN:AN,Database!$AD:$AD,$C24)),"")</f>
        <v/>
      </c>
      <c r="M24" s="185" t="str">
        <f>IFERROR(IF($C24="","",SUMIFS(Database!AO:AO,Database!$AD:$AD,$C24)),"")</f>
        <v/>
      </c>
      <c r="N24" s="185" t="str">
        <f>IFERROR(IF($C24="","",SUMIFS(Database!AP:AP,Database!$AD:$AD,$C24)),"")</f>
        <v/>
      </c>
      <c r="O24" s="186" t="str">
        <f t="shared" si="1"/>
        <v/>
      </c>
      <c r="P24" s="185" t="str">
        <f>IFERROR(IF($C24="","",SUMIFS(Database!AR:AR,Database!$AD:$AD,$C24)),"")</f>
        <v/>
      </c>
      <c r="Q24" s="185" t="str">
        <f>IFERROR(IF($C24="","",SUMIFS(Database!AS:AS,Database!$AD:$AD,$C24)),"")</f>
        <v/>
      </c>
      <c r="R24" s="186" t="str">
        <f t="shared" si="2"/>
        <v/>
      </c>
      <c r="S24" s="185" t="str">
        <f>IFERROR(IF($C24="","",SUMIFS(Database!AU:AU,Database!$AD:$AD,$C24)),"")</f>
        <v/>
      </c>
      <c r="T24" s="185" t="str">
        <f>IFERROR(IF($C24="","",SUMIFS(Database!AV:AV,Database!$AD:$AD,$C24)),"")</f>
        <v/>
      </c>
      <c r="U24" s="186" t="str">
        <f t="shared" si="3"/>
        <v/>
      </c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</row>
    <row r="25" spans="1:32" x14ac:dyDescent="0.25">
      <c r="A25" s="187"/>
      <c r="B25" s="187"/>
      <c r="C25" s="145"/>
      <c r="D25" s="185" t="str">
        <f>IF($C25="","",COUNTIF(Database!AD:AD,$C25))</f>
        <v/>
      </c>
      <c r="E25" s="185" t="str">
        <f>IFERROR(IF($C25="","",SUMIFS(Database!AG:AG,Database!$AD:$AD,$C25)),"")</f>
        <v/>
      </c>
      <c r="F25" s="185" t="str">
        <f>IFERROR(IF($C25="","",SUMIFS(Database!AH:AH,Database!$AD:$AD,$C25)),"")</f>
        <v/>
      </c>
      <c r="G25" s="185" t="str">
        <f>IFERROR(IF($C25="","",SUMIFS(Database!AI:AI,Database!$AD:$AD,$C25)),"")</f>
        <v/>
      </c>
      <c r="H25" s="185" t="str">
        <f>IFERROR(IF($C25="","",SUMIFS(Database!AJ:AJ,Database!$AD:$AD,$C25)),"")</f>
        <v/>
      </c>
      <c r="I25" s="185" t="str">
        <f>IFERROR(IF($C25="","",SUMIFS(Database!AK:AK,Database!$AD:$AD,$C25)),"")</f>
        <v/>
      </c>
      <c r="J25" s="185" t="str">
        <f>IFERROR(IF($C25="","",SUMIFS(Database!AL:AL,Database!$AD:$AD,$C25)),"")</f>
        <v/>
      </c>
      <c r="K25" s="185" t="str">
        <f>IFERROR(IF($C25="","",SUMIFS(Database!AM:AM,Database!$AD:$AD,$C25)),"")</f>
        <v/>
      </c>
      <c r="L25" s="185" t="str">
        <f>IFERROR(IF($C25="","",SUMIFS(Database!AN:AN,Database!$AD:$AD,$C25)),"")</f>
        <v/>
      </c>
      <c r="M25" s="185" t="str">
        <f>IFERROR(IF($C25="","",SUMIFS(Database!AO:AO,Database!$AD:$AD,$C25)),"")</f>
        <v/>
      </c>
      <c r="N25" s="185" t="str">
        <f>IFERROR(IF($C25="","",SUMIFS(Database!AP:AP,Database!$AD:$AD,$C25)),"")</f>
        <v/>
      </c>
      <c r="O25" s="186" t="str">
        <f t="shared" si="1"/>
        <v/>
      </c>
      <c r="P25" s="185" t="str">
        <f>IFERROR(IF($C25="","",SUMIFS(Database!AR:AR,Database!$AD:$AD,$C25)),"")</f>
        <v/>
      </c>
      <c r="Q25" s="185" t="str">
        <f>IFERROR(IF($C25="","",SUMIFS(Database!AS:AS,Database!$AD:$AD,$C25)),"")</f>
        <v/>
      </c>
      <c r="R25" s="186" t="str">
        <f t="shared" si="2"/>
        <v/>
      </c>
      <c r="S25" s="185" t="str">
        <f>IFERROR(IF($C25="","",SUMIFS(Database!AU:AU,Database!$AD:$AD,$C25)),"")</f>
        <v/>
      </c>
      <c r="T25" s="185" t="str">
        <f>IFERROR(IF($C25="","",SUMIFS(Database!AV:AV,Database!$AD:$AD,$C25)),"")</f>
        <v/>
      </c>
      <c r="U25" s="186" t="str">
        <f t="shared" si="3"/>
        <v/>
      </c>
      <c r="V25" s="187"/>
      <c r="W25" s="187"/>
      <c r="X25" s="187"/>
      <c r="Y25" s="187"/>
      <c r="Z25" s="187"/>
      <c r="AA25" s="187"/>
      <c r="AB25" s="187"/>
      <c r="AC25" s="187"/>
      <c r="AD25" s="187"/>
      <c r="AE25" s="187"/>
      <c r="AF25" s="187"/>
    </row>
    <row r="26" spans="1:32" x14ac:dyDescent="0.25">
      <c r="A26" s="187"/>
      <c r="B26" s="187"/>
      <c r="C26" s="145"/>
      <c r="D26" s="185" t="str">
        <f>IF($C26="","",COUNTIF(Database!AD:AD,$C26))</f>
        <v/>
      </c>
      <c r="E26" s="185" t="str">
        <f>IFERROR(IF($C26="","",SUMIFS(Database!AG:AG,Database!$AD:$AD,$C26)),"")</f>
        <v/>
      </c>
      <c r="F26" s="185" t="str">
        <f>IFERROR(IF($C26="","",SUMIFS(Database!AH:AH,Database!$AD:$AD,$C26)),"")</f>
        <v/>
      </c>
      <c r="G26" s="185" t="str">
        <f>IFERROR(IF($C26="","",SUMIFS(Database!AI:AI,Database!$AD:$AD,$C26)),"")</f>
        <v/>
      </c>
      <c r="H26" s="185" t="str">
        <f>IFERROR(IF($C26="","",SUMIFS(Database!AJ:AJ,Database!$AD:$AD,$C26)),"")</f>
        <v/>
      </c>
      <c r="I26" s="185" t="str">
        <f>IFERROR(IF($C26="","",SUMIFS(Database!AK:AK,Database!$AD:$AD,$C26)),"")</f>
        <v/>
      </c>
      <c r="J26" s="185" t="str">
        <f>IFERROR(IF($C26="","",SUMIFS(Database!AL:AL,Database!$AD:$AD,$C26)),"")</f>
        <v/>
      </c>
      <c r="K26" s="185" t="str">
        <f>IFERROR(IF($C26="","",SUMIFS(Database!AM:AM,Database!$AD:$AD,$C26)),"")</f>
        <v/>
      </c>
      <c r="L26" s="185" t="str">
        <f>IFERROR(IF($C26="","",SUMIFS(Database!AN:AN,Database!$AD:$AD,$C26)),"")</f>
        <v/>
      </c>
      <c r="M26" s="185" t="str">
        <f>IFERROR(IF($C26="","",SUMIFS(Database!AO:AO,Database!$AD:$AD,$C26)),"")</f>
        <v/>
      </c>
      <c r="N26" s="185" t="str">
        <f>IFERROR(IF($C26="","",SUMIFS(Database!AP:AP,Database!$AD:$AD,$C26)),"")</f>
        <v/>
      </c>
      <c r="O26" s="186" t="str">
        <f t="shared" si="1"/>
        <v/>
      </c>
      <c r="P26" s="185" t="str">
        <f>IFERROR(IF($C26="","",SUMIFS(Database!AR:AR,Database!$AD:$AD,$C26)),"")</f>
        <v/>
      </c>
      <c r="Q26" s="185" t="str">
        <f>IFERROR(IF($C26="","",SUMIFS(Database!AS:AS,Database!$AD:$AD,$C26)),"")</f>
        <v/>
      </c>
      <c r="R26" s="186" t="str">
        <f t="shared" si="2"/>
        <v/>
      </c>
      <c r="S26" s="185" t="str">
        <f>IFERROR(IF($C26="","",SUMIFS(Database!AU:AU,Database!$AD:$AD,$C26)),"")</f>
        <v/>
      </c>
      <c r="T26" s="185" t="str">
        <f>IFERROR(IF($C26="","",SUMIFS(Database!AV:AV,Database!$AD:$AD,$C26)),"")</f>
        <v/>
      </c>
      <c r="U26" s="186" t="str">
        <f t="shared" si="3"/>
        <v/>
      </c>
      <c r="V26" s="187"/>
      <c r="W26" s="187"/>
      <c r="X26" s="187"/>
      <c r="Y26" s="187"/>
      <c r="Z26" s="187"/>
      <c r="AA26" s="187"/>
      <c r="AB26" s="187"/>
      <c r="AC26" s="187"/>
      <c r="AD26" s="187"/>
      <c r="AE26" s="187"/>
      <c r="AF26" s="187"/>
    </row>
    <row r="27" spans="1:32" x14ac:dyDescent="0.25">
      <c r="A27" s="187"/>
      <c r="B27" s="187"/>
      <c r="C27" s="145"/>
      <c r="D27" s="185" t="str">
        <f>IF($C27="","",COUNTIF(Database!AD:AD,$C27))</f>
        <v/>
      </c>
      <c r="E27" s="185" t="str">
        <f>IFERROR(IF($C27="","",SUMIFS(Database!AG:AG,Database!$AD:$AD,$C27)),"")</f>
        <v/>
      </c>
      <c r="F27" s="185" t="str">
        <f>IFERROR(IF($C27="","",SUMIFS(Database!AH:AH,Database!$AD:$AD,$C27)),"")</f>
        <v/>
      </c>
      <c r="G27" s="185" t="str">
        <f>IFERROR(IF($C27="","",SUMIFS(Database!AI:AI,Database!$AD:$AD,$C27)),"")</f>
        <v/>
      </c>
      <c r="H27" s="185" t="str">
        <f>IFERROR(IF($C27="","",SUMIFS(Database!AJ:AJ,Database!$AD:$AD,$C27)),"")</f>
        <v/>
      </c>
      <c r="I27" s="185" t="str">
        <f>IFERROR(IF($C27="","",SUMIFS(Database!AK:AK,Database!$AD:$AD,$C27)),"")</f>
        <v/>
      </c>
      <c r="J27" s="185" t="str">
        <f>IFERROR(IF($C27="","",SUMIFS(Database!AL:AL,Database!$AD:$AD,$C27)),"")</f>
        <v/>
      </c>
      <c r="K27" s="185" t="str">
        <f>IFERROR(IF($C27="","",SUMIFS(Database!AM:AM,Database!$AD:$AD,$C27)),"")</f>
        <v/>
      </c>
      <c r="L27" s="185" t="str">
        <f>IFERROR(IF($C27="","",SUMIFS(Database!AN:AN,Database!$AD:$AD,$C27)),"")</f>
        <v/>
      </c>
      <c r="M27" s="185" t="str">
        <f>IFERROR(IF($C27="","",SUMIFS(Database!AO:AO,Database!$AD:$AD,$C27)),"")</f>
        <v/>
      </c>
      <c r="N27" s="185" t="str">
        <f>IFERROR(IF($C27="","",SUMIFS(Database!AP:AP,Database!$AD:$AD,$C27)),"")</f>
        <v/>
      </c>
      <c r="O27" s="186" t="str">
        <f t="shared" si="1"/>
        <v/>
      </c>
      <c r="P27" s="185" t="str">
        <f>IFERROR(IF($C27="","",SUMIFS(Database!AR:AR,Database!$AD:$AD,$C27)),"")</f>
        <v/>
      </c>
      <c r="Q27" s="185" t="str">
        <f>IFERROR(IF($C27="","",SUMIFS(Database!AS:AS,Database!$AD:$AD,$C27)),"")</f>
        <v/>
      </c>
      <c r="R27" s="186" t="str">
        <f t="shared" si="2"/>
        <v/>
      </c>
      <c r="S27" s="185" t="str">
        <f>IFERROR(IF($C27="","",SUMIFS(Database!AU:AU,Database!$AD:$AD,$C27)),"")</f>
        <v/>
      </c>
      <c r="T27" s="185" t="str">
        <f>IFERROR(IF($C27="","",SUMIFS(Database!AV:AV,Database!$AD:$AD,$C27)),"")</f>
        <v/>
      </c>
      <c r="U27" s="186" t="str">
        <f t="shared" si="3"/>
        <v/>
      </c>
      <c r="V27" s="187"/>
      <c r="W27" s="187"/>
      <c r="X27" s="187"/>
      <c r="Y27" s="187"/>
      <c r="Z27" s="187"/>
      <c r="AA27" s="187"/>
      <c r="AB27" s="187"/>
      <c r="AC27" s="187"/>
      <c r="AD27" s="187"/>
      <c r="AE27" s="187"/>
      <c r="AF27" s="187"/>
    </row>
    <row r="28" spans="1:32" x14ac:dyDescent="0.25">
      <c r="A28" s="187"/>
      <c r="B28" s="187"/>
      <c r="C28" s="145"/>
      <c r="D28" s="185" t="str">
        <f>IF($C28="","",COUNTIF(Database!AD:AD,$C28))</f>
        <v/>
      </c>
      <c r="E28" s="185" t="str">
        <f>IFERROR(IF($C28="","",SUMIFS(Database!AG:AG,Database!$AD:$AD,$C28)),"")</f>
        <v/>
      </c>
      <c r="F28" s="185" t="str">
        <f>IFERROR(IF($C28="","",SUMIFS(Database!AH:AH,Database!$AD:$AD,$C28)),"")</f>
        <v/>
      </c>
      <c r="G28" s="185" t="str">
        <f>IFERROR(IF($C28="","",SUMIFS(Database!AI:AI,Database!$AD:$AD,$C28)),"")</f>
        <v/>
      </c>
      <c r="H28" s="185" t="str">
        <f>IFERROR(IF($C28="","",SUMIFS(Database!AJ:AJ,Database!$AD:$AD,$C28)),"")</f>
        <v/>
      </c>
      <c r="I28" s="185" t="str">
        <f>IFERROR(IF($C28="","",SUMIFS(Database!AK:AK,Database!$AD:$AD,$C28)),"")</f>
        <v/>
      </c>
      <c r="J28" s="185" t="str">
        <f>IFERROR(IF($C28="","",SUMIFS(Database!AL:AL,Database!$AD:$AD,$C28)),"")</f>
        <v/>
      </c>
      <c r="K28" s="185" t="str">
        <f>IFERROR(IF($C28="","",SUMIFS(Database!AM:AM,Database!$AD:$AD,$C28)),"")</f>
        <v/>
      </c>
      <c r="L28" s="185" t="str">
        <f>IFERROR(IF($C28="","",SUMIFS(Database!AN:AN,Database!$AD:$AD,$C28)),"")</f>
        <v/>
      </c>
      <c r="M28" s="185" t="str">
        <f>IFERROR(IF($C28="","",SUMIFS(Database!AO:AO,Database!$AD:$AD,$C28)),"")</f>
        <v/>
      </c>
      <c r="N28" s="185" t="str">
        <f>IFERROR(IF($C28="","",SUMIFS(Database!AP:AP,Database!$AD:$AD,$C28)),"")</f>
        <v/>
      </c>
      <c r="O28" s="186" t="str">
        <f t="shared" si="1"/>
        <v/>
      </c>
      <c r="P28" s="185" t="str">
        <f>IFERROR(IF($C28="","",SUMIFS(Database!AR:AR,Database!$AD:$AD,$C28)),"")</f>
        <v/>
      </c>
      <c r="Q28" s="185" t="str">
        <f>IFERROR(IF($C28="","",SUMIFS(Database!AS:AS,Database!$AD:$AD,$C28)),"")</f>
        <v/>
      </c>
      <c r="R28" s="186" t="str">
        <f t="shared" si="2"/>
        <v/>
      </c>
      <c r="S28" s="185" t="str">
        <f>IFERROR(IF($C28="","",SUMIFS(Database!AU:AU,Database!$AD:$AD,$C28)),"")</f>
        <v/>
      </c>
      <c r="T28" s="185" t="str">
        <f>IFERROR(IF($C28="","",SUMIFS(Database!AV:AV,Database!$AD:$AD,$C28)),"")</f>
        <v/>
      </c>
      <c r="U28" s="186" t="str">
        <f t="shared" si="3"/>
        <v/>
      </c>
      <c r="V28" s="187"/>
      <c r="W28" s="187"/>
      <c r="X28" s="187"/>
      <c r="Y28" s="187"/>
      <c r="Z28" s="187"/>
      <c r="AA28" s="187"/>
      <c r="AB28" s="187"/>
      <c r="AC28" s="187"/>
      <c r="AD28" s="187"/>
      <c r="AE28" s="187"/>
      <c r="AF28" s="187"/>
    </row>
    <row r="29" spans="1:32" x14ac:dyDescent="0.25">
      <c r="A29" s="187"/>
      <c r="B29" s="187"/>
      <c r="C29" s="145"/>
      <c r="D29" s="185" t="str">
        <f>IF($C29="","",COUNTIF(Database!AD:AD,$C29))</f>
        <v/>
      </c>
      <c r="E29" s="185" t="str">
        <f>IFERROR(IF($C29="","",SUMIFS(Database!AG:AG,Database!$AD:$AD,$C29)),"")</f>
        <v/>
      </c>
      <c r="F29" s="185" t="str">
        <f>IFERROR(IF($C29="","",SUMIFS(Database!AH:AH,Database!$AD:$AD,$C29)),"")</f>
        <v/>
      </c>
      <c r="G29" s="185" t="str">
        <f>IFERROR(IF($C29="","",SUMIFS(Database!AI:AI,Database!$AD:$AD,$C29)),"")</f>
        <v/>
      </c>
      <c r="H29" s="185" t="str">
        <f>IFERROR(IF($C29="","",SUMIFS(Database!AJ:AJ,Database!$AD:$AD,$C29)),"")</f>
        <v/>
      </c>
      <c r="I29" s="185" t="str">
        <f>IFERROR(IF($C29="","",SUMIFS(Database!AK:AK,Database!$AD:$AD,$C29)),"")</f>
        <v/>
      </c>
      <c r="J29" s="185" t="str">
        <f>IFERROR(IF($C29="","",SUMIFS(Database!AL:AL,Database!$AD:$AD,$C29)),"")</f>
        <v/>
      </c>
      <c r="K29" s="185" t="str">
        <f>IFERROR(IF($C29="","",SUMIFS(Database!AM:AM,Database!$AD:$AD,$C29)),"")</f>
        <v/>
      </c>
      <c r="L29" s="185" t="str">
        <f>IFERROR(IF($C29="","",SUMIFS(Database!AN:AN,Database!$AD:$AD,$C29)),"")</f>
        <v/>
      </c>
      <c r="M29" s="185" t="str">
        <f>IFERROR(IF($C29="","",SUMIFS(Database!AO:AO,Database!$AD:$AD,$C29)),"")</f>
        <v/>
      </c>
      <c r="N29" s="185" t="str">
        <f>IFERROR(IF($C29="","",SUMIFS(Database!AP:AP,Database!$AD:$AD,$C29)),"")</f>
        <v/>
      </c>
      <c r="O29" s="186" t="str">
        <f t="shared" si="1"/>
        <v/>
      </c>
      <c r="P29" s="185" t="str">
        <f>IFERROR(IF($C29="","",SUMIFS(Database!AR:AR,Database!$AD:$AD,$C29)),"")</f>
        <v/>
      </c>
      <c r="Q29" s="185" t="str">
        <f>IFERROR(IF($C29="","",SUMIFS(Database!AS:AS,Database!$AD:$AD,$C29)),"")</f>
        <v/>
      </c>
      <c r="R29" s="186" t="str">
        <f t="shared" si="2"/>
        <v/>
      </c>
      <c r="S29" s="185" t="str">
        <f>IFERROR(IF($C29="","",SUMIFS(Database!AU:AU,Database!$AD:$AD,$C29)),"")</f>
        <v/>
      </c>
      <c r="T29" s="185" t="str">
        <f>IFERROR(IF($C29="","",SUMIFS(Database!AV:AV,Database!$AD:$AD,$C29)),"")</f>
        <v/>
      </c>
      <c r="U29" s="186" t="str">
        <f t="shared" si="3"/>
        <v/>
      </c>
      <c r="V29" s="187"/>
      <c r="W29" s="187"/>
      <c r="X29" s="187"/>
      <c r="Y29" s="187"/>
      <c r="Z29" s="187"/>
      <c r="AA29" s="187"/>
      <c r="AB29" s="187"/>
      <c r="AC29" s="187"/>
      <c r="AD29" s="187"/>
      <c r="AE29" s="187"/>
      <c r="AF29" s="187"/>
    </row>
    <row r="30" spans="1:32" x14ac:dyDescent="0.25">
      <c r="A30" s="187"/>
      <c r="B30" s="187"/>
      <c r="C30" s="145"/>
      <c r="D30" s="185" t="str">
        <f>IF($C30="","",COUNTIF(Database!AD:AD,$C30))</f>
        <v/>
      </c>
      <c r="E30" s="185" t="str">
        <f>IFERROR(IF($C30="","",SUMIFS(Database!AG:AG,Database!$AD:$AD,$C30)),"")</f>
        <v/>
      </c>
      <c r="F30" s="185" t="str">
        <f>IFERROR(IF($C30="","",SUMIFS(Database!AH:AH,Database!$AD:$AD,$C30)),"")</f>
        <v/>
      </c>
      <c r="G30" s="185" t="str">
        <f>IFERROR(IF($C30="","",SUMIFS(Database!AI:AI,Database!$AD:$AD,$C30)),"")</f>
        <v/>
      </c>
      <c r="H30" s="185" t="str">
        <f>IFERROR(IF($C30="","",SUMIFS(Database!AJ:AJ,Database!$AD:$AD,$C30)),"")</f>
        <v/>
      </c>
      <c r="I30" s="185" t="str">
        <f>IFERROR(IF($C30="","",SUMIFS(Database!AK:AK,Database!$AD:$AD,$C30)),"")</f>
        <v/>
      </c>
      <c r="J30" s="185" t="str">
        <f>IFERROR(IF($C30="","",SUMIFS(Database!AL:AL,Database!$AD:$AD,$C30)),"")</f>
        <v/>
      </c>
      <c r="K30" s="185" t="str">
        <f>IFERROR(IF($C30="","",SUMIFS(Database!AM:AM,Database!$AD:$AD,$C30)),"")</f>
        <v/>
      </c>
      <c r="L30" s="185" t="str">
        <f>IFERROR(IF($C30="","",SUMIFS(Database!AN:AN,Database!$AD:$AD,$C30)),"")</f>
        <v/>
      </c>
      <c r="M30" s="185" t="str">
        <f>IFERROR(IF($C30="","",SUMIFS(Database!AO:AO,Database!$AD:$AD,$C30)),"")</f>
        <v/>
      </c>
      <c r="N30" s="185" t="str">
        <f>IFERROR(IF($C30="","",SUMIFS(Database!AP:AP,Database!$AD:$AD,$C30)),"")</f>
        <v/>
      </c>
      <c r="O30" s="186" t="str">
        <f t="shared" si="1"/>
        <v/>
      </c>
      <c r="P30" s="185" t="str">
        <f>IFERROR(IF($C30="","",SUMIFS(Database!AR:AR,Database!$AD:$AD,$C30)),"")</f>
        <v/>
      </c>
      <c r="Q30" s="185" t="str">
        <f>IFERROR(IF($C30="","",SUMIFS(Database!AS:AS,Database!$AD:$AD,$C30)),"")</f>
        <v/>
      </c>
      <c r="R30" s="186" t="str">
        <f t="shared" si="2"/>
        <v/>
      </c>
      <c r="S30" s="185" t="str">
        <f>IFERROR(IF($C30="","",SUMIFS(Database!AU:AU,Database!$AD:$AD,$C30)),"")</f>
        <v/>
      </c>
      <c r="T30" s="185" t="str">
        <f>IFERROR(IF($C30="","",SUMIFS(Database!AV:AV,Database!$AD:$AD,$C30)),"")</f>
        <v/>
      </c>
      <c r="U30" s="186" t="str">
        <f t="shared" si="3"/>
        <v/>
      </c>
      <c r="V30" s="187"/>
      <c r="W30" s="187"/>
      <c r="X30" s="187"/>
      <c r="Y30" s="187"/>
      <c r="Z30" s="187"/>
      <c r="AA30" s="187"/>
      <c r="AB30" s="187"/>
      <c r="AC30" s="187"/>
      <c r="AD30" s="187"/>
      <c r="AE30" s="187"/>
      <c r="AF30" s="187"/>
    </row>
    <row r="31" spans="1:32" x14ac:dyDescent="0.25">
      <c r="A31" s="187"/>
      <c r="B31" s="187"/>
      <c r="C31" s="145"/>
      <c r="D31" s="185" t="str">
        <f>IF($C31="","",COUNTIF(Database!AD:AD,$C31))</f>
        <v/>
      </c>
      <c r="E31" s="185" t="str">
        <f>IFERROR(IF($C31="","",SUMIFS(Database!AG:AG,Database!$AD:$AD,$C31)),"")</f>
        <v/>
      </c>
      <c r="F31" s="185" t="str">
        <f>IFERROR(IF($C31="","",SUMIFS(Database!AH:AH,Database!$AD:$AD,$C31)),"")</f>
        <v/>
      </c>
      <c r="G31" s="185" t="str">
        <f>IFERROR(IF($C31="","",SUMIFS(Database!AI:AI,Database!$AD:$AD,$C31)),"")</f>
        <v/>
      </c>
      <c r="H31" s="185" t="str">
        <f>IFERROR(IF($C31="","",SUMIFS(Database!AJ:AJ,Database!$AD:$AD,$C31)),"")</f>
        <v/>
      </c>
      <c r="I31" s="185" t="str">
        <f>IFERROR(IF($C31="","",SUMIFS(Database!AK:AK,Database!$AD:$AD,$C31)),"")</f>
        <v/>
      </c>
      <c r="J31" s="185" t="str">
        <f>IFERROR(IF($C31="","",SUMIFS(Database!AL:AL,Database!$AD:$AD,$C31)),"")</f>
        <v/>
      </c>
      <c r="K31" s="185" t="str">
        <f>IFERROR(IF($C31="","",SUMIFS(Database!AM:AM,Database!$AD:$AD,$C31)),"")</f>
        <v/>
      </c>
      <c r="L31" s="185" t="str">
        <f>IFERROR(IF($C31="","",SUMIFS(Database!AN:AN,Database!$AD:$AD,$C31)),"")</f>
        <v/>
      </c>
      <c r="M31" s="185" t="str">
        <f>IFERROR(IF($C31="","",SUMIFS(Database!AO:AO,Database!$AD:$AD,$C31)),"")</f>
        <v/>
      </c>
      <c r="N31" s="185" t="str">
        <f>IFERROR(IF($C31="","",SUMIFS(Database!AP:AP,Database!$AD:$AD,$C31)),"")</f>
        <v/>
      </c>
      <c r="O31" s="186" t="str">
        <f t="shared" si="1"/>
        <v/>
      </c>
      <c r="P31" s="185" t="str">
        <f>IFERROR(IF($C31="","",SUMIFS(Database!AR:AR,Database!$AD:$AD,$C31)),"")</f>
        <v/>
      </c>
      <c r="Q31" s="185" t="str">
        <f>IFERROR(IF($C31="","",SUMIFS(Database!AS:AS,Database!$AD:$AD,$C31)),"")</f>
        <v/>
      </c>
      <c r="R31" s="186" t="str">
        <f t="shared" si="2"/>
        <v/>
      </c>
      <c r="S31" s="185" t="str">
        <f>IFERROR(IF($C31="","",SUMIFS(Database!AU:AU,Database!$AD:$AD,$C31)),"")</f>
        <v/>
      </c>
      <c r="T31" s="185" t="str">
        <f>IFERROR(IF($C31="","",SUMIFS(Database!AV:AV,Database!$AD:$AD,$C31)),"")</f>
        <v/>
      </c>
      <c r="U31" s="186" t="str">
        <f t="shared" si="3"/>
        <v/>
      </c>
      <c r="V31" s="187"/>
      <c r="W31" s="187"/>
      <c r="X31" s="187"/>
      <c r="Y31" s="187"/>
      <c r="Z31" s="187"/>
      <c r="AA31" s="187"/>
      <c r="AB31" s="187"/>
      <c r="AC31" s="187"/>
      <c r="AD31" s="187"/>
      <c r="AE31" s="187"/>
      <c r="AF31" s="187"/>
    </row>
    <row r="32" spans="1:32" x14ac:dyDescent="0.25">
      <c r="A32" s="187"/>
      <c r="B32" s="187"/>
      <c r="C32" s="145"/>
      <c r="D32" s="185" t="str">
        <f>IF($C32="","",COUNTIF(Database!AD:AD,$C32))</f>
        <v/>
      </c>
      <c r="E32" s="185" t="str">
        <f>IFERROR(IF($C32="","",SUMIFS(Database!AG:AG,Database!$AD:$AD,$C32)),"")</f>
        <v/>
      </c>
      <c r="F32" s="185" t="str">
        <f>IFERROR(IF($C32="","",SUMIFS(Database!AH:AH,Database!$AD:$AD,$C32)),"")</f>
        <v/>
      </c>
      <c r="G32" s="185" t="str">
        <f>IFERROR(IF($C32="","",SUMIFS(Database!AI:AI,Database!$AD:$AD,$C32)),"")</f>
        <v/>
      </c>
      <c r="H32" s="185" t="str">
        <f>IFERROR(IF($C32="","",SUMIFS(Database!AJ:AJ,Database!$AD:$AD,$C32)),"")</f>
        <v/>
      </c>
      <c r="I32" s="185" t="str">
        <f>IFERROR(IF($C32="","",SUMIFS(Database!AK:AK,Database!$AD:$AD,$C32)),"")</f>
        <v/>
      </c>
      <c r="J32" s="185" t="str">
        <f>IFERROR(IF($C32="","",SUMIFS(Database!AL:AL,Database!$AD:$AD,$C32)),"")</f>
        <v/>
      </c>
      <c r="K32" s="185" t="str">
        <f>IFERROR(IF($C32="","",SUMIFS(Database!AM:AM,Database!$AD:$AD,$C32)),"")</f>
        <v/>
      </c>
      <c r="L32" s="185" t="str">
        <f>IFERROR(IF($C32="","",SUMIFS(Database!AN:AN,Database!$AD:$AD,$C32)),"")</f>
        <v/>
      </c>
      <c r="M32" s="185" t="str">
        <f>IFERROR(IF($C32="","",SUMIFS(Database!AO:AO,Database!$AD:$AD,$C32)),"")</f>
        <v/>
      </c>
      <c r="N32" s="185" t="str">
        <f>IFERROR(IF($C32="","",SUMIFS(Database!AP:AP,Database!$AD:$AD,$C32)),"")</f>
        <v/>
      </c>
      <c r="O32" s="186" t="str">
        <f t="shared" si="1"/>
        <v/>
      </c>
      <c r="P32" s="185" t="str">
        <f>IFERROR(IF($C32="","",SUMIFS(Database!AR:AR,Database!$AD:$AD,$C32)),"")</f>
        <v/>
      </c>
      <c r="Q32" s="185" t="str">
        <f>IFERROR(IF($C32="","",SUMIFS(Database!AS:AS,Database!$AD:$AD,$C32)),"")</f>
        <v/>
      </c>
      <c r="R32" s="186" t="str">
        <f t="shared" si="2"/>
        <v/>
      </c>
      <c r="S32" s="185" t="str">
        <f>IFERROR(IF($C32="","",SUMIFS(Database!AU:AU,Database!$AD:$AD,$C32)),"")</f>
        <v/>
      </c>
      <c r="T32" s="185" t="str">
        <f>IFERROR(IF($C32="","",SUMIFS(Database!AV:AV,Database!$AD:$AD,$C32)),"")</f>
        <v/>
      </c>
      <c r="U32" s="186" t="str">
        <f t="shared" si="3"/>
        <v/>
      </c>
      <c r="V32" s="187"/>
      <c r="W32" s="187"/>
      <c r="X32" s="187"/>
      <c r="Y32" s="187"/>
      <c r="Z32" s="187"/>
      <c r="AA32" s="187"/>
      <c r="AB32" s="187"/>
      <c r="AC32" s="187"/>
      <c r="AD32" s="187"/>
      <c r="AE32" s="187"/>
      <c r="AF32" s="187"/>
    </row>
    <row r="33" spans="1:32" x14ac:dyDescent="0.25">
      <c r="A33" s="187"/>
      <c r="B33" s="187"/>
      <c r="C33" s="145"/>
      <c r="D33" s="185" t="str">
        <f>IF($C33="","",COUNTIF(Database!AD:AD,$C33))</f>
        <v/>
      </c>
      <c r="E33" s="185" t="str">
        <f>IFERROR(IF($C33="","",SUMIFS(Database!AG:AG,Database!$AD:$AD,$C33)),"")</f>
        <v/>
      </c>
      <c r="F33" s="185" t="str">
        <f>IFERROR(IF($C33="","",SUMIFS(Database!AH:AH,Database!$AD:$AD,$C33)),"")</f>
        <v/>
      </c>
      <c r="G33" s="185" t="str">
        <f>IFERROR(IF($C33="","",SUMIFS(Database!AI:AI,Database!$AD:$AD,$C33)),"")</f>
        <v/>
      </c>
      <c r="H33" s="185" t="str">
        <f>IFERROR(IF($C33="","",SUMIFS(Database!AJ:AJ,Database!$AD:$AD,$C33)),"")</f>
        <v/>
      </c>
      <c r="I33" s="185" t="str">
        <f>IFERROR(IF($C33="","",SUMIFS(Database!AK:AK,Database!$AD:$AD,$C33)),"")</f>
        <v/>
      </c>
      <c r="J33" s="185" t="str">
        <f>IFERROR(IF($C33="","",SUMIFS(Database!AL:AL,Database!$AD:$AD,$C33)),"")</f>
        <v/>
      </c>
      <c r="K33" s="185" t="str">
        <f>IFERROR(IF($C33="","",SUMIFS(Database!AM:AM,Database!$AD:$AD,$C33)),"")</f>
        <v/>
      </c>
      <c r="L33" s="185" t="str">
        <f>IFERROR(IF($C33="","",SUMIFS(Database!AN:AN,Database!$AD:$AD,$C33)),"")</f>
        <v/>
      </c>
      <c r="M33" s="185" t="str">
        <f>IFERROR(IF($C33="","",SUMIFS(Database!AO:AO,Database!$AD:$AD,$C33)),"")</f>
        <v/>
      </c>
      <c r="N33" s="185" t="str">
        <f>IFERROR(IF($C33="","",SUMIFS(Database!AP:AP,Database!$AD:$AD,$C33)),"")</f>
        <v/>
      </c>
      <c r="O33" s="186" t="str">
        <f t="shared" si="1"/>
        <v/>
      </c>
      <c r="P33" s="185" t="str">
        <f>IFERROR(IF($C33="","",SUMIFS(Database!AR:AR,Database!$AD:$AD,$C33)),"")</f>
        <v/>
      </c>
      <c r="Q33" s="185" t="str">
        <f>IFERROR(IF($C33="","",SUMIFS(Database!AS:AS,Database!$AD:$AD,$C33)),"")</f>
        <v/>
      </c>
      <c r="R33" s="186" t="str">
        <f t="shared" si="2"/>
        <v/>
      </c>
      <c r="S33" s="185" t="str">
        <f>IFERROR(IF($C33="","",SUMIFS(Database!AU:AU,Database!$AD:$AD,$C33)),"")</f>
        <v/>
      </c>
      <c r="T33" s="185" t="str">
        <f>IFERROR(IF($C33="","",SUMIFS(Database!AV:AV,Database!$AD:$AD,$C33)),"")</f>
        <v/>
      </c>
      <c r="U33" s="186" t="str">
        <f t="shared" si="3"/>
        <v/>
      </c>
      <c r="V33" s="187"/>
      <c r="W33" s="187"/>
      <c r="X33" s="187"/>
      <c r="Y33" s="187"/>
      <c r="Z33" s="187"/>
      <c r="AA33" s="187"/>
      <c r="AB33" s="187"/>
      <c r="AC33" s="187"/>
      <c r="AD33" s="187"/>
      <c r="AE33" s="187"/>
      <c r="AF33" s="187"/>
    </row>
    <row r="34" spans="1:32" x14ac:dyDescent="0.25">
      <c r="A34" s="187"/>
      <c r="B34" s="187"/>
      <c r="C34" s="145"/>
      <c r="D34" s="185" t="str">
        <f>IF($C34="","",COUNTIF(Database!AD:AD,$C34))</f>
        <v/>
      </c>
      <c r="E34" s="185" t="str">
        <f>IFERROR(IF($C34="","",SUMIFS(Database!AG:AG,Database!$AD:$AD,$C34)),"")</f>
        <v/>
      </c>
      <c r="F34" s="185" t="str">
        <f>IFERROR(IF($C34="","",SUMIFS(Database!AH:AH,Database!$AD:$AD,$C34)),"")</f>
        <v/>
      </c>
      <c r="G34" s="185" t="str">
        <f>IFERROR(IF($C34="","",SUMIFS(Database!AI:AI,Database!$AD:$AD,$C34)),"")</f>
        <v/>
      </c>
      <c r="H34" s="185" t="str">
        <f>IFERROR(IF($C34="","",SUMIFS(Database!AJ:AJ,Database!$AD:$AD,$C34)),"")</f>
        <v/>
      </c>
      <c r="I34" s="185" t="str">
        <f>IFERROR(IF($C34="","",SUMIFS(Database!AK:AK,Database!$AD:$AD,$C34)),"")</f>
        <v/>
      </c>
      <c r="J34" s="185" t="str">
        <f>IFERROR(IF($C34="","",SUMIFS(Database!AL:AL,Database!$AD:$AD,$C34)),"")</f>
        <v/>
      </c>
      <c r="K34" s="185" t="str">
        <f>IFERROR(IF($C34="","",SUMIFS(Database!AM:AM,Database!$AD:$AD,$C34)),"")</f>
        <v/>
      </c>
      <c r="L34" s="185" t="str">
        <f>IFERROR(IF($C34="","",SUMIFS(Database!AN:AN,Database!$AD:$AD,$C34)),"")</f>
        <v/>
      </c>
      <c r="M34" s="185" t="str">
        <f>IFERROR(IF($C34="","",SUMIFS(Database!AO:AO,Database!$AD:$AD,$C34)),"")</f>
        <v/>
      </c>
      <c r="N34" s="185" t="str">
        <f>IFERROR(IF($C34="","",SUMIFS(Database!AP:AP,Database!$AD:$AD,$C34)),"")</f>
        <v/>
      </c>
      <c r="O34" s="186" t="str">
        <f t="shared" si="1"/>
        <v/>
      </c>
      <c r="P34" s="185" t="str">
        <f>IFERROR(IF($C34="","",SUMIFS(Database!AR:AR,Database!$AD:$AD,$C34)),"")</f>
        <v/>
      </c>
      <c r="Q34" s="185" t="str">
        <f>IFERROR(IF($C34="","",SUMIFS(Database!AS:AS,Database!$AD:$AD,$C34)),"")</f>
        <v/>
      </c>
      <c r="R34" s="186" t="str">
        <f t="shared" si="2"/>
        <v/>
      </c>
      <c r="S34" s="185" t="str">
        <f>IFERROR(IF($C34="","",SUMIFS(Database!AU:AU,Database!$AD:$AD,$C34)),"")</f>
        <v/>
      </c>
      <c r="T34" s="185" t="str">
        <f>IFERROR(IF($C34="","",SUMIFS(Database!AV:AV,Database!$AD:$AD,$C34)),"")</f>
        <v/>
      </c>
      <c r="U34" s="186" t="str">
        <f t="shared" si="3"/>
        <v/>
      </c>
      <c r="V34" s="187"/>
      <c r="W34" s="187"/>
      <c r="X34" s="187"/>
      <c r="Y34" s="187"/>
      <c r="Z34" s="187"/>
      <c r="AA34" s="187"/>
      <c r="AB34" s="187"/>
      <c r="AC34" s="187"/>
      <c r="AD34" s="187"/>
      <c r="AE34" s="187"/>
      <c r="AF34" s="187"/>
    </row>
    <row r="35" spans="1:32" x14ac:dyDescent="0.25">
      <c r="A35" s="187"/>
      <c r="B35" s="187"/>
      <c r="C35" s="145"/>
      <c r="D35" s="185" t="str">
        <f>IF($C35="","",COUNTIF(Database!AD:AD,$C35))</f>
        <v/>
      </c>
      <c r="E35" s="185" t="str">
        <f>IFERROR(IF($C35="","",SUMIFS(Database!AG:AG,Database!$AD:$AD,$C35)),"")</f>
        <v/>
      </c>
      <c r="F35" s="185" t="str">
        <f>IFERROR(IF($C35="","",SUMIFS(Database!AH:AH,Database!$AD:$AD,$C35)),"")</f>
        <v/>
      </c>
      <c r="G35" s="185" t="str">
        <f>IFERROR(IF($C35="","",SUMIFS(Database!AI:AI,Database!$AD:$AD,$C35)),"")</f>
        <v/>
      </c>
      <c r="H35" s="185" t="str">
        <f>IFERROR(IF($C35="","",SUMIFS(Database!AJ:AJ,Database!$AD:$AD,$C35)),"")</f>
        <v/>
      </c>
      <c r="I35" s="185" t="str">
        <f>IFERROR(IF($C35="","",SUMIFS(Database!AK:AK,Database!$AD:$AD,$C35)),"")</f>
        <v/>
      </c>
      <c r="J35" s="185" t="str">
        <f>IFERROR(IF($C35="","",SUMIFS(Database!AL:AL,Database!$AD:$AD,$C35)),"")</f>
        <v/>
      </c>
      <c r="K35" s="185" t="str">
        <f>IFERROR(IF($C35="","",SUMIFS(Database!AM:AM,Database!$AD:$AD,$C35)),"")</f>
        <v/>
      </c>
      <c r="L35" s="185" t="str">
        <f>IFERROR(IF($C35="","",SUMIFS(Database!AN:AN,Database!$AD:$AD,$C35)),"")</f>
        <v/>
      </c>
      <c r="M35" s="185" t="str">
        <f>IFERROR(IF($C35="","",SUMIFS(Database!AO:AO,Database!$AD:$AD,$C35)),"")</f>
        <v/>
      </c>
      <c r="N35" s="185" t="str">
        <f>IFERROR(IF($C35="","",SUMIFS(Database!AP:AP,Database!$AD:$AD,$C35)),"")</f>
        <v/>
      </c>
      <c r="O35" s="186" t="str">
        <f t="shared" si="1"/>
        <v/>
      </c>
      <c r="P35" s="185" t="str">
        <f>IFERROR(IF($C35="","",SUMIFS(Database!AR:AR,Database!$AD:$AD,$C35)),"")</f>
        <v/>
      </c>
      <c r="Q35" s="185" t="str">
        <f>IFERROR(IF($C35="","",SUMIFS(Database!AS:AS,Database!$AD:$AD,$C35)),"")</f>
        <v/>
      </c>
      <c r="R35" s="186" t="str">
        <f t="shared" si="2"/>
        <v/>
      </c>
      <c r="S35" s="185" t="str">
        <f>IFERROR(IF($C35="","",SUMIFS(Database!AU:AU,Database!$AD:$AD,$C35)),"")</f>
        <v/>
      </c>
      <c r="T35" s="185" t="str">
        <f>IFERROR(IF($C35="","",SUMIFS(Database!AV:AV,Database!$AD:$AD,$C35)),"")</f>
        <v/>
      </c>
      <c r="U35" s="186" t="str">
        <f t="shared" si="3"/>
        <v/>
      </c>
      <c r="V35" s="187"/>
      <c r="W35" s="187"/>
      <c r="X35" s="187"/>
      <c r="Y35" s="187"/>
      <c r="Z35" s="187"/>
      <c r="AA35" s="187"/>
      <c r="AB35" s="187"/>
      <c r="AC35" s="187"/>
      <c r="AD35" s="187"/>
      <c r="AE35" s="187"/>
      <c r="AF35" s="187"/>
    </row>
    <row r="36" spans="1:32" x14ac:dyDescent="0.25">
      <c r="A36" s="187"/>
      <c r="B36" s="187"/>
      <c r="C36" s="145"/>
      <c r="D36" s="185" t="str">
        <f>IF($C36="","",COUNTIF(Database!AD:AD,$C36))</f>
        <v/>
      </c>
      <c r="E36" s="185" t="str">
        <f>IFERROR(IF($C36="","",SUMIFS(Database!AG:AG,Database!$AD:$AD,$C36)),"")</f>
        <v/>
      </c>
      <c r="F36" s="185" t="str">
        <f>IFERROR(IF($C36="","",SUMIFS(Database!AH:AH,Database!$AD:$AD,$C36)),"")</f>
        <v/>
      </c>
      <c r="G36" s="185" t="str">
        <f>IFERROR(IF($C36="","",SUMIFS(Database!AI:AI,Database!$AD:$AD,$C36)),"")</f>
        <v/>
      </c>
      <c r="H36" s="185" t="str">
        <f>IFERROR(IF($C36="","",SUMIFS(Database!AJ:AJ,Database!$AD:$AD,$C36)),"")</f>
        <v/>
      </c>
      <c r="I36" s="185" t="str">
        <f>IFERROR(IF($C36="","",SUMIFS(Database!AK:AK,Database!$AD:$AD,$C36)),"")</f>
        <v/>
      </c>
      <c r="J36" s="185" t="str">
        <f>IFERROR(IF($C36="","",SUMIFS(Database!AL:AL,Database!$AD:$AD,$C36)),"")</f>
        <v/>
      </c>
      <c r="K36" s="185" t="str">
        <f>IFERROR(IF($C36="","",SUMIFS(Database!AM:AM,Database!$AD:$AD,$C36)),"")</f>
        <v/>
      </c>
      <c r="L36" s="185" t="str">
        <f>IFERROR(IF($C36="","",SUMIFS(Database!AN:AN,Database!$AD:$AD,$C36)),"")</f>
        <v/>
      </c>
      <c r="M36" s="185" t="str">
        <f>IFERROR(IF($C36="","",SUMIFS(Database!AO:AO,Database!$AD:$AD,$C36)),"")</f>
        <v/>
      </c>
      <c r="N36" s="185" t="str">
        <f>IFERROR(IF($C36="","",SUMIFS(Database!AP:AP,Database!$AD:$AD,$C36)),"")</f>
        <v/>
      </c>
      <c r="O36" s="186" t="str">
        <f t="shared" si="1"/>
        <v/>
      </c>
      <c r="P36" s="185" t="str">
        <f>IFERROR(IF($C36="","",SUMIFS(Database!AR:AR,Database!$AD:$AD,$C36)),"")</f>
        <v/>
      </c>
      <c r="Q36" s="185" t="str">
        <f>IFERROR(IF($C36="","",SUMIFS(Database!AS:AS,Database!$AD:$AD,$C36)),"")</f>
        <v/>
      </c>
      <c r="R36" s="186" t="str">
        <f t="shared" si="2"/>
        <v/>
      </c>
      <c r="S36" s="185" t="str">
        <f>IFERROR(IF($C36="","",SUMIFS(Database!AU:AU,Database!$AD:$AD,$C36)),"")</f>
        <v/>
      </c>
      <c r="T36" s="185" t="str">
        <f>IFERROR(IF($C36="","",SUMIFS(Database!AV:AV,Database!$AD:$AD,$C36)),"")</f>
        <v/>
      </c>
      <c r="U36" s="186" t="str">
        <f t="shared" si="3"/>
        <v/>
      </c>
      <c r="V36" s="187"/>
      <c r="W36" s="187"/>
      <c r="X36" s="187"/>
      <c r="Y36" s="187"/>
      <c r="Z36" s="187"/>
      <c r="AA36" s="187"/>
      <c r="AB36" s="187"/>
      <c r="AC36" s="187"/>
      <c r="AD36" s="187"/>
      <c r="AE36" s="187"/>
      <c r="AF36" s="187"/>
    </row>
    <row r="37" spans="1:32" x14ac:dyDescent="0.25">
      <c r="A37" s="187"/>
      <c r="B37" s="187"/>
      <c r="C37" s="145"/>
      <c r="D37" s="185" t="str">
        <f>IF($C37="","",COUNTIF(Database!AD:AD,$C37))</f>
        <v/>
      </c>
      <c r="E37" s="185" t="str">
        <f>IFERROR(IF($C37="","",SUMIFS(Database!AG:AG,Database!$AD:$AD,$C37)),"")</f>
        <v/>
      </c>
      <c r="F37" s="185" t="str">
        <f>IFERROR(IF($C37="","",SUMIFS(Database!AH:AH,Database!$AD:$AD,$C37)),"")</f>
        <v/>
      </c>
      <c r="G37" s="185" t="str">
        <f>IFERROR(IF($C37="","",SUMIFS(Database!AI:AI,Database!$AD:$AD,$C37)),"")</f>
        <v/>
      </c>
      <c r="H37" s="185" t="str">
        <f>IFERROR(IF($C37="","",SUMIFS(Database!AJ:AJ,Database!$AD:$AD,$C37)),"")</f>
        <v/>
      </c>
      <c r="I37" s="185" t="str">
        <f>IFERROR(IF($C37="","",SUMIFS(Database!AK:AK,Database!$AD:$AD,$C37)),"")</f>
        <v/>
      </c>
      <c r="J37" s="185" t="str">
        <f>IFERROR(IF($C37="","",SUMIFS(Database!AL:AL,Database!$AD:$AD,$C37)),"")</f>
        <v/>
      </c>
      <c r="K37" s="185" t="str">
        <f>IFERROR(IF($C37="","",SUMIFS(Database!AM:AM,Database!$AD:$AD,$C37)),"")</f>
        <v/>
      </c>
      <c r="L37" s="185" t="str">
        <f>IFERROR(IF($C37="","",SUMIFS(Database!AN:AN,Database!$AD:$AD,$C37)),"")</f>
        <v/>
      </c>
      <c r="M37" s="185" t="str">
        <f>IFERROR(IF($C37="","",SUMIFS(Database!AO:AO,Database!$AD:$AD,$C37)),"")</f>
        <v/>
      </c>
      <c r="N37" s="185" t="str">
        <f>IFERROR(IF($C37="","",SUMIFS(Database!AP:AP,Database!$AD:$AD,$C37)),"")</f>
        <v/>
      </c>
      <c r="O37" s="186" t="str">
        <f t="shared" si="1"/>
        <v/>
      </c>
      <c r="P37" s="185" t="str">
        <f>IFERROR(IF($C37="","",SUMIFS(Database!AR:AR,Database!$AD:$AD,$C37)),"")</f>
        <v/>
      </c>
      <c r="Q37" s="185" t="str">
        <f>IFERROR(IF($C37="","",SUMIFS(Database!AS:AS,Database!$AD:$AD,$C37)),"")</f>
        <v/>
      </c>
      <c r="R37" s="186" t="str">
        <f t="shared" si="2"/>
        <v/>
      </c>
      <c r="S37" s="185" t="str">
        <f>IFERROR(IF($C37="","",SUMIFS(Database!AU:AU,Database!$AD:$AD,$C37)),"")</f>
        <v/>
      </c>
      <c r="T37" s="185" t="str">
        <f>IFERROR(IF($C37="","",SUMIFS(Database!AV:AV,Database!$AD:$AD,$C37)),"")</f>
        <v/>
      </c>
      <c r="U37" s="186" t="str">
        <f t="shared" si="3"/>
        <v/>
      </c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</row>
    <row r="38" spans="1:32" x14ac:dyDescent="0.25">
      <c r="A38" s="187"/>
      <c r="B38" s="187"/>
      <c r="C38" s="145"/>
      <c r="D38" s="185" t="str">
        <f>IF($C38="","",COUNTIF(Database!AD:AD,$C38))</f>
        <v/>
      </c>
      <c r="E38" s="185" t="str">
        <f>IFERROR(IF($C38="","",SUMIFS(Database!AG:AG,Database!$AD:$AD,$C38)),"")</f>
        <v/>
      </c>
      <c r="F38" s="185" t="str">
        <f>IFERROR(IF($C38="","",SUMIFS(Database!AH:AH,Database!$AD:$AD,$C38)),"")</f>
        <v/>
      </c>
      <c r="G38" s="185" t="str">
        <f>IFERROR(IF($C38="","",SUMIFS(Database!AI:AI,Database!$AD:$AD,$C38)),"")</f>
        <v/>
      </c>
      <c r="H38" s="185" t="str">
        <f>IFERROR(IF($C38="","",SUMIFS(Database!AJ:AJ,Database!$AD:$AD,$C38)),"")</f>
        <v/>
      </c>
      <c r="I38" s="185" t="str">
        <f>IFERROR(IF($C38="","",SUMIFS(Database!AK:AK,Database!$AD:$AD,$C38)),"")</f>
        <v/>
      </c>
      <c r="J38" s="185" t="str">
        <f>IFERROR(IF($C38="","",SUMIFS(Database!AL:AL,Database!$AD:$AD,$C38)),"")</f>
        <v/>
      </c>
      <c r="K38" s="185" t="str">
        <f>IFERROR(IF($C38="","",SUMIFS(Database!AM:AM,Database!$AD:$AD,$C38)),"")</f>
        <v/>
      </c>
      <c r="L38" s="185" t="str">
        <f>IFERROR(IF($C38="","",SUMIFS(Database!AN:AN,Database!$AD:$AD,$C38)),"")</f>
        <v/>
      </c>
      <c r="M38" s="185" t="str">
        <f>IFERROR(IF($C38="","",SUMIFS(Database!AO:AO,Database!$AD:$AD,$C38)),"")</f>
        <v/>
      </c>
      <c r="N38" s="185" t="str">
        <f>IFERROR(IF($C38="","",SUMIFS(Database!AP:AP,Database!$AD:$AD,$C38)),"")</f>
        <v/>
      </c>
      <c r="O38" s="186" t="str">
        <f t="shared" si="1"/>
        <v/>
      </c>
      <c r="P38" s="185" t="str">
        <f>IFERROR(IF($C38="","",SUMIFS(Database!AR:AR,Database!$AD:$AD,$C38)),"")</f>
        <v/>
      </c>
      <c r="Q38" s="185" t="str">
        <f>IFERROR(IF($C38="","",SUMIFS(Database!AS:AS,Database!$AD:$AD,$C38)),"")</f>
        <v/>
      </c>
      <c r="R38" s="186" t="str">
        <f t="shared" si="2"/>
        <v/>
      </c>
      <c r="S38" s="185" t="str">
        <f>IFERROR(IF($C38="","",SUMIFS(Database!AU:AU,Database!$AD:$AD,$C38)),"")</f>
        <v/>
      </c>
      <c r="T38" s="185" t="str">
        <f>IFERROR(IF($C38="","",SUMIFS(Database!AV:AV,Database!$AD:$AD,$C38)),"")</f>
        <v/>
      </c>
      <c r="U38" s="186" t="str">
        <f t="shared" si="3"/>
        <v/>
      </c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</row>
    <row r="39" spans="1:32" x14ac:dyDescent="0.25">
      <c r="A39" s="187"/>
      <c r="B39" s="187"/>
      <c r="C39" s="145"/>
      <c r="D39" s="185" t="str">
        <f>IF($C39="","",COUNTIF(Database!AD:AD,$C39))</f>
        <v/>
      </c>
      <c r="E39" s="185" t="str">
        <f>IFERROR(IF($C39="","",SUMIFS(Database!AG:AG,Database!$AD:$AD,$C39)),"")</f>
        <v/>
      </c>
      <c r="F39" s="185" t="str">
        <f>IFERROR(IF($C39="","",SUMIFS(Database!AH:AH,Database!$AD:$AD,$C39)),"")</f>
        <v/>
      </c>
      <c r="G39" s="185" t="str">
        <f>IFERROR(IF($C39="","",SUMIFS(Database!AI:AI,Database!$AD:$AD,$C39)),"")</f>
        <v/>
      </c>
      <c r="H39" s="185" t="str">
        <f>IFERROR(IF($C39="","",SUMIFS(Database!AJ:AJ,Database!$AD:$AD,$C39)),"")</f>
        <v/>
      </c>
      <c r="I39" s="185" t="str">
        <f>IFERROR(IF($C39="","",SUMIFS(Database!AK:AK,Database!$AD:$AD,$C39)),"")</f>
        <v/>
      </c>
      <c r="J39" s="185" t="str">
        <f>IFERROR(IF($C39="","",SUMIFS(Database!AL:AL,Database!$AD:$AD,$C39)),"")</f>
        <v/>
      </c>
      <c r="K39" s="185" t="str">
        <f>IFERROR(IF($C39="","",SUMIFS(Database!AM:AM,Database!$AD:$AD,$C39)),"")</f>
        <v/>
      </c>
      <c r="L39" s="185" t="str">
        <f>IFERROR(IF($C39="","",SUMIFS(Database!AN:AN,Database!$AD:$AD,$C39)),"")</f>
        <v/>
      </c>
      <c r="M39" s="185" t="str">
        <f>IFERROR(IF($C39="","",SUMIFS(Database!AO:AO,Database!$AD:$AD,$C39)),"")</f>
        <v/>
      </c>
      <c r="N39" s="185" t="str">
        <f>IFERROR(IF($C39="","",SUMIFS(Database!AP:AP,Database!$AD:$AD,$C39)),"")</f>
        <v/>
      </c>
      <c r="O39" s="186" t="str">
        <f t="shared" si="1"/>
        <v/>
      </c>
      <c r="P39" s="185" t="str">
        <f>IFERROR(IF($C39="","",SUMIFS(Database!AR:AR,Database!$AD:$AD,$C39)),"")</f>
        <v/>
      </c>
      <c r="Q39" s="185" t="str">
        <f>IFERROR(IF($C39="","",SUMIFS(Database!AS:AS,Database!$AD:$AD,$C39)),"")</f>
        <v/>
      </c>
      <c r="R39" s="186" t="str">
        <f t="shared" si="2"/>
        <v/>
      </c>
      <c r="S39" s="185" t="str">
        <f>IFERROR(IF($C39="","",SUMIFS(Database!AU:AU,Database!$AD:$AD,$C39)),"")</f>
        <v/>
      </c>
      <c r="T39" s="185" t="str">
        <f>IFERROR(IF($C39="","",SUMIFS(Database!AV:AV,Database!$AD:$AD,$C39)),"")</f>
        <v/>
      </c>
      <c r="U39" s="186" t="str">
        <f t="shared" si="3"/>
        <v/>
      </c>
      <c r="V39" s="187"/>
      <c r="W39" s="187"/>
      <c r="X39" s="187"/>
      <c r="Y39" s="187"/>
      <c r="Z39" s="187"/>
      <c r="AA39" s="187"/>
      <c r="AB39" s="187"/>
      <c r="AC39" s="187"/>
      <c r="AD39" s="187"/>
      <c r="AE39" s="187"/>
      <c r="AF39" s="187"/>
    </row>
    <row r="40" spans="1:32" x14ac:dyDescent="0.25">
      <c r="A40" s="187"/>
      <c r="B40" s="187"/>
      <c r="C40" s="145"/>
      <c r="D40" s="185" t="str">
        <f>IF($C40="","",COUNTIF(Database!AD:AD,$C40))</f>
        <v/>
      </c>
      <c r="E40" s="185" t="str">
        <f>IFERROR(IF($C40="","",SUMIFS(Database!AG:AG,Database!$AD:$AD,$C40)),"")</f>
        <v/>
      </c>
      <c r="F40" s="185" t="str">
        <f>IFERROR(IF($C40="","",SUMIFS(Database!AH:AH,Database!$AD:$AD,$C40)),"")</f>
        <v/>
      </c>
      <c r="G40" s="185" t="str">
        <f>IFERROR(IF($C40="","",SUMIFS(Database!AI:AI,Database!$AD:$AD,$C40)),"")</f>
        <v/>
      </c>
      <c r="H40" s="185" t="str">
        <f>IFERROR(IF($C40="","",SUMIFS(Database!AJ:AJ,Database!$AD:$AD,$C40)),"")</f>
        <v/>
      </c>
      <c r="I40" s="185" t="str">
        <f>IFERROR(IF($C40="","",SUMIFS(Database!AK:AK,Database!$AD:$AD,$C40)),"")</f>
        <v/>
      </c>
      <c r="J40" s="185" t="str">
        <f>IFERROR(IF($C40="","",SUMIFS(Database!AL:AL,Database!$AD:$AD,$C40)),"")</f>
        <v/>
      </c>
      <c r="K40" s="185" t="str">
        <f>IFERROR(IF($C40="","",SUMIFS(Database!AM:AM,Database!$AD:$AD,$C40)),"")</f>
        <v/>
      </c>
      <c r="L40" s="185" t="str">
        <f>IFERROR(IF($C40="","",SUMIFS(Database!AN:AN,Database!$AD:$AD,$C40)),"")</f>
        <v/>
      </c>
      <c r="M40" s="185" t="str">
        <f>IFERROR(IF($C40="","",SUMIFS(Database!AO:AO,Database!$AD:$AD,$C40)),"")</f>
        <v/>
      </c>
      <c r="N40" s="185" t="str">
        <f>IFERROR(IF($C40="","",SUMIFS(Database!AP:AP,Database!$AD:$AD,$C40)),"")</f>
        <v/>
      </c>
      <c r="O40" s="186" t="str">
        <f t="shared" si="1"/>
        <v/>
      </c>
      <c r="P40" s="185" t="str">
        <f>IFERROR(IF($C40="","",SUMIFS(Database!AR:AR,Database!$AD:$AD,$C40)),"")</f>
        <v/>
      </c>
      <c r="Q40" s="185" t="str">
        <f>IFERROR(IF($C40="","",SUMIFS(Database!AS:AS,Database!$AD:$AD,$C40)),"")</f>
        <v/>
      </c>
      <c r="R40" s="186" t="str">
        <f t="shared" si="2"/>
        <v/>
      </c>
      <c r="S40" s="185" t="str">
        <f>IFERROR(IF($C40="","",SUMIFS(Database!AU:AU,Database!$AD:$AD,$C40)),"")</f>
        <v/>
      </c>
      <c r="T40" s="185" t="str">
        <f>IFERROR(IF($C40="","",SUMIFS(Database!AV:AV,Database!$AD:$AD,$C40)),"")</f>
        <v/>
      </c>
      <c r="U40" s="186" t="str">
        <f t="shared" si="3"/>
        <v/>
      </c>
      <c r="V40" s="187"/>
      <c r="W40" s="187"/>
      <c r="X40" s="187"/>
      <c r="Y40" s="187"/>
      <c r="Z40" s="187"/>
      <c r="AA40" s="187"/>
      <c r="AB40" s="187"/>
      <c r="AC40" s="187"/>
      <c r="AD40" s="187"/>
      <c r="AE40" s="187"/>
      <c r="AF40" s="187"/>
    </row>
    <row r="41" spans="1:32" x14ac:dyDescent="0.25">
      <c r="A41" s="187"/>
      <c r="B41" s="187"/>
      <c r="C41" s="145"/>
      <c r="D41" s="185" t="str">
        <f>IF($C41="","",COUNTIF(Database!AD:AD,$C41))</f>
        <v/>
      </c>
      <c r="E41" s="185" t="str">
        <f>IFERROR(IF($C41="","",SUMIFS(Database!AG:AG,Database!$AD:$AD,$C41)),"")</f>
        <v/>
      </c>
      <c r="F41" s="185" t="str">
        <f>IFERROR(IF($C41="","",SUMIFS(Database!AH:AH,Database!$AD:$AD,$C41)),"")</f>
        <v/>
      </c>
      <c r="G41" s="185" t="str">
        <f>IFERROR(IF($C41="","",SUMIFS(Database!AI:AI,Database!$AD:$AD,$C41)),"")</f>
        <v/>
      </c>
      <c r="H41" s="185" t="str">
        <f>IFERROR(IF($C41="","",SUMIFS(Database!AJ:AJ,Database!$AD:$AD,$C41)),"")</f>
        <v/>
      </c>
      <c r="I41" s="185" t="str">
        <f>IFERROR(IF($C41="","",SUMIFS(Database!AK:AK,Database!$AD:$AD,$C41)),"")</f>
        <v/>
      </c>
      <c r="J41" s="185" t="str">
        <f>IFERROR(IF($C41="","",SUMIFS(Database!AL:AL,Database!$AD:$AD,$C41)),"")</f>
        <v/>
      </c>
      <c r="K41" s="185" t="str">
        <f>IFERROR(IF($C41="","",SUMIFS(Database!AM:AM,Database!$AD:$AD,$C41)),"")</f>
        <v/>
      </c>
      <c r="L41" s="185" t="str">
        <f>IFERROR(IF($C41="","",SUMIFS(Database!AN:AN,Database!$AD:$AD,$C41)),"")</f>
        <v/>
      </c>
      <c r="M41" s="185" t="str">
        <f>IFERROR(IF($C41="","",SUMIFS(Database!AO:AO,Database!$AD:$AD,$C41)),"")</f>
        <v/>
      </c>
      <c r="N41" s="185" t="str">
        <f>IFERROR(IF($C41="","",SUMIFS(Database!AP:AP,Database!$AD:$AD,$C41)),"")</f>
        <v/>
      </c>
      <c r="O41" s="186" t="str">
        <f t="shared" si="1"/>
        <v/>
      </c>
      <c r="P41" s="185" t="str">
        <f>IFERROR(IF($C41="","",SUMIFS(Database!AR:AR,Database!$AD:$AD,$C41)),"")</f>
        <v/>
      </c>
      <c r="Q41" s="185" t="str">
        <f>IFERROR(IF($C41="","",SUMIFS(Database!AS:AS,Database!$AD:$AD,$C41)),"")</f>
        <v/>
      </c>
      <c r="R41" s="186" t="str">
        <f t="shared" si="2"/>
        <v/>
      </c>
      <c r="S41" s="185" t="str">
        <f>IFERROR(IF($C41="","",SUMIFS(Database!AU:AU,Database!$AD:$AD,$C41)),"")</f>
        <v/>
      </c>
      <c r="T41" s="185" t="str">
        <f>IFERROR(IF($C41="","",SUMIFS(Database!AV:AV,Database!$AD:$AD,$C41)),"")</f>
        <v/>
      </c>
      <c r="U41" s="186" t="str">
        <f t="shared" si="3"/>
        <v/>
      </c>
      <c r="V41" s="187"/>
      <c r="W41" s="187"/>
      <c r="X41" s="187"/>
      <c r="Y41" s="187"/>
      <c r="Z41" s="187"/>
      <c r="AA41" s="187"/>
      <c r="AB41" s="187"/>
      <c r="AC41" s="187"/>
      <c r="AD41" s="187"/>
      <c r="AE41" s="187"/>
      <c r="AF41" s="187"/>
    </row>
    <row r="42" spans="1:32" x14ac:dyDescent="0.25">
      <c r="A42" s="187"/>
      <c r="B42" s="187"/>
      <c r="C42" s="145"/>
      <c r="D42" s="185" t="str">
        <f>IF($C42="","",COUNTIF(Database!AD:AD,$C42))</f>
        <v/>
      </c>
      <c r="E42" s="185" t="str">
        <f>IFERROR(IF($C42="","",SUMIFS(Database!AG:AG,Database!$AD:$AD,$C42)),"")</f>
        <v/>
      </c>
      <c r="F42" s="185" t="str">
        <f>IFERROR(IF($C42="","",SUMIFS(Database!AH:AH,Database!$AD:$AD,$C42)),"")</f>
        <v/>
      </c>
      <c r="G42" s="185" t="str">
        <f>IFERROR(IF($C42="","",SUMIFS(Database!AI:AI,Database!$AD:$AD,$C42)),"")</f>
        <v/>
      </c>
      <c r="H42" s="185" t="str">
        <f>IFERROR(IF($C42="","",SUMIFS(Database!AJ:AJ,Database!$AD:$AD,$C42)),"")</f>
        <v/>
      </c>
      <c r="I42" s="185" t="str">
        <f>IFERROR(IF($C42="","",SUMIFS(Database!AK:AK,Database!$AD:$AD,$C42)),"")</f>
        <v/>
      </c>
      <c r="J42" s="185" t="str">
        <f>IFERROR(IF($C42="","",SUMIFS(Database!AL:AL,Database!$AD:$AD,$C42)),"")</f>
        <v/>
      </c>
      <c r="K42" s="185" t="str">
        <f>IFERROR(IF($C42="","",SUMIFS(Database!AM:AM,Database!$AD:$AD,$C42)),"")</f>
        <v/>
      </c>
      <c r="L42" s="185" t="str">
        <f>IFERROR(IF($C42="","",SUMIFS(Database!AN:AN,Database!$AD:$AD,$C42)),"")</f>
        <v/>
      </c>
      <c r="M42" s="185" t="str">
        <f>IFERROR(IF($C42="","",SUMIFS(Database!AO:AO,Database!$AD:$AD,$C42)),"")</f>
        <v/>
      </c>
      <c r="N42" s="185" t="str">
        <f>IFERROR(IF($C42="","",SUMIFS(Database!AP:AP,Database!$AD:$AD,$C42)),"")</f>
        <v/>
      </c>
      <c r="O42" s="186" t="str">
        <f t="shared" si="1"/>
        <v/>
      </c>
      <c r="P42" s="185" t="str">
        <f>IFERROR(IF($C42="","",SUMIFS(Database!AR:AR,Database!$AD:$AD,$C42)),"")</f>
        <v/>
      </c>
      <c r="Q42" s="185" t="str">
        <f>IFERROR(IF($C42="","",SUMIFS(Database!AS:AS,Database!$AD:$AD,$C42)),"")</f>
        <v/>
      </c>
      <c r="R42" s="186" t="str">
        <f t="shared" si="2"/>
        <v/>
      </c>
      <c r="S42" s="185" t="str">
        <f>IFERROR(IF($C42="","",SUMIFS(Database!AU:AU,Database!$AD:$AD,$C42)),"")</f>
        <v/>
      </c>
      <c r="T42" s="185" t="str">
        <f>IFERROR(IF($C42="","",SUMIFS(Database!AV:AV,Database!$AD:$AD,$C42)),"")</f>
        <v/>
      </c>
      <c r="U42" s="186" t="str">
        <f t="shared" si="3"/>
        <v/>
      </c>
      <c r="V42" s="187"/>
      <c r="W42" s="187"/>
      <c r="X42" s="187"/>
      <c r="Y42" s="187"/>
      <c r="Z42" s="187"/>
      <c r="AA42" s="187"/>
      <c r="AB42" s="187"/>
      <c r="AC42" s="187"/>
      <c r="AD42" s="187"/>
      <c r="AE42" s="187"/>
      <c r="AF42" s="187"/>
    </row>
    <row r="43" spans="1:32" x14ac:dyDescent="0.25">
      <c r="A43" s="187"/>
      <c r="B43" s="187"/>
      <c r="C43" s="145"/>
      <c r="D43" s="185" t="str">
        <f>IF($C43="","",COUNTIF(Database!AD:AD,$C43))</f>
        <v/>
      </c>
      <c r="E43" s="185" t="str">
        <f>IFERROR(IF($C43="","",SUMIFS(Database!AG:AG,Database!$AD:$AD,$C43)),"")</f>
        <v/>
      </c>
      <c r="F43" s="185" t="str">
        <f>IFERROR(IF($C43="","",SUMIFS(Database!AH:AH,Database!$AD:$AD,$C43)),"")</f>
        <v/>
      </c>
      <c r="G43" s="185" t="str">
        <f>IFERROR(IF($C43="","",SUMIFS(Database!AI:AI,Database!$AD:$AD,$C43)),"")</f>
        <v/>
      </c>
      <c r="H43" s="185" t="str">
        <f>IFERROR(IF($C43="","",SUMIFS(Database!AJ:AJ,Database!$AD:$AD,$C43)),"")</f>
        <v/>
      </c>
      <c r="I43" s="185" t="str">
        <f>IFERROR(IF($C43="","",SUMIFS(Database!AK:AK,Database!$AD:$AD,$C43)),"")</f>
        <v/>
      </c>
      <c r="J43" s="185" t="str">
        <f>IFERROR(IF($C43="","",SUMIFS(Database!AL:AL,Database!$AD:$AD,$C43)),"")</f>
        <v/>
      </c>
      <c r="K43" s="185" t="str">
        <f>IFERROR(IF($C43="","",SUMIFS(Database!AM:AM,Database!$AD:$AD,$C43)),"")</f>
        <v/>
      </c>
      <c r="L43" s="185" t="str">
        <f>IFERROR(IF($C43="","",SUMIFS(Database!AN:AN,Database!$AD:$AD,$C43)),"")</f>
        <v/>
      </c>
      <c r="M43" s="185" t="str">
        <f>IFERROR(IF($C43="","",SUMIFS(Database!AO:AO,Database!$AD:$AD,$C43)),"")</f>
        <v/>
      </c>
      <c r="N43" s="185" t="str">
        <f>IFERROR(IF($C43="","",SUMIFS(Database!AP:AP,Database!$AD:$AD,$C43)),"")</f>
        <v/>
      </c>
      <c r="O43" s="186" t="str">
        <f t="shared" si="1"/>
        <v/>
      </c>
      <c r="P43" s="185" t="str">
        <f>IFERROR(IF($C43="","",SUMIFS(Database!AR:AR,Database!$AD:$AD,$C43)),"")</f>
        <v/>
      </c>
      <c r="Q43" s="185" t="str">
        <f>IFERROR(IF($C43="","",SUMIFS(Database!AS:AS,Database!$AD:$AD,$C43)),"")</f>
        <v/>
      </c>
      <c r="R43" s="186" t="str">
        <f t="shared" si="2"/>
        <v/>
      </c>
      <c r="S43" s="185" t="str">
        <f>IFERROR(IF($C43="","",SUMIFS(Database!AU:AU,Database!$AD:$AD,$C43)),"")</f>
        <v/>
      </c>
      <c r="T43" s="185" t="str">
        <f>IFERROR(IF($C43="","",SUMIFS(Database!AV:AV,Database!$AD:$AD,$C43)),"")</f>
        <v/>
      </c>
      <c r="U43" s="186" t="str">
        <f t="shared" si="3"/>
        <v/>
      </c>
      <c r="V43" s="187"/>
      <c r="W43" s="187"/>
      <c r="X43" s="187"/>
      <c r="Y43" s="187"/>
      <c r="Z43" s="187"/>
      <c r="AA43" s="187"/>
      <c r="AB43" s="187"/>
      <c r="AC43" s="187"/>
      <c r="AD43" s="187"/>
      <c r="AE43" s="187"/>
      <c r="AF43" s="187"/>
    </row>
    <row r="44" spans="1:32" x14ac:dyDescent="0.25">
      <c r="A44" s="187"/>
      <c r="B44" s="187"/>
      <c r="C44" s="145"/>
      <c r="D44" s="185" t="str">
        <f>IF($C44="","",COUNTIF(Database!AD:AD,$C44))</f>
        <v/>
      </c>
      <c r="E44" s="185" t="str">
        <f>IFERROR(IF($C44="","",SUMIFS(Database!AG:AG,Database!$AD:$AD,$C44)),"")</f>
        <v/>
      </c>
      <c r="F44" s="185" t="str">
        <f>IFERROR(IF($C44="","",SUMIFS(Database!AH:AH,Database!$AD:$AD,$C44)),"")</f>
        <v/>
      </c>
      <c r="G44" s="185" t="str">
        <f>IFERROR(IF($C44="","",SUMIFS(Database!AI:AI,Database!$AD:$AD,$C44)),"")</f>
        <v/>
      </c>
      <c r="H44" s="185" t="str">
        <f>IFERROR(IF($C44="","",SUMIFS(Database!AJ:AJ,Database!$AD:$AD,$C44)),"")</f>
        <v/>
      </c>
      <c r="I44" s="185" t="str">
        <f>IFERROR(IF($C44="","",SUMIFS(Database!AK:AK,Database!$AD:$AD,$C44)),"")</f>
        <v/>
      </c>
      <c r="J44" s="185" t="str">
        <f>IFERROR(IF($C44="","",SUMIFS(Database!AL:AL,Database!$AD:$AD,$C44)),"")</f>
        <v/>
      </c>
      <c r="K44" s="185" t="str">
        <f>IFERROR(IF($C44="","",SUMIFS(Database!AM:AM,Database!$AD:$AD,$C44)),"")</f>
        <v/>
      </c>
      <c r="L44" s="185" t="str">
        <f>IFERROR(IF($C44="","",SUMIFS(Database!AN:AN,Database!$AD:$AD,$C44)),"")</f>
        <v/>
      </c>
      <c r="M44" s="185" t="str">
        <f>IFERROR(IF($C44="","",SUMIFS(Database!AO:AO,Database!$AD:$AD,$C44)),"")</f>
        <v/>
      </c>
      <c r="N44" s="185" t="str">
        <f>IFERROR(IF($C44="","",SUMIFS(Database!AP:AP,Database!$AD:$AD,$C44)),"")</f>
        <v/>
      </c>
      <c r="O44" s="186" t="str">
        <f t="shared" si="1"/>
        <v/>
      </c>
      <c r="P44" s="185" t="str">
        <f>IFERROR(IF($C44="","",SUMIFS(Database!AR:AR,Database!$AD:$AD,$C44)),"")</f>
        <v/>
      </c>
      <c r="Q44" s="185" t="str">
        <f>IFERROR(IF($C44="","",SUMIFS(Database!AS:AS,Database!$AD:$AD,$C44)),"")</f>
        <v/>
      </c>
      <c r="R44" s="186" t="str">
        <f t="shared" si="2"/>
        <v/>
      </c>
      <c r="S44" s="185" t="str">
        <f>IFERROR(IF($C44="","",SUMIFS(Database!AU:AU,Database!$AD:$AD,$C44)),"")</f>
        <v/>
      </c>
      <c r="T44" s="185" t="str">
        <f>IFERROR(IF($C44="","",SUMIFS(Database!AV:AV,Database!$AD:$AD,$C44)),"")</f>
        <v/>
      </c>
      <c r="U44" s="186" t="str">
        <f t="shared" si="3"/>
        <v/>
      </c>
      <c r="V44" s="187"/>
      <c r="W44" s="187"/>
      <c r="X44" s="187"/>
      <c r="Y44" s="187"/>
      <c r="Z44" s="187"/>
      <c r="AA44" s="187"/>
      <c r="AB44" s="187"/>
      <c r="AC44" s="187"/>
      <c r="AD44" s="187"/>
      <c r="AE44" s="187"/>
      <c r="AF44" s="187"/>
    </row>
    <row r="45" spans="1:32" x14ac:dyDescent="0.25">
      <c r="A45" s="187"/>
      <c r="B45" s="187"/>
      <c r="C45" s="145"/>
      <c r="D45" s="185" t="str">
        <f>IF($C45="","",COUNTIF(Database!AD:AD,$C45))</f>
        <v/>
      </c>
      <c r="E45" s="185" t="str">
        <f>IFERROR(IF($C45="","",SUMIFS(Database!AG:AG,Database!$AD:$AD,$C45)),"")</f>
        <v/>
      </c>
      <c r="F45" s="185" t="str">
        <f>IFERROR(IF($C45="","",SUMIFS(Database!AH:AH,Database!$AD:$AD,$C45)),"")</f>
        <v/>
      </c>
      <c r="G45" s="185" t="str">
        <f>IFERROR(IF($C45="","",SUMIFS(Database!AI:AI,Database!$AD:$AD,$C45)),"")</f>
        <v/>
      </c>
      <c r="H45" s="185" t="str">
        <f>IFERROR(IF($C45="","",SUMIFS(Database!AJ:AJ,Database!$AD:$AD,$C45)),"")</f>
        <v/>
      </c>
      <c r="I45" s="185" t="str">
        <f>IFERROR(IF($C45="","",SUMIFS(Database!AK:AK,Database!$AD:$AD,$C45)),"")</f>
        <v/>
      </c>
      <c r="J45" s="185" t="str">
        <f>IFERROR(IF($C45="","",SUMIFS(Database!AL:AL,Database!$AD:$AD,$C45)),"")</f>
        <v/>
      </c>
      <c r="K45" s="185" t="str">
        <f>IFERROR(IF($C45="","",SUMIFS(Database!AM:AM,Database!$AD:$AD,$C45)),"")</f>
        <v/>
      </c>
      <c r="L45" s="185" t="str">
        <f>IFERROR(IF($C45="","",SUMIFS(Database!AN:AN,Database!$AD:$AD,$C45)),"")</f>
        <v/>
      </c>
      <c r="M45" s="185" t="str">
        <f>IFERROR(IF($C45="","",SUMIFS(Database!AO:AO,Database!$AD:$AD,$C45)),"")</f>
        <v/>
      </c>
      <c r="N45" s="185" t="str">
        <f>IFERROR(IF($C45="","",SUMIFS(Database!AP:AP,Database!$AD:$AD,$C45)),"")</f>
        <v/>
      </c>
      <c r="O45" s="186" t="str">
        <f t="shared" si="1"/>
        <v/>
      </c>
      <c r="P45" s="185" t="str">
        <f>IFERROR(IF($C45="","",SUMIFS(Database!AR:AR,Database!$AD:$AD,$C45)),"")</f>
        <v/>
      </c>
      <c r="Q45" s="185" t="str">
        <f>IFERROR(IF($C45="","",SUMIFS(Database!AS:AS,Database!$AD:$AD,$C45)),"")</f>
        <v/>
      </c>
      <c r="R45" s="186" t="str">
        <f t="shared" si="2"/>
        <v/>
      </c>
      <c r="S45" s="185" t="str">
        <f>IFERROR(IF($C45="","",SUMIFS(Database!AU:AU,Database!$AD:$AD,$C45)),"")</f>
        <v/>
      </c>
      <c r="T45" s="185" t="str">
        <f>IFERROR(IF($C45="","",SUMIFS(Database!AV:AV,Database!$AD:$AD,$C45)),"")</f>
        <v/>
      </c>
      <c r="U45" s="186" t="str">
        <f t="shared" si="3"/>
        <v/>
      </c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</row>
    <row r="46" spans="1:32" x14ac:dyDescent="0.25">
      <c r="A46" s="187"/>
      <c r="B46" s="187"/>
      <c r="C46" s="145"/>
      <c r="D46" s="185" t="str">
        <f>IF($C46="","",COUNTIF(Database!AD:AD,$C46))</f>
        <v/>
      </c>
      <c r="E46" s="185" t="str">
        <f>IFERROR(IF($C46="","",SUMIFS(Database!AG:AG,Database!$AD:$AD,$C46)),"")</f>
        <v/>
      </c>
      <c r="F46" s="185" t="str">
        <f>IFERROR(IF($C46="","",SUMIFS(Database!AH:AH,Database!$AD:$AD,$C46)),"")</f>
        <v/>
      </c>
      <c r="G46" s="185" t="str">
        <f>IFERROR(IF($C46="","",SUMIFS(Database!AI:AI,Database!$AD:$AD,$C46)),"")</f>
        <v/>
      </c>
      <c r="H46" s="185" t="str">
        <f>IFERROR(IF($C46="","",SUMIFS(Database!AJ:AJ,Database!$AD:$AD,$C46)),"")</f>
        <v/>
      </c>
      <c r="I46" s="185" t="str">
        <f>IFERROR(IF($C46="","",SUMIFS(Database!AK:AK,Database!$AD:$AD,$C46)),"")</f>
        <v/>
      </c>
      <c r="J46" s="185" t="str">
        <f>IFERROR(IF($C46="","",SUMIFS(Database!AL:AL,Database!$AD:$AD,$C46)),"")</f>
        <v/>
      </c>
      <c r="K46" s="185" t="str">
        <f>IFERROR(IF($C46="","",SUMIFS(Database!AM:AM,Database!$AD:$AD,$C46)),"")</f>
        <v/>
      </c>
      <c r="L46" s="185" t="str">
        <f>IFERROR(IF($C46="","",SUMIFS(Database!AN:AN,Database!$AD:$AD,$C46)),"")</f>
        <v/>
      </c>
      <c r="M46" s="185" t="str">
        <f>IFERROR(IF($C46="","",SUMIFS(Database!AO:AO,Database!$AD:$AD,$C46)),"")</f>
        <v/>
      </c>
      <c r="N46" s="185" t="str">
        <f>IFERROR(IF($C46="","",SUMIFS(Database!AP:AP,Database!$AD:$AD,$C46)),"")</f>
        <v/>
      </c>
      <c r="O46" s="186" t="str">
        <f t="shared" si="1"/>
        <v/>
      </c>
      <c r="P46" s="185" t="str">
        <f>IFERROR(IF($C46="","",SUMIFS(Database!AR:AR,Database!$AD:$AD,$C46)),"")</f>
        <v/>
      </c>
      <c r="Q46" s="185" t="str">
        <f>IFERROR(IF($C46="","",SUMIFS(Database!AS:AS,Database!$AD:$AD,$C46)),"")</f>
        <v/>
      </c>
      <c r="R46" s="186" t="str">
        <f t="shared" si="2"/>
        <v/>
      </c>
      <c r="S46" s="185" t="str">
        <f>IFERROR(IF($C46="","",SUMIFS(Database!AU:AU,Database!$AD:$AD,$C46)),"")</f>
        <v/>
      </c>
      <c r="T46" s="185" t="str">
        <f>IFERROR(IF($C46="","",SUMIFS(Database!AV:AV,Database!$AD:$AD,$C46)),"")</f>
        <v/>
      </c>
      <c r="U46" s="186" t="str">
        <f t="shared" si="3"/>
        <v/>
      </c>
      <c r="V46" s="187"/>
      <c r="W46" s="187"/>
      <c r="X46" s="187"/>
      <c r="Y46" s="187"/>
      <c r="Z46" s="187"/>
      <c r="AA46" s="187"/>
      <c r="AB46" s="187"/>
      <c r="AC46" s="187"/>
      <c r="AD46" s="187"/>
      <c r="AE46" s="187"/>
      <c r="AF46" s="187"/>
    </row>
    <row r="47" spans="1:32" x14ac:dyDescent="0.25">
      <c r="A47" s="187"/>
      <c r="B47" s="187"/>
      <c r="C47" s="145"/>
      <c r="D47" s="185" t="str">
        <f>IF($C47="","",COUNTIF(Database!AD:AD,$C47))</f>
        <v/>
      </c>
      <c r="E47" s="185" t="str">
        <f>IFERROR(IF($C47="","",SUMIFS(Database!AG:AG,Database!$AD:$AD,$C47)),"")</f>
        <v/>
      </c>
      <c r="F47" s="185" t="str">
        <f>IFERROR(IF($C47="","",SUMIFS(Database!AH:AH,Database!$AD:$AD,$C47)),"")</f>
        <v/>
      </c>
      <c r="G47" s="185" t="str">
        <f>IFERROR(IF($C47="","",SUMIFS(Database!AI:AI,Database!$AD:$AD,$C47)),"")</f>
        <v/>
      </c>
      <c r="H47" s="185" t="str">
        <f>IFERROR(IF($C47="","",SUMIFS(Database!AJ:AJ,Database!$AD:$AD,$C47)),"")</f>
        <v/>
      </c>
      <c r="I47" s="185" t="str">
        <f>IFERROR(IF($C47="","",SUMIFS(Database!AK:AK,Database!$AD:$AD,$C47)),"")</f>
        <v/>
      </c>
      <c r="J47" s="185" t="str">
        <f>IFERROR(IF($C47="","",SUMIFS(Database!AL:AL,Database!$AD:$AD,$C47)),"")</f>
        <v/>
      </c>
      <c r="K47" s="185" t="str">
        <f>IFERROR(IF($C47="","",SUMIFS(Database!AM:AM,Database!$AD:$AD,$C47)),"")</f>
        <v/>
      </c>
      <c r="L47" s="185" t="str">
        <f>IFERROR(IF($C47="","",SUMIFS(Database!AN:AN,Database!$AD:$AD,$C47)),"")</f>
        <v/>
      </c>
      <c r="M47" s="185" t="str">
        <f>IFERROR(IF($C47="","",SUMIFS(Database!AO:AO,Database!$AD:$AD,$C47)),"")</f>
        <v/>
      </c>
      <c r="N47" s="185" t="str">
        <f>IFERROR(IF($C47="","",SUMIFS(Database!AP:AP,Database!$AD:$AD,$C47)),"")</f>
        <v/>
      </c>
      <c r="O47" s="186" t="str">
        <f t="shared" si="1"/>
        <v/>
      </c>
      <c r="P47" s="185" t="str">
        <f>IFERROR(IF($C47="","",SUMIFS(Database!AR:AR,Database!$AD:$AD,$C47)),"")</f>
        <v/>
      </c>
      <c r="Q47" s="185" t="str">
        <f>IFERROR(IF($C47="","",SUMIFS(Database!AS:AS,Database!$AD:$AD,$C47)),"")</f>
        <v/>
      </c>
      <c r="R47" s="186" t="str">
        <f t="shared" si="2"/>
        <v/>
      </c>
      <c r="S47" s="185" t="str">
        <f>IFERROR(IF($C47="","",SUMIFS(Database!AU:AU,Database!$AD:$AD,$C47)),"")</f>
        <v/>
      </c>
      <c r="T47" s="185" t="str">
        <f>IFERROR(IF($C47="","",SUMIFS(Database!AV:AV,Database!$AD:$AD,$C47)),"")</f>
        <v/>
      </c>
      <c r="U47" s="186" t="str">
        <f t="shared" si="3"/>
        <v/>
      </c>
      <c r="V47" s="187"/>
      <c r="W47" s="187"/>
      <c r="X47" s="187"/>
      <c r="Y47" s="187"/>
      <c r="Z47" s="187"/>
      <c r="AA47" s="187"/>
      <c r="AB47" s="187"/>
      <c r="AC47" s="187"/>
      <c r="AD47" s="187"/>
      <c r="AE47" s="187"/>
      <c r="AF47" s="187"/>
    </row>
    <row r="48" spans="1:32" x14ac:dyDescent="0.25">
      <c r="A48" s="187"/>
      <c r="B48" s="187"/>
      <c r="C48" s="145"/>
      <c r="D48" s="185" t="str">
        <f>IF($C48="","",COUNTIF(Database!AD:AD,$C48))</f>
        <v/>
      </c>
      <c r="E48" s="185" t="str">
        <f>IFERROR(IF($C48="","",SUMIFS(Database!AG:AG,Database!$AD:$AD,$C48)),"")</f>
        <v/>
      </c>
      <c r="F48" s="185" t="str">
        <f>IFERROR(IF($C48="","",SUMIFS(Database!AH:AH,Database!$AD:$AD,$C48)),"")</f>
        <v/>
      </c>
      <c r="G48" s="185" t="str">
        <f>IFERROR(IF($C48="","",SUMIFS(Database!AI:AI,Database!$AD:$AD,$C48)),"")</f>
        <v/>
      </c>
      <c r="H48" s="185" t="str">
        <f>IFERROR(IF($C48="","",SUMIFS(Database!AJ:AJ,Database!$AD:$AD,$C48)),"")</f>
        <v/>
      </c>
      <c r="I48" s="185" t="str">
        <f>IFERROR(IF($C48="","",SUMIFS(Database!AK:AK,Database!$AD:$AD,$C48)),"")</f>
        <v/>
      </c>
      <c r="J48" s="185" t="str">
        <f>IFERROR(IF($C48="","",SUMIFS(Database!AL:AL,Database!$AD:$AD,$C48)),"")</f>
        <v/>
      </c>
      <c r="K48" s="185" t="str">
        <f>IFERROR(IF($C48="","",SUMIFS(Database!AM:AM,Database!$AD:$AD,$C48)),"")</f>
        <v/>
      </c>
      <c r="L48" s="185" t="str">
        <f>IFERROR(IF($C48="","",SUMIFS(Database!AN:AN,Database!$AD:$AD,$C48)),"")</f>
        <v/>
      </c>
      <c r="M48" s="185" t="str">
        <f>IFERROR(IF($C48="","",SUMIFS(Database!AO:AO,Database!$AD:$AD,$C48)),"")</f>
        <v/>
      </c>
      <c r="N48" s="185" t="str">
        <f>IFERROR(IF($C48="","",SUMIFS(Database!AP:AP,Database!$AD:$AD,$C48)),"")</f>
        <v/>
      </c>
      <c r="O48" s="186" t="str">
        <f t="shared" si="1"/>
        <v/>
      </c>
      <c r="P48" s="185" t="str">
        <f>IFERROR(IF($C48="","",SUMIFS(Database!AR:AR,Database!$AD:$AD,$C48)),"")</f>
        <v/>
      </c>
      <c r="Q48" s="185" t="str">
        <f>IFERROR(IF($C48="","",SUMIFS(Database!AS:AS,Database!$AD:$AD,$C48)),"")</f>
        <v/>
      </c>
      <c r="R48" s="186" t="str">
        <f t="shared" si="2"/>
        <v/>
      </c>
      <c r="S48" s="185" t="str">
        <f>IFERROR(IF($C48="","",SUMIFS(Database!AU:AU,Database!$AD:$AD,$C48)),"")</f>
        <v/>
      </c>
      <c r="T48" s="185" t="str">
        <f>IFERROR(IF($C48="","",SUMIFS(Database!AV:AV,Database!$AD:$AD,$C48)),"")</f>
        <v/>
      </c>
      <c r="U48" s="186" t="str">
        <f t="shared" si="3"/>
        <v/>
      </c>
      <c r="V48" s="187"/>
      <c r="W48" s="187"/>
      <c r="X48" s="187"/>
      <c r="Y48" s="187"/>
      <c r="Z48" s="187"/>
      <c r="AA48" s="187"/>
      <c r="AB48" s="187"/>
      <c r="AC48" s="187"/>
      <c r="AD48" s="187"/>
      <c r="AE48" s="187"/>
      <c r="AF48" s="187"/>
    </row>
    <row r="49" spans="1:32" x14ac:dyDescent="0.25">
      <c r="A49" s="187"/>
      <c r="B49" s="187"/>
      <c r="C49" s="145"/>
      <c r="D49" s="185" t="str">
        <f>IF($C49="","",COUNTIF(Database!AD:AD,$C49))</f>
        <v/>
      </c>
      <c r="E49" s="185" t="str">
        <f>IFERROR(IF($C49="","",SUMIFS(Database!AG:AG,Database!$AD:$AD,$C49)),"")</f>
        <v/>
      </c>
      <c r="F49" s="185" t="str">
        <f>IFERROR(IF($C49="","",SUMIFS(Database!AH:AH,Database!$AD:$AD,$C49)),"")</f>
        <v/>
      </c>
      <c r="G49" s="185" t="str">
        <f>IFERROR(IF($C49="","",SUMIFS(Database!AI:AI,Database!$AD:$AD,$C49)),"")</f>
        <v/>
      </c>
      <c r="H49" s="185" t="str">
        <f>IFERROR(IF($C49="","",SUMIFS(Database!AJ:AJ,Database!$AD:$AD,$C49)),"")</f>
        <v/>
      </c>
      <c r="I49" s="185" t="str">
        <f>IFERROR(IF($C49="","",SUMIFS(Database!AK:AK,Database!$AD:$AD,$C49)),"")</f>
        <v/>
      </c>
      <c r="J49" s="185" t="str">
        <f>IFERROR(IF($C49="","",SUMIFS(Database!AL:AL,Database!$AD:$AD,$C49)),"")</f>
        <v/>
      </c>
      <c r="K49" s="185" t="str">
        <f>IFERROR(IF($C49="","",SUMIFS(Database!AM:AM,Database!$AD:$AD,$C49)),"")</f>
        <v/>
      </c>
      <c r="L49" s="185" t="str">
        <f>IFERROR(IF($C49="","",SUMIFS(Database!AN:AN,Database!$AD:$AD,$C49)),"")</f>
        <v/>
      </c>
      <c r="M49" s="185" t="str">
        <f>IFERROR(IF($C49="","",SUMIFS(Database!AO:AO,Database!$AD:$AD,$C49)),"")</f>
        <v/>
      </c>
      <c r="N49" s="185" t="str">
        <f>IFERROR(IF($C49="","",SUMIFS(Database!AP:AP,Database!$AD:$AD,$C49)),"")</f>
        <v/>
      </c>
      <c r="O49" s="186" t="str">
        <f t="shared" si="1"/>
        <v/>
      </c>
      <c r="P49" s="185" t="str">
        <f>IFERROR(IF($C49="","",SUMIFS(Database!AR:AR,Database!$AD:$AD,$C49)),"")</f>
        <v/>
      </c>
      <c r="Q49" s="185" t="str">
        <f>IFERROR(IF($C49="","",SUMIFS(Database!AS:AS,Database!$AD:$AD,$C49)),"")</f>
        <v/>
      </c>
      <c r="R49" s="186" t="str">
        <f t="shared" si="2"/>
        <v/>
      </c>
      <c r="S49" s="185" t="str">
        <f>IFERROR(IF($C49="","",SUMIFS(Database!AU:AU,Database!$AD:$AD,$C49)),"")</f>
        <v/>
      </c>
      <c r="T49" s="185" t="str">
        <f>IFERROR(IF($C49="","",SUMIFS(Database!AV:AV,Database!$AD:$AD,$C49)),"")</f>
        <v/>
      </c>
      <c r="U49" s="186" t="str">
        <f t="shared" si="3"/>
        <v/>
      </c>
      <c r="V49" s="187"/>
      <c r="W49" s="187"/>
      <c r="X49" s="187"/>
      <c r="Y49" s="187"/>
      <c r="Z49" s="187"/>
      <c r="AA49" s="187"/>
      <c r="AB49" s="187"/>
      <c r="AC49" s="187"/>
      <c r="AD49" s="187"/>
      <c r="AE49" s="187"/>
      <c r="AF49" s="187"/>
    </row>
    <row r="50" spans="1:32" x14ac:dyDescent="0.25">
      <c r="A50" s="187"/>
      <c r="B50" s="187"/>
      <c r="C50" s="145"/>
      <c r="D50" s="185" t="str">
        <f>IF($C50="","",COUNTIF(Database!AD:AD,$C50))</f>
        <v/>
      </c>
      <c r="E50" s="185" t="str">
        <f>IFERROR(IF($C50="","",SUMIFS(Database!AG:AG,Database!$AD:$AD,$C50)),"")</f>
        <v/>
      </c>
      <c r="F50" s="185" t="str">
        <f>IFERROR(IF($C50="","",SUMIFS(Database!AH:AH,Database!$AD:$AD,$C50)),"")</f>
        <v/>
      </c>
      <c r="G50" s="185" t="str">
        <f>IFERROR(IF($C50="","",SUMIFS(Database!AI:AI,Database!$AD:$AD,$C50)),"")</f>
        <v/>
      </c>
      <c r="H50" s="185" t="str">
        <f>IFERROR(IF($C50="","",SUMIFS(Database!AJ:AJ,Database!$AD:$AD,$C50)),"")</f>
        <v/>
      </c>
      <c r="I50" s="185" t="str">
        <f>IFERROR(IF($C50="","",SUMIFS(Database!AK:AK,Database!$AD:$AD,$C50)),"")</f>
        <v/>
      </c>
      <c r="J50" s="185" t="str">
        <f>IFERROR(IF($C50="","",SUMIFS(Database!AL:AL,Database!$AD:$AD,$C50)),"")</f>
        <v/>
      </c>
      <c r="K50" s="185" t="str">
        <f>IFERROR(IF($C50="","",SUMIFS(Database!AM:AM,Database!$AD:$AD,$C50)),"")</f>
        <v/>
      </c>
      <c r="L50" s="185" t="str">
        <f>IFERROR(IF($C50="","",SUMIFS(Database!AN:AN,Database!$AD:$AD,$C50)),"")</f>
        <v/>
      </c>
      <c r="M50" s="185" t="str">
        <f>IFERROR(IF($C50="","",SUMIFS(Database!AO:AO,Database!$AD:$AD,$C50)),"")</f>
        <v/>
      </c>
      <c r="N50" s="185" t="str">
        <f>IFERROR(IF($C50="","",SUMIFS(Database!AP:AP,Database!$AD:$AD,$C50)),"")</f>
        <v/>
      </c>
      <c r="O50" s="186" t="str">
        <f t="shared" si="1"/>
        <v/>
      </c>
      <c r="P50" s="185" t="str">
        <f>IFERROR(IF($C50="","",SUMIFS(Database!AR:AR,Database!$AD:$AD,$C50)),"")</f>
        <v/>
      </c>
      <c r="Q50" s="185" t="str">
        <f>IFERROR(IF($C50="","",SUMIFS(Database!AS:AS,Database!$AD:$AD,$C50)),"")</f>
        <v/>
      </c>
      <c r="R50" s="186" t="str">
        <f t="shared" si="2"/>
        <v/>
      </c>
      <c r="S50" s="185" t="str">
        <f>IFERROR(IF($C50="","",SUMIFS(Database!AU:AU,Database!$AD:$AD,$C50)),"")</f>
        <v/>
      </c>
      <c r="T50" s="185" t="str">
        <f>IFERROR(IF($C50="","",SUMIFS(Database!AV:AV,Database!$AD:$AD,$C50)),"")</f>
        <v/>
      </c>
      <c r="U50" s="186" t="str">
        <f t="shared" si="3"/>
        <v/>
      </c>
      <c r="V50" s="187"/>
      <c r="W50" s="187"/>
      <c r="X50" s="187"/>
      <c r="Y50" s="187"/>
      <c r="Z50" s="187"/>
      <c r="AA50" s="187"/>
      <c r="AB50" s="187"/>
      <c r="AC50" s="187"/>
      <c r="AD50" s="187"/>
      <c r="AE50" s="187"/>
      <c r="AF50" s="187"/>
    </row>
    <row r="51" spans="1:32" x14ac:dyDescent="0.25">
      <c r="A51" s="187"/>
      <c r="B51" s="187"/>
      <c r="C51" s="145"/>
      <c r="D51" s="185" t="str">
        <f>IF($C51="","",COUNTIF(Database!AD:AD,$C51))</f>
        <v/>
      </c>
      <c r="E51" s="185" t="str">
        <f>IFERROR(IF($C51="","",SUMIFS(Database!AG:AG,Database!$AD:$AD,$C51)),"")</f>
        <v/>
      </c>
      <c r="F51" s="185" t="str">
        <f>IFERROR(IF($C51="","",SUMIFS(Database!AH:AH,Database!$AD:$AD,$C51)),"")</f>
        <v/>
      </c>
      <c r="G51" s="185" t="str">
        <f>IFERROR(IF($C51="","",SUMIFS(Database!AI:AI,Database!$AD:$AD,$C51)),"")</f>
        <v/>
      </c>
      <c r="H51" s="185" t="str">
        <f>IFERROR(IF($C51="","",SUMIFS(Database!AJ:AJ,Database!$AD:$AD,$C51)),"")</f>
        <v/>
      </c>
      <c r="I51" s="185" t="str">
        <f>IFERROR(IF($C51="","",SUMIFS(Database!AK:AK,Database!$AD:$AD,$C51)),"")</f>
        <v/>
      </c>
      <c r="J51" s="185" t="str">
        <f>IFERROR(IF($C51="","",SUMIFS(Database!AL:AL,Database!$AD:$AD,$C51)),"")</f>
        <v/>
      </c>
      <c r="K51" s="185" t="str">
        <f>IFERROR(IF($C51="","",SUMIFS(Database!AM:AM,Database!$AD:$AD,$C51)),"")</f>
        <v/>
      </c>
      <c r="L51" s="185" t="str">
        <f>IFERROR(IF($C51="","",SUMIFS(Database!AN:AN,Database!$AD:$AD,$C51)),"")</f>
        <v/>
      </c>
      <c r="M51" s="185" t="str">
        <f>IFERROR(IF($C51="","",SUMIFS(Database!AO:AO,Database!$AD:$AD,$C51)),"")</f>
        <v/>
      </c>
      <c r="N51" s="185" t="str">
        <f>IFERROR(IF($C51="","",SUMIFS(Database!AP:AP,Database!$AD:$AD,$C51)),"")</f>
        <v/>
      </c>
      <c r="O51" s="186" t="str">
        <f t="shared" si="1"/>
        <v/>
      </c>
      <c r="P51" s="185" t="str">
        <f>IFERROR(IF($C51="","",SUMIFS(Database!AR:AR,Database!$AD:$AD,$C51)),"")</f>
        <v/>
      </c>
      <c r="Q51" s="185" t="str">
        <f>IFERROR(IF($C51="","",SUMIFS(Database!AS:AS,Database!$AD:$AD,$C51)),"")</f>
        <v/>
      </c>
      <c r="R51" s="186" t="str">
        <f t="shared" si="2"/>
        <v/>
      </c>
      <c r="S51" s="185" t="str">
        <f>IFERROR(IF($C51="","",SUMIFS(Database!AU:AU,Database!$AD:$AD,$C51)),"")</f>
        <v/>
      </c>
      <c r="T51" s="185" t="str">
        <f>IFERROR(IF($C51="","",SUMIFS(Database!AV:AV,Database!$AD:$AD,$C51)),"")</f>
        <v/>
      </c>
      <c r="U51" s="186" t="str">
        <f t="shared" si="3"/>
        <v/>
      </c>
      <c r="V51" s="187"/>
      <c r="W51" s="187"/>
      <c r="X51" s="187"/>
      <c r="Y51" s="187"/>
      <c r="Z51" s="187"/>
      <c r="AA51" s="187"/>
      <c r="AB51" s="187"/>
      <c r="AC51" s="187"/>
      <c r="AD51" s="187"/>
      <c r="AE51" s="187"/>
      <c r="AF51" s="187"/>
    </row>
    <row r="52" spans="1:32" x14ac:dyDescent="0.25">
      <c r="A52" s="187"/>
      <c r="B52" s="187"/>
      <c r="C52" s="145"/>
      <c r="D52" s="185" t="str">
        <f>IF($C52="","",COUNTIF(Database!AD:AD,$C52))</f>
        <v/>
      </c>
      <c r="E52" s="185" t="str">
        <f>IFERROR(IF($C52="","",SUMIFS(Database!AG:AG,Database!$AD:$AD,$C52)),"")</f>
        <v/>
      </c>
      <c r="F52" s="185" t="str">
        <f>IFERROR(IF($C52="","",SUMIFS(Database!AH:AH,Database!$AD:$AD,$C52)),"")</f>
        <v/>
      </c>
      <c r="G52" s="185" t="str">
        <f>IFERROR(IF($C52="","",SUMIFS(Database!AI:AI,Database!$AD:$AD,$C52)),"")</f>
        <v/>
      </c>
      <c r="H52" s="185" t="str">
        <f>IFERROR(IF($C52="","",SUMIFS(Database!AJ:AJ,Database!$AD:$AD,$C52)),"")</f>
        <v/>
      </c>
      <c r="I52" s="185" t="str">
        <f>IFERROR(IF($C52="","",SUMIFS(Database!AK:AK,Database!$AD:$AD,$C52)),"")</f>
        <v/>
      </c>
      <c r="J52" s="185" t="str">
        <f>IFERROR(IF($C52="","",SUMIFS(Database!AL:AL,Database!$AD:$AD,$C52)),"")</f>
        <v/>
      </c>
      <c r="K52" s="185" t="str">
        <f>IFERROR(IF($C52="","",SUMIFS(Database!AM:AM,Database!$AD:$AD,$C52)),"")</f>
        <v/>
      </c>
      <c r="L52" s="185" t="str">
        <f>IFERROR(IF($C52="","",SUMIFS(Database!AN:AN,Database!$AD:$AD,$C52)),"")</f>
        <v/>
      </c>
      <c r="M52" s="185" t="str">
        <f>IFERROR(IF($C52="","",SUMIFS(Database!AO:AO,Database!$AD:$AD,$C52)),"")</f>
        <v/>
      </c>
      <c r="N52" s="185" t="str">
        <f>IFERROR(IF($C52="","",SUMIFS(Database!AP:AP,Database!$AD:$AD,$C52)),"")</f>
        <v/>
      </c>
      <c r="O52" s="186" t="str">
        <f t="shared" si="1"/>
        <v/>
      </c>
      <c r="P52" s="185" t="str">
        <f>IFERROR(IF($C52="","",SUMIFS(Database!AR:AR,Database!$AD:$AD,$C52)),"")</f>
        <v/>
      </c>
      <c r="Q52" s="185" t="str">
        <f>IFERROR(IF($C52="","",SUMIFS(Database!AS:AS,Database!$AD:$AD,$C52)),"")</f>
        <v/>
      </c>
      <c r="R52" s="186" t="str">
        <f t="shared" si="2"/>
        <v/>
      </c>
      <c r="S52" s="185" t="str">
        <f>IFERROR(IF($C52="","",SUMIFS(Database!AU:AU,Database!$AD:$AD,$C52)),"")</f>
        <v/>
      </c>
      <c r="T52" s="185" t="str">
        <f>IFERROR(IF($C52="","",SUMIFS(Database!AV:AV,Database!$AD:$AD,$C52)),"")</f>
        <v/>
      </c>
      <c r="U52" s="186" t="str">
        <f t="shared" si="3"/>
        <v/>
      </c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</row>
    <row r="53" spans="1:32" x14ac:dyDescent="0.25">
      <c r="A53" s="187"/>
      <c r="B53" s="187"/>
      <c r="C53" s="145"/>
      <c r="D53" s="185" t="str">
        <f>IF($C53="","",COUNTIF(Database!AD:AD,$C53))</f>
        <v/>
      </c>
      <c r="E53" s="185" t="str">
        <f>IFERROR(IF($C53="","",SUMIFS(Database!AG:AG,Database!$AD:$AD,$C53)),"")</f>
        <v/>
      </c>
      <c r="F53" s="185" t="str">
        <f>IFERROR(IF($C53="","",SUMIFS(Database!AH:AH,Database!$AD:$AD,$C53)),"")</f>
        <v/>
      </c>
      <c r="G53" s="185" t="str">
        <f>IFERROR(IF($C53="","",SUMIFS(Database!AI:AI,Database!$AD:$AD,$C53)),"")</f>
        <v/>
      </c>
      <c r="H53" s="185" t="str">
        <f>IFERROR(IF($C53="","",SUMIFS(Database!AJ:AJ,Database!$AD:$AD,$C53)),"")</f>
        <v/>
      </c>
      <c r="I53" s="185" t="str">
        <f>IFERROR(IF($C53="","",SUMIFS(Database!AK:AK,Database!$AD:$AD,$C53)),"")</f>
        <v/>
      </c>
      <c r="J53" s="185" t="str">
        <f>IFERROR(IF($C53="","",SUMIFS(Database!AL:AL,Database!$AD:$AD,$C53)),"")</f>
        <v/>
      </c>
      <c r="K53" s="185" t="str">
        <f>IFERROR(IF($C53="","",SUMIFS(Database!AM:AM,Database!$AD:$AD,$C53)),"")</f>
        <v/>
      </c>
      <c r="L53" s="185" t="str">
        <f>IFERROR(IF($C53="","",SUMIFS(Database!AN:AN,Database!$AD:$AD,$C53)),"")</f>
        <v/>
      </c>
      <c r="M53" s="185" t="str">
        <f>IFERROR(IF($C53="","",SUMIFS(Database!AO:AO,Database!$AD:$AD,$C53)),"")</f>
        <v/>
      </c>
      <c r="N53" s="185" t="str">
        <f>IFERROR(IF($C53="","",SUMIFS(Database!AP:AP,Database!$AD:$AD,$C53)),"")</f>
        <v/>
      </c>
      <c r="O53" s="186" t="str">
        <f t="shared" si="1"/>
        <v/>
      </c>
      <c r="P53" s="185" t="str">
        <f>IFERROR(IF($C53="","",SUMIFS(Database!AR:AR,Database!$AD:$AD,$C53)),"")</f>
        <v/>
      </c>
      <c r="Q53" s="185" t="str">
        <f>IFERROR(IF($C53="","",SUMIFS(Database!AS:AS,Database!$AD:$AD,$C53)),"")</f>
        <v/>
      </c>
      <c r="R53" s="186" t="str">
        <f t="shared" si="2"/>
        <v/>
      </c>
      <c r="S53" s="185" t="str">
        <f>IFERROR(IF($C53="","",SUMIFS(Database!AU:AU,Database!$AD:$AD,$C53)),"")</f>
        <v/>
      </c>
      <c r="T53" s="185" t="str">
        <f>IFERROR(IF($C53="","",SUMIFS(Database!AV:AV,Database!$AD:$AD,$C53)),"")</f>
        <v/>
      </c>
      <c r="U53" s="186" t="str">
        <f t="shared" si="3"/>
        <v/>
      </c>
      <c r="V53" s="187"/>
      <c r="W53" s="187"/>
      <c r="X53" s="187"/>
      <c r="Y53" s="187"/>
      <c r="Z53" s="187"/>
      <c r="AA53" s="187"/>
      <c r="AB53" s="187"/>
      <c r="AC53" s="187"/>
      <c r="AD53" s="187"/>
      <c r="AE53" s="187"/>
      <c r="AF53" s="187"/>
    </row>
    <row r="54" spans="1:32" x14ac:dyDescent="0.25">
      <c r="A54" s="187"/>
      <c r="B54" s="187"/>
      <c r="C54" s="145"/>
      <c r="D54" s="185" t="str">
        <f>IF($C54="","",COUNTIF(Database!AD:AD,$C54))</f>
        <v/>
      </c>
      <c r="E54" s="185" t="str">
        <f>IFERROR(IF($C54="","",SUMIFS(Database!AG:AG,Database!$AD:$AD,$C54)),"")</f>
        <v/>
      </c>
      <c r="F54" s="185" t="str">
        <f>IFERROR(IF($C54="","",SUMIFS(Database!AH:AH,Database!$AD:$AD,$C54)),"")</f>
        <v/>
      </c>
      <c r="G54" s="185" t="str">
        <f>IFERROR(IF($C54="","",SUMIFS(Database!AI:AI,Database!$AD:$AD,$C54)),"")</f>
        <v/>
      </c>
      <c r="H54" s="185" t="str">
        <f>IFERROR(IF($C54="","",SUMIFS(Database!AJ:AJ,Database!$AD:$AD,$C54)),"")</f>
        <v/>
      </c>
      <c r="I54" s="185" t="str">
        <f>IFERROR(IF($C54="","",SUMIFS(Database!AK:AK,Database!$AD:$AD,$C54)),"")</f>
        <v/>
      </c>
      <c r="J54" s="185" t="str">
        <f>IFERROR(IF($C54="","",SUMIFS(Database!AL:AL,Database!$AD:$AD,$C54)),"")</f>
        <v/>
      </c>
      <c r="K54" s="185" t="str">
        <f>IFERROR(IF($C54="","",SUMIFS(Database!AM:AM,Database!$AD:$AD,$C54)),"")</f>
        <v/>
      </c>
      <c r="L54" s="185" t="str">
        <f>IFERROR(IF($C54="","",SUMIFS(Database!AN:AN,Database!$AD:$AD,$C54)),"")</f>
        <v/>
      </c>
      <c r="M54" s="185" t="str">
        <f>IFERROR(IF($C54="","",SUMIFS(Database!AO:AO,Database!$AD:$AD,$C54)),"")</f>
        <v/>
      </c>
      <c r="N54" s="185" t="str">
        <f>IFERROR(IF($C54="","",SUMIFS(Database!AP:AP,Database!$AD:$AD,$C54)),"")</f>
        <v/>
      </c>
      <c r="O54" s="186" t="str">
        <f t="shared" si="1"/>
        <v/>
      </c>
      <c r="P54" s="185" t="str">
        <f>IFERROR(IF($C54="","",SUMIFS(Database!AR:AR,Database!$AD:$AD,$C54)),"")</f>
        <v/>
      </c>
      <c r="Q54" s="185" t="str">
        <f>IFERROR(IF($C54="","",SUMIFS(Database!AS:AS,Database!$AD:$AD,$C54)),"")</f>
        <v/>
      </c>
      <c r="R54" s="186" t="str">
        <f t="shared" si="2"/>
        <v/>
      </c>
      <c r="S54" s="185" t="str">
        <f>IFERROR(IF($C54="","",SUMIFS(Database!AU:AU,Database!$AD:$AD,$C54)),"")</f>
        <v/>
      </c>
      <c r="T54" s="185" t="str">
        <f>IFERROR(IF($C54="","",SUMIFS(Database!AV:AV,Database!$AD:$AD,$C54)),"")</f>
        <v/>
      </c>
      <c r="U54" s="186" t="str">
        <f t="shared" si="3"/>
        <v/>
      </c>
      <c r="V54" s="187"/>
      <c r="W54" s="187"/>
      <c r="X54" s="187"/>
      <c r="Y54" s="187"/>
      <c r="Z54" s="187"/>
      <c r="AA54" s="187"/>
      <c r="AB54" s="187"/>
      <c r="AC54" s="187"/>
      <c r="AD54" s="187"/>
      <c r="AE54" s="187"/>
      <c r="AF54" s="187"/>
    </row>
    <row r="55" spans="1:32" x14ac:dyDescent="0.25">
      <c r="A55" s="187"/>
      <c r="B55" s="187"/>
      <c r="C55" s="145"/>
      <c r="D55" s="185" t="str">
        <f>IF($C55="","",COUNTIF(Database!AD:AD,$C55))</f>
        <v/>
      </c>
      <c r="E55" s="185" t="str">
        <f>IFERROR(IF($C55="","",SUMIFS(Database!AG:AG,Database!$AD:$AD,$C55)),"")</f>
        <v/>
      </c>
      <c r="F55" s="185" t="str">
        <f>IFERROR(IF($C55="","",SUMIFS(Database!AH:AH,Database!$AD:$AD,$C55)),"")</f>
        <v/>
      </c>
      <c r="G55" s="185" t="str">
        <f>IFERROR(IF($C55="","",SUMIFS(Database!AI:AI,Database!$AD:$AD,$C55)),"")</f>
        <v/>
      </c>
      <c r="H55" s="185" t="str">
        <f>IFERROR(IF($C55="","",SUMIFS(Database!AJ:AJ,Database!$AD:$AD,$C55)),"")</f>
        <v/>
      </c>
      <c r="I55" s="185" t="str">
        <f>IFERROR(IF($C55="","",SUMIFS(Database!AK:AK,Database!$AD:$AD,$C55)),"")</f>
        <v/>
      </c>
      <c r="J55" s="185" t="str">
        <f>IFERROR(IF($C55="","",SUMIFS(Database!AL:AL,Database!$AD:$AD,$C55)),"")</f>
        <v/>
      </c>
      <c r="K55" s="185" t="str">
        <f>IFERROR(IF($C55="","",SUMIFS(Database!AM:AM,Database!$AD:$AD,$C55)),"")</f>
        <v/>
      </c>
      <c r="L55" s="185" t="str">
        <f>IFERROR(IF($C55="","",SUMIFS(Database!AN:AN,Database!$AD:$AD,$C55)),"")</f>
        <v/>
      </c>
      <c r="M55" s="185" t="str">
        <f>IFERROR(IF($C55="","",SUMIFS(Database!AO:AO,Database!$AD:$AD,$C55)),"")</f>
        <v/>
      </c>
      <c r="N55" s="185" t="str">
        <f>IFERROR(IF($C55="","",SUMIFS(Database!AP:AP,Database!$AD:$AD,$C55)),"")</f>
        <v/>
      </c>
      <c r="O55" s="186" t="str">
        <f t="shared" si="1"/>
        <v/>
      </c>
      <c r="P55" s="185" t="str">
        <f>IFERROR(IF($C55="","",SUMIFS(Database!AR:AR,Database!$AD:$AD,$C55)),"")</f>
        <v/>
      </c>
      <c r="Q55" s="185" t="str">
        <f>IFERROR(IF($C55="","",SUMIFS(Database!AS:AS,Database!$AD:$AD,$C55)),"")</f>
        <v/>
      </c>
      <c r="R55" s="186" t="str">
        <f t="shared" si="2"/>
        <v/>
      </c>
      <c r="S55" s="185" t="str">
        <f>IFERROR(IF($C55="","",SUMIFS(Database!AU:AU,Database!$AD:$AD,$C55)),"")</f>
        <v/>
      </c>
      <c r="T55" s="185" t="str">
        <f>IFERROR(IF($C55="","",SUMIFS(Database!AV:AV,Database!$AD:$AD,$C55)),"")</f>
        <v/>
      </c>
      <c r="U55" s="186" t="str">
        <f t="shared" si="3"/>
        <v/>
      </c>
      <c r="V55" s="187"/>
      <c r="W55" s="187"/>
      <c r="X55" s="187"/>
      <c r="Y55" s="187"/>
      <c r="Z55" s="187"/>
      <c r="AA55" s="187"/>
      <c r="AB55" s="187"/>
      <c r="AC55" s="187"/>
      <c r="AD55" s="187"/>
      <c r="AE55" s="187"/>
      <c r="AF55" s="187"/>
    </row>
    <row r="56" spans="1:32" x14ac:dyDescent="0.25">
      <c r="A56" s="187"/>
      <c r="B56" s="187"/>
      <c r="C56" s="145"/>
      <c r="D56" s="185" t="str">
        <f>IF($C56="","",COUNTIF(Database!AD:AD,$C56))</f>
        <v/>
      </c>
      <c r="E56" s="185" t="str">
        <f>IFERROR(IF($C56="","",SUMIFS(Database!AG:AG,Database!$AD:$AD,$C56)),"")</f>
        <v/>
      </c>
      <c r="F56" s="185" t="str">
        <f>IFERROR(IF($C56="","",SUMIFS(Database!AH:AH,Database!$AD:$AD,$C56)),"")</f>
        <v/>
      </c>
      <c r="G56" s="185" t="str">
        <f>IFERROR(IF($C56="","",SUMIFS(Database!AI:AI,Database!$AD:$AD,$C56)),"")</f>
        <v/>
      </c>
      <c r="H56" s="185" t="str">
        <f>IFERROR(IF($C56="","",SUMIFS(Database!AJ:AJ,Database!$AD:$AD,$C56)),"")</f>
        <v/>
      </c>
      <c r="I56" s="185" t="str">
        <f>IFERROR(IF($C56="","",SUMIFS(Database!AK:AK,Database!$AD:$AD,$C56)),"")</f>
        <v/>
      </c>
      <c r="J56" s="185" t="str">
        <f>IFERROR(IF($C56="","",SUMIFS(Database!AL:AL,Database!$AD:$AD,$C56)),"")</f>
        <v/>
      </c>
      <c r="K56" s="185" t="str">
        <f>IFERROR(IF($C56="","",SUMIFS(Database!AM:AM,Database!$AD:$AD,$C56)),"")</f>
        <v/>
      </c>
      <c r="L56" s="185" t="str">
        <f>IFERROR(IF($C56="","",SUMIFS(Database!AN:AN,Database!$AD:$AD,$C56)),"")</f>
        <v/>
      </c>
      <c r="M56" s="185" t="str">
        <f>IFERROR(IF($C56="","",SUMIFS(Database!AO:AO,Database!$AD:$AD,$C56)),"")</f>
        <v/>
      </c>
      <c r="N56" s="185" t="str">
        <f>IFERROR(IF($C56="","",SUMIFS(Database!AP:AP,Database!$AD:$AD,$C56)),"")</f>
        <v/>
      </c>
      <c r="O56" s="186" t="str">
        <f t="shared" si="1"/>
        <v/>
      </c>
      <c r="P56" s="185" t="str">
        <f>IFERROR(IF($C56="","",SUMIFS(Database!AR:AR,Database!$AD:$AD,$C56)),"")</f>
        <v/>
      </c>
      <c r="Q56" s="185" t="str">
        <f>IFERROR(IF($C56="","",SUMIFS(Database!AS:AS,Database!$AD:$AD,$C56)),"")</f>
        <v/>
      </c>
      <c r="R56" s="186" t="str">
        <f t="shared" si="2"/>
        <v/>
      </c>
      <c r="S56" s="185" t="str">
        <f>IFERROR(IF($C56="","",SUMIFS(Database!AU:AU,Database!$AD:$AD,$C56)),"")</f>
        <v/>
      </c>
      <c r="T56" s="185" t="str">
        <f>IFERROR(IF($C56="","",SUMIFS(Database!AV:AV,Database!$AD:$AD,$C56)),"")</f>
        <v/>
      </c>
      <c r="U56" s="186" t="str">
        <f t="shared" si="3"/>
        <v/>
      </c>
      <c r="V56" s="187"/>
      <c r="W56" s="187"/>
      <c r="X56" s="187"/>
      <c r="Y56" s="187"/>
      <c r="Z56" s="187"/>
      <c r="AA56" s="187"/>
      <c r="AB56" s="187"/>
      <c r="AC56" s="187"/>
      <c r="AD56" s="187"/>
      <c r="AE56" s="187"/>
      <c r="AF56" s="187"/>
    </row>
    <row r="57" spans="1:32" x14ac:dyDescent="0.25">
      <c r="A57" s="187"/>
      <c r="B57" s="187"/>
      <c r="C57" s="145"/>
      <c r="D57" s="185" t="str">
        <f>IF($C57="","",COUNTIF(Database!AD:AD,$C57))</f>
        <v/>
      </c>
      <c r="E57" s="185" t="str">
        <f>IFERROR(IF($C57="","",SUMIFS(Database!AG:AG,Database!$AD:$AD,$C57)),"")</f>
        <v/>
      </c>
      <c r="F57" s="185" t="str">
        <f>IFERROR(IF($C57="","",SUMIFS(Database!AH:AH,Database!$AD:$AD,$C57)),"")</f>
        <v/>
      </c>
      <c r="G57" s="185" t="str">
        <f>IFERROR(IF($C57="","",SUMIFS(Database!AI:AI,Database!$AD:$AD,$C57)),"")</f>
        <v/>
      </c>
      <c r="H57" s="185" t="str">
        <f>IFERROR(IF($C57="","",SUMIFS(Database!AJ:AJ,Database!$AD:$AD,$C57)),"")</f>
        <v/>
      </c>
      <c r="I57" s="185" t="str">
        <f>IFERROR(IF($C57="","",SUMIFS(Database!AK:AK,Database!$AD:$AD,$C57)),"")</f>
        <v/>
      </c>
      <c r="J57" s="185" t="str">
        <f>IFERROR(IF($C57="","",SUMIFS(Database!AL:AL,Database!$AD:$AD,$C57)),"")</f>
        <v/>
      </c>
      <c r="K57" s="185" t="str">
        <f>IFERROR(IF($C57="","",SUMIFS(Database!AM:AM,Database!$AD:$AD,$C57)),"")</f>
        <v/>
      </c>
      <c r="L57" s="185" t="str">
        <f>IFERROR(IF($C57="","",SUMIFS(Database!AN:AN,Database!$AD:$AD,$C57)),"")</f>
        <v/>
      </c>
      <c r="M57" s="185" t="str">
        <f>IFERROR(IF($C57="","",SUMIFS(Database!AO:AO,Database!$AD:$AD,$C57)),"")</f>
        <v/>
      </c>
      <c r="N57" s="185" t="str">
        <f>IFERROR(IF($C57="","",SUMIFS(Database!AP:AP,Database!$AD:$AD,$C57)),"")</f>
        <v/>
      </c>
      <c r="O57" s="186" t="str">
        <f t="shared" si="1"/>
        <v/>
      </c>
      <c r="P57" s="185" t="str">
        <f>IFERROR(IF($C57="","",SUMIFS(Database!AR:AR,Database!$AD:$AD,$C57)),"")</f>
        <v/>
      </c>
      <c r="Q57" s="185" t="str">
        <f>IFERROR(IF($C57="","",SUMIFS(Database!AS:AS,Database!$AD:$AD,$C57)),"")</f>
        <v/>
      </c>
      <c r="R57" s="186" t="str">
        <f t="shared" si="2"/>
        <v/>
      </c>
      <c r="S57" s="185" t="str">
        <f>IFERROR(IF($C57="","",SUMIFS(Database!AU:AU,Database!$AD:$AD,$C57)),"")</f>
        <v/>
      </c>
      <c r="T57" s="185" t="str">
        <f>IFERROR(IF($C57="","",SUMIFS(Database!AV:AV,Database!$AD:$AD,$C57)),"")</f>
        <v/>
      </c>
      <c r="U57" s="186" t="str">
        <f t="shared" si="3"/>
        <v/>
      </c>
      <c r="V57" s="187"/>
      <c r="W57" s="187"/>
      <c r="X57" s="187"/>
      <c r="Y57" s="187"/>
      <c r="Z57" s="187"/>
      <c r="AA57" s="187"/>
      <c r="AB57" s="187"/>
      <c r="AC57" s="187"/>
      <c r="AD57" s="187"/>
      <c r="AE57" s="187"/>
      <c r="AF57" s="187"/>
    </row>
    <row r="58" spans="1:32" x14ac:dyDescent="0.25">
      <c r="A58" s="187"/>
      <c r="B58" s="187"/>
      <c r="C58" s="145"/>
      <c r="D58" s="185" t="str">
        <f>IF($C58="","",COUNTIF(Database!AD:AD,$C58))</f>
        <v/>
      </c>
      <c r="E58" s="185" t="str">
        <f>IFERROR(IF($C58="","",SUMIFS(Database!AG:AG,Database!$AD:$AD,$C58)),"")</f>
        <v/>
      </c>
      <c r="F58" s="185" t="str">
        <f>IFERROR(IF($C58="","",SUMIFS(Database!AH:AH,Database!$AD:$AD,$C58)),"")</f>
        <v/>
      </c>
      <c r="G58" s="185" t="str">
        <f>IFERROR(IF($C58="","",SUMIFS(Database!AI:AI,Database!$AD:$AD,$C58)),"")</f>
        <v/>
      </c>
      <c r="H58" s="185" t="str">
        <f>IFERROR(IF($C58="","",SUMIFS(Database!AJ:AJ,Database!$AD:$AD,$C58)),"")</f>
        <v/>
      </c>
      <c r="I58" s="185" t="str">
        <f>IFERROR(IF($C58="","",SUMIFS(Database!AK:AK,Database!$AD:$AD,$C58)),"")</f>
        <v/>
      </c>
      <c r="J58" s="185" t="str">
        <f>IFERROR(IF($C58="","",SUMIFS(Database!AL:AL,Database!$AD:$AD,$C58)),"")</f>
        <v/>
      </c>
      <c r="K58" s="185" t="str">
        <f>IFERROR(IF($C58="","",SUMIFS(Database!AM:AM,Database!$AD:$AD,$C58)),"")</f>
        <v/>
      </c>
      <c r="L58" s="185" t="str">
        <f>IFERROR(IF($C58="","",SUMIFS(Database!AN:AN,Database!$AD:$AD,$C58)),"")</f>
        <v/>
      </c>
      <c r="M58" s="185" t="str">
        <f>IFERROR(IF($C58="","",SUMIFS(Database!AO:AO,Database!$AD:$AD,$C58)),"")</f>
        <v/>
      </c>
      <c r="N58" s="185" t="str">
        <f>IFERROR(IF($C58="","",SUMIFS(Database!AP:AP,Database!$AD:$AD,$C58)),"")</f>
        <v/>
      </c>
      <c r="O58" s="186" t="str">
        <f t="shared" si="1"/>
        <v/>
      </c>
      <c r="P58" s="185" t="str">
        <f>IFERROR(IF($C58="","",SUMIFS(Database!AR:AR,Database!$AD:$AD,$C58)),"")</f>
        <v/>
      </c>
      <c r="Q58" s="185" t="str">
        <f>IFERROR(IF($C58="","",SUMIFS(Database!AS:AS,Database!$AD:$AD,$C58)),"")</f>
        <v/>
      </c>
      <c r="R58" s="186" t="str">
        <f t="shared" si="2"/>
        <v/>
      </c>
      <c r="S58" s="185" t="str">
        <f>IFERROR(IF($C58="","",SUMIFS(Database!AU:AU,Database!$AD:$AD,$C58)),"")</f>
        <v/>
      </c>
      <c r="T58" s="185" t="str">
        <f>IFERROR(IF($C58="","",SUMIFS(Database!AV:AV,Database!$AD:$AD,$C58)),"")</f>
        <v/>
      </c>
      <c r="U58" s="186" t="str">
        <f t="shared" si="3"/>
        <v/>
      </c>
      <c r="V58" s="187"/>
      <c r="W58" s="187"/>
      <c r="X58" s="187"/>
      <c r="Y58" s="187"/>
      <c r="Z58" s="187"/>
      <c r="AA58" s="187"/>
      <c r="AB58" s="187"/>
      <c r="AC58" s="187"/>
      <c r="AD58" s="187"/>
      <c r="AE58" s="187"/>
      <c r="AF58" s="187"/>
    </row>
    <row r="59" spans="1:32" x14ac:dyDescent="0.25">
      <c r="A59" s="187"/>
      <c r="B59" s="187"/>
      <c r="C59" s="145"/>
      <c r="D59" s="185" t="str">
        <f>IF($C59="","",COUNTIF(Database!AD:AD,$C59))</f>
        <v/>
      </c>
      <c r="E59" s="185" t="str">
        <f>IFERROR(IF($C59="","",SUMIFS(Database!AG:AG,Database!$AD:$AD,$C59)),"")</f>
        <v/>
      </c>
      <c r="F59" s="185" t="str">
        <f>IFERROR(IF($C59="","",SUMIFS(Database!AH:AH,Database!$AD:$AD,$C59)),"")</f>
        <v/>
      </c>
      <c r="G59" s="185" t="str">
        <f>IFERROR(IF($C59="","",SUMIFS(Database!AI:AI,Database!$AD:$AD,$C59)),"")</f>
        <v/>
      </c>
      <c r="H59" s="185" t="str">
        <f>IFERROR(IF($C59="","",SUMIFS(Database!AJ:AJ,Database!$AD:$AD,$C59)),"")</f>
        <v/>
      </c>
      <c r="I59" s="185" t="str">
        <f>IFERROR(IF($C59="","",SUMIFS(Database!AK:AK,Database!$AD:$AD,$C59)),"")</f>
        <v/>
      </c>
      <c r="J59" s="185" t="str">
        <f>IFERROR(IF($C59="","",SUMIFS(Database!AL:AL,Database!$AD:$AD,$C59)),"")</f>
        <v/>
      </c>
      <c r="K59" s="185" t="str">
        <f>IFERROR(IF($C59="","",SUMIFS(Database!AM:AM,Database!$AD:$AD,$C59)),"")</f>
        <v/>
      </c>
      <c r="L59" s="185" t="str">
        <f>IFERROR(IF($C59="","",SUMIFS(Database!AN:AN,Database!$AD:$AD,$C59)),"")</f>
        <v/>
      </c>
      <c r="M59" s="185" t="str">
        <f>IFERROR(IF($C59="","",SUMIFS(Database!AO:AO,Database!$AD:$AD,$C59)),"")</f>
        <v/>
      </c>
      <c r="N59" s="185" t="str">
        <f>IFERROR(IF($C59="","",SUMIFS(Database!AP:AP,Database!$AD:$AD,$C59)),"")</f>
        <v/>
      </c>
      <c r="O59" s="186" t="str">
        <f t="shared" si="1"/>
        <v/>
      </c>
      <c r="P59" s="185" t="str">
        <f>IFERROR(IF($C59="","",SUMIFS(Database!AR:AR,Database!$AD:$AD,$C59)),"")</f>
        <v/>
      </c>
      <c r="Q59" s="185" t="str">
        <f>IFERROR(IF($C59="","",SUMIFS(Database!AS:AS,Database!$AD:$AD,$C59)),"")</f>
        <v/>
      </c>
      <c r="R59" s="186" t="str">
        <f t="shared" si="2"/>
        <v/>
      </c>
      <c r="S59" s="185" t="str">
        <f>IFERROR(IF($C59="","",SUMIFS(Database!AU:AU,Database!$AD:$AD,$C59)),"")</f>
        <v/>
      </c>
      <c r="T59" s="185" t="str">
        <f>IFERROR(IF($C59="","",SUMIFS(Database!AV:AV,Database!$AD:$AD,$C59)),"")</f>
        <v/>
      </c>
      <c r="U59" s="186" t="str">
        <f t="shared" si="3"/>
        <v/>
      </c>
      <c r="V59" s="187"/>
      <c r="W59" s="187"/>
      <c r="X59" s="187"/>
      <c r="Y59" s="187"/>
      <c r="Z59" s="187"/>
      <c r="AA59" s="187"/>
      <c r="AB59" s="187"/>
      <c r="AC59" s="187"/>
      <c r="AD59" s="187"/>
      <c r="AE59" s="187"/>
      <c r="AF59" s="187"/>
    </row>
    <row r="60" spans="1:32" x14ac:dyDescent="0.25">
      <c r="A60" s="187"/>
      <c r="B60" s="187"/>
      <c r="C60" s="145"/>
      <c r="D60" s="185" t="str">
        <f>IF($C60="","",COUNTIF(Database!AD:AD,$C60))</f>
        <v/>
      </c>
      <c r="E60" s="185" t="str">
        <f>IFERROR(IF($C60="","",SUMIFS(Database!AG:AG,Database!$AD:$AD,$C60)),"")</f>
        <v/>
      </c>
      <c r="F60" s="185" t="str">
        <f>IFERROR(IF($C60="","",SUMIFS(Database!AH:AH,Database!$AD:$AD,$C60)),"")</f>
        <v/>
      </c>
      <c r="G60" s="185" t="str">
        <f>IFERROR(IF($C60="","",SUMIFS(Database!AI:AI,Database!$AD:$AD,$C60)),"")</f>
        <v/>
      </c>
      <c r="H60" s="185" t="str">
        <f>IFERROR(IF($C60="","",SUMIFS(Database!AJ:AJ,Database!$AD:$AD,$C60)),"")</f>
        <v/>
      </c>
      <c r="I60" s="185" t="str">
        <f>IFERROR(IF($C60="","",SUMIFS(Database!AK:AK,Database!$AD:$AD,$C60)),"")</f>
        <v/>
      </c>
      <c r="J60" s="185" t="str">
        <f>IFERROR(IF($C60="","",SUMIFS(Database!AL:AL,Database!$AD:$AD,$C60)),"")</f>
        <v/>
      </c>
      <c r="K60" s="185" t="str">
        <f>IFERROR(IF($C60="","",SUMIFS(Database!AM:AM,Database!$AD:$AD,$C60)),"")</f>
        <v/>
      </c>
      <c r="L60" s="185" t="str">
        <f>IFERROR(IF($C60="","",SUMIFS(Database!AN:AN,Database!$AD:$AD,$C60)),"")</f>
        <v/>
      </c>
      <c r="M60" s="185" t="str">
        <f>IFERROR(IF($C60="","",SUMIFS(Database!AO:AO,Database!$AD:$AD,$C60)),"")</f>
        <v/>
      </c>
      <c r="N60" s="185" t="str">
        <f>IFERROR(IF($C60="","",SUMIFS(Database!AP:AP,Database!$AD:$AD,$C60)),"")</f>
        <v/>
      </c>
      <c r="O60" s="186" t="str">
        <f t="shared" si="1"/>
        <v/>
      </c>
      <c r="P60" s="185" t="str">
        <f>IFERROR(IF($C60="","",SUMIFS(Database!AR:AR,Database!$AD:$AD,$C60)),"")</f>
        <v/>
      </c>
      <c r="Q60" s="185" t="str">
        <f>IFERROR(IF($C60="","",SUMIFS(Database!AS:AS,Database!$AD:$AD,$C60)),"")</f>
        <v/>
      </c>
      <c r="R60" s="186" t="str">
        <f t="shared" si="2"/>
        <v/>
      </c>
      <c r="S60" s="185" t="str">
        <f>IFERROR(IF($C60="","",SUMIFS(Database!AU:AU,Database!$AD:$AD,$C60)),"")</f>
        <v/>
      </c>
      <c r="T60" s="185" t="str">
        <f>IFERROR(IF($C60="","",SUMIFS(Database!AV:AV,Database!$AD:$AD,$C60)),"")</f>
        <v/>
      </c>
      <c r="U60" s="186" t="str">
        <f t="shared" si="3"/>
        <v/>
      </c>
      <c r="V60" s="187"/>
      <c r="W60" s="187"/>
      <c r="X60" s="187"/>
      <c r="Y60" s="187"/>
      <c r="Z60" s="187"/>
      <c r="AA60" s="187"/>
      <c r="AB60" s="187"/>
      <c r="AC60" s="187"/>
      <c r="AD60" s="187"/>
      <c r="AE60" s="187"/>
      <c r="AF60" s="187"/>
    </row>
    <row r="61" spans="1:32" x14ac:dyDescent="0.25">
      <c r="A61" s="187"/>
      <c r="B61" s="187"/>
      <c r="C61" s="145"/>
      <c r="D61" s="185" t="str">
        <f>IF($C61="","",COUNTIF(Database!AD:AD,$C61))</f>
        <v/>
      </c>
      <c r="E61" s="185" t="str">
        <f>IFERROR(IF($C61="","",SUMIFS(Database!AG:AG,Database!$AD:$AD,$C61)),"")</f>
        <v/>
      </c>
      <c r="F61" s="185" t="str">
        <f>IFERROR(IF($C61="","",SUMIFS(Database!AH:AH,Database!$AD:$AD,$C61)),"")</f>
        <v/>
      </c>
      <c r="G61" s="185" t="str">
        <f>IFERROR(IF($C61="","",SUMIFS(Database!AI:AI,Database!$AD:$AD,$C61)),"")</f>
        <v/>
      </c>
      <c r="H61" s="185" t="str">
        <f>IFERROR(IF($C61="","",SUMIFS(Database!AJ:AJ,Database!$AD:$AD,$C61)),"")</f>
        <v/>
      </c>
      <c r="I61" s="185" t="str">
        <f>IFERROR(IF($C61="","",SUMIFS(Database!AK:AK,Database!$AD:$AD,$C61)),"")</f>
        <v/>
      </c>
      <c r="J61" s="185" t="str">
        <f>IFERROR(IF($C61="","",SUMIFS(Database!AL:AL,Database!$AD:$AD,$C61)),"")</f>
        <v/>
      </c>
      <c r="K61" s="185" t="str">
        <f>IFERROR(IF($C61="","",SUMIFS(Database!AM:AM,Database!$AD:$AD,$C61)),"")</f>
        <v/>
      </c>
      <c r="L61" s="185" t="str">
        <f>IFERROR(IF($C61="","",SUMIFS(Database!AN:AN,Database!$AD:$AD,$C61)),"")</f>
        <v/>
      </c>
      <c r="M61" s="185" t="str">
        <f>IFERROR(IF($C61="","",SUMIFS(Database!AO:AO,Database!$AD:$AD,$C61)),"")</f>
        <v/>
      </c>
      <c r="N61" s="185" t="str">
        <f>IFERROR(IF($C61="","",SUMIFS(Database!AP:AP,Database!$AD:$AD,$C61)),"")</f>
        <v/>
      </c>
      <c r="O61" s="186" t="str">
        <f t="shared" si="1"/>
        <v/>
      </c>
      <c r="P61" s="185" t="str">
        <f>IFERROR(IF($C61="","",SUMIFS(Database!AR:AR,Database!$AD:$AD,$C61)),"")</f>
        <v/>
      </c>
      <c r="Q61" s="185" t="str">
        <f>IFERROR(IF($C61="","",SUMIFS(Database!AS:AS,Database!$AD:$AD,$C61)),"")</f>
        <v/>
      </c>
      <c r="R61" s="186" t="str">
        <f t="shared" si="2"/>
        <v/>
      </c>
      <c r="S61" s="185" t="str">
        <f>IFERROR(IF($C61="","",SUMIFS(Database!AU:AU,Database!$AD:$AD,$C61)),"")</f>
        <v/>
      </c>
      <c r="T61" s="185" t="str">
        <f>IFERROR(IF($C61="","",SUMIFS(Database!AV:AV,Database!$AD:$AD,$C61)),"")</f>
        <v/>
      </c>
      <c r="U61" s="186" t="str">
        <f t="shared" si="3"/>
        <v/>
      </c>
      <c r="V61" s="187"/>
      <c r="W61" s="187"/>
      <c r="X61" s="187"/>
      <c r="Y61" s="187"/>
      <c r="Z61" s="187"/>
      <c r="AA61" s="187"/>
      <c r="AB61" s="187"/>
      <c r="AC61" s="187"/>
      <c r="AD61" s="187"/>
      <c r="AE61" s="187"/>
      <c r="AF61" s="187"/>
    </row>
    <row r="62" spans="1:32" x14ac:dyDescent="0.25">
      <c r="A62" s="187"/>
      <c r="B62" s="187"/>
      <c r="C62" s="145"/>
      <c r="D62" s="185" t="str">
        <f>IF($C62="","",COUNTIF(Database!AD:AD,$C62))</f>
        <v/>
      </c>
      <c r="E62" s="185" t="str">
        <f>IFERROR(IF($C62="","",SUMIFS(Database!AG:AG,Database!$AD:$AD,$C62)),"")</f>
        <v/>
      </c>
      <c r="F62" s="185" t="str">
        <f>IFERROR(IF($C62="","",SUMIFS(Database!AH:AH,Database!$AD:$AD,$C62)),"")</f>
        <v/>
      </c>
      <c r="G62" s="185" t="str">
        <f>IFERROR(IF($C62="","",SUMIFS(Database!AI:AI,Database!$AD:$AD,$C62)),"")</f>
        <v/>
      </c>
      <c r="H62" s="185" t="str">
        <f>IFERROR(IF($C62="","",SUMIFS(Database!AJ:AJ,Database!$AD:$AD,$C62)),"")</f>
        <v/>
      </c>
      <c r="I62" s="185" t="str">
        <f>IFERROR(IF($C62="","",SUMIFS(Database!AK:AK,Database!$AD:$AD,$C62)),"")</f>
        <v/>
      </c>
      <c r="J62" s="185" t="str">
        <f>IFERROR(IF($C62="","",SUMIFS(Database!AL:AL,Database!$AD:$AD,$C62)),"")</f>
        <v/>
      </c>
      <c r="K62" s="185" t="str">
        <f>IFERROR(IF($C62="","",SUMIFS(Database!AM:AM,Database!$AD:$AD,$C62)),"")</f>
        <v/>
      </c>
      <c r="L62" s="185" t="str">
        <f>IFERROR(IF($C62="","",SUMIFS(Database!AN:AN,Database!$AD:$AD,$C62)),"")</f>
        <v/>
      </c>
      <c r="M62" s="185" t="str">
        <f>IFERROR(IF($C62="","",SUMIFS(Database!AO:AO,Database!$AD:$AD,$C62)),"")</f>
        <v/>
      </c>
      <c r="N62" s="185" t="str">
        <f>IFERROR(IF($C62="","",SUMIFS(Database!AP:AP,Database!$AD:$AD,$C62)),"")</f>
        <v/>
      </c>
      <c r="O62" s="186" t="str">
        <f t="shared" si="1"/>
        <v/>
      </c>
      <c r="P62" s="185" t="str">
        <f>IFERROR(IF($C62="","",SUMIFS(Database!AR:AR,Database!$AD:$AD,$C62)),"")</f>
        <v/>
      </c>
      <c r="Q62" s="185" t="str">
        <f>IFERROR(IF($C62="","",SUMIFS(Database!AS:AS,Database!$AD:$AD,$C62)),"")</f>
        <v/>
      </c>
      <c r="R62" s="186" t="str">
        <f t="shared" si="2"/>
        <v/>
      </c>
      <c r="S62" s="185" t="str">
        <f>IFERROR(IF($C62="","",SUMIFS(Database!AU:AU,Database!$AD:$AD,$C62)),"")</f>
        <v/>
      </c>
      <c r="T62" s="185" t="str">
        <f>IFERROR(IF($C62="","",SUMIFS(Database!AV:AV,Database!$AD:$AD,$C62)),"")</f>
        <v/>
      </c>
      <c r="U62" s="186" t="str">
        <f t="shared" si="3"/>
        <v/>
      </c>
      <c r="V62" s="187"/>
      <c r="W62" s="187"/>
      <c r="X62" s="187"/>
      <c r="Y62" s="187"/>
      <c r="Z62" s="187"/>
      <c r="AA62" s="187"/>
      <c r="AB62" s="187"/>
      <c r="AC62" s="187"/>
      <c r="AD62" s="187"/>
      <c r="AE62" s="187"/>
      <c r="AF62" s="187"/>
    </row>
    <row r="63" spans="1:32" x14ac:dyDescent="0.25">
      <c r="A63" s="187"/>
      <c r="B63" s="187"/>
      <c r="C63" s="145"/>
      <c r="D63" s="185" t="str">
        <f>IF($C63="","",COUNTIF(Database!AD:AD,$C63))</f>
        <v/>
      </c>
      <c r="E63" s="185" t="str">
        <f>IFERROR(IF($C63="","",SUMIFS(Database!AG:AG,Database!$AD:$AD,$C63)),"")</f>
        <v/>
      </c>
      <c r="F63" s="185" t="str">
        <f>IFERROR(IF($C63="","",SUMIFS(Database!AH:AH,Database!$AD:$AD,$C63)),"")</f>
        <v/>
      </c>
      <c r="G63" s="185" t="str">
        <f>IFERROR(IF($C63="","",SUMIFS(Database!AI:AI,Database!$AD:$AD,$C63)),"")</f>
        <v/>
      </c>
      <c r="H63" s="185" t="str">
        <f>IFERROR(IF($C63="","",SUMIFS(Database!AJ:AJ,Database!$AD:$AD,$C63)),"")</f>
        <v/>
      </c>
      <c r="I63" s="185" t="str">
        <f>IFERROR(IF($C63="","",SUMIFS(Database!AK:AK,Database!$AD:$AD,$C63)),"")</f>
        <v/>
      </c>
      <c r="J63" s="185" t="str">
        <f>IFERROR(IF($C63="","",SUMIFS(Database!AL:AL,Database!$AD:$AD,$C63)),"")</f>
        <v/>
      </c>
      <c r="K63" s="185" t="str">
        <f>IFERROR(IF($C63="","",SUMIFS(Database!AM:AM,Database!$AD:$AD,$C63)),"")</f>
        <v/>
      </c>
      <c r="L63" s="185" t="str">
        <f>IFERROR(IF($C63="","",SUMIFS(Database!AN:AN,Database!$AD:$AD,$C63)),"")</f>
        <v/>
      </c>
      <c r="M63" s="185" t="str">
        <f>IFERROR(IF($C63="","",SUMIFS(Database!AO:AO,Database!$AD:$AD,$C63)),"")</f>
        <v/>
      </c>
      <c r="N63" s="185" t="str">
        <f>IFERROR(IF($C63="","",SUMIFS(Database!AP:AP,Database!$AD:$AD,$C63)),"")</f>
        <v/>
      </c>
      <c r="O63" s="186" t="str">
        <f t="shared" si="1"/>
        <v/>
      </c>
      <c r="P63" s="185" t="str">
        <f>IFERROR(IF($C63="","",SUMIFS(Database!AR:AR,Database!$AD:$AD,$C63)),"")</f>
        <v/>
      </c>
      <c r="Q63" s="185" t="str">
        <f>IFERROR(IF($C63="","",SUMIFS(Database!AS:AS,Database!$AD:$AD,$C63)),"")</f>
        <v/>
      </c>
      <c r="R63" s="186" t="str">
        <f t="shared" si="2"/>
        <v/>
      </c>
      <c r="S63" s="185" t="str">
        <f>IFERROR(IF($C63="","",SUMIFS(Database!AU:AU,Database!$AD:$AD,$C63)),"")</f>
        <v/>
      </c>
      <c r="T63" s="185" t="str">
        <f>IFERROR(IF($C63="","",SUMIFS(Database!AV:AV,Database!$AD:$AD,$C63)),"")</f>
        <v/>
      </c>
      <c r="U63" s="186" t="str">
        <f t="shared" si="3"/>
        <v/>
      </c>
      <c r="V63" s="187"/>
      <c r="W63" s="187"/>
      <c r="X63" s="187"/>
      <c r="Y63" s="187"/>
      <c r="Z63" s="187"/>
      <c r="AA63" s="187"/>
      <c r="AB63" s="187"/>
      <c r="AC63" s="187"/>
      <c r="AD63" s="187"/>
      <c r="AE63" s="187"/>
      <c r="AF63" s="187"/>
    </row>
    <row r="64" spans="1:32" x14ac:dyDescent="0.25">
      <c r="A64" s="187"/>
      <c r="B64" s="187"/>
      <c r="C64" s="145"/>
      <c r="D64" s="185" t="str">
        <f>IF($C64="","",COUNTIF(Database!AD:AD,$C64))</f>
        <v/>
      </c>
      <c r="E64" s="185" t="str">
        <f>IFERROR(IF($C64="","",SUMIFS(Database!AG:AG,Database!$AD:$AD,$C64)),"")</f>
        <v/>
      </c>
      <c r="F64" s="185" t="str">
        <f>IFERROR(IF($C64="","",SUMIFS(Database!AH:AH,Database!$AD:$AD,$C64)),"")</f>
        <v/>
      </c>
      <c r="G64" s="185" t="str">
        <f>IFERROR(IF($C64="","",SUMIFS(Database!AI:AI,Database!$AD:$AD,$C64)),"")</f>
        <v/>
      </c>
      <c r="H64" s="185" t="str">
        <f>IFERROR(IF($C64="","",SUMIFS(Database!AJ:AJ,Database!$AD:$AD,$C64)),"")</f>
        <v/>
      </c>
      <c r="I64" s="185" t="str">
        <f>IFERROR(IF($C64="","",SUMIFS(Database!AK:AK,Database!$AD:$AD,$C64)),"")</f>
        <v/>
      </c>
      <c r="J64" s="185" t="str">
        <f>IFERROR(IF($C64="","",SUMIFS(Database!AL:AL,Database!$AD:$AD,$C64)),"")</f>
        <v/>
      </c>
      <c r="K64" s="185" t="str">
        <f>IFERROR(IF($C64="","",SUMIFS(Database!AM:AM,Database!$AD:$AD,$C64)),"")</f>
        <v/>
      </c>
      <c r="L64" s="185" t="str">
        <f>IFERROR(IF($C64="","",SUMIFS(Database!AN:AN,Database!$AD:$AD,$C64)),"")</f>
        <v/>
      </c>
      <c r="M64" s="185" t="str">
        <f>IFERROR(IF($C64="","",SUMIFS(Database!AO:AO,Database!$AD:$AD,$C64)),"")</f>
        <v/>
      </c>
      <c r="N64" s="185" t="str">
        <f>IFERROR(IF($C64="","",SUMIFS(Database!AP:AP,Database!$AD:$AD,$C64)),"")</f>
        <v/>
      </c>
      <c r="O64" s="186" t="str">
        <f t="shared" si="1"/>
        <v/>
      </c>
      <c r="P64" s="185" t="str">
        <f>IFERROR(IF($C64="","",SUMIFS(Database!AR:AR,Database!$AD:$AD,$C64)),"")</f>
        <v/>
      </c>
      <c r="Q64" s="185" t="str">
        <f>IFERROR(IF($C64="","",SUMIFS(Database!AS:AS,Database!$AD:$AD,$C64)),"")</f>
        <v/>
      </c>
      <c r="R64" s="186" t="str">
        <f t="shared" si="2"/>
        <v/>
      </c>
      <c r="S64" s="185" t="str">
        <f>IFERROR(IF($C64="","",SUMIFS(Database!AU:AU,Database!$AD:$AD,$C64)),"")</f>
        <v/>
      </c>
      <c r="T64" s="185" t="str">
        <f>IFERROR(IF($C64="","",SUMIFS(Database!AV:AV,Database!$AD:$AD,$C64)),"")</f>
        <v/>
      </c>
      <c r="U64" s="186" t="str">
        <f t="shared" si="3"/>
        <v/>
      </c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</row>
    <row r="65" spans="1:32" x14ac:dyDescent="0.25">
      <c r="A65" s="187"/>
      <c r="B65" s="187"/>
      <c r="C65" s="145"/>
      <c r="D65" s="185" t="str">
        <f>IF($C65="","",COUNTIF(Database!AD:AD,$C65))</f>
        <v/>
      </c>
      <c r="E65" s="185" t="str">
        <f>IFERROR(IF($C65="","",SUMIFS(Database!AG:AG,Database!$AD:$AD,$C65)),"")</f>
        <v/>
      </c>
      <c r="F65" s="185" t="str">
        <f>IFERROR(IF($C65="","",SUMIFS(Database!AH:AH,Database!$AD:$AD,$C65)),"")</f>
        <v/>
      </c>
      <c r="G65" s="185" t="str">
        <f>IFERROR(IF($C65="","",SUMIFS(Database!AI:AI,Database!$AD:$AD,$C65)),"")</f>
        <v/>
      </c>
      <c r="H65" s="185" t="str">
        <f>IFERROR(IF($C65="","",SUMIFS(Database!AJ:AJ,Database!$AD:$AD,$C65)),"")</f>
        <v/>
      </c>
      <c r="I65" s="185" t="str">
        <f>IFERROR(IF($C65="","",SUMIFS(Database!AK:AK,Database!$AD:$AD,$C65)),"")</f>
        <v/>
      </c>
      <c r="J65" s="185" t="str">
        <f>IFERROR(IF($C65="","",SUMIFS(Database!AL:AL,Database!$AD:$AD,$C65)),"")</f>
        <v/>
      </c>
      <c r="K65" s="185" t="str">
        <f>IFERROR(IF($C65="","",SUMIFS(Database!AM:AM,Database!$AD:$AD,$C65)),"")</f>
        <v/>
      </c>
      <c r="L65" s="185" t="str">
        <f>IFERROR(IF($C65="","",SUMIFS(Database!AN:AN,Database!$AD:$AD,$C65)),"")</f>
        <v/>
      </c>
      <c r="M65" s="185" t="str">
        <f>IFERROR(IF($C65="","",SUMIFS(Database!AO:AO,Database!$AD:$AD,$C65)),"")</f>
        <v/>
      </c>
      <c r="N65" s="185" t="str">
        <f>IFERROR(IF($C65="","",SUMIFS(Database!AP:AP,Database!$AD:$AD,$C65)),"")</f>
        <v/>
      </c>
      <c r="O65" s="186" t="str">
        <f t="shared" si="1"/>
        <v/>
      </c>
      <c r="P65" s="185" t="str">
        <f>IFERROR(IF($C65="","",SUMIFS(Database!AR:AR,Database!$AD:$AD,$C65)),"")</f>
        <v/>
      </c>
      <c r="Q65" s="185" t="str">
        <f>IFERROR(IF($C65="","",SUMIFS(Database!AS:AS,Database!$AD:$AD,$C65)),"")</f>
        <v/>
      </c>
      <c r="R65" s="186" t="str">
        <f t="shared" si="2"/>
        <v/>
      </c>
      <c r="S65" s="185" t="str">
        <f>IFERROR(IF($C65="","",SUMIFS(Database!AU:AU,Database!$AD:$AD,$C65)),"")</f>
        <v/>
      </c>
      <c r="T65" s="185" t="str">
        <f>IFERROR(IF($C65="","",SUMIFS(Database!AV:AV,Database!$AD:$AD,$C65)),"")</f>
        <v/>
      </c>
      <c r="U65" s="186" t="str">
        <f t="shared" si="3"/>
        <v/>
      </c>
      <c r="V65" s="187"/>
      <c r="W65" s="187"/>
      <c r="X65" s="187"/>
      <c r="Y65" s="187"/>
      <c r="Z65" s="187"/>
      <c r="AA65" s="187"/>
      <c r="AB65" s="187"/>
      <c r="AC65" s="187"/>
      <c r="AD65" s="187"/>
      <c r="AE65" s="187"/>
      <c r="AF65" s="187"/>
    </row>
    <row r="66" spans="1:32" x14ac:dyDescent="0.25">
      <c r="A66" s="187"/>
      <c r="B66" s="187"/>
      <c r="C66" s="145"/>
      <c r="D66" s="185" t="str">
        <f>IF($C66="","",COUNTIF(Database!AD:AD,$C66))</f>
        <v/>
      </c>
      <c r="E66" s="185" t="str">
        <f>IFERROR(IF($C66="","",SUMIFS(Database!AG:AG,Database!$AD:$AD,$C66)),"")</f>
        <v/>
      </c>
      <c r="F66" s="185" t="str">
        <f>IFERROR(IF($C66="","",SUMIFS(Database!AH:AH,Database!$AD:$AD,$C66)),"")</f>
        <v/>
      </c>
      <c r="G66" s="185" t="str">
        <f>IFERROR(IF($C66="","",SUMIFS(Database!AI:AI,Database!$AD:$AD,$C66)),"")</f>
        <v/>
      </c>
      <c r="H66" s="185" t="str">
        <f>IFERROR(IF($C66="","",SUMIFS(Database!AJ:AJ,Database!$AD:$AD,$C66)),"")</f>
        <v/>
      </c>
      <c r="I66" s="185" t="str">
        <f>IFERROR(IF($C66="","",SUMIFS(Database!AK:AK,Database!$AD:$AD,$C66)),"")</f>
        <v/>
      </c>
      <c r="J66" s="185" t="str">
        <f>IFERROR(IF($C66="","",SUMIFS(Database!AL:AL,Database!$AD:$AD,$C66)),"")</f>
        <v/>
      </c>
      <c r="K66" s="185" t="str">
        <f>IFERROR(IF($C66="","",SUMIFS(Database!AM:AM,Database!$AD:$AD,$C66)),"")</f>
        <v/>
      </c>
      <c r="L66" s="185" t="str">
        <f>IFERROR(IF($C66="","",SUMIFS(Database!AN:AN,Database!$AD:$AD,$C66)),"")</f>
        <v/>
      </c>
      <c r="M66" s="185" t="str">
        <f>IFERROR(IF($C66="","",SUMIFS(Database!AO:AO,Database!$AD:$AD,$C66)),"")</f>
        <v/>
      </c>
      <c r="N66" s="185" t="str">
        <f>IFERROR(IF($C66="","",SUMIFS(Database!AP:AP,Database!$AD:$AD,$C66)),"")</f>
        <v/>
      </c>
      <c r="O66" s="186" t="str">
        <f t="shared" si="1"/>
        <v/>
      </c>
      <c r="P66" s="185" t="str">
        <f>IFERROR(IF($C66="","",SUMIFS(Database!AR:AR,Database!$AD:$AD,$C66)),"")</f>
        <v/>
      </c>
      <c r="Q66" s="185" t="str">
        <f>IFERROR(IF($C66="","",SUMIFS(Database!AS:AS,Database!$AD:$AD,$C66)),"")</f>
        <v/>
      </c>
      <c r="R66" s="186" t="str">
        <f t="shared" si="2"/>
        <v/>
      </c>
      <c r="S66" s="185" t="str">
        <f>IFERROR(IF($C66="","",SUMIFS(Database!AU:AU,Database!$AD:$AD,$C66)),"")</f>
        <v/>
      </c>
      <c r="T66" s="185" t="str">
        <f>IFERROR(IF($C66="","",SUMIFS(Database!AV:AV,Database!$AD:$AD,$C66)),"")</f>
        <v/>
      </c>
      <c r="U66" s="186" t="str">
        <f t="shared" si="3"/>
        <v/>
      </c>
      <c r="V66" s="187"/>
      <c r="W66" s="187"/>
      <c r="X66" s="187"/>
      <c r="Y66" s="187"/>
      <c r="Z66" s="187"/>
      <c r="AA66" s="187"/>
      <c r="AB66" s="187"/>
      <c r="AC66" s="187"/>
      <c r="AD66" s="187"/>
      <c r="AE66" s="187"/>
      <c r="AF66" s="187"/>
    </row>
    <row r="67" spans="1:32" x14ac:dyDescent="0.25">
      <c r="A67" s="187"/>
      <c r="B67" s="187"/>
      <c r="C67" s="145"/>
      <c r="D67" s="185" t="str">
        <f>IF($C67="","",COUNTIF(Database!AD:AD,$C67))</f>
        <v/>
      </c>
      <c r="E67" s="185" t="str">
        <f>IFERROR(IF($C67="","",SUMIFS(Database!AG:AG,Database!$AD:$AD,$C67)),"")</f>
        <v/>
      </c>
      <c r="F67" s="185" t="str">
        <f>IFERROR(IF($C67="","",SUMIFS(Database!AH:AH,Database!$AD:$AD,$C67)),"")</f>
        <v/>
      </c>
      <c r="G67" s="185" t="str">
        <f>IFERROR(IF($C67="","",SUMIFS(Database!AI:AI,Database!$AD:$AD,$C67)),"")</f>
        <v/>
      </c>
      <c r="H67" s="185" t="str">
        <f>IFERROR(IF($C67="","",SUMIFS(Database!AJ:AJ,Database!$AD:$AD,$C67)),"")</f>
        <v/>
      </c>
      <c r="I67" s="185" t="str">
        <f>IFERROR(IF($C67="","",SUMIFS(Database!AK:AK,Database!$AD:$AD,$C67)),"")</f>
        <v/>
      </c>
      <c r="J67" s="185" t="str">
        <f>IFERROR(IF($C67="","",SUMIFS(Database!AL:AL,Database!$AD:$AD,$C67)),"")</f>
        <v/>
      </c>
      <c r="K67" s="185" t="str">
        <f>IFERROR(IF($C67="","",SUMIFS(Database!AM:AM,Database!$AD:$AD,$C67)),"")</f>
        <v/>
      </c>
      <c r="L67" s="185" t="str">
        <f>IFERROR(IF($C67="","",SUMIFS(Database!AN:AN,Database!$AD:$AD,$C67)),"")</f>
        <v/>
      </c>
      <c r="M67" s="185" t="str">
        <f>IFERROR(IF($C67="","",SUMIFS(Database!AO:AO,Database!$AD:$AD,$C67)),"")</f>
        <v/>
      </c>
      <c r="N67" s="185" t="str">
        <f>IFERROR(IF($C67="","",SUMIFS(Database!AP:AP,Database!$AD:$AD,$C67)),"")</f>
        <v/>
      </c>
      <c r="O67" s="186" t="str">
        <f t="shared" si="1"/>
        <v/>
      </c>
      <c r="P67" s="185" t="str">
        <f>IFERROR(IF($C67="","",SUMIFS(Database!AR:AR,Database!$AD:$AD,$C67)),"")</f>
        <v/>
      </c>
      <c r="Q67" s="185" t="str">
        <f>IFERROR(IF($C67="","",SUMIFS(Database!AS:AS,Database!$AD:$AD,$C67)),"")</f>
        <v/>
      </c>
      <c r="R67" s="186" t="str">
        <f t="shared" si="2"/>
        <v/>
      </c>
      <c r="S67" s="185" t="str">
        <f>IFERROR(IF($C67="","",SUMIFS(Database!AU:AU,Database!$AD:$AD,$C67)),"")</f>
        <v/>
      </c>
      <c r="T67" s="185" t="str">
        <f>IFERROR(IF($C67="","",SUMIFS(Database!AV:AV,Database!$AD:$AD,$C67)),"")</f>
        <v/>
      </c>
      <c r="U67" s="186" t="str">
        <f t="shared" si="3"/>
        <v/>
      </c>
      <c r="V67" s="187"/>
      <c r="W67" s="187"/>
      <c r="X67" s="187"/>
      <c r="Y67" s="187"/>
      <c r="Z67" s="187"/>
      <c r="AA67" s="187"/>
      <c r="AB67" s="187"/>
      <c r="AC67" s="187"/>
      <c r="AD67" s="187"/>
      <c r="AE67" s="187"/>
      <c r="AF67" s="187"/>
    </row>
    <row r="68" spans="1:32" x14ac:dyDescent="0.25">
      <c r="A68" s="187"/>
      <c r="B68" s="187"/>
      <c r="C68" s="145"/>
      <c r="D68" s="185" t="str">
        <f>IF($C68="","",COUNTIF(Database!AD:AD,$C68))</f>
        <v/>
      </c>
      <c r="E68" s="185" t="str">
        <f>IFERROR(IF($C68="","",SUMIFS(Database!AG:AG,Database!$AD:$AD,$C68)),"")</f>
        <v/>
      </c>
      <c r="F68" s="185" t="str">
        <f>IFERROR(IF($C68="","",SUMIFS(Database!AH:AH,Database!$AD:$AD,$C68)),"")</f>
        <v/>
      </c>
      <c r="G68" s="185" t="str">
        <f>IFERROR(IF($C68="","",SUMIFS(Database!AI:AI,Database!$AD:$AD,$C68)),"")</f>
        <v/>
      </c>
      <c r="H68" s="185" t="str">
        <f>IFERROR(IF($C68="","",SUMIFS(Database!AJ:AJ,Database!$AD:$AD,$C68)),"")</f>
        <v/>
      </c>
      <c r="I68" s="185" t="str">
        <f>IFERROR(IF($C68="","",SUMIFS(Database!AK:AK,Database!$AD:$AD,$C68)),"")</f>
        <v/>
      </c>
      <c r="J68" s="185" t="str">
        <f>IFERROR(IF($C68="","",SUMIFS(Database!AL:AL,Database!$AD:$AD,$C68)),"")</f>
        <v/>
      </c>
      <c r="K68" s="185" t="str">
        <f>IFERROR(IF($C68="","",SUMIFS(Database!AM:AM,Database!$AD:$AD,$C68)),"")</f>
        <v/>
      </c>
      <c r="L68" s="185" t="str">
        <f>IFERROR(IF($C68="","",SUMIFS(Database!AN:AN,Database!$AD:$AD,$C68)),"")</f>
        <v/>
      </c>
      <c r="M68" s="185" t="str">
        <f>IFERROR(IF($C68="","",SUMIFS(Database!AO:AO,Database!$AD:$AD,$C68)),"")</f>
        <v/>
      </c>
      <c r="N68" s="185" t="str">
        <f>IFERROR(IF($C68="","",SUMIFS(Database!AP:AP,Database!$AD:$AD,$C68)),"")</f>
        <v/>
      </c>
      <c r="O68" s="186" t="str">
        <f t="shared" si="1"/>
        <v/>
      </c>
      <c r="P68" s="185" t="str">
        <f>IFERROR(IF($C68="","",SUMIFS(Database!AR:AR,Database!$AD:$AD,$C68)),"")</f>
        <v/>
      </c>
      <c r="Q68" s="185" t="str">
        <f>IFERROR(IF($C68="","",SUMIFS(Database!AS:AS,Database!$AD:$AD,$C68)),"")</f>
        <v/>
      </c>
      <c r="R68" s="186" t="str">
        <f t="shared" si="2"/>
        <v/>
      </c>
      <c r="S68" s="185" t="str">
        <f>IFERROR(IF($C68="","",SUMIFS(Database!AU:AU,Database!$AD:$AD,$C68)),"")</f>
        <v/>
      </c>
      <c r="T68" s="185" t="str">
        <f>IFERROR(IF($C68="","",SUMIFS(Database!AV:AV,Database!$AD:$AD,$C68)),"")</f>
        <v/>
      </c>
      <c r="U68" s="186" t="str">
        <f t="shared" si="3"/>
        <v/>
      </c>
      <c r="V68" s="187"/>
      <c r="W68" s="187"/>
      <c r="X68" s="187"/>
      <c r="Y68" s="187"/>
      <c r="Z68" s="187"/>
      <c r="AA68" s="187"/>
      <c r="AB68" s="187"/>
      <c r="AC68" s="187"/>
      <c r="AD68" s="187"/>
      <c r="AE68" s="187"/>
      <c r="AF68" s="187"/>
    </row>
    <row r="69" spans="1:32" x14ac:dyDescent="0.25">
      <c r="A69" s="187"/>
      <c r="B69" s="187"/>
      <c r="C69" s="145"/>
      <c r="D69" s="185" t="str">
        <f>IF($C69="","",COUNTIF(Database!AD:AD,$C69))</f>
        <v/>
      </c>
      <c r="E69" s="185" t="str">
        <f>IFERROR(IF($C69="","",SUMIFS(Database!AG:AG,Database!$AD:$AD,$C69)),"")</f>
        <v/>
      </c>
      <c r="F69" s="185" t="str">
        <f>IFERROR(IF($C69="","",SUMIFS(Database!AH:AH,Database!$AD:$AD,$C69)),"")</f>
        <v/>
      </c>
      <c r="G69" s="185" t="str">
        <f>IFERROR(IF($C69="","",SUMIFS(Database!AI:AI,Database!$AD:$AD,$C69)),"")</f>
        <v/>
      </c>
      <c r="H69" s="185" t="str">
        <f>IFERROR(IF($C69="","",SUMIFS(Database!AJ:AJ,Database!$AD:$AD,$C69)),"")</f>
        <v/>
      </c>
      <c r="I69" s="185" t="str">
        <f>IFERROR(IF($C69="","",SUMIFS(Database!AK:AK,Database!$AD:$AD,$C69)),"")</f>
        <v/>
      </c>
      <c r="J69" s="185" t="str">
        <f>IFERROR(IF($C69="","",SUMIFS(Database!AL:AL,Database!$AD:$AD,$C69)),"")</f>
        <v/>
      </c>
      <c r="K69" s="185" t="str">
        <f>IFERROR(IF($C69="","",SUMIFS(Database!AM:AM,Database!$AD:$AD,$C69)),"")</f>
        <v/>
      </c>
      <c r="L69" s="185" t="str">
        <f>IFERROR(IF($C69="","",SUMIFS(Database!AN:AN,Database!$AD:$AD,$C69)),"")</f>
        <v/>
      </c>
      <c r="M69" s="185" t="str">
        <f>IFERROR(IF($C69="","",SUMIFS(Database!AO:AO,Database!$AD:$AD,$C69)),"")</f>
        <v/>
      </c>
      <c r="N69" s="185" t="str">
        <f>IFERROR(IF($C69="","",SUMIFS(Database!AP:AP,Database!$AD:$AD,$C69)),"")</f>
        <v/>
      </c>
      <c r="O69" s="186" t="str">
        <f t="shared" ref="O69:O80" si="5">IFERROR(IF($C69="","",$M69/$N69),"-")</f>
        <v/>
      </c>
      <c r="P69" s="185" t="str">
        <f>IFERROR(IF($C69="","",SUMIFS(Database!AR:AR,Database!$AD:$AD,$C69)),"")</f>
        <v/>
      </c>
      <c r="Q69" s="185" t="str">
        <f>IFERROR(IF($C69="","",SUMIFS(Database!AS:AS,Database!$AD:$AD,$C69)),"")</f>
        <v/>
      </c>
      <c r="R69" s="186" t="str">
        <f t="shared" ref="R69:R80" si="6">IFERROR(IF($C69="","",$P69/$Q69),"-")</f>
        <v/>
      </c>
      <c r="S69" s="185" t="str">
        <f>IFERROR(IF($C69="","",SUMIFS(Database!AU:AU,Database!$AD:$AD,$C69)),"")</f>
        <v/>
      </c>
      <c r="T69" s="185" t="str">
        <f>IFERROR(IF($C69="","",SUMIFS(Database!AV:AV,Database!$AD:$AD,$C69)),"")</f>
        <v/>
      </c>
      <c r="U69" s="186" t="str">
        <f t="shared" ref="U69:U80" si="7">IFERROR(IF($C69="","",$S69/$T69),"-")</f>
        <v/>
      </c>
      <c r="V69" s="187"/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</row>
    <row r="70" spans="1:32" x14ac:dyDescent="0.25">
      <c r="A70" s="187"/>
      <c r="B70" s="187"/>
      <c r="C70" s="145"/>
      <c r="D70" s="185" t="str">
        <f>IF($C70="","",COUNTIF(Database!AD:AD,$C70))</f>
        <v/>
      </c>
      <c r="E70" s="185" t="str">
        <f>IFERROR(IF($C70="","",SUMIFS(Database!AG:AG,Database!$AD:$AD,$C70)),"")</f>
        <v/>
      </c>
      <c r="F70" s="185" t="str">
        <f>IFERROR(IF($C70="","",SUMIFS(Database!AH:AH,Database!$AD:$AD,$C70)),"")</f>
        <v/>
      </c>
      <c r="G70" s="185" t="str">
        <f>IFERROR(IF($C70="","",SUMIFS(Database!AI:AI,Database!$AD:$AD,$C70)),"")</f>
        <v/>
      </c>
      <c r="H70" s="185" t="str">
        <f>IFERROR(IF($C70="","",SUMIFS(Database!AJ:AJ,Database!$AD:$AD,$C70)),"")</f>
        <v/>
      </c>
      <c r="I70" s="185" t="str">
        <f>IFERROR(IF($C70="","",SUMIFS(Database!AK:AK,Database!$AD:$AD,$C70)),"")</f>
        <v/>
      </c>
      <c r="J70" s="185" t="str">
        <f>IFERROR(IF($C70="","",SUMIFS(Database!AL:AL,Database!$AD:$AD,$C70)),"")</f>
        <v/>
      </c>
      <c r="K70" s="185" t="str">
        <f>IFERROR(IF($C70="","",SUMIFS(Database!AM:AM,Database!$AD:$AD,$C70)),"")</f>
        <v/>
      </c>
      <c r="L70" s="185" t="str">
        <f>IFERROR(IF($C70="","",SUMIFS(Database!AN:AN,Database!$AD:$AD,$C70)),"")</f>
        <v/>
      </c>
      <c r="M70" s="185" t="str">
        <f>IFERROR(IF($C70="","",SUMIFS(Database!AO:AO,Database!$AD:$AD,$C70)),"")</f>
        <v/>
      </c>
      <c r="N70" s="185" t="str">
        <f>IFERROR(IF($C70="","",SUMIFS(Database!AP:AP,Database!$AD:$AD,$C70)),"")</f>
        <v/>
      </c>
      <c r="O70" s="186" t="str">
        <f t="shared" si="5"/>
        <v/>
      </c>
      <c r="P70" s="185" t="str">
        <f>IFERROR(IF($C70="","",SUMIFS(Database!AR:AR,Database!$AD:$AD,$C70)),"")</f>
        <v/>
      </c>
      <c r="Q70" s="185" t="str">
        <f>IFERROR(IF($C70="","",SUMIFS(Database!AS:AS,Database!$AD:$AD,$C70)),"")</f>
        <v/>
      </c>
      <c r="R70" s="186" t="str">
        <f t="shared" si="6"/>
        <v/>
      </c>
      <c r="S70" s="185" t="str">
        <f>IFERROR(IF($C70="","",SUMIFS(Database!AU:AU,Database!$AD:$AD,$C70)),"")</f>
        <v/>
      </c>
      <c r="T70" s="185" t="str">
        <f>IFERROR(IF($C70="","",SUMIFS(Database!AV:AV,Database!$AD:$AD,$C70)),"")</f>
        <v/>
      </c>
      <c r="U70" s="186" t="str">
        <f t="shared" si="7"/>
        <v/>
      </c>
      <c r="V70" s="187"/>
      <c r="W70" s="187"/>
      <c r="X70" s="187"/>
      <c r="Y70" s="187"/>
      <c r="Z70" s="187"/>
      <c r="AA70" s="187"/>
      <c r="AB70" s="187"/>
      <c r="AC70" s="187"/>
      <c r="AD70" s="187"/>
      <c r="AE70" s="187"/>
      <c r="AF70" s="187"/>
    </row>
    <row r="71" spans="1:32" x14ac:dyDescent="0.25">
      <c r="A71" s="187"/>
      <c r="B71" s="187"/>
      <c r="C71" s="145"/>
      <c r="D71" s="185" t="str">
        <f>IF($C71="","",COUNTIF(Database!AD:AD,$C71))</f>
        <v/>
      </c>
      <c r="E71" s="185" t="str">
        <f>IFERROR(IF($C71="","",SUMIFS(Database!AG:AG,Database!$AD:$AD,$C71)),"")</f>
        <v/>
      </c>
      <c r="F71" s="185" t="str">
        <f>IFERROR(IF($C71="","",SUMIFS(Database!AH:AH,Database!$AD:$AD,$C71)),"")</f>
        <v/>
      </c>
      <c r="G71" s="185" t="str">
        <f>IFERROR(IF($C71="","",SUMIFS(Database!AI:AI,Database!$AD:$AD,$C71)),"")</f>
        <v/>
      </c>
      <c r="H71" s="185" t="str">
        <f>IFERROR(IF($C71="","",SUMIFS(Database!AJ:AJ,Database!$AD:$AD,$C71)),"")</f>
        <v/>
      </c>
      <c r="I71" s="185" t="str">
        <f>IFERROR(IF($C71="","",SUMIFS(Database!AK:AK,Database!$AD:$AD,$C71)),"")</f>
        <v/>
      </c>
      <c r="J71" s="185" t="str">
        <f>IFERROR(IF($C71="","",SUMIFS(Database!AL:AL,Database!$AD:$AD,$C71)),"")</f>
        <v/>
      </c>
      <c r="K71" s="185" t="str">
        <f>IFERROR(IF($C71="","",SUMIFS(Database!AM:AM,Database!$AD:$AD,$C71)),"")</f>
        <v/>
      </c>
      <c r="L71" s="185" t="str">
        <f>IFERROR(IF($C71="","",SUMIFS(Database!AN:AN,Database!$AD:$AD,$C71)),"")</f>
        <v/>
      </c>
      <c r="M71" s="185" t="str">
        <f>IFERROR(IF($C71="","",SUMIFS(Database!AO:AO,Database!$AD:$AD,$C71)),"")</f>
        <v/>
      </c>
      <c r="N71" s="185" t="str">
        <f>IFERROR(IF($C71="","",SUMIFS(Database!AP:AP,Database!$AD:$AD,$C71)),"")</f>
        <v/>
      </c>
      <c r="O71" s="186" t="str">
        <f t="shared" si="5"/>
        <v/>
      </c>
      <c r="P71" s="185" t="str">
        <f>IFERROR(IF($C71="","",SUMIFS(Database!AR:AR,Database!$AD:$AD,$C71)),"")</f>
        <v/>
      </c>
      <c r="Q71" s="185" t="str">
        <f>IFERROR(IF($C71="","",SUMIFS(Database!AS:AS,Database!$AD:$AD,$C71)),"")</f>
        <v/>
      </c>
      <c r="R71" s="186" t="str">
        <f t="shared" si="6"/>
        <v/>
      </c>
      <c r="S71" s="185" t="str">
        <f>IFERROR(IF($C71="","",SUMIFS(Database!AU:AU,Database!$AD:$AD,$C71)),"")</f>
        <v/>
      </c>
      <c r="T71" s="185" t="str">
        <f>IFERROR(IF($C71="","",SUMIFS(Database!AV:AV,Database!$AD:$AD,$C71)),"")</f>
        <v/>
      </c>
      <c r="U71" s="186" t="str">
        <f t="shared" si="7"/>
        <v/>
      </c>
      <c r="V71" s="187"/>
      <c r="W71" s="187"/>
      <c r="X71" s="187"/>
      <c r="Y71" s="187"/>
      <c r="Z71" s="187"/>
      <c r="AA71" s="187"/>
      <c r="AB71" s="187"/>
      <c r="AC71" s="187"/>
      <c r="AD71" s="187"/>
      <c r="AE71" s="187"/>
      <c r="AF71" s="187"/>
    </row>
    <row r="72" spans="1:32" x14ac:dyDescent="0.25">
      <c r="A72" s="187"/>
      <c r="B72" s="187"/>
      <c r="C72" s="145"/>
      <c r="D72" s="185" t="str">
        <f>IF($C72="","",COUNTIF(Database!AD:AD,$C72))</f>
        <v/>
      </c>
      <c r="E72" s="185" t="str">
        <f>IFERROR(IF($C72="","",SUMIFS(Database!AG:AG,Database!$AD:$AD,$C72)),"")</f>
        <v/>
      </c>
      <c r="F72" s="185" t="str">
        <f>IFERROR(IF($C72="","",SUMIFS(Database!AH:AH,Database!$AD:$AD,$C72)),"")</f>
        <v/>
      </c>
      <c r="G72" s="185" t="str">
        <f>IFERROR(IF($C72="","",SUMIFS(Database!AI:AI,Database!$AD:$AD,$C72)),"")</f>
        <v/>
      </c>
      <c r="H72" s="185" t="str">
        <f>IFERROR(IF($C72="","",SUMIFS(Database!AJ:AJ,Database!$AD:$AD,$C72)),"")</f>
        <v/>
      </c>
      <c r="I72" s="185" t="str">
        <f>IFERROR(IF($C72="","",SUMIFS(Database!AK:AK,Database!$AD:$AD,$C72)),"")</f>
        <v/>
      </c>
      <c r="J72" s="185" t="str">
        <f>IFERROR(IF($C72="","",SUMIFS(Database!AL:AL,Database!$AD:$AD,$C72)),"")</f>
        <v/>
      </c>
      <c r="K72" s="185" t="str">
        <f>IFERROR(IF($C72="","",SUMIFS(Database!AM:AM,Database!$AD:$AD,$C72)),"")</f>
        <v/>
      </c>
      <c r="L72" s="185" t="str">
        <f>IFERROR(IF($C72="","",SUMIFS(Database!AN:AN,Database!$AD:$AD,$C72)),"")</f>
        <v/>
      </c>
      <c r="M72" s="185" t="str">
        <f>IFERROR(IF($C72="","",SUMIFS(Database!AO:AO,Database!$AD:$AD,$C72)),"")</f>
        <v/>
      </c>
      <c r="N72" s="185" t="str">
        <f>IFERROR(IF($C72="","",SUMIFS(Database!AP:AP,Database!$AD:$AD,$C72)),"")</f>
        <v/>
      </c>
      <c r="O72" s="186" t="str">
        <f t="shared" si="5"/>
        <v/>
      </c>
      <c r="P72" s="185" t="str">
        <f>IFERROR(IF($C72="","",SUMIFS(Database!AR:AR,Database!$AD:$AD,$C72)),"")</f>
        <v/>
      </c>
      <c r="Q72" s="185" t="str">
        <f>IFERROR(IF($C72="","",SUMIFS(Database!AS:AS,Database!$AD:$AD,$C72)),"")</f>
        <v/>
      </c>
      <c r="R72" s="186" t="str">
        <f t="shared" si="6"/>
        <v/>
      </c>
      <c r="S72" s="185" t="str">
        <f>IFERROR(IF($C72="","",SUMIFS(Database!AU:AU,Database!$AD:$AD,$C72)),"")</f>
        <v/>
      </c>
      <c r="T72" s="185" t="str">
        <f>IFERROR(IF($C72="","",SUMIFS(Database!AV:AV,Database!$AD:$AD,$C72)),"")</f>
        <v/>
      </c>
      <c r="U72" s="186" t="str">
        <f t="shared" si="7"/>
        <v/>
      </c>
      <c r="V72" s="187"/>
      <c r="W72" s="187"/>
      <c r="X72" s="187"/>
      <c r="Y72" s="187"/>
      <c r="Z72" s="187"/>
      <c r="AA72" s="187"/>
      <c r="AB72" s="187"/>
      <c r="AC72" s="187"/>
      <c r="AD72" s="187"/>
      <c r="AE72" s="187"/>
      <c r="AF72" s="187"/>
    </row>
    <row r="73" spans="1:32" x14ac:dyDescent="0.25">
      <c r="A73" s="187"/>
      <c r="B73" s="187"/>
      <c r="C73" s="145"/>
      <c r="D73" s="185" t="str">
        <f>IF($C73="","",COUNTIF(Database!AD:AD,$C73))</f>
        <v/>
      </c>
      <c r="E73" s="185" t="str">
        <f>IFERROR(IF($C73="","",SUMIFS(Database!AG:AG,Database!$AD:$AD,$C73)),"")</f>
        <v/>
      </c>
      <c r="F73" s="185" t="str">
        <f>IFERROR(IF($C73="","",SUMIFS(Database!AH:AH,Database!$AD:$AD,$C73)),"")</f>
        <v/>
      </c>
      <c r="G73" s="185" t="str">
        <f>IFERROR(IF($C73="","",SUMIFS(Database!AI:AI,Database!$AD:$AD,$C73)),"")</f>
        <v/>
      </c>
      <c r="H73" s="185" t="str">
        <f>IFERROR(IF($C73="","",SUMIFS(Database!AJ:AJ,Database!$AD:$AD,$C73)),"")</f>
        <v/>
      </c>
      <c r="I73" s="185" t="str">
        <f>IFERROR(IF($C73="","",SUMIFS(Database!AK:AK,Database!$AD:$AD,$C73)),"")</f>
        <v/>
      </c>
      <c r="J73" s="185" t="str">
        <f>IFERROR(IF($C73="","",SUMIFS(Database!AL:AL,Database!$AD:$AD,$C73)),"")</f>
        <v/>
      </c>
      <c r="K73" s="185" t="str">
        <f>IFERROR(IF($C73="","",SUMIFS(Database!AM:AM,Database!$AD:$AD,$C73)),"")</f>
        <v/>
      </c>
      <c r="L73" s="185" t="str">
        <f>IFERROR(IF($C73="","",SUMIFS(Database!AN:AN,Database!$AD:$AD,$C73)),"")</f>
        <v/>
      </c>
      <c r="M73" s="185" t="str">
        <f>IFERROR(IF($C73="","",SUMIFS(Database!AO:AO,Database!$AD:$AD,$C73)),"")</f>
        <v/>
      </c>
      <c r="N73" s="185" t="str">
        <f>IFERROR(IF($C73="","",SUMIFS(Database!AP:AP,Database!$AD:$AD,$C73)),"")</f>
        <v/>
      </c>
      <c r="O73" s="186" t="str">
        <f t="shared" si="5"/>
        <v/>
      </c>
      <c r="P73" s="185" t="str">
        <f>IFERROR(IF($C73="","",SUMIFS(Database!AR:AR,Database!$AD:$AD,$C73)),"")</f>
        <v/>
      </c>
      <c r="Q73" s="185" t="str">
        <f>IFERROR(IF($C73="","",SUMIFS(Database!AS:AS,Database!$AD:$AD,$C73)),"")</f>
        <v/>
      </c>
      <c r="R73" s="186" t="str">
        <f t="shared" si="6"/>
        <v/>
      </c>
      <c r="S73" s="185" t="str">
        <f>IFERROR(IF($C73="","",SUMIFS(Database!AU:AU,Database!$AD:$AD,$C73)),"")</f>
        <v/>
      </c>
      <c r="T73" s="185" t="str">
        <f>IFERROR(IF($C73="","",SUMIFS(Database!AV:AV,Database!$AD:$AD,$C73)),"")</f>
        <v/>
      </c>
      <c r="U73" s="186" t="str">
        <f t="shared" si="7"/>
        <v/>
      </c>
      <c r="V73" s="187"/>
      <c r="W73" s="187"/>
      <c r="X73" s="187"/>
      <c r="Y73" s="187"/>
      <c r="Z73" s="187"/>
      <c r="AA73" s="187"/>
      <c r="AB73" s="187"/>
      <c r="AC73" s="187"/>
      <c r="AD73" s="187"/>
      <c r="AE73" s="187"/>
      <c r="AF73" s="187"/>
    </row>
    <row r="74" spans="1:32" x14ac:dyDescent="0.25">
      <c r="A74" s="187"/>
      <c r="B74" s="187"/>
      <c r="C74" s="145"/>
      <c r="D74" s="185" t="str">
        <f>IF($C74="","",COUNTIF(Database!AD:AD,$C74))</f>
        <v/>
      </c>
      <c r="E74" s="185" t="str">
        <f>IFERROR(IF($C74="","",SUMIFS(Database!AG:AG,Database!$AD:$AD,$C74)),"")</f>
        <v/>
      </c>
      <c r="F74" s="185" t="str">
        <f>IFERROR(IF($C74="","",SUMIFS(Database!AH:AH,Database!$AD:$AD,$C74)),"")</f>
        <v/>
      </c>
      <c r="G74" s="185" t="str">
        <f>IFERROR(IF($C74="","",SUMIFS(Database!AI:AI,Database!$AD:$AD,$C74)),"")</f>
        <v/>
      </c>
      <c r="H74" s="185" t="str">
        <f>IFERROR(IF($C74="","",SUMIFS(Database!AJ:AJ,Database!$AD:$AD,$C74)),"")</f>
        <v/>
      </c>
      <c r="I74" s="185" t="str">
        <f>IFERROR(IF($C74="","",SUMIFS(Database!AK:AK,Database!$AD:$AD,$C74)),"")</f>
        <v/>
      </c>
      <c r="J74" s="185" t="str">
        <f>IFERROR(IF($C74="","",SUMIFS(Database!AL:AL,Database!$AD:$AD,$C74)),"")</f>
        <v/>
      </c>
      <c r="K74" s="185" t="str">
        <f>IFERROR(IF($C74="","",SUMIFS(Database!AM:AM,Database!$AD:$AD,$C74)),"")</f>
        <v/>
      </c>
      <c r="L74" s="185" t="str">
        <f>IFERROR(IF($C74="","",SUMIFS(Database!AN:AN,Database!$AD:$AD,$C74)),"")</f>
        <v/>
      </c>
      <c r="M74" s="185" t="str">
        <f>IFERROR(IF($C74="","",SUMIFS(Database!AO:AO,Database!$AD:$AD,$C74)),"")</f>
        <v/>
      </c>
      <c r="N74" s="185" t="str">
        <f>IFERROR(IF($C74="","",SUMIFS(Database!AP:AP,Database!$AD:$AD,$C74)),"")</f>
        <v/>
      </c>
      <c r="O74" s="186" t="str">
        <f t="shared" si="5"/>
        <v/>
      </c>
      <c r="P74" s="185" t="str">
        <f>IFERROR(IF($C74="","",SUMIFS(Database!AR:AR,Database!$AD:$AD,$C74)),"")</f>
        <v/>
      </c>
      <c r="Q74" s="185" t="str">
        <f>IFERROR(IF($C74="","",SUMIFS(Database!AS:AS,Database!$AD:$AD,$C74)),"")</f>
        <v/>
      </c>
      <c r="R74" s="186" t="str">
        <f t="shared" si="6"/>
        <v/>
      </c>
      <c r="S74" s="185" t="str">
        <f>IFERROR(IF($C74="","",SUMIFS(Database!AU:AU,Database!$AD:$AD,$C74)),"")</f>
        <v/>
      </c>
      <c r="T74" s="185" t="str">
        <f>IFERROR(IF($C74="","",SUMIFS(Database!AV:AV,Database!$AD:$AD,$C74)),"")</f>
        <v/>
      </c>
      <c r="U74" s="186" t="str">
        <f t="shared" si="7"/>
        <v/>
      </c>
      <c r="V74" s="187"/>
      <c r="W74" s="187"/>
      <c r="X74" s="187"/>
      <c r="Y74" s="187"/>
      <c r="Z74" s="187"/>
      <c r="AA74" s="187"/>
      <c r="AB74" s="187"/>
      <c r="AC74" s="187"/>
      <c r="AD74" s="187"/>
      <c r="AE74" s="187"/>
      <c r="AF74" s="187"/>
    </row>
    <row r="75" spans="1:32" x14ac:dyDescent="0.25">
      <c r="A75" s="187"/>
      <c r="B75" s="187"/>
      <c r="C75" s="145"/>
      <c r="D75" s="185" t="str">
        <f>IF($C75="","",COUNTIF(Database!AD:AD,$C75))</f>
        <v/>
      </c>
      <c r="E75" s="185" t="str">
        <f>IFERROR(IF($C75="","",SUMIFS(Database!AG:AG,Database!$AD:$AD,$C75)),"")</f>
        <v/>
      </c>
      <c r="F75" s="185" t="str">
        <f>IFERROR(IF($C75="","",SUMIFS(Database!AH:AH,Database!$AD:$AD,$C75)),"")</f>
        <v/>
      </c>
      <c r="G75" s="185" t="str">
        <f>IFERROR(IF($C75="","",SUMIFS(Database!AI:AI,Database!$AD:$AD,$C75)),"")</f>
        <v/>
      </c>
      <c r="H75" s="185" t="str">
        <f>IFERROR(IF($C75="","",SUMIFS(Database!AJ:AJ,Database!$AD:$AD,$C75)),"")</f>
        <v/>
      </c>
      <c r="I75" s="185" t="str">
        <f>IFERROR(IF($C75="","",SUMIFS(Database!AK:AK,Database!$AD:$AD,$C75)),"")</f>
        <v/>
      </c>
      <c r="J75" s="185" t="str">
        <f>IFERROR(IF($C75="","",SUMIFS(Database!AL:AL,Database!$AD:$AD,$C75)),"")</f>
        <v/>
      </c>
      <c r="K75" s="185" t="str">
        <f>IFERROR(IF($C75="","",SUMIFS(Database!AM:AM,Database!$AD:$AD,$C75)),"")</f>
        <v/>
      </c>
      <c r="L75" s="185" t="str">
        <f>IFERROR(IF($C75="","",SUMIFS(Database!AN:AN,Database!$AD:$AD,$C75)),"")</f>
        <v/>
      </c>
      <c r="M75" s="185" t="str">
        <f>IFERROR(IF($C75="","",SUMIFS(Database!AO:AO,Database!$AD:$AD,$C75)),"")</f>
        <v/>
      </c>
      <c r="N75" s="185" t="str">
        <f>IFERROR(IF($C75="","",SUMIFS(Database!AP:AP,Database!$AD:$AD,$C75)),"")</f>
        <v/>
      </c>
      <c r="O75" s="186" t="str">
        <f t="shared" si="5"/>
        <v/>
      </c>
      <c r="P75" s="185" t="str">
        <f>IFERROR(IF($C75="","",SUMIFS(Database!AR:AR,Database!$AD:$AD,$C75)),"")</f>
        <v/>
      </c>
      <c r="Q75" s="185" t="str">
        <f>IFERROR(IF($C75="","",SUMIFS(Database!AS:AS,Database!$AD:$AD,$C75)),"")</f>
        <v/>
      </c>
      <c r="R75" s="186" t="str">
        <f t="shared" si="6"/>
        <v/>
      </c>
      <c r="S75" s="185" t="str">
        <f>IFERROR(IF($C75="","",SUMIFS(Database!AU:AU,Database!$AD:$AD,$C75)),"")</f>
        <v/>
      </c>
      <c r="T75" s="185" t="str">
        <f>IFERROR(IF($C75="","",SUMIFS(Database!AV:AV,Database!$AD:$AD,$C75)),"")</f>
        <v/>
      </c>
      <c r="U75" s="186" t="str">
        <f t="shared" si="7"/>
        <v/>
      </c>
      <c r="V75" s="187"/>
      <c r="W75" s="187"/>
      <c r="X75" s="187"/>
      <c r="Y75" s="187"/>
      <c r="Z75" s="187"/>
      <c r="AA75" s="187"/>
      <c r="AB75" s="187"/>
      <c r="AC75" s="187"/>
      <c r="AD75" s="187"/>
      <c r="AE75" s="187"/>
      <c r="AF75" s="187"/>
    </row>
    <row r="76" spans="1:32" x14ac:dyDescent="0.25">
      <c r="A76" s="187"/>
      <c r="B76" s="187"/>
      <c r="C76" s="145"/>
      <c r="D76" s="185" t="str">
        <f>IF($C76="","",COUNTIF(Database!AD:AD,$C76))</f>
        <v/>
      </c>
      <c r="E76" s="185" t="str">
        <f>IFERROR(IF($C76="","",SUMIFS(Database!AG:AG,Database!$AD:$AD,$C76)),"")</f>
        <v/>
      </c>
      <c r="F76" s="185" t="str">
        <f>IFERROR(IF($C76="","",SUMIFS(Database!AH:AH,Database!$AD:$AD,$C76)),"")</f>
        <v/>
      </c>
      <c r="G76" s="185" t="str">
        <f>IFERROR(IF($C76="","",SUMIFS(Database!AI:AI,Database!$AD:$AD,$C76)),"")</f>
        <v/>
      </c>
      <c r="H76" s="185" t="str">
        <f>IFERROR(IF($C76="","",SUMIFS(Database!AJ:AJ,Database!$AD:$AD,$C76)),"")</f>
        <v/>
      </c>
      <c r="I76" s="185" t="str">
        <f>IFERROR(IF($C76="","",SUMIFS(Database!AK:AK,Database!$AD:$AD,$C76)),"")</f>
        <v/>
      </c>
      <c r="J76" s="185" t="str">
        <f>IFERROR(IF($C76="","",SUMIFS(Database!AL:AL,Database!$AD:$AD,$C76)),"")</f>
        <v/>
      </c>
      <c r="K76" s="185" t="str">
        <f>IFERROR(IF($C76="","",SUMIFS(Database!AM:AM,Database!$AD:$AD,$C76)),"")</f>
        <v/>
      </c>
      <c r="L76" s="185" t="str">
        <f>IFERROR(IF($C76="","",SUMIFS(Database!AN:AN,Database!$AD:$AD,$C76)),"")</f>
        <v/>
      </c>
      <c r="M76" s="185" t="str">
        <f>IFERROR(IF($C76="","",SUMIFS(Database!AO:AO,Database!$AD:$AD,$C76)),"")</f>
        <v/>
      </c>
      <c r="N76" s="185" t="str">
        <f>IFERROR(IF($C76="","",SUMIFS(Database!AP:AP,Database!$AD:$AD,$C76)),"")</f>
        <v/>
      </c>
      <c r="O76" s="186" t="str">
        <f t="shared" si="5"/>
        <v/>
      </c>
      <c r="P76" s="185" t="str">
        <f>IFERROR(IF($C76="","",SUMIFS(Database!AR:AR,Database!$AD:$AD,$C76)),"")</f>
        <v/>
      </c>
      <c r="Q76" s="185" t="str">
        <f>IFERROR(IF($C76="","",SUMIFS(Database!AS:AS,Database!$AD:$AD,$C76)),"")</f>
        <v/>
      </c>
      <c r="R76" s="186" t="str">
        <f t="shared" si="6"/>
        <v/>
      </c>
      <c r="S76" s="185" t="str">
        <f>IFERROR(IF($C76="","",SUMIFS(Database!AU:AU,Database!$AD:$AD,$C76)),"")</f>
        <v/>
      </c>
      <c r="T76" s="185" t="str">
        <f>IFERROR(IF($C76="","",SUMIFS(Database!AV:AV,Database!$AD:$AD,$C76)),"")</f>
        <v/>
      </c>
      <c r="U76" s="186" t="str">
        <f t="shared" si="7"/>
        <v/>
      </c>
      <c r="V76" s="187"/>
      <c r="W76" s="187"/>
      <c r="X76" s="187"/>
      <c r="Y76" s="187"/>
      <c r="Z76" s="187"/>
      <c r="AA76" s="187"/>
      <c r="AB76" s="187"/>
      <c r="AC76" s="187"/>
      <c r="AD76" s="187"/>
      <c r="AE76" s="187"/>
      <c r="AF76" s="187"/>
    </row>
    <row r="77" spans="1:32" x14ac:dyDescent="0.25">
      <c r="A77" s="187"/>
      <c r="B77" s="187"/>
      <c r="C77" s="145"/>
      <c r="D77" s="185" t="str">
        <f>IF($C77="","",COUNTIF(Database!AD:AD,$C77))</f>
        <v/>
      </c>
      <c r="E77" s="185" t="str">
        <f>IFERROR(IF($C77="","",SUMIFS(Database!AG:AG,Database!$AD:$AD,$C77)),"")</f>
        <v/>
      </c>
      <c r="F77" s="185" t="str">
        <f>IFERROR(IF($C77="","",SUMIFS(Database!AH:AH,Database!$AD:$AD,$C77)),"")</f>
        <v/>
      </c>
      <c r="G77" s="185" t="str">
        <f>IFERROR(IF($C77="","",SUMIFS(Database!AI:AI,Database!$AD:$AD,$C77)),"")</f>
        <v/>
      </c>
      <c r="H77" s="185" t="str">
        <f>IFERROR(IF($C77="","",SUMIFS(Database!AJ:AJ,Database!$AD:$AD,$C77)),"")</f>
        <v/>
      </c>
      <c r="I77" s="185" t="str">
        <f>IFERROR(IF($C77="","",SUMIFS(Database!AK:AK,Database!$AD:$AD,$C77)),"")</f>
        <v/>
      </c>
      <c r="J77" s="185" t="str">
        <f>IFERROR(IF($C77="","",SUMIFS(Database!AL:AL,Database!$AD:$AD,$C77)),"")</f>
        <v/>
      </c>
      <c r="K77" s="185" t="str">
        <f>IFERROR(IF($C77="","",SUMIFS(Database!AM:AM,Database!$AD:$AD,$C77)),"")</f>
        <v/>
      </c>
      <c r="L77" s="185" t="str">
        <f>IFERROR(IF($C77="","",SUMIFS(Database!AN:AN,Database!$AD:$AD,$C77)),"")</f>
        <v/>
      </c>
      <c r="M77" s="185" t="str">
        <f>IFERROR(IF($C77="","",SUMIFS(Database!AO:AO,Database!$AD:$AD,$C77)),"")</f>
        <v/>
      </c>
      <c r="N77" s="185" t="str">
        <f>IFERROR(IF($C77="","",SUMIFS(Database!AP:AP,Database!$AD:$AD,$C77)),"")</f>
        <v/>
      </c>
      <c r="O77" s="186" t="str">
        <f t="shared" si="5"/>
        <v/>
      </c>
      <c r="P77" s="185" t="str">
        <f>IFERROR(IF($C77="","",SUMIFS(Database!AR:AR,Database!$AD:$AD,$C77)),"")</f>
        <v/>
      </c>
      <c r="Q77" s="185" t="str">
        <f>IFERROR(IF($C77="","",SUMIFS(Database!AS:AS,Database!$AD:$AD,$C77)),"")</f>
        <v/>
      </c>
      <c r="R77" s="186" t="str">
        <f t="shared" si="6"/>
        <v/>
      </c>
      <c r="S77" s="185" t="str">
        <f>IFERROR(IF($C77="","",SUMIFS(Database!AU:AU,Database!$AD:$AD,$C77)),"")</f>
        <v/>
      </c>
      <c r="T77" s="185" t="str">
        <f>IFERROR(IF($C77="","",SUMIFS(Database!AV:AV,Database!$AD:$AD,$C77)),"")</f>
        <v/>
      </c>
      <c r="U77" s="186" t="str">
        <f t="shared" si="7"/>
        <v/>
      </c>
      <c r="V77" s="187"/>
      <c r="W77" s="187"/>
      <c r="X77" s="187"/>
      <c r="Y77" s="187"/>
      <c r="Z77" s="187"/>
      <c r="AA77" s="187"/>
      <c r="AB77" s="187"/>
      <c r="AC77" s="187"/>
      <c r="AD77" s="187"/>
      <c r="AE77" s="187"/>
      <c r="AF77" s="187"/>
    </row>
    <row r="78" spans="1:32" x14ac:dyDescent="0.25">
      <c r="A78" s="187"/>
      <c r="B78" s="187"/>
      <c r="C78" s="145"/>
      <c r="D78" s="185" t="str">
        <f>IF($C78="","",COUNTIF(Database!AD:AD,$C78))</f>
        <v/>
      </c>
      <c r="E78" s="185" t="str">
        <f>IFERROR(IF($C78="","",SUMIFS(Database!AG:AG,Database!$AD:$AD,$C78)),"")</f>
        <v/>
      </c>
      <c r="F78" s="185" t="str">
        <f>IFERROR(IF($C78="","",SUMIFS(Database!AH:AH,Database!$AD:$AD,$C78)),"")</f>
        <v/>
      </c>
      <c r="G78" s="185" t="str">
        <f>IFERROR(IF($C78="","",SUMIFS(Database!AI:AI,Database!$AD:$AD,$C78)),"")</f>
        <v/>
      </c>
      <c r="H78" s="185" t="str">
        <f>IFERROR(IF($C78="","",SUMIFS(Database!AJ:AJ,Database!$AD:$AD,$C78)),"")</f>
        <v/>
      </c>
      <c r="I78" s="185" t="str">
        <f>IFERROR(IF($C78="","",SUMIFS(Database!AK:AK,Database!$AD:$AD,$C78)),"")</f>
        <v/>
      </c>
      <c r="J78" s="185" t="str">
        <f>IFERROR(IF($C78="","",SUMIFS(Database!AL:AL,Database!$AD:$AD,$C78)),"")</f>
        <v/>
      </c>
      <c r="K78" s="185" t="str">
        <f>IFERROR(IF($C78="","",SUMIFS(Database!AM:AM,Database!$AD:$AD,$C78)),"")</f>
        <v/>
      </c>
      <c r="L78" s="185" t="str">
        <f>IFERROR(IF($C78="","",SUMIFS(Database!AN:AN,Database!$AD:$AD,$C78)),"")</f>
        <v/>
      </c>
      <c r="M78" s="185" t="str">
        <f>IFERROR(IF($C78="","",SUMIFS(Database!AO:AO,Database!$AD:$AD,$C78)),"")</f>
        <v/>
      </c>
      <c r="N78" s="185" t="str">
        <f>IFERROR(IF($C78="","",SUMIFS(Database!AP:AP,Database!$AD:$AD,$C78)),"")</f>
        <v/>
      </c>
      <c r="O78" s="186" t="str">
        <f t="shared" si="5"/>
        <v/>
      </c>
      <c r="P78" s="185" t="str">
        <f>IFERROR(IF($C78="","",SUMIFS(Database!AR:AR,Database!$AD:$AD,$C78)),"")</f>
        <v/>
      </c>
      <c r="Q78" s="185" t="str">
        <f>IFERROR(IF($C78="","",SUMIFS(Database!AS:AS,Database!$AD:$AD,$C78)),"")</f>
        <v/>
      </c>
      <c r="R78" s="186" t="str">
        <f t="shared" si="6"/>
        <v/>
      </c>
      <c r="S78" s="185" t="str">
        <f>IFERROR(IF($C78="","",SUMIFS(Database!AU:AU,Database!$AD:$AD,$C78)),"")</f>
        <v/>
      </c>
      <c r="T78" s="185" t="str">
        <f>IFERROR(IF($C78="","",SUMIFS(Database!AV:AV,Database!$AD:$AD,$C78)),"")</f>
        <v/>
      </c>
      <c r="U78" s="186" t="str">
        <f t="shared" si="7"/>
        <v/>
      </c>
      <c r="V78" s="187"/>
      <c r="W78" s="187"/>
      <c r="X78" s="187"/>
      <c r="Y78" s="187"/>
      <c r="Z78" s="187"/>
      <c r="AA78" s="187"/>
      <c r="AB78" s="187"/>
      <c r="AC78" s="187"/>
      <c r="AD78" s="187"/>
      <c r="AE78" s="187"/>
      <c r="AF78" s="187"/>
    </row>
    <row r="79" spans="1:32" x14ac:dyDescent="0.25">
      <c r="A79" s="187"/>
      <c r="B79" s="187"/>
      <c r="C79" s="145"/>
      <c r="D79" s="185" t="str">
        <f>IF($C79="","",COUNTIF(Database!AD:AD,$C79))</f>
        <v/>
      </c>
      <c r="E79" s="185" t="str">
        <f>IFERROR(IF($C79="","",SUMIFS(Database!AG:AG,Database!$AD:$AD,$C79)),"")</f>
        <v/>
      </c>
      <c r="F79" s="185" t="str">
        <f>IFERROR(IF($C79="","",SUMIFS(Database!AH:AH,Database!$AD:$AD,$C79)),"")</f>
        <v/>
      </c>
      <c r="G79" s="185" t="str">
        <f>IFERROR(IF($C79="","",SUMIFS(Database!AI:AI,Database!$AD:$AD,$C79)),"")</f>
        <v/>
      </c>
      <c r="H79" s="185" t="str">
        <f>IFERROR(IF($C79="","",SUMIFS(Database!AJ:AJ,Database!$AD:$AD,$C79)),"")</f>
        <v/>
      </c>
      <c r="I79" s="185" t="str">
        <f>IFERROR(IF($C79="","",SUMIFS(Database!AK:AK,Database!$AD:$AD,$C79)),"")</f>
        <v/>
      </c>
      <c r="J79" s="185" t="str">
        <f>IFERROR(IF($C79="","",SUMIFS(Database!AL:AL,Database!$AD:$AD,$C79)),"")</f>
        <v/>
      </c>
      <c r="K79" s="185" t="str">
        <f>IFERROR(IF($C79="","",SUMIFS(Database!AM:AM,Database!$AD:$AD,$C79)),"")</f>
        <v/>
      </c>
      <c r="L79" s="185" t="str">
        <f>IFERROR(IF($C79="","",SUMIFS(Database!AN:AN,Database!$AD:$AD,$C79)),"")</f>
        <v/>
      </c>
      <c r="M79" s="185" t="str">
        <f>IFERROR(IF($C79="","",SUMIFS(Database!AO:AO,Database!$AD:$AD,$C79)),"")</f>
        <v/>
      </c>
      <c r="N79" s="185" t="str">
        <f>IFERROR(IF($C79="","",SUMIFS(Database!AP:AP,Database!$AD:$AD,$C79)),"")</f>
        <v/>
      </c>
      <c r="O79" s="186" t="str">
        <f t="shared" si="5"/>
        <v/>
      </c>
      <c r="P79" s="185" t="str">
        <f>IFERROR(IF($C79="","",SUMIFS(Database!AR:AR,Database!$AD:$AD,$C79)),"")</f>
        <v/>
      </c>
      <c r="Q79" s="185" t="str">
        <f>IFERROR(IF($C79="","",SUMIFS(Database!AS:AS,Database!$AD:$AD,$C79)),"")</f>
        <v/>
      </c>
      <c r="R79" s="186" t="str">
        <f t="shared" si="6"/>
        <v/>
      </c>
      <c r="S79" s="185" t="str">
        <f>IFERROR(IF($C79="","",SUMIFS(Database!AU:AU,Database!$AD:$AD,$C79)),"")</f>
        <v/>
      </c>
      <c r="T79" s="185" t="str">
        <f>IFERROR(IF($C79="","",SUMIFS(Database!AV:AV,Database!$AD:$AD,$C79)),"")</f>
        <v/>
      </c>
      <c r="U79" s="186" t="str">
        <f t="shared" si="7"/>
        <v/>
      </c>
      <c r="V79" s="187"/>
      <c r="W79" s="187"/>
      <c r="X79" s="187"/>
      <c r="Y79" s="187"/>
      <c r="Z79" s="187"/>
      <c r="AA79" s="187"/>
      <c r="AB79" s="187"/>
      <c r="AC79" s="187"/>
      <c r="AD79" s="187"/>
      <c r="AE79" s="187"/>
      <c r="AF79" s="187"/>
    </row>
    <row r="80" spans="1:32" x14ac:dyDescent="0.25">
      <c r="A80" s="187"/>
      <c r="B80" s="187"/>
      <c r="C80" s="145"/>
      <c r="D80" s="185" t="str">
        <f>IF($C80="","",COUNTIF(Database!AD:AD,$C80))</f>
        <v/>
      </c>
      <c r="E80" s="185" t="str">
        <f>IFERROR(IF($C80="","",SUMIFS(Database!AG:AG,Database!$AD:$AD,$C80)),"")</f>
        <v/>
      </c>
      <c r="F80" s="185" t="str">
        <f>IFERROR(IF($C80="","",SUMIFS(Database!AH:AH,Database!$AD:$AD,$C80)),"")</f>
        <v/>
      </c>
      <c r="G80" s="185" t="str">
        <f>IFERROR(IF($C80="","",SUMIFS(Database!AI:AI,Database!$AD:$AD,$C80)),"")</f>
        <v/>
      </c>
      <c r="H80" s="185" t="str">
        <f>IFERROR(IF($C80="","",SUMIFS(Database!AJ:AJ,Database!$AD:$AD,$C80)),"")</f>
        <v/>
      </c>
      <c r="I80" s="185" t="str">
        <f>IFERROR(IF($C80="","",SUMIFS(Database!AK:AK,Database!$AD:$AD,$C80)),"")</f>
        <v/>
      </c>
      <c r="J80" s="185" t="str">
        <f>IFERROR(IF($C80="","",SUMIFS(Database!AL:AL,Database!$AD:$AD,$C80)),"")</f>
        <v/>
      </c>
      <c r="K80" s="185" t="str">
        <f>IFERROR(IF($C80="","",SUMIFS(Database!AM:AM,Database!$AD:$AD,$C80)),"")</f>
        <v/>
      </c>
      <c r="L80" s="185" t="str">
        <f>IFERROR(IF($C80="","",SUMIFS(Database!AN:AN,Database!$AD:$AD,$C80)),"")</f>
        <v/>
      </c>
      <c r="M80" s="185" t="str">
        <f>IFERROR(IF($C80="","",SUMIFS(Database!AO:AO,Database!$AD:$AD,$C80)),"")</f>
        <v/>
      </c>
      <c r="N80" s="185" t="str">
        <f>IFERROR(IF($C80="","",SUMIFS(Database!AP:AP,Database!$AD:$AD,$C80)),"")</f>
        <v/>
      </c>
      <c r="O80" s="186" t="str">
        <f t="shared" si="5"/>
        <v/>
      </c>
      <c r="P80" s="185" t="str">
        <f>IFERROR(IF($C80="","",SUMIFS(Database!AR:AR,Database!$AD:$AD,$C80)),"")</f>
        <v/>
      </c>
      <c r="Q80" s="185" t="str">
        <f>IFERROR(IF($C80="","",SUMIFS(Database!AS:AS,Database!$AD:$AD,$C80)),"")</f>
        <v/>
      </c>
      <c r="R80" s="186" t="str">
        <f t="shared" si="6"/>
        <v/>
      </c>
      <c r="S80" s="185" t="str">
        <f>IFERROR(IF($C80="","",SUMIFS(Database!AU:AU,Database!$AD:$AD,$C80)),"")</f>
        <v/>
      </c>
      <c r="T80" s="185" t="str">
        <f>IFERROR(IF($C80="","",SUMIFS(Database!AV:AV,Database!$AD:$AD,$C80)),"")</f>
        <v/>
      </c>
      <c r="U80" s="186" t="str">
        <f t="shared" si="7"/>
        <v/>
      </c>
      <c r="V80" s="187"/>
      <c r="W80" s="187"/>
      <c r="X80" s="187"/>
      <c r="Y80" s="187"/>
      <c r="Z80" s="187"/>
      <c r="AA80" s="187"/>
      <c r="AB80" s="187"/>
      <c r="AC80" s="187"/>
      <c r="AD80" s="187"/>
      <c r="AE80" s="187"/>
      <c r="AF80" s="187"/>
    </row>
    <row r="81" spans="1:32" x14ac:dyDescent="0.25">
      <c r="A81" s="187"/>
      <c r="B81" s="187"/>
      <c r="C81" s="187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90"/>
      <c r="P81" s="189"/>
      <c r="Q81" s="189"/>
      <c r="R81" s="190"/>
      <c r="S81" s="189"/>
      <c r="T81" s="189"/>
      <c r="U81" s="190"/>
      <c r="V81" s="187"/>
      <c r="W81" s="187"/>
      <c r="X81" s="187"/>
      <c r="Y81" s="187"/>
      <c r="Z81" s="187"/>
      <c r="AA81" s="187"/>
      <c r="AB81" s="187"/>
      <c r="AC81" s="187"/>
      <c r="AD81" s="187"/>
      <c r="AE81" s="187"/>
      <c r="AF81" s="187"/>
    </row>
    <row r="82" spans="1:32" x14ac:dyDescent="0.25">
      <c r="A82" s="187"/>
      <c r="B82" s="187"/>
      <c r="C82" s="187"/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90"/>
      <c r="P82" s="189"/>
      <c r="Q82" s="189"/>
      <c r="R82" s="190"/>
      <c r="S82" s="189"/>
      <c r="T82" s="189"/>
      <c r="U82" s="190"/>
      <c r="V82" s="187"/>
      <c r="W82" s="187"/>
      <c r="X82" s="187"/>
      <c r="Y82" s="187"/>
      <c r="Z82" s="187"/>
      <c r="AA82" s="187"/>
      <c r="AB82" s="187"/>
      <c r="AC82" s="187"/>
      <c r="AD82" s="187"/>
      <c r="AE82" s="187"/>
      <c r="AF82" s="187"/>
    </row>
  </sheetData>
  <sheetProtection algorithmName="SHA-512" hashValue="tWOlBmezqzcaiiXyHmxV/RXSAvZjZgd1yh1s0VXdrLp2knMrH9KWVO4etlVbrFmzrm7PG4G5loW1pLWYpeBwdw==" saltValue="6Qz29RQ1gKpQAQIctFFWZA==" spinCount="100000" sheet="1" objects="1" scenarios="1" selectLockedCells="1"/>
  <dataConsolidate/>
  <mergeCells count="1">
    <mergeCell ref="C10:U10"/>
  </mergeCells>
  <dataValidations count="1">
    <dataValidation type="list" allowBlank="1" showInputMessage="1" showErrorMessage="1" sqref="C11:C12" xr:uid="{00000000-0002-0000-0200-000000000000}">
      <formula1>CurrentTeams</formula1>
    </dataValidation>
  </dataValidations>
  <pageMargins left="0.7" right="0.7" top="0.75" bottom="0.75" header="0.3" footer="0.3"/>
  <pageSetup orientation="portrait" verticalDpi="300" r:id="rId1"/>
  <ignoredErrors>
    <ignoredError sqref="D13:U13 R7 O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2D050"/>
  </sheetPr>
  <dimension ref="A1:AI249"/>
  <sheetViews>
    <sheetView workbookViewId="0"/>
  </sheetViews>
  <sheetFormatPr defaultColWidth="9.140625" defaultRowHeight="15" x14ac:dyDescent="0.25"/>
  <cols>
    <col min="1" max="2" width="2.85546875" style="106" customWidth="1"/>
    <col min="3" max="3" width="5.7109375" style="106" customWidth="1"/>
    <col min="4" max="4" width="18.7109375" style="106" bestFit="1" customWidth="1"/>
    <col min="5" max="5" width="5.7109375" style="106" customWidth="1"/>
    <col min="6" max="6" width="19.42578125" style="106" bestFit="1" customWidth="1"/>
    <col min="7" max="14" width="6.42578125" style="106" customWidth="1"/>
    <col min="15" max="16" width="9.28515625" style="106" customWidth="1"/>
    <col min="17" max="17" width="6.42578125" style="106" customWidth="1"/>
    <col min="18" max="19" width="9.28515625" style="106" customWidth="1"/>
    <col min="20" max="20" width="6.42578125" style="106" customWidth="1"/>
    <col min="21" max="22" width="9.28515625" style="106" customWidth="1"/>
    <col min="23" max="23" width="6.42578125" style="106" customWidth="1"/>
    <col min="24" max="16384" width="9.140625" style="106"/>
  </cols>
  <sheetData>
    <row r="1" spans="1:35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</row>
    <row r="3" spans="1:35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</row>
    <row r="4" spans="1:35" ht="15.75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65" t="s">
        <v>97</v>
      </c>
      <c r="P4" s="66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</row>
    <row r="5" spans="1:35" ht="15.75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67" t="s">
        <v>46</v>
      </c>
      <c r="P5" s="64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</row>
    <row r="6" spans="1:35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</row>
    <row r="7" spans="1:35" ht="15" customHeight="1" thickBot="1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</row>
    <row r="8" spans="1:35" ht="15.75" thickBot="1" x14ac:dyDescent="0.3">
      <c r="A8" s="23"/>
      <c r="B8" s="23"/>
      <c r="C8" s="104" t="s">
        <v>41</v>
      </c>
      <c r="D8" s="70"/>
      <c r="E8" s="70"/>
      <c r="F8" s="70"/>
      <c r="G8" s="70" t="s">
        <v>105</v>
      </c>
      <c r="H8" s="70"/>
      <c r="I8" s="70"/>
      <c r="J8" s="70"/>
      <c r="K8" s="70"/>
      <c r="L8" s="70"/>
      <c r="M8" s="70"/>
      <c r="N8" s="70"/>
      <c r="O8" s="70"/>
      <c r="P8" s="70"/>
      <c r="Q8" s="71"/>
      <c r="R8" s="70"/>
      <c r="S8" s="70"/>
      <c r="T8" s="71"/>
      <c r="U8" s="70"/>
      <c r="V8" s="70"/>
      <c r="W8" s="72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</row>
    <row r="9" spans="1:35" ht="15.75" thickBot="1" x14ac:dyDescent="0.3">
      <c r="A9" s="23"/>
      <c r="B9" s="23"/>
      <c r="C9" s="54" t="s">
        <v>69</v>
      </c>
      <c r="D9" s="55" t="s">
        <v>0</v>
      </c>
      <c r="E9" s="55" t="s">
        <v>71</v>
      </c>
      <c r="F9" s="55" t="s">
        <v>70</v>
      </c>
      <c r="G9" s="55" t="s">
        <v>72</v>
      </c>
      <c r="H9" s="55" t="s">
        <v>73</v>
      </c>
      <c r="I9" s="55" t="s">
        <v>74</v>
      </c>
      <c r="J9" s="55" t="s">
        <v>75</v>
      </c>
      <c r="K9" s="55" t="s">
        <v>76</v>
      </c>
      <c r="L9" s="55" t="s">
        <v>77</v>
      </c>
      <c r="M9" s="55" t="s">
        <v>78</v>
      </c>
      <c r="N9" s="55" t="s">
        <v>79</v>
      </c>
      <c r="O9" s="55" t="s">
        <v>80</v>
      </c>
      <c r="P9" s="55" t="s">
        <v>81</v>
      </c>
      <c r="Q9" s="56" t="s">
        <v>82</v>
      </c>
      <c r="R9" s="55" t="s">
        <v>83</v>
      </c>
      <c r="S9" s="55" t="s">
        <v>84</v>
      </c>
      <c r="T9" s="56" t="s">
        <v>85</v>
      </c>
      <c r="U9" s="55" t="s">
        <v>86</v>
      </c>
      <c r="V9" s="55" t="s">
        <v>87</v>
      </c>
      <c r="W9" s="57" t="s">
        <v>88</v>
      </c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</row>
    <row r="10" spans="1:35" x14ac:dyDescent="0.25">
      <c r="A10" s="23"/>
      <c r="B10" s="23"/>
      <c r="C10" s="58"/>
      <c r="D10" s="68"/>
      <c r="E10" s="59" t="s">
        <v>157</v>
      </c>
      <c r="F10" s="59" t="str">
        <f>IF(TeamsNotUsed!$D10="","",$C$8)</f>
        <v/>
      </c>
      <c r="G10" s="59" t="str">
        <f>IFERROR(IF(TeamsNotUsed!$D10="","",SUMIFS(Database!H:H,Database!E:E,TeamsNotUsed!$D10,Database!$A:$A,$O$5)),"")</f>
        <v/>
      </c>
      <c r="H10" s="59" t="str">
        <f>IFERROR(IF(TeamsNotUsed!$D10="","",SUMIFS(Database!I:I,Database!F:F,TeamsNotUsed!$D10,Database!$A:$A,$O$5)),"")</f>
        <v/>
      </c>
      <c r="I10" s="59" t="str">
        <f>IFERROR(IF(TeamsNotUsed!$D10="","",SUMIFS(Database!J:J,Database!G:G,TeamsNotUsed!$D10,Database!$A:$A,$O$5)),"")</f>
        <v/>
      </c>
      <c r="J10" s="59" t="str">
        <f>IFERROR(IF(TeamsNotUsed!$D10="","",SUMIFS(Database!K:K,Database!H:H,TeamsNotUsed!$D10,Database!$A:$A,$O$5)),"")</f>
        <v/>
      </c>
      <c r="K10" s="59" t="str">
        <f>IFERROR(IF(TeamsNotUsed!$D10="","",SUMIFS(Database!L:L,Database!I:I,TeamsNotUsed!$D10,Database!$A:$A,$O$5)),"")</f>
        <v/>
      </c>
      <c r="L10" s="59" t="str">
        <f>IFERROR(IF(TeamsNotUsed!$D10="","",SUMIFS(Database!M:M,Database!J:J,TeamsNotUsed!$D10,Database!$A:$A,$O$5)),"")</f>
        <v/>
      </c>
      <c r="M10" s="59" t="str">
        <f>IFERROR(IF(TeamsNotUsed!$D10="","",SUMIFS(Database!N:N,Database!K:K,TeamsNotUsed!$D10,Database!$A:$A,$O$5)),"")</f>
        <v/>
      </c>
      <c r="N10" s="59" t="str">
        <f>IFERROR(IF(TeamsNotUsed!$D10="","",SUMIFS(Database!O:O,Database!L:L,TeamsNotUsed!$D10,Database!$A:$A,$O$5)),"")</f>
        <v/>
      </c>
      <c r="O10" s="59" t="str">
        <f>IFERROR(IF(TeamsNotUsed!$D10="","",SUMIFS(Database!P:P,Database!M:M,TeamsNotUsed!$D10,Database!$A:$A,$O$5)),"")</f>
        <v/>
      </c>
      <c r="P10" s="59" t="str">
        <f>IFERROR(IF(TeamsNotUsed!$D10="","",SUMIFS(Database!Q:Q,Database!N:N,TeamsNotUsed!$D10,Database!$A:$A,$O$5)),"")</f>
        <v/>
      </c>
      <c r="Q10" s="60" t="str">
        <f>IFERROR(IF(TeamsNotUsed!$D10="","",TeamsNotUsed!$O10/TeamsNotUsed!$P10),"-")</f>
        <v/>
      </c>
      <c r="R10" s="59" t="str">
        <f>IFERROR(IF(TeamsNotUsed!$D10="","",SUMIFS(Database!S:S,Database!P:P,TeamsNotUsed!$D10,Database!$A:$A,$O$5)),"")</f>
        <v/>
      </c>
      <c r="S10" s="59" t="str">
        <f>IFERROR(IF(TeamsNotUsed!$D10="","",SUMIFS(Database!T:T,Database!Q:Q,TeamsNotUsed!$D10,Database!$A:$A,$O$5)),"")</f>
        <v/>
      </c>
      <c r="T10" s="60" t="str">
        <f>IFERROR(IF(TeamsNotUsed!$D10="","",TeamsNotUsed!$R10/TeamsNotUsed!$S10),"-")</f>
        <v/>
      </c>
      <c r="U10" s="59" t="str">
        <f>IFERROR(IF(TeamsNotUsed!$D10="","",SUMIFS(Database!V:V,Database!S:S,TeamsNotUsed!$D10,Database!$A:$A,$O$5)),"")</f>
        <v/>
      </c>
      <c r="V10" s="59" t="str">
        <f>IFERROR(IF(TeamsNotUsed!$D10="","",SUMIFS(Database!W:W,Database!T:T,TeamsNotUsed!$D10,Database!$A:$A,$O$5)),"")</f>
        <v/>
      </c>
      <c r="W10" s="61" t="str">
        <f>IFERROR(IF(TeamsNotUsed!$D10="","",TeamsNotUsed!$U10/TeamsNotUsed!$V10),"-")</f>
        <v/>
      </c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</row>
    <row r="11" spans="1:35" x14ac:dyDescent="0.25">
      <c r="A11" s="23"/>
      <c r="B11" s="23"/>
      <c r="C11" s="43"/>
      <c r="D11" s="17"/>
      <c r="E11" s="11" t="s">
        <v>157</v>
      </c>
      <c r="F11" s="11" t="str">
        <f>IF(TeamsNotUsed!$D11="","",$C$8)</f>
        <v/>
      </c>
      <c r="G11" s="11" t="str">
        <f>IFERROR(IF(TeamsNotUsed!$D11="","",SUMIFS(Database!H:H,Database!E:E,TeamsNotUsed!$D11,Database!$A:$A,$O$5)),"")</f>
        <v/>
      </c>
      <c r="H11" s="11" t="str">
        <f>IFERROR(IF(TeamsNotUsed!$D11="","",SUMIFS(Database!I:I,Database!F:F,TeamsNotUsed!$D11,Database!$A:$A,$O$5)),"")</f>
        <v/>
      </c>
      <c r="I11" s="11" t="str">
        <f>IFERROR(IF(TeamsNotUsed!$D11="","",SUMIFS(Database!J:J,Database!G:G,TeamsNotUsed!$D11,Database!$A:$A,$O$5)),"")</f>
        <v/>
      </c>
      <c r="J11" s="11" t="str">
        <f>IFERROR(IF(TeamsNotUsed!$D11="","",SUMIFS(Database!K:K,Database!H:H,TeamsNotUsed!$D11,Database!$A:$A,$O$5)),"")</f>
        <v/>
      </c>
      <c r="K11" s="11" t="str">
        <f>IFERROR(IF(TeamsNotUsed!$D11="","",SUMIFS(Database!L:L,Database!I:I,TeamsNotUsed!$D11,Database!$A:$A,$O$5)),"")</f>
        <v/>
      </c>
      <c r="L11" s="11" t="str">
        <f>IFERROR(IF(TeamsNotUsed!$D11="","",SUMIFS(Database!M:M,Database!J:J,TeamsNotUsed!$D11,Database!$A:$A,$O$5)),"")</f>
        <v/>
      </c>
      <c r="M11" s="11" t="str">
        <f>IFERROR(IF(TeamsNotUsed!$D11="","",SUMIFS(Database!N:N,Database!K:K,TeamsNotUsed!$D11,Database!$A:$A,$O$5)),"")</f>
        <v/>
      </c>
      <c r="N11" s="11" t="str">
        <f>IFERROR(IF(TeamsNotUsed!$D11="","",SUMIFS(Database!O:O,Database!L:L,TeamsNotUsed!$D11,Database!$A:$A,$O$5)),"")</f>
        <v/>
      </c>
      <c r="O11" s="11" t="str">
        <f>IFERROR(IF(TeamsNotUsed!$D11="","",SUMIFS(Database!P:P,Database!M:M,TeamsNotUsed!$D11,Database!$A:$A,$O$5)),"")</f>
        <v/>
      </c>
      <c r="P11" s="11" t="str">
        <f>IFERROR(IF(TeamsNotUsed!$D11="","",SUMIFS(Database!Q:Q,Database!N:N,TeamsNotUsed!$D11,Database!$A:$A,$O$5)),"")</f>
        <v/>
      </c>
      <c r="Q11" s="14" t="str">
        <f>IFERROR(IF(TeamsNotUsed!$D11="","",TeamsNotUsed!$O11/TeamsNotUsed!$P11),"-")</f>
        <v/>
      </c>
      <c r="R11" s="11" t="str">
        <f>IFERROR(IF(TeamsNotUsed!$D11="","",SUMIFS(Database!S:S,Database!P:P,TeamsNotUsed!$D11,Database!$A:$A,$O$5)),"")</f>
        <v/>
      </c>
      <c r="S11" s="11" t="str">
        <f>IFERROR(IF(TeamsNotUsed!$D11="","",SUMIFS(Database!T:T,Database!Q:Q,TeamsNotUsed!$D11,Database!$A:$A,$O$5)),"")</f>
        <v/>
      </c>
      <c r="T11" s="14" t="str">
        <f>IFERROR(IF(TeamsNotUsed!$D11="","",TeamsNotUsed!$R11/TeamsNotUsed!$S11),"-")</f>
        <v/>
      </c>
      <c r="U11" s="11" t="str">
        <f>IFERROR(IF(TeamsNotUsed!$D11="","",SUMIFS(Database!V:V,Database!S:S,TeamsNotUsed!$D11,Database!$A:$A,$O$5)),"")</f>
        <v/>
      </c>
      <c r="V11" s="11" t="str">
        <f>IFERROR(IF(TeamsNotUsed!$D11="","",SUMIFS(Database!W:W,Database!T:T,TeamsNotUsed!$D11,Database!$A:$A,$O$5)),"")</f>
        <v/>
      </c>
      <c r="W11" s="46" t="str">
        <f>IFERROR(IF(TeamsNotUsed!$D11="","",TeamsNotUsed!$U11/TeamsNotUsed!$V11),"-")</f>
        <v/>
      </c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</row>
    <row r="12" spans="1:35" x14ac:dyDescent="0.25">
      <c r="A12" s="23"/>
      <c r="B12" s="23"/>
      <c r="C12" s="44"/>
      <c r="D12" s="17"/>
      <c r="E12" s="12" t="s">
        <v>157</v>
      </c>
      <c r="F12" s="12" t="str">
        <f>IF(TeamsNotUsed!$D12="","",$C$8)</f>
        <v/>
      </c>
      <c r="G12" s="12" t="str">
        <f>IFERROR(IF(TeamsNotUsed!$D12="","",SUMIFS(Database!H:H,Database!E:E,TeamsNotUsed!$D12,Database!$A:$A,$O$5)),"")</f>
        <v/>
      </c>
      <c r="H12" s="12" t="str">
        <f>IFERROR(IF(TeamsNotUsed!$D12="","",SUMIFS(Database!I:I,Database!F:F,TeamsNotUsed!$D12,Database!$A:$A,$O$5)),"")</f>
        <v/>
      </c>
      <c r="I12" s="12" t="str">
        <f>IFERROR(IF(TeamsNotUsed!$D12="","",SUMIFS(Database!J:J,Database!G:G,TeamsNotUsed!$D12,Database!$A:$A,$O$5)),"")</f>
        <v/>
      </c>
      <c r="J12" s="12" t="str">
        <f>IFERROR(IF(TeamsNotUsed!$D12="","",SUMIFS(Database!K:K,Database!H:H,TeamsNotUsed!$D12,Database!$A:$A,$O$5)),"")</f>
        <v/>
      </c>
      <c r="K12" s="12" t="str">
        <f>IFERROR(IF(TeamsNotUsed!$D12="","",SUMIFS(Database!L:L,Database!I:I,TeamsNotUsed!$D12,Database!$A:$A,$O$5)),"")</f>
        <v/>
      </c>
      <c r="L12" s="12" t="str">
        <f>IFERROR(IF(TeamsNotUsed!$D12="","",SUMIFS(Database!M:M,Database!J:J,TeamsNotUsed!$D12,Database!$A:$A,$O$5)),"")</f>
        <v/>
      </c>
      <c r="M12" s="12" t="str">
        <f>IFERROR(IF(TeamsNotUsed!$D12="","",SUMIFS(Database!N:N,Database!K:K,TeamsNotUsed!$D12,Database!$A:$A,$O$5)),"")</f>
        <v/>
      </c>
      <c r="N12" s="12" t="str">
        <f>IFERROR(IF(TeamsNotUsed!$D12="","",SUMIFS(Database!O:O,Database!L:L,TeamsNotUsed!$D12,Database!$A:$A,$O$5)),"")</f>
        <v/>
      </c>
      <c r="O12" s="12" t="str">
        <f>IFERROR(IF(TeamsNotUsed!$D12="","",SUMIFS(Database!P:P,Database!M:M,TeamsNotUsed!$D12,Database!$A:$A,$O$5)),"")</f>
        <v/>
      </c>
      <c r="P12" s="12" t="str">
        <f>IFERROR(IF(TeamsNotUsed!$D12="","",SUMIFS(Database!Q:Q,Database!N:N,TeamsNotUsed!$D12,Database!$A:$A,$O$5)),"")</f>
        <v/>
      </c>
      <c r="Q12" s="13" t="str">
        <f>IFERROR(IF(TeamsNotUsed!$D12="","",TeamsNotUsed!$O12/TeamsNotUsed!$P12),"-")</f>
        <v/>
      </c>
      <c r="R12" s="12" t="str">
        <f>IFERROR(IF(TeamsNotUsed!$D12="","",SUMIFS(Database!S:S,Database!P:P,TeamsNotUsed!$D12,Database!$A:$A,$O$5)),"")</f>
        <v/>
      </c>
      <c r="S12" s="12" t="str">
        <f>IFERROR(IF(TeamsNotUsed!$D12="","",SUMIFS(Database!T:T,Database!Q:Q,TeamsNotUsed!$D12,Database!$A:$A,$O$5)),"")</f>
        <v/>
      </c>
      <c r="T12" s="13" t="str">
        <f>IFERROR(IF(TeamsNotUsed!$D12="","",TeamsNotUsed!$R12/TeamsNotUsed!$S12),"-")</f>
        <v/>
      </c>
      <c r="U12" s="12" t="str">
        <f>IFERROR(IF(TeamsNotUsed!$D12="","",SUMIFS(Database!V:V,Database!S:S,TeamsNotUsed!$D12,Database!$A:$A,$O$5)),"")</f>
        <v/>
      </c>
      <c r="V12" s="12" t="str">
        <f>IFERROR(IF(TeamsNotUsed!$D12="","",SUMIFS(Database!W:W,Database!T:T,TeamsNotUsed!$D12,Database!$A:$A,$O$5)),"")</f>
        <v/>
      </c>
      <c r="W12" s="45" t="str">
        <f>IFERROR(IF(TeamsNotUsed!$D12="","",TeamsNotUsed!$U12/TeamsNotUsed!$V12),"-")</f>
        <v/>
      </c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</row>
    <row r="13" spans="1:35" x14ac:dyDescent="0.25">
      <c r="A13" s="23"/>
      <c r="B13" s="23"/>
      <c r="C13" s="43"/>
      <c r="D13" s="17"/>
      <c r="E13" s="11" t="s">
        <v>157</v>
      </c>
      <c r="F13" s="11" t="str">
        <f>IF(TeamsNotUsed!$D13="","",$C$8)</f>
        <v/>
      </c>
      <c r="G13" s="11" t="str">
        <f>IFERROR(IF(TeamsNotUsed!$D13="","",SUMIFS(Database!H:H,Database!E:E,TeamsNotUsed!$D13,Database!$A:$A,$O$5)),"")</f>
        <v/>
      </c>
      <c r="H13" s="11" t="str">
        <f>IFERROR(IF(TeamsNotUsed!$D13="","",SUMIFS(Database!I:I,Database!F:F,TeamsNotUsed!$D13,Database!$A:$A,$O$5)),"")</f>
        <v/>
      </c>
      <c r="I13" s="11" t="str">
        <f>IFERROR(IF(TeamsNotUsed!$D13="","",SUMIFS(Database!J:J,Database!G:G,TeamsNotUsed!$D13,Database!$A:$A,$O$5)),"")</f>
        <v/>
      </c>
      <c r="J13" s="11" t="str">
        <f>IFERROR(IF(TeamsNotUsed!$D13="","",SUMIFS(Database!K:K,Database!H:H,TeamsNotUsed!$D13,Database!$A:$A,$O$5)),"")</f>
        <v/>
      </c>
      <c r="K13" s="11" t="str">
        <f>IFERROR(IF(TeamsNotUsed!$D13="","",SUMIFS(Database!L:L,Database!I:I,TeamsNotUsed!$D13,Database!$A:$A,$O$5)),"")</f>
        <v/>
      </c>
      <c r="L13" s="11" t="str">
        <f>IFERROR(IF(TeamsNotUsed!$D13="","",SUMIFS(Database!M:M,Database!J:J,TeamsNotUsed!$D13,Database!$A:$A,$O$5)),"")</f>
        <v/>
      </c>
      <c r="M13" s="11" t="str">
        <f>IFERROR(IF(TeamsNotUsed!$D13="","",SUMIFS(Database!N:N,Database!K:K,TeamsNotUsed!$D13,Database!$A:$A,$O$5)),"")</f>
        <v/>
      </c>
      <c r="N13" s="11" t="str">
        <f>IFERROR(IF(TeamsNotUsed!$D13="","",SUMIFS(Database!O:O,Database!L:L,TeamsNotUsed!$D13,Database!$A:$A,$O$5)),"")</f>
        <v/>
      </c>
      <c r="O13" s="11" t="str">
        <f>IFERROR(IF(TeamsNotUsed!$D13="","",SUMIFS(Database!P:P,Database!M:M,TeamsNotUsed!$D13,Database!$A:$A,$O$5)),"")</f>
        <v/>
      </c>
      <c r="P13" s="11" t="str">
        <f>IFERROR(IF(TeamsNotUsed!$D13="","",SUMIFS(Database!Q:Q,Database!N:N,TeamsNotUsed!$D13,Database!$A:$A,$O$5)),"")</f>
        <v/>
      </c>
      <c r="Q13" s="14" t="str">
        <f>IFERROR(IF(TeamsNotUsed!$D13="","",TeamsNotUsed!$O13/TeamsNotUsed!$P13),"-")</f>
        <v/>
      </c>
      <c r="R13" s="11" t="str">
        <f>IFERROR(IF(TeamsNotUsed!$D13="","",SUMIFS(Database!S:S,Database!P:P,TeamsNotUsed!$D13,Database!$A:$A,$O$5)),"")</f>
        <v/>
      </c>
      <c r="S13" s="11" t="str">
        <f>IFERROR(IF(TeamsNotUsed!$D13="","",SUMIFS(Database!T:T,Database!Q:Q,TeamsNotUsed!$D13,Database!$A:$A,$O$5)),"")</f>
        <v/>
      </c>
      <c r="T13" s="14" t="str">
        <f>IFERROR(IF(TeamsNotUsed!$D13="","",TeamsNotUsed!$R13/TeamsNotUsed!$S13),"-")</f>
        <v/>
      </c>
      <c r="U13" s="11" t="str">
        <f>IFERROR(IF(TeamsNotUsed!$D13="","",SUMIFS(Database!V:V,Database!S:S,TeamsNotUsed!$D13,Database!$A:$A,$O$5)),"")</f>
        <v/>
      </c>
      <c r="V13" s="11" t="str">
        <f>IFERROR(IF(TeamsNotUsed!$D13="","",SUMIFS(Database!W:W,Database!T:T,TeamsNotUsed!$D13,Database!$A:$A,$O$5)),"")</f>
        <v/>
      </c>
      <c r="W13" s="46" t="str">
        <f>IFERROR(IF(TeamsNotUsed!$D13="","",TeamsNotUsed!$U13/TeamsNotUsed!$V13),"-")</f>
        <v/>
      </c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</row>
    <row r="14" spans="1:35" x14ac:dyDescent="0.25">
      <c r="A14" s="23"/>
      <c r="B14" s="23"/>
      <c r="C14" s="44"/>
      <c r="D14" s="69"/>
      <c r="E14" s="12" t="s">
        <v>157</v>
      </c>
      <c r="F14" s="12" t="str">
        <f>IF(TeamsNotUsed!$D14="","",$C$8)</f>
        <v/>
      </c>
      <c r="G14" s="12" t="str">
        <f>IFERROR(IF(TeamsNotUsed!$D14="","",SUMIFS(Database!H:H,Database!E:E,TeamsNotUsed!$D14,Database!$A:$A,$O$5)),"")</f>
        <v/>
      </c>
      <c r="H14" s="12" t="str">
        <f>IFERROR(IF(TeamsNotUsed!$D14="","",SUMIFS(Database!I:I,Database!F:F,TeamsNotUsed!$D14,Database!$A:$A,$O$5)),"")</f>
        <v/>
      </c>
      <c r="I14" s="12" t="str">
        <f>IFERROR(IF(TeamsNotUsed!$D14="","",SUMIFS(Database!J:J,Database!G:G,TeamsNotUsed!$D14,Database!$A:$A,$O$5)),"")</f>
        <v/>
      </c>
      <c r="J14" s="12" t="str">
        <f>IFERROR(IF(TeamsNotUsed!$D14="","",SUMIFS(Database!K:K,Database!H:H,TeamsNotUsed!$D14,Database!$A:$A,$O$5)),"")</f>
        <v/>
      </c>
      <c r="K14" s="12" t="str">
        <f>IFERROR(IF(TeamsNotUsed!$D14="","",SUMIFS(Database!L:L,Database!I:I,TeamsNotUsed!$D14,Database!$A:$A,$O$5)),"")</f>
        <v/>
      </c>
      <c r="L14" s="12" t="str">
        <f>IFERROR(IF(TeamsNotUsed!$D14="","",SUMIFS(Database!M:M,Database!J:J,TeamsNotUsed!$D14,Database!$A:$A,$O$5)),"")</f>
        <v/>
      </c>
      <c r="M14" s="12" t="str">
        <f>IFERROR(IF(TeamsNotUsed!$D14="","",SUMIFS(Database!N:N,Database!K:K,TeamsNotUsed!$D14,Database!$A:$A,$O$5)),"")</f>
        <v/>
      </c>
      <c r="N14" s="12" t="str">
        <f>IFERROR(IF(TeamsNotUsed!$D14="","",SUMIFS(Database!O:O,Database!L:L,TeamsNotUsed!$D14,Database!$A:$A,$O$5)),"")</f>
        <v/>
      </c>
      <c r="O14" s="12" t="str">
        <f>IFERROR(IF(TeamsNotUsed!$D14="","",SUMIFS(Database!P:P,Database!M:M,TeamsNotUsed!$D14,Database!$A:$A,$O$5)),"")</f>
        <v/>
      </c>
      <c r="P14" s="12" t="str">
        <f>IFERROR(IF(TeamsNotUsed!$D14="","",SUMIFS(Database!Q:Q,Database!N:N,TeamsNotUsed!$D14,Database!$A:$A,$O$5)),"")</f>
        <v/>
      </c>
      <c r="Q14" s="13" t="str">
        <f>IFERROR(IF(TeamsNotUsed!$D14="","",TeamsNotUsed!$O14/TeamsNotUsed!$P14),"-")</f>
        <v/>
      </c>
      <c r="R14" s="12" t="str">
        <f>IFERROR(IF(TeamsNotUsed!$D14="","",SUMIFS(Database!S:S,Database!P:P,TeamsNotUsed!$D14,Database!$A:$A,$O$5)),"")</f>
        <v/>
      </c>
      <c r="S14" s="12" t="str">
        <f>IFERROR(IF(TeamsNotUsed!$D14="","",SUMIFS(Database!T:T,Database!Q:Q,TeamsNotUsed!$D14,Database!$A:$A,$O$5)),"")</f>
        <v/>
      </c>
      <c r="T14" s="13" t="str">
        <f>IFERROR(IF(TeamsNotUsed!$D14="","",TeamsNotUsed!$R14/TeamsNotUsed!$S14),"-")</f>
        <v/>
      </c>
      <c r="U14" s="12" t="str">
        <f>IFERROR(IF(TeamsNotUsed!$D14="","",SUMIFS(Database!V:V,Database!S:S,TeamsNotUsed!$D14,Database!$A:$A,$O$5)),"")</f>
        <v/>
      </c>
      <c r="V14" s="12" t="str">
        <f>IFERROR(IF(TeamsNotUsed!$D14="","",SUMIFS(Database!W:W,Database!T:T,TeamsNotUsed!$D14,Database!$A:$A,$O$5)),"")</f>
        <v/>
      </c>
      <c r="W14" s="45" t="str">
        <f>IFERROR(IF(TeamsNotUsed!$D14="","",TeamsNotUsed!$U14/TeamsNotUsed!$V14),"-")</f>
        <v/>
      </c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</row>
    <row r="15" spans="1:35" x14ac:dyDescent="0.25">
      <c r="A15" s="23"/>
      <c r="B15" s="23"/>
      <c r="C15" s="43"/>
      <c r="D15" s="17"/>
      <c r="E15" s="11" t="s">
        <v>157</v>
      </c>
      <c r="F15" s="11" t="str">
        <f>IF(TeamsNotUsed!$D15="","",$C$8)</f>
        <v/>
      </c>
      <c r="G15" s="11" t="str">
        <f>IFERROR(IF(TeamsNotUsed!$D15="","",SUMIFS(Database!H:H,Database!E:E,TeamsNotUsed!$D15,Database!$A:$A,$O$5)),"")</f>
        <v/>
      </c>
      <c r="H15" s="11" t="str">
        <f>IFERROR(IF(TeamsNotUsed!$D15="","",SUMIFS(Database!I:I,Database!F:F,TeamsNotUsed!$D15,Database!$A:$A,$O$5)),"")</f>
        <v/>
      </c>
      <c r="I15" s="11" t="str">
        <f>IFERROR(IF(TeamsNotUsed!$D15="","",SUMIFS(Database!J:J,Database!G:G,TeamsNotUsed!$D15,Database!$A:$A,$O$5)),"")</f>
        <v/>
      </c>
      <c r="J15" s="11" t="str">
        <f>IFERROR(IF(TeamsNotUsed!$D15="","",SUMIFS(Database!K:K,Database!H:H,TeamsNotUsed!$D15,Database!$A:$A,$O$5)),"")</f>
        <v/>
      </c>
      <c r="K15" s="11" t="str">
        <f>IFERROR(IF(TeamsNotUsed!$D15="","",SUMIFS(Database!L:L,Database!I:I,TeamsNotUsed!$D15,Database!$A:$A,$O$5)),"")</f>
        <v/>
      </c>
      <c r="L15" s="11" t="str">
        <f>IFERROR(IF(TeamsNotUsed!$D15="","",SUMIFS(Database!M:M,Database!J:J,TeamsNotUsed!$D15,Database!$A:$A,$O$5)),"")</f>
        <v/>
      </c>
      <c r="M15" s="11" t="str">
        <f>IFERROR(IF(TeamsNotUsed!$D15="","",SUMIFS(Database!N:N,Database!K:K,TeamsNotUsed!$D15,Database!$A:$A,$O$5)),"")</f>
        <v/>
      </c>
      <c r="N15" s="11" t="str">
        <f>IFERROR(IF(TeamsNotUsed!$D15="","",SUMIFS(Database!O:O,Database!L:L,TeamsNotUsed!$D15,Database!$A:$A,$O$5)),"")</f>
        <v/>
      </c>
      <c r="O15" s="11" t="str">
        <f>IFERROR(IF(TeamsNotUsed!$D15="","",SUMIFS(Database!P:P,Database!M:M,TeamsNotUsed!$D15,Database!$A:$A,$O$5)),"")</f>
        <v/>
      </c>
      <c r="P15" s="11" t="str">
        <f>IFERROR(IF(TeamsNotUsed!$D15="","",SUMIFS(Database!Q:Q,Database!N:N,TeamsNotUsed!$D15,Database!$A:$A,$O$5)),"")</f>
        <v/>
      </c>
      <c r="Q15" s="14" t="str">
        <f>IFERROR(IF(TeamsNotUsed!$D15="","",TeamsNotUsed!$O15/TeamsNotUsed!$P15),"-")</f>
        <v/>
      </c>
      <c r="R15" s="11" t="str">
        <f>IFERROR(IF(TeamsNotUsed!$D15="","",SUMIFS(Database!S:S,Database!P:P,TeamsNotUsed!$D15,Database!$A:$A,$O$5)),"")</f>
        <v/>
      </c>
      <c r="S15" s="11" t="str">
        <f>IFERROR(IF(TeamsNotUsed!$D15="","",SUMIFS(Database!T:T,Database!Q:Q,TeamsNotUsed!$D15,Database!$A:$A,$O$5)),"")</f>
        <v/>
      </c>
      <c r="T15" s="14" t="str">
        <f>IFERROR(IF(TeamsNotUsed!$D15="","",TeamsNotUsed!$R15/TeamsNotUsed!$S15),"-")</f>
        <v/>
      </c>
      <c r="U15" s="11" t="str">
        <f>IFERROR(IF(TeamsNotUsed!$D15="","",SUMIFS(Database!V:V,Database!S:S,TeamsNotUsed!$D15,Database!$A:$A,$O$5)),"")</f>
        <v/>
      </c>
      <c r="V15" s="11" t="str">
        <f>IFERROR(IF(TeamsNotUsed!$D15="","",SUMIFS(Database!W:W,Database!T:T,TeamsNotUsed!$D15,Database!$A:$A,$O$5)),"")</f>
        <v/>
      </c>
      <c r="W15" s="46" t="str">
        <f>IFERROR(IF(TeamsNotUsed!$D15="","",TeamsNotUsed!$U15/TeamsNotUsed!$V15),"-")</f>
        <v/>
      </c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</row>
    <row r="16" spans="1:35" x14ac:dyDescent="0.25">
      <c r="A16" s="23"/>
      <c r="B16" s="23"/>
      <c r="C16" s="44"/>
      <c r="D16" s="17"/>
      <c r="E16" s="12" t="s">
        <v>157</v>
      </c>
      <c r="F16" s="12" t="str">
        <f>IF(TeamsNotUsed!$D16="","",$C$8)</f>
        <v/>
      </c>
      <c r="G16" s="12" t="str">
        <f>IFERROR(IF(TeamsNotUsed!$D16="","",SUMIFS(Database!H:H,Database!E:E,TeamsNotUsed!$D16,Database!$A:$A,$O$5)),"")</f>
        <v/>
      </c>
      <c r="H16" s="12" t="str">
        <f>IFERROR(IF(TeamsNotUsed!$D16="","",SUMIFS(Database!I:I,Database!F:F,TeamsNotUsed!$D16,Database!$A:$A,$O$5)),"")</f>
        <v/>
      </c>
      <c r="I16" s="12" t="str">
        <f>IFERROR(IF(TeamsNotUsed!$D16="","",SUMIFS(Database!J:J,Database!G:G,TeamsNotUsed!$D16,Database!$A:$A,$O$5)),"")</f>
        <v/>
      </c>
      <c r="J16" s="12" t="str">
        <f>IFERROR(IF(TeamsNotUsed!$D16="","",SUMIFS(Database!K:K,Database!H:H,TeamsNotUsed!$D16,Database!$A:$A,$O$5)),"")</f>
        <v/>
      </c>
      <c r="K16" s="12" t="str">
        <f>IFERROR(IF(TeamsNotUsed!$D16="","",SUMIFS(Database!L:L,Database!I:I,TeamsNotUsed!$D16,Database!$A:$A,$O$5)),"")</f>
        <v/>
      </c>
      <c r="L16" s="12" t="str">
        <f>IFERROR(IF(TeamsNotUsed!$D16="","",SUMIFS(Database!M:M,Database!J:J,TeamsNotUsed!$D16,Database!$A:$A,$O$5)),"")</f>
        <v/>
      </c>
      <c r="M16" s="12" t="str">
        <f>IFERROR(IF(TeamsNotUsed!$D16="","",SUMIFS(Database!N:N,Database!K:K,TeamsNotUsed!$D16,Database!$A:$A,$O$5)),"")</f>
        <v/>
      </c>
      <c r="N16" s="12" t="str">
        <f>IFERROR(IF(TeamsNotUsed!$D16="","",SUMIFS(Database!O:O,Database!L:L,TeamsNotUsed!$D16,Database!$A:$A,$O$5)),"")</f>
        <v/>
      </c>
      <c r="O16" s="12" t="str">
        <f>IFERROR(IF(TeamsNotUsed!$D16="","",SUMIFS(Database!P:P,Database!M:M,TeamsNotUsed!$D16,Database!$A:$A,$O$5)),"")</f>
        <v/>
      </c>
      <c r="P16" s="12" t="str">
        <f>IFERROR(IF(TeamsNotUsed!$D16="","",SUMIFS(Database!Q:Q,Database!N:N,TeamsNotUsed!$D16,Database!$A:$A,$O$5)),"")</f>
        <v/>
      </c>
      <c r="Q16" s="13" t="str">
        <f>IFERROR(IF(TeamsNotUsed!$D16="","",TeamsNotUsed!$O16/TeamsNotUsed!$P16),"-")</f>
        <v/>
      </c>
      <c r="R16" s="12" t="str">
        <f>IFERROR(IF(TeamsNotUsed!$D16="","",SUMIFS(Database!S:S,Database!P:P,TeamsNotUsed!$D16,Database!$A:$A,$O$5)),"")</f>
        <v/>
      </c>
      <c r="S16" s="12" t="str">
        <f>IFERROR(IF(TeamsNotUsed!$D16="","",SUMIFS(Database!T:T,Database!Q:Q,TeamsNotUsed!$D16,Database!$A:$A,$O$5)),"")</f>
        <v/>
      </c>
      <c r="T16" s="13" t="str">
        <f>IFERROR(IF(TeamsNotUsed!$D16="","",TeamsNotUsed!$R16/TeamsNotUsed!$S16),"-")</f>
        <v/>
      </c>
      <c r="U16" s="12" t="str">
        <f>IFERROR(IF(TeamsNotUsed!$D16="","",SUMIFS(Database!V:V,Database!S:S,TeamsNotUsed!$D16,Database!$A:$A,$O$5)),"")</f>
        <v/>
      </c>
      <c r="V16" s="12" t="str">
        <f>IFERROR(IF(TeamsNotUsed!$D16="","",SUMIFS(Database!W:W,Database!T:T,TeamsNotUsed!$D16,Database!$A:$A,$O$5)),"")</f>
        <v/>
      </c>
      <c r="W16" s="45" t="str">
        <f>IFERROR(IF(TeamsNotUsed!$D16="","",TeamsNotUsed!$U16/TeamsNotUsed!$V16),"-")</f>
        <v/>
      </c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</row>
    <row r="17" spans="1:35" x14ac:dyDescent="0.25">
      <c r="A17" s="23"/>
      <c r="B17" s="23"/>
      <c r="C17" s="43"/>
      <c r="D17" s="17"/>
      <c r="E17" s="11" t="s">
        <v>157</v>
      </c>
      <c r="F17" s="11" t="str">
        <f>IF(TeamsNotUsed!$D17="","",$C$8)</f>
        <v/>
      </c>
      <c r="G17" s="11" t="str">
        <f>IFERROR(IF(TeamsNotUsed!$D17="","",SUMIFS(Database!H:H,Database!E:E,TeamsNotUsed!$D17,Database!$A:$A,$O$5)),"")</f>
        <v/>
      </c>
      <c r="H17" s="11" t="str">
        <f>IFERROR(IF(TeamsNotUsed!$D17="","",SUMIFS(Database!I:I,Database!F:F,TeamsNotUsed!$D17,Database!$A:$A,$O$5)),"")</f>
        <v/>
      </c>
      <c r="I17" s="11" t="str">
        <f>IFERROR(IF(TeamsNotUsed!$D17="","",SUMIFS(Database!J:J,Database!G:G,TeamsNotUsed!$D17,Database!$A:$A,$O$5)),"")</f>
        <v/>
      </c>
      <c r="J17" s="11" t="str">
        <f>IFERROR(IF(TeamsNotUsed!$D17="","",SUMIFS(Database!K:K,Database!H:H,TeamsNotUsed!$D17,Database!$A:$A,$O$5)),"")</f>
        <v/>
      </c>
      <c r="K17" s="11" t="str">
        <f>IFERROR(IF(TeamsNotUsed!$D17="","",SUMIFS(Database!L:L,Database!I:I,TeamsNotUsed!$D17,Database!$A:$A,$O$5)),"")</f>
        <v/>
      </c>
      <c r="L17" s="11" t="str">
        <f>IFERROR(IF(TeamsNotUsed!$D17="","",SUMIFS(Database!M:M,Database!J:J,TeamsNotUsed!$D17,Database!$A:$A,$O$5)),"")</f>
        <v/>
      </c>
      <c r="M17" s="11" t="str">
        <f>IFERROR(IF(TeamsNotUsed!$D17="","",SUMIFS(Database!N:N,Database!K:K,TeamsNotUsed!$D17,Database!$A:$A,$O$5)),"")</f>
        <v/>
      </c>
      <c r="N17" s="11" t="str">
        <f>IFERROR(IF(TeamsNotUsed!$D17="","",SUMIFS(Database!O:O,Database!L:L,TeamsNotUsed!$D17,Database!$A:$A,$O$5)),"")</f>
        <v/>
      </c>
      <c r="O17" s="11" t="str">
        <f>IFERROR(IF(TeamsNotUsed!$D17="","",SUMIFS(Database!P:P,Database!M:M,TeamsNotUsed!$D17,Database!$A:$A,$O$5)),"")</f>
        <v/>
      </c>
      <c r="P17" s="11" t="str">
        <f>IFERROR(IF(TeamsNotUsed!$D17="","",SUMIFS(Database!Q:Q,Database!N:N,TeamsNotUsed!$D17,Database!$A:$A,$O$5)),"")</f>
        <v/>
      </c>
      <c r="Q17" s="14" t="str">
        <f>IFERROR(IF(TeamsNotUsed!$D17="","",TeamsNotUsed!$O17/TeamsNotUsed!$P17),"-")</f>
        <v/>
      </c>
      <c r="R17" s="11" t="str">
        <f>IFERROR(IF(TeamsNotUsed!$D17="","",SUMIFS(Database!S:S,Database!P:P,TeamsNotUsed!$D17,Database!$A:$A,$O$5)),"")</f>
        <v/>
      </c>
      <c r="S17" s="11" t="str">
        <f>IFERROR(IF(TeamsNotUsed!$D17="","",SUMIFS(Database!T:T,Database!Q:Q,TeamsNotUsed!$D17,Database!$A:$A,$O$5)),"")</f>
        <v/>
      </c>
      <c r="T17" s="14" t="str">
        <f>IFERROR(IF(TeamsNotUsed!$D17="","",TeamsNotUsed!$R17/TeamsNotUsed!$S17),"-")</f>
        <v/>
      </c>
      <c r="U17" s="11" t="str">
        <f>IFERROR(IF(TeamsNotUsed!$D17="","",SUMIFS(Database!V:V,Database!S:S,TeamsNotUsed!$D17,Database!$A:$A,$O$5)),"")</f>
        <v/>
      </c>
      <c r="V17" s="11" t="str">
        <f>IFERROR(IF(TeamsNotUsed!$D17="","",SUMIFS(Database!W:W,Database!T:T,TeamsNotUsed!$D17,Database!$A:$A,$O$5)),"")</f>
        <v/>
      </c>
      <c r="W17" s="46" t="str">
        <f>IFERROR(IF(TeamsNotUsed!$D17="","",TeamsNotUsed!$U17/TeamsNotUsed!$V17),"-")</f>
        <v/>
      </c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</row>
    <row r="18" spans="1:35" ht="15.75" thickBot="1" x14ac:dyDescent="0.3">
      <c r="A18" s="23"/>
      <c r="B18" s="23"/>
      <c r="C18" s="44"/>
      <c r="D18" s="17"/>
      <c r="E18" s="12" t="s">
        <v>157</v>
      </c>
      <c r="F18" s="12" t="str">
        <f>IF(TeamsNotUsed!$D18="","",$C$8)</f>
        <v/>
      </c>
      <c r="G18" s="12" t="str">
        <f>IFERROR(IF(TeamsNotUsed!$D18="","",SUMIFS(Database!H:H,Database!E:E,TeamsNotUsed!$D18,Database!$A:$A,$O$5)),"")</f>
        <v/>
      </c>
      <c r="H18" s="12" t="str">
        <f>IFERROR(IF(TeamsNotUsed!$D18="","",SUMIFS(Database!I:I,Database!F:F,TeamsNotUsed!$D18,Database!$A:$A,$O$5)),"")</f>
        <v/>
      </c>
      <c r="I18" s="12" t="str">
        <f>IFERROR(IF(TeamsNotUsed!$D18="","",SUMIFS(Database!J:J,Database!G:G,TeamsNotUsed!$D18,Database!$A:$A,$O$5)),"")</f>
        <v/>
      </c>
      <c r="J18" s="12" t="str">
        <f>IFERROR(IF(TeamsNotUsed!$D18="","",SUMIFS(Database!K:K,Database!H:H,TeamsNotUsed!$D18,Database!$A:$A,$O$5)),"")</f>
        <v/>
      </c>
      <c r="K18" s="12" t="str">
        <f>IFERROR(IF(TeamsNotUsed!$D18="","",SUMIFS(Database!L:L,Database!I:I,TeamsNotUsed!$D18,Database!$A:$A,$O$5)),"")</f>
        <v/>
      </c>
      <c r="L18" s="12" t="str">
        <f>IFERROR(IF(TeamsNotUsed!$D18="","",SUMIFS(Database!M:M,Database!J:J,TeamsNotUsed!$D18,Database!$A:$A,$O$5)),"")</f>
        <v/>
      </c>
      <c r="M18" s="12" t="str">
        <f>IFERROR(IF(TeamsNotUsed!$D18="","",SUMIFS(Database!N:N,Database!K:K,TeamsNotUsed!$D18,Database!$A:$A,$O$5)),"")</f>
        <v/>
      </c>
      <c r="N18" s="12" t="str">
        <f>IFERROR(IF(TeamsNotUsed!$D18="","",SUMIFS(Database!O:O,Database!L:L,TeamsNotUsed!$D18,Database!$A:$A,$O$5)),"")</f>
        <v/>
      </c>
      <c r="O18" s="12" t="str">
        <f>IFERROR(IF(TeamsNotUsed!$D18="","",SUMIFS(Database!P:P,Database!M:M,TeamsNotUsed!$D18,Database!$A:$A,$O$5)),"")</f>
        <v/>
      </c>
      <c r="P18" s="12" t="str">
        <f>IFERROR(IF(TeamsNotUsed!$D18="","",SUMIFS(Database!Q:Q,Database!N:N,TeamsNotUsed!$D18,Database!$A:$A,$O$5)),"")</f>
        <v/>
      </c>
      <c r="Q18" s="13" t="str">
        <f>IFERROR(IF(TeamsNotUsed!$D18="","",TeamsNotUsed!$O18/TeamsNotUsed!$P18),"-")</f>
        <v/>
      </c>
      <c r="R18" s="12" t="str">
        <f>IFERROR(IF(TeamsNotUsed!$D18="","",SUMIFS(Database!S:S,Database!P:P,TeamsNotUsed!$D18,Database!$A:$A,$O$5)),"")</f>
        <v/>
      </c>
      <c r="S18" s="12" t="str">
        <f>IFERROR(IF(TeamsNotUsed!$D18="","",SUMIFS(Database!T:T,Database!Q:Q,TeamsNotUsed!$D18,Database!$A:$A,$O$5)),"")</f>
        <v/>
      </c>
      <c r="T18" s="13" t="str">
        <f>IFERROR(IF(TeamsNotUsed!$D18="","",TeamsNotUsed!$R18/TeamsNotUsed!$S18),"-")</f>
        <v/>
      </c>
      <c r="U18" s="12" t="str">
        <f>IFERROR(IF(TeamsNotUsed!$D18="","",SUMIFS(Database!V:V,Database!S:S,TeamsNotUsed!$D18,Database!$A:$A,$O$5)),"")</f>
        <v/>
      </c>
      <c r="V18" s="12" t="str">
        <f>IFERROR(IF(TeamsNotUsed!$D18="","",SUMIFS(Database!W:W,Database!T:T,TeamsNotUsed!$D18,Database!$A:$A,$O$5)),"")</f>
        <v/>
      </c>
      <c r="W18" s="45" t="str">
        <f>IFERROR(IF(TeamsNotUsed!$D18="","",TeamsNotUsed!$U18/TeamsNotUsed!$V18),"-")</f>
        <v/>
      </c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</row>
    <row r="19" spans="1:35" ht="16.5" thickTop="1" thickBot="1" x14ac:dyDescent="0.3">
      <c r="A19" s="23"/>
      <c r="B19" s="23"/>
      <c r="C19" s="62"/>
      <c r="D19" s="63" t="s">
        <v>96</v>
      </c>
      <c r="E19" s="51">
        <f>SUBTOTAL(104,TeamsNotUsed!$E$10:$E$18)</f>
        <v>0</v>
      </c>
      <c r="F19" s="51"/>
      <c r="G19" s="51">
        <f>SUBTOTAL(109,TeamsNotUsed!$G$10:$G$18)</f>
        <v>0</v>
      </c>
      <c r="H19" s="51">
        <f>SUBTOTAL(109,TeamsNotUsed!$H$10:$H$18)</f>
        <v>0</v>
      </c>
      <c r="I19" s="51">
        <f>SUBTOTAL(109,TeamsNotUsed!$I$10:$I$18)</f>
        <v>0</v>
      </c>
      <c r="J19" s="51">
        <f>SUBTOTAL(109,TeamsNotUsed!$J$10:$J$18)</f>
        <v>0</v>
      </c>
      <c r="K19" s="51">
        <f>SUBTOTAL(109,TeamsNotUsed!$K$10:$K$18)</f>
        <v>0</v>
      </c>
      <c r="L19" s="51">
        <f>SUBTOTAL(109,TeamsNotUsed!$L$10:$L$18)</f>
        <v>0</v>
      </c>
      <c r="M19" s="51">
        <f>SUBTOTAL(109,TeamsNotUsed!$M$10:$M$18)</f>
        <v>0</v>
      </c>
      <c r="N19" s="51">
        <f>SUBTOTAL(109,TeamsNotUsed!$N$10:$N$18)</f>
        <v>0</v>
      </c>
      <c r="O19" s="51">
        <f>SUBTOTAL(109,TeamsNotUsed!$O$10:$O$18)</f>
        <v>0</v>
      </c>
      <c r="P19" s="51">
        <f>SUBTOTAL(109,TeamsNotUsed!$P$10:$P$18)</f>
        <v>0</v>
      </c>
      <c r="Q19" s="52" t="str">
        <f>IFERROR(TeamsNotUsed!$O$19/TeamsNotUsed!$P$19,"-")</f>
        <v>-</v>
      </c>
      <c r="R19" s="51">
        <f>SUBTOTAL(109,TeamsNotUsed!$R$10:$R$18)</f>
        <v>0</v>
      </c>
      <c r="S19" s="51">
        <f>SUBTOTAL(109,TeamsNotUsed!$S$10:$S$18)</f>
        <v>0</v>
      </c>
      <c r="T19" s="52" t="str">
        <f>IFERROR(TeamsNotUsed!$R$19/TeamsNotUsed!$S$19,"-")</f>
        <v>-</v>
      </c>
      <c r="U19" s="51">
        <f>SUBTOTAL(109,TeamsNotUsed!$U$10:$U$18)</f>
        <v>0</v>
      </c>
      <c r="V19" s="51">
        <f>SUBTOTAL(109,TeamsNotUsed!$V$10:$V$18)</f>
        <v>0</v>
      </c>
      <c r="W19" s="53" t="str">
        <f>IFERROR(TeamsNotUsed!$U$19/TeamsNotUsed!$V$19,"-")</f>
        <v>-</v>
      </c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</row>
    <row r="20" spans="1:35" ht="15.75" thickBot="1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</row>
    <row r="21" spans="1:35" ht="15.75" thickBot="1" x14ac:dyDescent="0.3">
      <c r="A21" s="23"/>
      <c r="B21" s="23"/>
      <c r="C21" s="104" t="s">
        <v>42</v>
      </c>
      <c r="D21" s="70"/>
      <c r="E21" s="70"/>
      <c r="F21" s="70"/>
      <c r="G21" s="70" t="s">
        <v>105</v>
      </c>
      <c r="H21" s="70"/>
      <c r="I21" s="70"/>
      <c r="J21" s="70"/>
      <c r="K21" s="70"/>
      <c r="L21" s="70"/>
      <c r="M21" s="70"/>
      <c r="N21" s="70"/>
      <c r="O21" s="70"/>
      <c r="P21" s="70"/>
      <c r="Q21" s="71"/>
      <c r="R21" s="70"/>
      <c r="S21" s="70"/>
      <c r="T21" s="71"/>
      <c r="U21" s="70"/>
      <c r="V21" s="70"/>
      <c r="W21" s="72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</row>
    <row r="22" spans="1:35" ht="15.75" thickBot="1" x14ac:dyDescent="0.3">
      <c r="A22" s="23"/>
      <c r="B22" s="23"/>
      <c r="C22" s="54" t="s">
        <v>69</v>
      </c>
      <c r="D22" s="55" t="s">
        <v>0</v>
      </c>
      <c r="E22" s="55" t="s">
        <v>71</v>
      </c>
      <c r="F22" s="55" t="s">
        <v>70</v>
      </c>
      <c r="G22" s="55" t="s">
        <v>72</v>
      </c>
      <c r="H22" s="55" t="s">
        <v>73</v>
      </c>
      <c r="I22" s="55" t="s">
        <v>74</v>
      </c>
      <c r="J22" s="55" t="s">
        <v>75</v>
      </c>
      <c r="K22" s="55" t="s">
        <v>76</v>
      </c>
      <c r="L22" s="55" t="s">
        <v>77</v>
      </c>
      <c r="M22" s="55" t="s">
        <v>78</v>
      </c>
      <c r="N22" s="55" t="s">
        <v>79</v>
      </c>
      <c r="O22" s="55" t="s">
        <v>80</v>
      </c>
      <c r="P22" s="55" t="s">
        <v>81</v>
      </c>
      <c r="Q22" s="56" t="s">
        <v>82</v>
      </c>
      <c r="R22" s="55" t="s">
        <v>83</v>
      </c>
      <c r="S22" s="55" t="s">
        <v>84</v>
      </c>
      <c r="T22" s="56" t="s">
        <v>85</v>
      </c>
      <c r="U22" s="55" t="s">
        <v>86</v>
      </c>
      <c r="V22" s="55" t="s">
        <v>87</v>
      </c>
      <c r="W22" s="57" t="s">
        <v>88</v>
      </c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</row>
    <row r="23" spans="1:35" x14ac:dyDescent="0.25">
      <c r="A23" s="23"/>
      <c r="B23" s="23"/>
      <c r="C23" s="58"/>
      <c r="D23" s="68"/>
      <c r="E23" s="59" t="s">
        <v>157</v>
      </c>
      <c r="F23" s="59" t="str">
        <f>IF(TeamsNotUsed!$D23="","",$C$21)</f>
        <v/>
      </c>
      <c r="G23" s="59" t="str">
        <f>IFERROR(IF(TeamsNotUsed!$D23="","",SUMIFS(Database!H:H,Database!E:E,TeamsNotUsed!$D23,Database!$A:$A,$O$5)),"")</f>
        <v/>
      </c>
      <c r="H23" s="59" t="str">
        <f>IFERROR(IF(TeamsNotUsed!$D23="","",SUMIFS(Database!I:I,Database!F:F,TeamsNotUsed!$D23,Database!$A:$A,$O$5)),"")</f>
        <v/>
      </c>
      <c r="I23" s="59" t="str">
        <f>IFERROR(IF(TeamsNotUsed!$D23="","",SUMIFS(Database!J:J,Database!G:G,TeamsNotUsed!$D23,Database!$A:$A,$O$5)),"")</f>
        <v/>
      </c>
      <c r="J23" s="59" t="str">
        <f>IFERROR(IF(TeamsNotUsed!$D23="","",SUMIFS(Database!K:K,Database!H:H,TeamsNotUsed!$D23,Database!$A:$A,$O$5)),"")</f>
        <v/>
      </c>
      <c r="K23" s="59" t="str">
        <f>IFERROR(IF(TeamsNotUsed!$D23="","",SUMIFS(Database!L:L,Database!I:I,TeamsNotUsed!$D23,Database!$A:$A,$O$5)),"")</f>
        <v/>
      </c>
      <c r="L23" s="59" t="str">
        <f>IFERROR(IF(TeamsNotUsed!$D23="","",SUMIFS(Database!M:M,Database!J:J,TeamsNotUsed!$D23,Database!$A:$A,$O$5)),"")</f>
        <v/>
      </c>
      <c r="M23" s="59" t="str">
        <f>IFERROR(IF(TeamsNotUsed!$D23="","",SUMIFS(Database!N:N,Database!K:K,TeamsNotUsed!$D23,Database!$A:$A,$O$5)),"")</f>
        <v/>
      </c>
      <c r="N23" s="59" t="str">
        <f>IFERROR(IF(TeamsNotUsed!$D23="","",SUMIFS(Database!O:O,Database!L:L,TeamsNotUsed!$D23,Database!$A:$A,$O$5)),"")</f>
        <v/>
      </c>
      <c r="O23" s="59" t="str">
        <f>IFERROR(IF(TeamsNotUsed!$D23="","",SUMIFS(Database!P:P,Database!M:M,TeamsNotUsed!$D23,Database!$A:$A,$O$5)),"")</f>
        <v/>
      </c>
      <c r="P23" s="59" t="str">
        <f>IFERROR(IF(TeamsNotUsed!$D23="","",SUMIFS(Database!Q:Q,Database!N:N,TeamsNotUsed!$D23,Database!$A:$A,$O$5)),"")</f>
        <v/>
      </c>
      <c r="Q23" s="60" t="str">
        <f>IFERROR(IF(TeamsNotUsed!$D23="","",TeamsNotUsed!$O23/TeamsNotUsed!$P23),"-")</f>
        <v/>
      </c>
      <c r="R23" s="59" t="str">
        <f>IFERROR(IF(TeamsNotUsed!$D23="","",SUMIFS(Database!S:S,Database!P:P,TeamsNotUsed!$D23,Database!$A:$A,$O$5)),"")</f>
        <v/>
      </c>
      <c r="S23" s="59" t="str">
        <f>IFERROR(IF(TeamsNotUsed!$D23="","",SUMIFS(Database!T:T,Database!Q:Q,TeamsNotUsed!$D23,Database!$A:$A,$O$5)),"")</f>
        <v/>
      </c>
      <c r="T23" s="60" t="str">
        <f>IFERROR(IF(TeamsNotUsed!$D23="","",TeamsNotUsed!$R23/TeamsNotUsed!$S23),"-")</f>
        <v/>
      </c>
      <c r="U23" s="59" t="str">
        <f>IFERROR(IF(TeamsNotUsed!$D23="","",SUMIFS(Database!V:V,Database!S:S,TeamsNotUsed!$D23,Database!$A:$A,$O$5)),"")</f>
        <v/>
      </c>
      <c r="V23" s="59" t="str">
        <f>IFERROR(IF(TeamsNotUsed!$D23="","",SUMIFS(Database!W:W,Database!T:T,TeamsNotUsed!$D23,Database!$A:$A,$O$5)),"")</f>
        <v/>
      </c>
      <c r="W23" s="61" t="str">
        <f>IFERROR(IF(TeamsNotUsed!$D23="","",TeamsNotUsed!$U23/TeamsNotUsed!$V23),"-")</f>
        <v/>
      </c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</row>
    <row r="24" spans="1:35" x14ac:dyDescent="0.25">
      <c r="A24" s="23"/>
      <c r="B24" s="23"/>
      <c r="C24" s="43"/>
      <c r="D24" s="17"/>
      <c r="E24" s="11" t="s">
        <v>157</v>
      </c>
      <c r="F24" s="11" t="str">
        <f>IF(TeamsNotUsed!$D24="","",$C$21)</f>
        <v/>
      </c>
      <c r="G24" s="11" t="str">
        <f>IFERROR(IF(TeamsNotUsed!$D24="","",SUMIFS(Database!H:H,Database!E:E,TeamsNotUsed!$D24,Database!$A:$A,$O$5)),"")</f>
        <v/>
      </c>
      <c r="H24" s="11" t="str">
        <f>IFERROR(IF(TeamsNotUsed!$D24="","",SUMIFS(Database!I:I,Database!F:F,TeamsNotUsed!$D24,Database!$A:$A,$O$5)),"")</f>
        <v/>
      </c>
      <c r="I24" s="11" t="str">
        <f>IFERROR(IF(TeamsNotUsed!$D24="","",SUMIFS(Database!J:J,Database!G:G,TeamsNotUsed!$D24,Database!$A:$A,$O$5)),"")</f>
        <v/>
      </c>
      <c r="J24" s="11" t="str">
        <f>IFERROR(IF(TeamsNotUsed!$D24="","",SUMIFS(Database!K:K,Database!H:H,TeamsNotUsed!$D24,Database!$A:$A,$O$5)),"")</f>
        <v/>
      </c>
      <c r="K24" s="11" t="str">
        <f>IFERROR(IF(TeamsNotUsed!$D24="","",SUMIFS(Database!L:L,Database!I:I,TeamsNotUsed!$D24,Database!$A:$A,$O$5)),"")</f>
        <v/>
      </c>
      <c r="L24" s="11" t="str">
        <f>IFERROR(IF(TeamsNotUsed!$D24="","",SUMIFS(Database!M:M,Database!J:J,TeamsNotUsed!$D24,Database!$A:$A,$O$5)),"")</f>
        <v/>
      </c>
      <c r="M24" s="11" t="str">
        <f>IFERROR(IF(TeamsNotUsed!$D24="","",SUMIFS(Database!N:N,Database!K:K,TeamsNotUsed!$D24,Database!$A:$A,$O$5)),"")</f>
        <v/>
      </c>
      <c r="N24" s="11" t="str">
        <f>IFERROR(IF(TeamsNotUsed!$D24="","",SUMIFS(Database!O:O,Database!L:L,TeamsNotUsed!$D24,Database!$A:$A,$O$5)),"")</f>
        <v/>
      </c>
      <c r="O24" s="11" t="str">
        <f>IFERROR(IF(TeamsNotUsed!$D24="","",SUMIFS(Database!P:P,Database!M:M,TeamsNotUsed!$D24,Database!$A:$A,$O$5)),"")</f>
        <v/>
      </c>
      <c r="P24" s="11" t="str">
        <f>IFERROR(IF(TeamsNotUsed!$D24="","",SUMIFS(Database!Q:Q,Database!N:N,TeamsNotUsed!$D24,Database!$A:$A,$O$5)),"")</f>
        <v/>
      </c>
      <c r="Q24" s="14" t="str">
        <f>IFERROR(IF(TeamsNotUsed!$D24="","",TeamsNotUsed!$O24/TeamsNotUsed!$P24),"-")</f>
        <v/>
      </c>
      <c r="R24" s="11" t="str">
        <f>IFERROR(IF(TeamsNotUsed!$D24="","",SUMIFS(Database!S:S,Database!P:P,TeamsNotUsed!$D24,Database!$A:$A,$O$5)),"")</f>
        <v/>
      </c>
      <c r="S24" s="11" t="str">
        <f>IFERROR(IF(TeamsNotUsed!$D24="","",SUMIFS(Database!T:T,Database!Q:Q,TeamsNotUsed!$D24,Database!$A:$A,$O$5)),"")</f>
        <v/>
      </c>
      <c r="T24" s="14" t="str">
        <f>IFERROR(IF(TeamsNotUsed!$D24="","",TeamsNotUsed!$R24/TeamsNotUsed!$S24),"-")</f>
        <v/>
      </c>
      <c r="U24" s="11" t="str">
        <f>IFERROR(IF(TeamsNotUsed!$D24="","",SUMIFS(Database!V:V,Database!S:S,TeamsNotUsed!$D24,Database!$A:$A,$O$5)),"")</f>
        <v/>
      </c>
      <c r="V24" s="11" t="str">
        <f>IFERROR(IF(TeamsNotUsed!$D24="","",SUMIFS(Database!W:W,Database!T:T,TeamsNotUsed!$D24,Database!$A:$A,$O$5)),"")</f>
        <v/>
      </c>
      <c r="W24" s="46" t="str">
        <f>IFERROR(IF(TeamsNotUsed!$D24="","",TeamsNotUsed!$U24/TeamsNotUsed!$V24),"-")</f>
        <v/>
      </c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35" x14ac:dyDescent="0.25">
      <c r="A25" s="23"/>
      <c r="B25" s="23"/>
      <c r="C25" s="44"/>
      <c r="D25" s="17"/>
      <c r="E25" s="12" t="s">
        <v>157</v>
      </c>
      <c r="F25" s="12" t="str">
        <f>IF(TeamsNotUsed!$D25="","",$C$21)</f>
        <v/>
      </c>
      <c r="G25" s="12" t="str">
        <f>IFERROR(IF(TeamsNotUsed!$D25="","",SUMIFS(Database!H:H,Database!E:E,TeamsNotUsed!$D25,Database!$A:$A,$O$5)),"")</f>
        <v/>
      </c>
      <c r="H25" s="12" t="str">
        <f>IFERROR(IF(TeamsNotUsed!$D25="","",SUMIFS(Database!I:I,Database!F:F,TeamsNotUsed!$D25,Database!$A:$A,$O$5)),"")</f>
        <v/>
      </c>
      <c r="I25" s="12" t="str">
        <f>IFERROR(IF(TeamsNotUsed!$D25="","",SUMIFS(Database!J:J,Database!G:G,TeamsNotUsed!$D25,Database!$A:$A,$O$5)),"")</f>
        <v/>
      </c>
      <c r="J25" s="12" t="str">
        <f>IFERROR(IF(TeamsNotUsed!$D25="","",SUMIFS(Database!K:K,Database!H:H,TeamsNotUsed!$D25,Database!$A:$A,$O$5)),"")</f>
        <v/>
      </c>
      <c r="K25" s="12" t="str">
        <f>IFERROR(IF(TeamsNotUsed!$D25="","",SUMIFS(Database!L:L,Database!I:I,TeamsNotUsed!$D25,Database!$A:$A,$O$5)),"")</f>
        <v/>
      </c>
      <c r="L25" s="12" t="str">
        <f>IFERROR(IF(TeamsNotUsed!$D25="","",SUMIFS(Database!M:M,Database!J:J,TeamsNotUsed!$D25,Database!$A:$A,$O$5)),"")</f>
        <v/>
      </c>
      <c r="M25" s="12" t="str">
        <f>IFERROR(IF(TeamsNotUsed!$D25="","",SUMIFS(Database!N:N,Database!K:K,TeamsNotUsed!$D25,Database!$A:$A,$O$5)),"")</f>
        <v/>
      </c>
      <c r="N25" s="12" t="str">
        <f>IFERROR(IF(TeamsNotUsed!$D25="","",SUMIFS(Database!O:O,Database!L:L,TeamsNotUsed!$D25,Database!$A:$A,$O$5)),"")</f>
        <v/>
      </c>
      <c r="O25" s="12" t="str">
        <f>IFERROR(IF(TeamsNotUsed!$D25="","",SUMIFS(Database!P:P,Database!M:M,TeamsNotUsed!$D25,Database!$A:$A,$O$5)),"")</f>
        <v/>
      </c>
      <c r="P25" s="12" t="str">
        <f>IFERROR(IF(TeamsNotUsed!$D25="","",SUMIFS(Database!Q:Q,Database!N:N,TeamsNotUsed!$D25,Database!$A:$A,$O$5)),"")</f>
        <v/>
      </c>
      <c r="Q25" s="13" t="str">
        <f>IFERROR(IF(TeamsNotUsed!$D25="","",TeamsNotUsed!$O25/TeamsNotUsed!$P25),"-")</f>
        <v/>
      </c>
      <c r="R25" s="12" t="str">
        <f>IFERROR(IF(TeamsNotUsed!$D25="","",SUMIFS(Database!S:S,Database!P:P,TeamsNotUsed!$D25,Database!$A:$A,$O$5)),"")</f>
        <v/>
      </c>
      <c r="S25" s="12" t="str">
        <f>IFERROR(IF(TeamsNotUsed!$D25="","",SUMIFS(Database!T:T,Database!Q:Q,TeamsNotUsed!$D25,Database!$A:$A,$O$5)),"")</f>
        <v/>
      </c>
      <c r="T25" s="13" t="str">
        <f>IFERROR(IF(TeamsNotUsed!$D25="","",TeamsNotUsed!$R25/TeamsNotUsed!$S25),"-")</f>
        <v/>
      </c>
      <c r="U25" s="12" t="str">
        <f>IFERROR(IF(TeamsNotUsed!$D25="","",SUMIFS(Database!V:V,Database!S:S,TeamsNotUsed!$D25,Database!$A:$A,$O$5)),"")</f>
        <v/>
      </c>
      <c r="V25" s="12" t="str">
        <f>IFERROR(IF(TeamsNotUsed!$D25="","",SUMIFS(Database!W:W,Database!T:T,TeamsNotUsed!$D25,Database!$A:$A,$O$5)),"")</f>
        <v/>
      </c>
      <c r="W25" s="45" t="str">
        <f>IFERROR(IF(TeamsNotUsed!$D25="","",TeamsNotUsed!$U25/TeamsNotUsed!$V25),"-")</f>
        <v/>
      </c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35" x14ac:dyDescent="0.25">
      <c r="A26" s="23"/>
      <c r="B26" s="23"/>
      <c r="C26" s="43"/>
      <c r="D26" s="17"/>
      <c r="E26" s="11" t="s">
        <v>157</v>
      </c>
      <c r="F26" s="11" t="str">
        <f>IF(TeamsNotUsed!$D26="","",$C$21)</f>
        <v/>
      </c>
      <c r="G26" s="11" t="str">
        <f>IFERROR(IF(TeamsNotUsed!$D26="","",SUMIFS(Database!H:H,Database!E:E,TeamsNotUsed!$D26,Database!$A:$A,$O$5)),"")</f>
        <v/>
      </c>
      <c r="H26" s="11" t="str">
        <f>IFERROR(IF(TeamsNotUsed!$D26="","",SUMIFS(Database!I:I,Database!F:F,TeamsNotUsed!$D26,Database!$A:$A,$O$5)),"")</f>
        <v/>
      </c>
      <c r="I26" s="11" t="str">
        <f>IFERROR(IF(TeamsNotUsed!$D26="","",SUMIFS(Database!J:J,Database!G:G,TeamsNotUsed!$D26,Database!$A:$A,$O$5)),"")</f>
        <v/>
      </c>
      <c r="J26" s="11" t="str">
        <f>IFERROR(IF(TeamsNotUsed!$D26="","",SUMIFS(Database!K:K,Database!H:H,TeamsNotUsed!$D26,Database!$A:$A,$O$5)),"")</f>
        <v/>
      </c>
      <c r="K26" s="11" t="str">
        <f>IFERROR(IF(TeamsNotUsed!$D26="","",SUMIFS(Database!L:L,Database!I:I,TeamsNotUsed!$D26,Database!$A:$A,$O$5)),"")</f>
        <v/>
      </c>
      <c r="L26" s="11" t="str">
        <f>IFERROR(IF(TeamsNotUsed!$D26="","",SUMIFS(Database!M:M,Database!J:J,TeamsNotUsed!$D26,Database!$A:$A,$O$5)),"")</f>
        <v/>
      </c>
      <c r="M26" s="11" t="str">
        <f>IFERROR(IF(TeamsNotUsed!$D26="","",SUMIFS(Database!N:N,Database!K:K,TeamsNotUsed!$D26,Database!$A:$A,$O$5)),"")</f>
        <v/>
      </c>
      <c r="N26" s="11" t="str">
        <f>IFERROR(IF(TeamsNotUsed!$D26="","",SUMIFS(Database!O:O,Database!L:L,TeamsNotUsed!$D26,Database!$A:$A,$O$5)),"")</f>
        <v/>
      </c>
      <c r="O26" s="11" t="str">
        <f>IFERROR(IF(TeamsNotUsed!$D26="","",SUMIFS(Database!P:P,Database!M:M,TeamsNotUsed!$D26,Database!$A:$A,$O$5)),"")</f>
        <v/>
      </c>
      <c r="P26" s="11" t="str">
        <f>IFERROR(IF(TeamsNotUsed!$D26="","",SUMIFS(Database!Q:Q,Database!N:N,TeamsNotUsed!$D26,Database!$A:$A,$O$5)),"")</f>
        <v/>
      </c>
      <c r="Q26" s="14" t="str">
        <f>IFERROR(IF(TeamsNotUsed!$D26="","",TeamsNotUsed!$O26/TeamsNotUsed!$P26),"-")</f>
        <v/>
      </c>
      <c r="R26" s="11" t="str">
        <f>IFERROR(IF(TeamsNotUsed!$D26="","",SUMIFS(Database!S:S,Database!P:P,TeamsNotUsed!$D26,Database!$A:$A,$O$5)),"")</f>
        <v/>
      </c>
      <c r="S26" s="11" t="str">
        <f>IFERROR(IF(TeamsNotUsed!$D26="","",SUMIFS(Database!T:T,Database!Q:Q,TeamsNotUsed!$D26,Database!$A:$A,$O$5)),"")</f>
        <v/>
      </c>
      <c r="T26" s="14" t="str">
        <f>IFERROR(IF(TeamsNotUsed!$D26="","",TeamsNotUsed!$R26/TeamsNotUsed!$S26),"-")</f>
        <v/>
      </c>
      <c r="U26" s="11" t="str">
        <f>IFERROR(IF(TeamsNotUsed!$D26="","",SUMIFS(Database!V:V,Database!S:S,TeamsNotUsed!$D26,Database!$A:$A,$O$5)),"")</f>
        <v/>
      </c>
      <c r="V26" s="11" t="str">
        <f>IFERROR(IF(TeamsNotUsed!$D26="","",SUMIFS(Database!W:W,Database!T:T,TeamsNotUsed!$D26,Database!$A:$A,$O$5)),"")</f>
        <v/>
      </c>
      <c r="W26" s="46" t="str">
        <f>IFERROR(IF(TeamsNotUsed!$D26="","",TeamsNotUsed!$U26/TeamsNotUsed!$V26),"-")</f>
        <v/>
      </c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</row>
    <row r="27" spans="1:35" x14ac:dyDescent="0.25">
      <c r="A27" s="23"/>
      <c r="B27" s="23"/>
      <c r="C27" s="44"/>
      <c r="D27" s="69"/>
      <c r="E27" s="12" t="s">
        <v>157</v>
      </c>
      <c r="F27" s="12" t="str">
        <f>IF(TeamsNotUsed!$D27="","",$C$21)</f>
        <v/>
      </c>
      <c r="G27" s="12" t="str">
        <f>IFERROR(IF(TeamsNotUsed!$D27="","",SUMIFS(Database!H:H,Database!E:E,TeamsNotUsed!$D27,Database!$A:$A,$O$5)),"")</f>
        <v/>
      </c>
      <c r="H27" s="12" t="str">
        <f>IFERROR(IF(TeamsNotUsed!$D27="","",SUMIFS(Database!I:I,Database!F:F,TeamsNotUsed!$D27,Database!$A:$A,$O$5)),"")</f>
        <v/>
      </c>
      <c r="I27" s="12" t="str">
        <f>IFERROR(IF(TeamsNotUsed!$D27="","",SUMIFS(Database!J:J,Database!G:G,TeamsNotUsed!$D27,Database!$A:$A,$O$5)),"")</f>
        <v/>
      </c>
      <c r="J27" s="12" t="str">
        <f>IFERROR(IF(TeamsNotUsed!$D27="","",SUMIFS(Database!K:K,Database!H:H,TeamsNotUsed!$D27,Database!$A:$A,$O$5)),"")</f>
        <v/>
      </c>
      <c r="K27" s="12" t="str">
        <f>IFERROR(IF(TeamsNotUsed!$D27="","",SUMIFS(Database!L:L,Database!I:I,TeamsNotUsed!$D27,Database!$A:$A,$O$5)),"")</f>
        <v/>
      </c>
      <c r="L27" s="12" t="str">
        <f>IFERROR(IF(TeamsNotUsed!$D27="","",SUMIFS(Database!M:M,Database!J:J,TeamsNotUsed!$D27,Database!$A:$A,$O$5)),"")</f>
        <v/>
      </c>
      <c r="M27" s="12" t="str">
        <f>IFERROR(IF(TeamsNotUsed!$D27="","",SUMIFS(Database!N:N,Database!K:K,TeamsNotUsed!$D27,Database!$A:$A,$O$5)),"")</f>
        <v/>
      </c>
      <c r="N27" s="12" t="str">
        <f>IFERROR(IF(TeamsNotUsed!$D27="","",SUMIFS(Database!O:O,Database!L:L,TeamsNotUsed!$D27,Database!$A:$A,$O$5)),"")</f>
        <v/>
      </c>
      <c r="O27" s="12" t="str">
        <f>IFERROR(IF(TeamsNotUsed!$D27="","",SUMIFS(Database!P:P,Database!M:M,TeamsNotUsed!$D27,Database!$A:$A,$O$5)),"")</f>
        <v/>
      </c>
      <c r="P27" s="12" t="str">
        <f>IFERROR(IF(TeamsNotUsed!$D27="","",SUMIFS(Database!Q:Q,Database!N:N,TeamsNotUsed!$D27,Database!$A:$A,$O$5)),"")</f>
        <v/>
      </c>
      <c r="Q27" s="13" t="str">
        <f>IFERROR(IF(TeamsNotUsed!$D27="","",TeamsNotUsed!$O27/TeamsNotUsed!$P27),"-")</f>
        <v/>
      </c>
      <c r="R27" s="12" t="str">
        <f>IFERROR(IF(TeamsNotUsed!$D27="","",SUMIFS(Database!S:S,Database!P:P,TeamsNotUsed!$D27,Database!$A:$A,$O$5)),"")</f>
        <v/>
      </c>
      <c r="S27" s="12" t="str">
        <f>IFERROR(IF(TeamsNotUsed!$D27="","",SUMIFS(Database!T:T,Database!Q:Q,TeamsNotUsed!$D27,Database!$A:$A,$O$5)),"")</f>
        <v/>
      </c>
      <c r="T27" s="13" t="str">
        <f>IFERROR(IF(TeamsNotUsed!$D27="","",TeamsNotUsed!$R27/TeamsNotUsed!$S27),"-")</f>
        <v/>
      </c>
      <c r="U27" s="12" t="str">
        <f>IFERROR(IF(TeamsNotUsed!$D27="","",SUMIFS(Database!V:V,Database!S:S,TeamsNotUsed!$D27,Database!$A:$A,$O$5)),"")</f>
        <v/>
      </c>
      <c r="V27" s="12" t="str">
        <f>IFERROR(IF(TeamsNotUsed!$D27="","",SUMIFS(Database!W:W,Database!T:T,TeamsNotUsed!$D27,Database!$A:$A,$O$5)),"")</f>
        <v/>
      </c>
      <c r="W27" s="45" t="str">
        <f>IFERROR(IF(TeamsNotUsed!$D27="","",TeamsNotUsed!$U27/TeamsNotUsed!$V27),"-")</f>
        <v/>
      </c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</row>
    <row r="28" spans="1:35" x14ac:dyDescent="0.25">
      <c r="A28" s="23"/>
      <c r="B28" s="23"/>
      <c r="C28" s="43"/>
      <c r="D28" s="17"/>
      <c r="E28" s="11" t="s">
        <v>157</v>
      </c>
      <c r="F28" s="11" t="str">
        <f>IF(TeamsNotUsed!$D28="","",$C$21)</f>
        <v/>
      </c>
      <c r="G28" s="11" t="str">
        <f>IFERROR(IF(TeamsNotUsed!$D28="","",SUMIFS(Database!H:H,Database!E:E,TeamsNotUsed!$D28,Database!$A:$A,$O$5)),"")</f>
        <v/>
      </c>
      <c r="H28" s="11" t="str">
        <f>IFERROR(IF(TeamsNotUsed!$D28="","",SUMIFS(Database!I:I,Database!F:F,TeamsNotUsed!$D28,Database!$A:$A,$O$5)),"")</f>
        <v/>
      </c>
      <c r="I28" s="11" t="str">
        <f>IFERROR(IF(TeamsNotUsed!$D28="","",SUMIFS(Database!J:J,Database!G:G,TeamsNotUsed!$D28,Database!$A:$A,$O$5)),"")</f>
        <v/>
      </c>
      <c r="J28" s="11" t="str">
        <f>IFERROR(IF(TeamsNotUsed!$D28="","",SUMIFS(Database!K:K,Database!H:H,TeamsNotUsed!$D28,Database!$A:$A,$O$5)),"")</f>
        <v/>
      </c>
      <c r="K28" s="11" t="str">
        <f>IFERROR(IF(TeamsNotUsed!$D28="","",SUMIFS(Database!L:L,Database!I:I,TeamsNotUsed!$D28,Database!$A:$A,$O$5)),"")</f>
        <v/>
      </c>
      <c r="L28" s="11" t="str">
        <f>IFERROR(IF(TeamsNotUsed!$D28="","",SUMIFS(Database!M:M,Database!J:J,TeamsNotUsed!$D28,Database!$A:$A,$O$5)),"")</f>
        <v/>
      </c>
      <c r="M28" s="11" t="str">
        <f>IFERROR(IF(TeamsNotUsed!$D28="","",SUMIFS(Database!N:N,Database!K:K,TeamsNotUsed!$D28,Database!$A:$A,$O$5)),"")</f>
        <v/>
      </c>
      <c r="N28" s="11" t="str">
        <f>IFERROR(IF(TeamsNotUsed!$D28="","",SUMIFS(Database!O:O,Database!L:L,TeamsNotUsed!$D28,Database!$A:$A,$O$5)),"")</f>
        <v/>
      </c>
      <c r="O28" s="11" t="str">
        <f>IFERROR(IF(TeamsNotUsed!$D28="","",SUMIFS(Database!P:P,Database!M:M,TeamsNotUsed!$D28,Database!$A:$A,$O$5)),"")</f>
        <v/>
      </c>
      <c r="P28" s="11" t="str">
        <f>IFERROR(IF(TeamsNotUsed!$D28="","",SUMIFS(Database!Q:Q,Database!N:N,TeamsNotUsed!$D28,Database!$A:$A,$O$5)),"")</f>
        <v/>
      </c>
      <c r="Q28" s="14" t="str">
        <f>IFERROR(IF(TeamsNotUsed!$D28="","",TeamsNotUsed!$O28/TeamsNotUsed!$P28),"-")</f>
        <v/>
      </c>
      <c r="R28" s="11" t="str">
        <f>IFERROR(IF(TeamsNotUsed!$D28="","",SUMIFS(Database!S:S,Database!P:P,TeamsNotUsed!$D28,Database!$A:$A,$O$5)),"")</f>
        <v/>
      </c>
      <c r="S28" s="11" t="str">
        <f>IFERROR(IF(TeamsNotUsed!$D28="","",SUMIFS(Database!T:T,Database!Q:Q,TeamsNotUsed!$D28,Database!$A:$A,$O$5)),"")</f>
        <v/>
      </c>
      <c r="T28" s="14" t="str">
        <f>IFERROR(IF(TeamsNotUsed!$D28="","",TeamsNotUsed!$R28/TeamsNotUsed!$S28),"-")</f>
        <v/>
      </c>
      <c r="U28" s="11" t="str">
        <f>IFERROR(IF(TeamsNotUsed!$D28="","",SUMIFS(Database!V:V,Database!S:S,TeamsNotUsed!$D28,Database!$A:$A,$O$5)),"")</f>
        <v/>
      </c>
      <c r="V28" s="11" t="str">
        <f>IFERROR(IF(TeamsNotUsed!$D28="","",SUMIFS(Database!W:W,Database!T:T,TeamsNotUsed!$D28,Database!$A:$A,$O$5)),"")</f>
        <v/>
      </c>
      <c r="W28" s="46" t="str">
        <f>IFERROR(IF(TeamsNotUsed!$D28="","",TeamsNotUsed!$U28/TeamsNotUsed!$V28),"-")</f>
        <v/>
      </c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</row>
    <row r="29" spans="1:35" x14ac:dyDescent="0.25">
      <c r="A29" s="23"/>
      <c r="B29" s="23"/>
      <c r="C29" s="44"/>
      <c r="D29" s="17"/>
      <c r="E29" s="12" t="s">
        <v>157</v>
      </c>
      <c r="F29" s="12" t="str">
        <f>IF(TeamsNotUsed!$D29="","",$C$21)</f>
        <v/>
      </c>
      <c r="G29" s="12" t="str">
        <f>IFERROR(IF(TeamsNotUsed!$D29="","",SUMIFS(Database!H:H,Database!E:E,TeamsNotUsed!$D29,Database!$A:$A,$O$5)),"")</f>
        <v/>
      </c>
      <c r="H29" s="12" t="str">
        <f>IFERROR(IF(TeamsNotUsed!$D29="","",SUMIFS(Database!I:I,Database!F:F,TeamsNotUsed!$D29,Database!$A:$A,$O$5)),"")</f>
        <v/>
      </c>
      <c r="I29" s="12" t="str">
        <f>IFERROR(IF(TeamsNotUsed!$D29="","",SUMIFS(Database!J:J,Database!G:G,TeamsNotUsed!$D29,Database!$A:$A,$O$5)),"")</f>
        <v/>
      </c>
      <c r="J29" s="12" t="str">
        <f>IFERROR(IF(TeamsNotUsed!$D29="","",SUMIFS(Database!K:K,Database!H:H,TeamsNotUsed!$D29,Database!$A:$A,$O$5)),"")</f>
        <v/>
      </c>
      <c r="K29" s="12" t="str">
        <f>IFERROR(IF(TeamsNotUsed!$D29="","",SUMIFS(Database!L:L,Database!I:I,TeamsNotUsed!$D29,Database!$A:$A,$O$5)),"")</f>
        <v/>
      </c>
      <c r="L29" s="12" t="str">
        <f>IFERROR(IF(TeamsNotUsed!$D29="","",SUMIFS(Database!M:M,Database!J:J,TeamsNotUsed!$D29,Database!$A:$A,$O$5)),"")</f>
        <v/>
      </c>
      <c r="M29" s="12" t="str">
        <f>IFERROR(IF(TeamsNotUsed!$D29="","",SUMIFS(Database!N:N,Database!K:K,TeamsNotUsed!$D29,Database!$A:$A,$O$5)),"")</f>
        <v/>
      </c>
      <c r="N29" s="12" t="str">
        <f>IFERROR(IF(TeamsNotUsed!$D29="","",SUMIFS(Database!O:O,Database!L:L,TeamsNotUsed!$D29,Database!$A:$A,$O$5)),"")</f>
        <v/>
      </c>
      <c r="O29" s="12" t="str">
        <f>IFERROR(IF(TeamsNotUsed!$D29="","",SUMIFS(Database!P:P,Database!M:M,TeamsNotUsed!$D29,Database!$A:$A,$O$5)),"")</f>
        <v/>
      </c>
      <c r="P29" s="12" t="str">
        <f>IFERROR(IF(TeamsNotUsed!$D29="","",SUMIFS(Database!Q:Q,Database!N:N,TeamsNotUsed!$D29,Database!$A:$A,$O$5)),"")</f>
        <v/>
      </c>
      <c r="Q29" s="13" t="str">
        <f>IFERROR(IF(TeamsNotUsed!$D29="","",TeamsNotUsed!$O29/TeamsNotUsed!$P29),"-")</f>
        <v/>
      </c>
      <c r="R29" s="12" t="str">
        <f>IFERROR(IF(TeamsNotUsed!$D29="","",SUMIFS(Database!S:S,Database!P:P,TeamsNotUsed!$D29,Database!$A:$A,$O$5)),"")</f>
        <v/>
      </c>
      <c r="S29" s="12" t="str">
        <f>IFERROR(IF(TeamsNotUsed!$D29="","",SUMIFS(Database!T:T,Database!Q:Q,TeamsNotUsed!$D29,Database!$A:$A,$O$5)),"")</f>
        <v/>
      </c>
      <c r="T29" s="13" t="str">
        <f>IFERROR(IF(TeamsNotUsed!$D29="","",TeamsNotUsed!$R29/TeamsNotUsed!$S29),"-")</f>
        <v/>
      </c>
      <c r="U29" s="12" t="str">
        <f>IFERROR(IF(TeamsNotUsed!$D29="","",SUMIFS(Database!V:V,Database!S:S,TeamsNotUsed!$D29,Database!$A:$A,$O$5)),"")</f>
        <v/>
      </c>
      <c r="V29" s="12" t="str">
        <f>IFERROR(IF(TeamsNotUsed!$D29="","",SUMIFS(Database!W:W,Database!T:T,TeamsNotUsed!$D29,Database!$A:$A,$O$5)),"")</f>
        <v/>
      </c>
      <c r="W29" s="45" t="str">
        <f>IFERROR(IF(TeamsNotUsed!$D29="","",TeamsNotUsed!$U29/TeamsNotUsed!$V29),"-")</f>
        <v/>
      </c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</row>
    <row r="30" spans="1:35" x14ac:dyDescent="0.25">
      <c r="A30" s="23"/>
      <c r="B30" s="23"/>
      <c r="C30" s="43"/>
      <c r="D30" s="17"/>
      <c r="E30" s="11" t="s">
        <v>157</v>
      </c>
      <c r="F30" s="11" t="str">
        <f>IF(TeamsNotUsed!$D30="","",$C$21)</f>
        <v/>
      </c>
      <c r="G30" s="11" t="str">
        <f>IFERROR(IF(TeamsNotUsed!$D30="","",SUMIFS(Database!H:H,Database!E:E,TeamsNotUsed!$D30,Database!$A:$A,$O$5)),"")</f>
        <v/>
      </c>
      <c r="H30" s="11" t="str">
        <f>IFERROR(IF(TeamsNotUsed!$D30="","",SUMIFS(Database!I:I,Database!F:F,TeamsNotUsed!$D30,Database!$A:$A,$O$5)),"")</f>
        <v/>
      </c>
      <c r="I30" s="11" t="str">
        <f>IFERROR(IF(TeamsNotUsed!$D30="","",SUMIFS(Database!J:J,Database!G:G,TeamsNotUsed!$D30,Database!$A:$A,$O$5)),"")</f>
        <v/>
      </c>
      <c r="J30" s="11" t="str">
        <f>IFERROR(IF(TeamsNotUsed!$D30="","",SUMIFS(Database!K:K,Database!H:H,TeamsNotUsed!$D30,Database!$A:$A,$O$5)),"")</f>
        <v/>
      </c>
      <c r="K30" s="11" t="str">
        <f>IFERROR(IF(TeamsNotUsed!$D30="","",SUMIFS(Database!L:L,Database!I:I,TeamsNotUsed!$D30,Database!$A:$A,$O$5)),"")</f>
        <v/>
      </c>
      <c r="L30" s="11" t="str">
        <f>IFERROR(IF(TeamsNotUsed!$D30="","",SUMIFS(Database!M:M,Database!J:J,TeamsNotUsed!$D30,Database!$A:$A,$O$5)),"")</f>
        <v/>
      </c>
      <c r="M30" s="11" t="str">
        <f>IFERROR(IF(TeamsNotUsed!$D30="","",SUMIFS(Database!N:N,Database!K:K,TeamsNotUsed!$D30,Database!$A:$A,$O$5)),"")</f>
        <v/>
      </c>
      <c r="N30" s="11" t="str">
        <f>IFERROR(IF(TeamsNotUsed!$D30="","",SUMIFS(Database!O:O,Database!L:L,TeamsNotUsed!$D30,Database!$A:$A,$O$5)),"")</f>
        <v/>
      </c>
      <c r="O30" s="11" t="str">
        <f>IFERROR(IF(TeamsNotUsed!$D30="","",SUMIFS(Database!P:P,Database!M:M,TeamsNotUsed!$D30,Database!$A:$A,$O$5)),"")</f>
        <v/>
      </c>
      <c r="P30" s="11" t="str">
        <f>IFERROR(IF(TeamsNotUsed!$D30="","",SUMIFS(Database!Q:Q,Database!N:N,TeamsNotUsed!$D30,Database!$A:$A,$O$5)),"")</f>
        <v/>
      </c>
      <c r="Q30" s="14" t="str">
        <f>IFERROR(IF(TeamsNotUsed!$D30="","",TeamsNotUsed!$O30/TeamsNotUsed!$P30),"-")</f>
        <v/>
      </c>
      <c r="R30" s="11" t="str">
        <f>IFERROR(IF(TeamsNotUsed!$D30="","",SUMIFS(Database!S:S,Database!P:P,TeamsNotUsed!$D30,Database!$A:$A,$O$5)),"")</f>
        <v/>
      </c>
      <c r="S30" s="11" t="str">
        <f>IFERROR(IF(TeamsNotUsed!$D30="","",SUMIFS(Database!T:T,Database!Q:Q,TeamsNotUsed!$D30,Database!$A:$A,$O$5)),"")</f>
        <v/>
      </c>
      <c r="T30" s="14" t="str">
        <f>IFERROR(IF(TeamsNotUsed!$D30="","",TeamsNotUsed!$R30/TeamsNotUsed!$S30),"-")</f>
        <v/>
      </c>
      <c r="U30" s="11" t="str">
        <f>IFERROR(IF(TeamsNotUsed!$D30="","",SUMIFS(Database!V:V,Database!S:S,TeamsNotUsed!$D30,Database!$A:$A,$O$5)),"")</f>
        <v/>
      </c>
      <c r="V30" s="11" t="str">
        <f>IFERROR(IF(TeamsNotUsed!$D30="","",SUMIFS(Database!W:W,Database!T:T,TeamsNotUsed!$D30,Database!$A:$A,$O$5)),"")</f>
        <v/>
      </c>
      <c r="W30" s="46" t="str">
        <f>IFERROR(IF(TeamsNotUsed!$D30="","",TeamsNotUsed!$U30/TeamsNotUsed!$V30),"-")</f>
        <v/>
      </c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</row>
    <row r="31" spans="1:35" ht="15.75" thickBot="1" x14ac:dyDescent="0.3">
      <c r="A31" s="23"/>
      <c r="B31" s="23"/>
      <c r="C31" s="44"/>
      <c r="D31" s="17"/>
      <c r="E31" s="12" t="s">
        <v>157</v>
      </c>
      <c r="F31" s="12" t="str">
        <f>IF(TeamsNotUsed!$D31="","",$C$21)</f>
        <v/>
      </c>
      <c r="G31" s="12" t="str">
        <f>IFERROR(IF(TeamsNotUsed!$D31="","",SUMIFS(Database!H:H,Database!E:E,TeamsNotUsed!$D31,Database!$A:$A,$O$5)),"")</f>
        <v/>
      </c>
      <c r="H31" s="12" t="str">
        <f>IFERROR(IF(TeamsNotUsed!$D31="","",SUMIFS(Database!I:I,Database!F:F,TeamsNotUsed!$D31,Database!$A:$A,$O$5)),"")</f>
        <v/>
      </c>
      <c r="I31" s="12" t="str">
        <f>IFERROR(IF(TeamsNotUsed!$D31="","",SUMIFS(Database!J:J,Database!G:G,TeamsNotUsed!$D31,Database!$A:$A,$O$5)),"")</f>
        <v/>
      </c>
      <c r="J31" s="12" t="str">
        <f>IFERROR(IF(TeamsNotUsed!$D31="","",SUMIFS(Database!K:K,Database!H:H,TeamsNotUsed!$D31,Database!$A:$A,$O$5)),"")</f>
        <v/>
      </c>
      <c r="K31" s="12" t="str">
        <f>IFERROR(IF(TeamsNotUsed!$D31="","",SUMIFS(Database!L:L,Database!I:I,TeamsNotUsed!$D31,Database!$A:$A,$O$5)),"")</f>
        <v/>
      </c>
      <c r="L31" s="12" t="str">
        <f>IFERROR(IF(TeamsNotUsed!$D31="","",SUMIFS(Database!M:M,Database!J:J,TeamsNotUsed!$D31,Database!$A:$A,$O$5)),"")</f>
        <v/>
      </c>
      <c r="M31" s="12" t="str">
        <f>IFERROR(IF(TeamsNotUsed!$D31="","",SUMIFS(Database!N:N,Database!K:K,TeamsNotUsed!$D31,Database!$A:$A,$O$5)),"")</f>
        <v/>
      </c>
      <c r="N31" s="12" t="str">
        <f>IFERROR(IF(TeamsNotUsed!$D31="","",SUMIFS(Database!O:O,Database!L:L,TeamsNotUsed!$D31,Database!$A:$A,$O$5)),"")</f>
        <v/>
      </c>
      <c r="O31" s="12" t="str">
        <f>IFERROR(IF(TeamsNotUsed!$D31="","",SUMIFS(Database!P:P,Database!M:M,TeamsNotUsed!$D31,Database!$A:$A,$O$5)),"")</f>
        <v/>
      </c>
      <c r="P31" s="12" t="str">
        <f>IFERROR(IF(TeamsNotUsed!$D31="","",SUMIFS(Database!Q:Q,Database!N:N,TeamsNotUsed!$D31,Database!$A:$A,$O$5)),"")</f>
        <v/>
      </c>
      <c r="Q31" s="13" t="str">
        <f>IFERROR(IF(TeamsNotUsed!$D31="","",TeamsNotUsed!$O31/TeamsNotUsed!$P31),"-")</f>
        <v/>
      </c>
      <c r="R31" s="12" t="str">
        <f>IFERROR(IF(TeamsNotUsed!$D31="","",SUMIFS(Database!S:S,Database!P:P,TeamsNotUsed!$D31,Database!$A:$A,$O$5)),"")</f>
        <v/>
      </c>
      <c r="S31" s="12" t="str">
        <f>IFERROR(IF(TeamsNotUsed!$D31="","",SUMIFS(Database!T:T,Database!Q:Q,TeamsNotUsed!$D31,Database!$A:$A,$O$5)),"")</f>
        <v/>
      </c>
      <c r="T31" s="13" t="str">
        <f>IFERROR(IF(TeamsNotUsed!$D31="","",TeamsNotUsed!$R31/TeamsNotUsed!$S31),"-")</f>
        <v/>
      </c>
      <c r="U31" s="12" t="str">
        <f>IFERROR(IF(TeamsNotUsed!$D31="","",SUMIFS(Database!V:V,Database!S:S,TeamsNotUsed!$D31,Database!$A:$A,$O$5)),"")</f>
        <v/>
      </c>
      <c r="V31" s="12" t="str">
        <f>IFERROR(IF(TeamsNotUsed!$D31="","",SUMIFS(Database!W:W,Database!T:T,TeamsNotUsed!$D31,Database!$A:$A,$O$5)),"")</f>
        <v/>
      </c>
      <c r="W31" s="45" t="str">
        <f>IFERROR(IF(TeamsNotUsed!$D31="","",TeamsNotUsed!$U31/TeamsNotUsed!$V31),"-")</f>
        <v/>
      </c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</row>
    <row r="32" spans="1:35" ht="16.5" thickTop="1" thickBot="1" x14ac:dyDescent="0.3">
      <c r="A32" s="23"/>
      <c r="B32" s="23"/>
      <c r="C32" s="62"/>
      <c r="D32" s="63" t="s">
        <v>96</v>
      </c>
      <c r="E32" s="51">
        <f>SUBTOTAL(104,TeamsNotUsed!$E$10:$E$18)</f>
        <v>0</v>
      </c>
      <c r="F32" s="51"/>
      <c r="G32" s="51">
        <f>SUBTOTAL(109,TeamsNotUsed!$G$10:$G$18)</f>
        <v>0</v>
      </c>
      <c r="H32" s="51">
        <f>SUBTOTAL(109,TeamsNotUsed!$H$10:$H$18)</f>
        <v>0</v>
      </c>
      <c r="I32" s="51">
        <f>SUBTOTAL(109,TeamsNotUsed!$I$10:$I$18)</f>
        <v>0</v>
      </c>
      <c r="J32" s="51">
        <f>SUBTOTAL(109,TeamsNotUsed!$J$10:$J$18)</f>
        <v>0</v>
      </c>
      <c r="K32" s="51">
        <f>SUBTOTAL(109,TeamsNotUsed!$K$10:$K$18)</f>
        <v>0</v>
      </c>
      <c r="L32" s="51">
        <f>SUBTOTAL(109,TeamsNotUsed!$L$10:$L$18)</f>
        <v>0</v>
      </c>
      <c r="M32" s="51">
        <f>SUBTOTAL(109,TeamsNotUsed!$M$10:$M$18)</f>
        <v>0</v>
      </c>
      <c r="N32" s="51">
        <f>SUBTOTAL(109,TeamsNotUsed!$N$10:$N$18)</f>
        <v>0</v>
      </c>
      <c r="O32" s="51">
        <f>SUBTOTAL(109,TeamsNotUsed!$O$10:$O$18)</f>
        <v>0</v>
      </c>
      <c r="P32" s="51">
        <f>SUBTOTAL(109,TeamsNotUsed!$P$10:$P$18)</f>
        <v>0</v>
      </c>
      <c r="Q32" s="52" t="str">
        <f>IFERROR(TeamsNotUsed!$O$19/TeamsNotUsed!$P$19,"-")</f>
        <v>-</v>
      </c>
      <c r="R32" s="51">
        <f>SUBTOTAL(109,TeamsNotUsed!$R$10:$R$18)</f>
        <v>0</v>
      </c>
      <c r="S32" s="51">
        <f>SUBTOTAL(109,TeamsNotUsed!$S$10:$S$18)</f>
        <v>0</v>
      </c>
      <c r="T32" s="52" t="str">
        <f>IFERROR(TeamsNotUsed!$R$19/TeamsNotUsed!$S$19,"-")</f>
        <v>-</v>
      </c>
      <c r="U32" s="51">
        <f>SUBTOTAL(109,TeamsNotUsed!$U$10:$U$18)</f>
        <v>0</v>
      </c>
      <c r="V32" s="51">
        <f>SUBTOTAL(109,TeamsNotUsed!$V$10:$V$18)</f>
        <v>0</v>
      </c>
      <c r="W32" s="53" t="str">
        <f>IFERROR(TeamsNotUsed!$U$19/TeamsNotUsed!$V$19,"-")</f>
        <v>-</v>
      </c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</row>
    <row r="33" spans="1:35" ht="15.75" thickBot="1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</row>
    <row r="34" spans="1:35" ht="15.75" thickBot="1" x14ac:dyDescent="0.3">
      <c r="A34" s="23"/>
      <c r="B34" s="23"/>
      <c r="C34" s="104" t="s">
        <v>38</v>
      </c>
      <c r="D34" s="70"/>
      <c r="E34" s="70"/>
      <c r="F34" s="70"/>
      <c r="G34" s="70" t="s">
        <v>105</v>
      </c>
      <c r="H34" s="70"/>
      <c r="I34" s="70"/>
      <c r="J34" s="70"/>
      <c r="K34" s="70"/>
      <c r="L34" s="70"/>
      <c r="M34" s="70"/>
      <c r="N34" s="70"/>
      <c r="O34" s="70"/>
      <c r="P34" s="70"/>
      <c r="Q34" s="71"/>
      <c r="R34" s="70"/>
      <c r="S34" s="70"/>
      <c r="T34" s="71"/>
      <c r="U34" s="70"/>
      <c r="V34" s="70"/>
      <c r="W34" s="72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</row>
    <row r="35" spans="1:35" ht="15.75" thickBot="1" x14ac:dyDescent="0.3">
      <c r="A35" s="23"/>
      <c r="B35" s="23"/>
      <c r="C35" s="54" t="s">
        <v>69</v>
      </c>
      <c r="D35" s="55" t="s">
        <v>0</v>
      </c>
      <c r="E35" s="55" t="s">
        <v>71</v>
      </c>
      <c r="F35" s="55" t="s">
        <v>70</v>
      </c>
      <c r="G35" s="55" t="s">
        <v>72</v>
      </c>
      <c r="H35" s="55" t="s">
        <v>73</v>
      </c>
      <c r="I35" s="55" t="s">
        <v>74</v>
      </c>
      <c r="J35" s="55" t="s">
        <v>75</v>
      </c>
      <c r="K35" s="55" t="s">
        <v>76</v>
      </c>
      <c r="L35" s="55" t="s">
        <v>77</v>
      </c>
      <c r="M35" s="55" t="s">
        <v>78</v>
      </c>
      <c r="N35" s="55" t="s">
        <v>79</v>
      </c>
      <c r="O35" s="55" t="s">
        <v>80</v>
      </c>
      <c r="P35" s="55" t="s">
        <v>81</v>
      </c>
      <c r="Q35" s="56" t="s">
        <v>82</v>
      </c>
      <c r="R35" s="55" t="s">
        <v>83</v>
      </c>
      <c r="S35" s="55" t="s">
        <v>84</v>
      </c>
      <c r="T35" s="56" t="s">
        <v>85</v>
      </c>
      <c r="U35" s="55" t="s">
        <v>86</v>
      </c>
      <c r="V35" s="55" t="s">
        <v>87</v>
      </c>
      <c r="W35" s="57" t="s">
        <v>88</v>
      </c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</row>
    <row r="36" spans="1:35" x14ac:dyDescent="0.25">
      <c r="A36" s="23"/>
      <c r="B36" s="23"/>
      <c r="C36" s="58"/>
      <c r="D36" s="68"/>
      <c r="E36" s="59" t="s">
        <v>157</v>
      </c>
      <c r="F36" s="59" t="str">
        <f>IF(TeamsNotUsed!$D36="","",$C$34)</f>
        <v/>
      </c>
      <c r="G36" s="59" t="str">
        <f>IFERROR(IF(TeamsNotUsed!$D36="","",SUMIFS(Database!H:H,Database!E:E,TeamsNotUsed!$D36,Database!$A:$A,$O$5)),"")</f>
        <v/>
      </c>
      <c r="H36" s="59" t="str">
        <f>IFERROR(IF(TeamsNotUsed!$D36="","",SUMIFS(Database!I:I,Database!F:F,TeamsNotUsed!$D36,Database!$A:$A,$O$5)),"")</f>
        <v/>
      </c>
      <c r="I36" s="59" t="str">
        <f>IFERROR(IF(TeamsNotUsed!$D36="","",SUMIFS(Database!J:J,Database!G:G,TeamsNotUsed!$D36,Database!$A:$A,$O$5)),"")</f>
        <v/>
      </c>
      <c r="J36" s="59" t="str">
        <f>IFERROR(IF(TeamsNotUsed!$D36="","",SUMIFS(Database!K:K,Database!H:H,TeamsNotUsed!$D36,Database!$A:$A,$O$5)),"")</f>
        <v/>
      </c>
      <c r="K36" s="59" t="str">
        <f>IFERROR(IF(TeamsNotUsed!$D36="","",SUMIFS(Database!L:L,Database!I:I,TeamsNotUsed!$D36,Database!$A:$A,$O$5)),"")</f>
        <v/>
      </c>
      <c r="L36" s="59" t="str">
        <f>IFERROR(IF(TeamsNotUsed!$D36="","",SUMIFS(Database!M:M,Database!J:J,TeamsNotUsed!$D36,Database!$A:$A,$O$5)),"")</f>
        <v/>
      </c>
      <c r="M36" s="59" t="str">
        <f>IFERROR(IF(TeamsNotUsed!$D36="","",SUMIFS(Database!N:N,Database!K:K,TeamsNotUsed!$D36,Database!$A:$A,$O$5)),"")</f>
        <v/>
      </c>
      <c r="N36" s="59" t="str">
        <f>IFERROR(IF(TeamsNotUsed!$D36="","",SUMIFS(Database!O:O,Database!L:L,TeamsNotUsed!$D36,Database!$A:$A,$O$5)),"")</f>
        <v/>
      </c>
      <c r="O36" s="59" t="str">
        <f>IFERROR(IF(TeamsNotUsed!$D36="","",SUMIFS(Database!P:P,Database!M:M,TeamsNotUsed!$D36,Database!$A:$A,$O$5)),"")</f>
        <v/>
      </c>
      <c r="P36" s="59" t="str">
        <f>IFERROR(IF(TeamsNotUsed!$D36="","",SUMIFS(Database!Q:Q,Database!N:N,TeamsNotUsed!$D36,Database!$A:$A,$O$5)),"")</f>
        <v/>
      </c>
      <c r="Q36" s="60" t="str">
        <f>IFERROR(IF(TeamsNotUsed!$D36="","",TeamsNotUsed!$O36/TeamsNotUsed!$P36),"-")</f>
        <v/>
      </c>
      <c r="R36" s="59" t="str">
        <f>IFERROR(IF(TeamsNotUsed!$D36="","",SUMIFS(Database!S:S,Database!P:P,TeamsNotUsed!$D36,Database!$A:$A,$O$5)),"")</f>
        <v/>
      </c>
      <c r="S36" s="59" t="str">
        <f>IFERROR(IF(TeamsNotUsed!$D36="","",SUMIFS(Database!T:T,Database!Q:Q,TeamsNotUsed!$D36,Database!$A:$A,$O$5)),"")</f>
        <v/>
      </c>
      <c r="T36" s="60" t="str">
        <f>IFERROR(IF(TeamsNotUsed!$D36="","",TeamsNotUsed!$R36/TeamsNotUsed!$S36),"-")</f>
        <v/>
      </c>
      <c r="U36" s="59" t="str">
        <f>IFERROR(IF(TeamsNotUsed!$D36="","",SUMIFS(Database!V:V,Database!S:S,TeamsNotUsed!$D36,Database!$A:$A,$O$5)),"")</f>
        <v/>
      </c>
      <c r="V36" s="59" t="str">
        <f>IFERROR(IF(TeamsNotUsed!$D36="","",SUMIFS(Database!W:W,Database!T:T,TeamsNotUsed!$D36,Database!$A:$A,$O$5)),"")</f>
        <v/>
      </c>
      <c r="W36" s="61" t="str">
        <f>IFERROR(IF(TeamsNotUsed!$D36="","",TeamsNotUsed!$U36/TeamsNotUsed!$V36),"-")</f>
        <v/>
      </c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</row>
    <row r="37" spans="1:35" x14ac:dyDescent="0.25">
      <c r="A37" s="23"/>
      <c r="B37" s="23"/>
      <c r="C37" s="43"/>
      <c r="D37" s="17"/>
      <c r="E37" s="11" t="s">
        <v>157</v>
      </c>
      <c r="F37" s="11" t="str">
        <f>IF(TeamsNotUsed!$D37="","",$C$34)</f>
        <v/>
      </c>
      <c r="G37" s="11" t="str">
        <f>IFERROR(IF(TeamsNotUsed!$D37="","",SUMIFS(Database!H:H,Database!E:E,TeamsNotUsed!$D37,Database!$A:$A,$O$5)),"")</f>
        <v/>
      </c>
      <c r="H37" s="11" t="str">
        <f>IFERROR(IF(TeamsNotUsed!$D37="","",SUMIFS(Database!I:I,Database!F:F,TeamsNotUsed!$D37,Database!$A:$A,$O$5)),"")</f>
        <v/>
      </c>
      <c r="I37" s="11" t="str">
        <f>IFERROR(IF(TeamsNotUsed!$D37="","",SUMIFS(Database!J:J,Database!G:G,TeamsNotUsed!$D37,Database!$A:$A,$O$5)),"")</f>
        <v/>
      </c>
      <c r="J37" s="11" t="str">
        <f>IFERROR(IF(TeamsNotUsed!$D37="","",SUMIFS(Database!K:K,Database!H:H,TeamsNotUsed!$D37,Database!$A:$A,$O$5)),"")</f>
        <v/>
      </c>
      <c r="K37" s="11" t="str">
        <f>IFERROR(IF(TeamsNotUsed!$D37="","",SUMIFS(Database!L:L,Database!I:I,TeamsNotUsed!$D37,Database!$A:$A,$O$5)),"")</f>
        <v/>
      </c>
      <c r="L37" s="11" t="str">
        <f>IFERROR(IF(TeamsNotUsed!$D37="","",SUMIFS(Database!M:M,Database!J:J,TeamsNotUsed!$D37,Database!$A:$A,$O$5)),"")</f>
        <v/>
      </c>
      <c r="M37" s="11" t="str">
        <f>IFERROR(IF(TeamsNotUsed!$D37="","",SUMIFS(Database!N:N,Database!K:K,TeamsNotUsed!$D37,Database!$A:$A,$O$5)),"")</f>
        <v/>
      </c>
      <c r="N37" s="11" t="str">
        <f>IFERROR(IF(TeamsNotUsed!$D37="","",SUMIFS(Database!O:O,Database!L:L,TeamsNotUsed!$D37,Database!$A:$A,$O$5)),"")</f>
        <v/>
      </c>
      <c r="O37" s="11" t="str">
        <f>IFERROR(IF(TeamsNotUsed!$D37="","",SUMIFS(Database!P:P,Database!M:M,TeamsNotUsed!$D37,Database!$A:$A,$O$5)),"")</f>
        <v/>
      </c>
      <c r="P37" s="11" t="str">
        <f>IFERROR(IF(TeamsNotUsed!$D37="","",SUMIFS(Database!Q:Q,Database!N:N,TeamsNotUsed!$D37,Database!$A:$A,$O$5)),"")</f>
        <v/>
      </c>
      <c r="Q37" s="14" t="str">
        <f>IFERROR(IF(TeamsNotUsed!$D37="","",TeamsNotUsed!$O37/TeamsNotUsed!$P37),"-")</f>
        <v/>
      </c>
      <c r="R37" s="11" t="str">
        <f>IFERROR(IF(TeamsNotUsed!$D37="","",SUMIFS(Database!S:S,Database!P:P,TeamsNotUsed!$D37,Database!$A:$A,$O$5)),"")</f>
        <v/>
      </c>
      <c r="S37" s="11" t="str">
        <f>IFERROR(IF(TeamsNotUsed!$D37="","",SUMIFS(Database!T:T,Database!Q:Q,TeamsNotUsed!$D37,Database!$A:$A,$O$5)),"")</f>
        <v/>
      </c>
      <c r="T37" s="14" t="str">
        <f>IFERROR(IF(TeamsNotUsed!$D37="","",TeamsNotUsed!$R37/TeamsNotUsed!$S37),"-")</f>
        <v/>
      </c>
      <c r="U37" s="11" t="str">
        <f>IFERROR(IF(TeamsNotUsed!$D37="","",SUMIFS(Database!V:V,Database!S:S,TeamsNotUsed!$D37,Database!$A:$A,$O$5)),"")</f>
        <v/>
      </c>
      <c r="V37" s="11" t="str">
        <f>IFERROR(IF(TeamsNotUsed!$D37="","",SUMIFS(Database!W:W,Database!T:T,TeamsNotUsed!$D37,Database!$A:$A,$O$5)),"")</f>
        <v/>
      </c>
      <c r="W37" s="46" t="str">
        <f>IFERROR(IF(TeamsNotUsed!$D37="","",TeamsNotUsed!$U37/TeamsNotUsed!$V37),"-")</f>
        <v/>
      </c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</row>
    <row r="38" spans="1:35" x14ac:dyDescent="0.25">
      <c r="A38" s="23"/>
      <c r="B38" s="23"/>
      <c r="C38" s="44"/>
      <c r="D38" s="17"/>
      <c r="E38" s="12" t="s">
        <v>157</v>
      </c>
      <c r="F38" s="12" t="str">
        <f>IF(TeamsNotUsed!$D38="","",$C$34)</f>
        <v/>
      </c>
      <c r="G38" s="12" t="str">
        <f>IFERROR(IF(TeamsNotUsed!$D38="","",SUMIFS(Database!H:H,Database!E:E,TeamsNotUsed!$D38,Database!$A:$A,$O$5)),"")</f>
        <v/>
      </c>
      <c r="H38" s="12" t="str">
        <f>IFERROR(IF(TeamsNotUsed!$D38="","",SUMIFS(Database!I:I,Database!F:F,TeamsNotUsed!$D38,Database!$A:$A,$O$5)),"")</f>
        <v/>
      </c>
      <c r="I38" s="12" t="str">
        <f>IFERROR(IF(TeamsNotUsed!$D38="","",SUMIFS(Database!J:J,Database!G:G,TeamsNotUsed!$D38,Database!$A:$A,$O$5)),"")</f>
        <v/>
      </c>
      <c r="J38" s="12" t="str">
        <f>IFERROR(IF(TeamsNotUsed!$D38="","",SUMIFS(Database!K:K,Database!H:H,TeamsNotUsed!$D38,Database!$A:$A,$O$5)),"")</f>
        <v/>
      </c>
      <c r="K38" s="12" t="str">
        <f>IFERROR(IF(TeamsNotUsed!$D38="","",SUMIFS(Database!L:L,Database!I:I,TeamsNotUsed!$D38,Database!$A:$A,$O$5)),"")</f>
        <v/>
      </c>
      <c r="L38" s="12" t="str">
        <f>IFERROR(IF(TeamsNotUsed!$D38="","",SUMIFS(Database!M:M,Database!J:J,TeamsNotUsed!$D38,Database!$A:$A,$O$5)),"")</f>
        <v/>
      </c>
      <c r="M38" s="12" t="str">
        <f>IFERROR(IF(TeamsNotUsed!$D38="","",SUMIFS(Database!N:N,Database!K:K,TeamsNotUsed!$D38,Database!$A:$A,$O$5)),"")</f>
        <v/>
      </c>
      <c r="N38" s="12" t="str">
        <f>IFERROR(IF(TeamsNotUsed!$D38="","",SUMIFS(Database!O:O,Database!L:L,TeamsNotUsed!$D38,Database!$A:$A,$O$5)),"")</f>
        <v/>
      </c>
      <c r="O38" s="12" t="str">
        <f>IFERROR(IF(TeamsNotUsed!$D38="","",SUMIFS(Database!P:P,Database!M:M,TeamsNotUsed!$D38,Database!$A:$A,$O$5)),"")</f>
        <v/>
      </c>
      <c r="P38" s="12" t="str">
        <f>IFERROR(IF(TeamsNotUsed!$D38="","",SUMIFS(Database!Q:Q,Database!N:N,TeamsNotUsed!$D38,Database!$A:$A,$O$5)),"")</f>
        <v/>
      </c>
      <c r="Q38" s="13" t="str">
        <f>IFERROR(IF(TeamsNotUsed!$D38="","",TeamsNotUsed!$O38/TeamsNotUsed!$P38),"-")</f>
        <v/>
      </c>
      <c r="R38" s="12" t="str">
        <f>IFERROR(IF(TeamsNotUsed!$D38="","",SUMIFS(Database!S:S,Database!P:P,TeamsNotUsed!$D38,Database!$A:$A,$O$5)),"")</f>
        <v/>
      </c>
      <c r="S38" s="12" t="str">
        <f>IFERROR(IF(TeamsNotUsed!$D38="","",SUMIFS(Database!T:T,Database!Q:Q,TeamsNotUsed!$D38,Database!$A:$A,$O$5)),"")</f>
        <v/>
      </c>
      <c r="T38" s="13" t="str">
        <f>IFERROR(IF(TeamsNotUsed!$D38="","",TeamsNotUsed!$R38/TeamsNotUsed!$S38),"-")</f>
        <v/>
      </c>
      <c r="U38" s="12" t="str">
        <f>IFERROR(IF(TeamsNotUsed!$D38="","",SUMIFS(Database!V:V,Database!S:S,TeamsNotUsed!$D38,Database!$A:$A,$O$5)),"")</f>
        <v/>
      </c>
      <c r="V38" s="12" t="str">
        <f>IFERROR(IF(TeamsNotUsed!$D38="","",SUMIFS(Database!W:W,Database!T:T,TeamsNotUsed!$D38,Database!$A:$A,$O$5)),"")</f>
        <v/>
      </c>
      <c r="W38" s="45" t="str">
        <f>IFERROR(IF(TeamsNotUsed!$D38="","",TeamsNotUsed!$U38/TeamsNotUsed!$V38),"-")</f>
        <v/>
      </c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</row>
    <row r="39" spans="1:35" x14ac:dyDescent="0.25">
      <c r="A39" s="23"/>
      <c r="B39" s="23"/>
      <c r="C39" s="43"/>
      <c r="D39" s="17"/>
      <c r="E39" s="11" t="s">
        <v>157</v>
      </c>
      <c r="F39" s="11" t="str">
        <f>IF(TeamsNotUsed!$D39="","",$C$34)</f>
        <v/>
      </c>
      <c r="G39" s="11" t="str">
        <f>IFERROR(IF(TeamsNotUsed!$D39="","",SUMIFS(Database!H:H,Database!E:E,TeamsNotUsed!$D39,Database!$A:$A,$O$5)),"")</f>
        <v/>
      </c>
      <c r="H39" s="11" t="str">
        <f>IFERROR(IF(TeamsNotUsed!$D39="","",SUMIFS(Database!I:I,Database!F:F,TeamsNotUsed!$D39,Database!$A:$A,$O$5)),"")</f>
        <v/>
      </c>
      <c r="I39" s="11" t="str">
        <f>IFERROR(IF(TeamsNotUsed!$D39="","",SUMIFS(Database!J:J,Database!G:G,TeamsNotUsed!$D39,Database!$A:$A,$O$5)),"")</f>
        <v/>
      </c>
      <c r="J39" s="11" t="str">
        <f>IFERROR(IF(TeamsNotUsed!$D39="","",SUMIFS(Database!K:K,Database!H:H,TeamsNotUsed!$D39,Database!$A:$A,$O$5)),"")</f>
        <v/>
      </c>
      <c r="K39" s="11" t="str">
        <f>IFERROR(IF(TeamsNotUsed!$D39="","",SUMIFS(Database!L:L,Database!I:I,TeamsNotUsed!$D39,Database!$A:$A,$O$5)),"")</f>
        <v/>
      </c>
      <c r="L39" s="11" t="str">
        <f>IFERROR(IF(TeamsNotUsed!$D39="","",SUMIFS(Database!M:M,Database!J:J,TeamsNotUsed!$D39,Database!$A:$A,$O$5)),"")</f>
        <v/>
      </c>
      <c r="M39" s="11" t="str">
        <f>IFERROR(IF(TeamsNotUsed!$D39="","",SUMIFS(Database!N:N,Database!K:K,TeamsNotUsed!$D39,Database!$A:$A,$O$5)),"")</f>
        <v/>
      </c>
      <c r="N39" s="11" t="str">
        <f>IFERROR(IF(TeamsNotUsed!$D39="","",SUMIFS(Database!O:O,Database!L:L,TeamsNotUsed!$D39,Database!$A:$A,$O$5)),"")</f>
        <v/>
      </c>
      <c r="O39" s="11" t="str">
        <f>IFERROR(IF(TeamsNotUsed!$D39="","",SUMIFS(Database!P:P,Database!M:M,TeamsNotUsed!$D39,Database!$A:$A,$O$5)),"")</f>
        <v/>
      </c>
      <c r="P39" s="11" t="str">
        <f>IFERROR(IF(TeamsNotUsed!$D39="","",SUMIFS(Database!Q:Q,Database!N:N,TeamsNotUsed!$D39,Database!$A:$A,$O$5)),"")</f>
        <v/>
      </c>
      <c r="Q39" s="14" t="str">
        <f>IFERROR(IF(TeamsNotUsed!$D39="","",TeamsNotUsed!$O39/TeamsNotUsed!$P39),"-")</f>
        <v/>
      </c>
      <c r="R39" s="11" t="str">
        <f>IFERROR(IF(TeamsNotUsed!$D39="","",SUMIFS(Database!S:S,Database!P:P,TeamsNotUsed!$D39,Database!$A:$A,$O$5)),"")</f>
        <v/>
      </c>
      <c r="S39" s="11" t="str">
        <f>IFERROR(IF(TeamsNotUsed!$D39="","",SUMIFS(Database!T:T,Database!Q:Q,TeamsNotUsed!$D39,Database!$A:$A,$O$5)),"")</f>
        <v/>
      </c>
      <c r="T39" s="14" t="str">
        <f>IFERROR(IF(TeamsNotUsed!$D39="","",TeamsNotUsed!$R39/TeamsNotUsed!$S39),"-")</f>
        <v/>
      </c>
      <c r="U39" s="11" t="str">
        <f>IFERROR(IF(TeamsNotUsed!$D39="","",SUMIFS(Database!V:V,Database!S:S,TeamsNotUsed!$D39,Database!$A:$A,$O$5)),"")</f>
        <v/>
      </c>
      <c r="V39" s="11" t="str">
        <f>IFERROR(IF(TeamsNotUsed!$D39="","",SUMIFS(Database!W:W,Database!T:T,TeamsNotUsed!$D39,Database!$A:$A,$O$5)),"")</f>
        <v/>
      </c>
      <c r="W39" s="46" t="str">
        <f>IFERROR(IF(TeamsNotUsed!$D39="","",TeamsNotUsed!$U39/TeamsNotUsed!$V39),"-")</f>
        <v/>
      </c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</row>
    <row r="40" spans="1:35" x14ac:dyDescent="0.25">
      <c r="A40" s="23"/>
      <c r="B40" s="23"/>
      <c r="C40" s="44"/>
      <c r="D40" s="69"/>
      <c r="E40" s="12" t="s">
        <v>157</v>
      </c>
      <c r="F40" s="12" t="str">
        <f>IF(TeamsNotUsed!$D40="","",$C$34)</f>
        <v/>
      </c>
      <c r="G40" s="12" t="str">
        <f>IFERROR(IF(TeamsNotUsed!$D40="","",SUMIFS(Database!H:H,Database!E:E,TeamsNotUsed!$D40,Database!$A:$A,$O$5)),"")</f>
        <v/>
      </c>
      <c r="H40" s="12" t="str">
        <f>IFERROR(IF(TeamsNotUsed!$D40="","",SUMIFS(Database!I:I,Database!F:F,TeamsNotUsed!$D40,Database!$A:$A,$O$5)),"")</f>
        <v/>
      </c>
      <c r="I40" s="12" t="str">
        <f>IFERROR(IF(TeamsNotUsed!$D40="","",SUMIFS(Database!J:J,Database!G:G,TeamsNotUsed!$D40,Database!$A:$A,$O$5)),"")</f>
        <v/>
      </c>
      <c r="J40" s="12" t="str">
        <f>IFERROR(IF(TeamsNotUsed!$D40="","",SUMIFS(Database!K:K,Database!H:H,TeamsNotUsed!$D40,Database!$A:$A,$O$5)),"")</f>
        <v/>
      </c>
      <c r="K40" s="12" t="str">
        <f>IFERROR(IF(TeamsNotUsed!$D40="","",SUMIFS(Database!L:L,Database!I:I,TeamsNotUsed!$D40,Database!$A:$A,$O$5)),"")</f>
        <v/>
      </c>
      <c r="L40" s="12" t="str">
        <f>IFERROR(IF(TeamsNotUsed!$D40="","",SUMIFS(Database!M:M,Database!J:J,TeamsNotUsed!$D40,Database!$A:$A,$O$5)),"")</f>
        <v/>
      </c>
      <c r="M40" s="12" t="str">
        <f>IFERROR(IF(TeamsNotUsed!$D40="","",SUMIFS(Database!N:N,Database!K:K,TeamsNotUsed!$D40,Database!$A:$A,$O$5)),"")</f>
        <v/>
      </c>
      <c r="N40" s="12" t="str">
        <f>IFERROR(IF(TeamsNotUsed!$D40="","",SUMIFS(Database!O:O,Database!L:L,TeamsNotUsed!$D40,Database!$A:$A,$O$5)),"")</f>
        <v/>
      </c>
      <c r="O40" s="12" t="str">
        <f>IFERROR(IF(TeamsNotUsed!$D40="","",SUMIFS(Database!P:P,Database!M:M,TeamsNotUsed!$D40,Database!$A:$A,$O$5)),"")</f>
        <v/>
      </c>
      <c r="P40" s="12" t="str">
        <f>IFERROR(IF(TeamsNotUsed!$D40="","",SUMIFS(Database!Q:Q,Database!N:N,TeamsNotUsed!$D40,Database!$A:$A,$O$5)),"")</f>
        <v/>
      </c>
      <c r="Q40" s="13" t="str">
        <f>IFERROR(IF(TeamsNotUsed!$D40="","",TeamsNotUsed!$O40/TeamsNotUsed!$P40),"-")</f>
        <v/>
      </c>
      <c r="R40" s="12" t="str">
        <f>IFERROR(IF(TeamsNotUsed!$D40="","",SUMIFS(Database!S:S,Database!P:P,TeamsNotUsed!$D40,Database!$A:$A,$O$5)),"")</f>
        <v/>
      </c>
      <c r="S40" s="12" t="str">
        <f>IFERROR(IF(TeamsNotUsed!$D40="","",SUMIFS(Database!T:T,Database!Q:Q,TeamsNotUsed!$D40,Database!$A:$A,$O$5)),"")</f>
        <v/>
      </c>
      <c r="T40" s="13" t="str">
        <f>IFERROR(IF(TeamsNotUsed!$D40="","",TeamsNotUsed!$R40/TeamsNotUsed!$S40),"-")</f>
        <v/>
      </c>
      <c r="U40" s="12" t="str">
        <f>IFERROR(IF(TeamsNotUsed!$D40="","",SUMIFS(Database!V:V,Database!S:S,TeamsNotUsed!$D40,Database!$A:$A,$O$5)),"")</f>
        <v/>
      </c>
      <c r="V40" s="12" t="str">
        <f>IFERROR(IF(TeamsNotUsed!$D40="","",SUMIFS(Database!W:W,Database!T:T,TeamsNotUsed!$D40,Database!$A:$A,$O$5)),"")</f>
        <v/>
      </c>
      <c r="W40" s="45" t="str">
        <f>IFERROR(IF(TeamsNotUsed!$D40="","",TeamsNotUsed!$U40/TeamsNotUsed!$V40),"-")</f>
        <v/>
      </c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</row>
    <row r="41" spans="1:35" x14ac:dyDescent="0.25">
      <c r="A41" s="23"/>
      <c r="B41" s="23"/>
      <c r="C41" s="43"/>
      <c r="D41" s="17"/>
      <c r="E41" s="11" t="s">
        <v>157</v>
      </c>
      <c r="F41" s="11" t="str">
        <f>IF(TeamsNotUsed!$D41="","",$C$34)</f>
        <v/>
      </c>
      <c r="G41" s="11" t="str">
        <f>IFERROR(IF(TeamsNotUsed!$D41="","",SUMIFS(Database!H:H,Database!E:E,TeamsNotUsed!$D41,Database!$A:$A,$O$5)),"")</f>
        <v/>
      </c>
      <c r="H41" s="11" t="str">
        <f>IFERROR(IF(TeamsNotUsed!$D41="","",SUMIFS(Database!I:I,Database!F:F,TeamsNotUsed!$D41,Database!$A:$A,$O$5)),"")</f>
        <v/>
      </c>
      <c r="I41" s="11" t="str">
        <f>IFERROR(IF(TeamsNotUsed!$D41="","",SUMIFS(Database!J:J,Database!G:G,TeamsNotUsed!$D41,Database!$A:$A,$O$5)),"")</f>
        <v/>
      </c>
      <c r="J41" s="11" t="str">
        <f>IFERROR(IF(TeamsNotUsed!$D41="","",SUMIFS(Database!K:K,Database!H:H,TeamsNotUsed!$D41,Database!$A:$A,$O$5)),"")</f>
        <v/>
      </c>
      <c r="K41" s="11" t="str">
        <f>IFERROR(IF(TeamsNotUsed!$D41="","",SUMIFS(Database!L:L,Database!I:I,TeamsNotUsed!$D41,Database!$A:$A,$O$5)),"")</f>
        <v/>
      </c>
      <c r="L41" s="11" t="str">
        <f>IFERROR(IF(TeamsNotUsed!$D41="","",SUMIFS(Database!M:M,Database!J:J,TeamsNotUsed!$D41,Database!$A:$A,$O$5)),"")</f>
        <v/>
      </c>
      <c r="M41" s="11" t="str">
        <f>IFERROR(IF(TeamsNotUsed!$D41="","",SUMIFS(Database!N:N,Database!K:K,TeamsNotUsed!$D41,Database!$A:$A,$O$5)),"")</f>
        <v/>
      </c>
      <c r="N41" s="11" t="str">
        <f>IFERROR(IF(TeamsNotUsed!$D41="","",SUMIFS(Database!O:O,Database!L:L,TeamsNotUsed!$D41,Database!$A:$A,$O$5)),"")</f>
        <v/>
      </c>
      <c r="O41" s="11" t="str">
        <f>IFERROR(IF(TeamsNotUsed!$D41="","",SUMIFS(Database!P:P,Database!M:M,TeamsNotUsed!$D41,Database!$A:$A,$O$5)),"")</f>
        <v/>
      </c>
      <c r="P41" s="11" t="str">
        <f>IFERROR(IF(TeamsNotUsed!$D41="","",SUMIFS(Database!Q:Q,Database!N:N,TeamsNotUsed!$D41,Database!$A:$A,$O$5)),"")</f>
        <v/>
      </c>
      <c r="Q41" s="14" t="str">
        <f>IFERROR(IF(TeamsNotUsed!$D41="","",TeamsNotUsed!$O41/TeamsNotUsed!$P41),"-")</f>
        <v/>
      </c>
      <c r="R41" s="11" t="str">
        <f>IFERROR(IF(TeamsNotUsed!$D41="","",SUMIFS(Database!S:S,Database!P:P,TeamsNotUsed!$D41,Database!$A:$A,$O$5)),"")</f>
        <v/>
      </c>
      <c r="S41" s="11" t="str">
        <f>IFERROR(IF(TeamsNotUsed!$D41="","",SUMIFS(Database!T:T,Database!Q:Q,TeamsNotUsed!$D41,Database!$A:$A,$O$5)),"")</f>
        <v/>
      </c>
      <c r="T41" s="14" t="str">
        <f>IFERROR(IF(TeamsNotUsed!$D41="","",TeamsNotUsed!$R41/TeamsNotUsed!$S41),"-")</f>
        <v/>
      </c>
      <c r="U41" s="11" t="str">
        <f>IFERROR(IF(TeamsNotUsed!$D41="","",SUMIFS(Database!V:V,Database!S:S,TeamsNotUsed!$D41,Database!$A:$A,$O$5)),"")</f>
        <v/>
      </c>
      <c r="V41" s="11" t="str">
        <f>IFERROR(IF(TeamsNotUsed!$D41="","",SUMIFS(Database!W:W,Database!T:T,TeamsNotUsed!$D41,Database!$A:$A,$O$5)),"")</f>
        <v/>
      </c>
      <c r="W41" s="46" t="str">
        <f>IFERROR(IF(TeamsNotUsed!$D41="","",TeamsNotUsed!$U41/TeamsNotUsed!$V41),"-")</f>
        <v/>
      </c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</row>
    <row r="42" spans="1:35" x14ac:dyDescent="0.25">
      <c r="A42" s="23"/>
      <c r="B42" s="23"/>
      <c r="C42" s="44"/>
      <c r="D42" s="17"/>
      <c r="E42" s="12" t="s">
        <v>157</v>
      </c>
      <c r="F42" s="12" t="str">
        <f>IF(TeamsNotUsed!$D42="","",$C$34)</f>
        <v/>
      </c>
      <c r="G42" s="12" t="str">
        <f>IFERROR(IF(TeamsNotUsed!$D42="","",SUMIFS(Database!H:H,Database!E:E,TeamsNotUsed!$D42,Database!$A:$A,$O$5)),"")</f>
        <v/>
      </c>
      <c r="H42" s="12" t="str">
        <f>IFERROR(IF(TeamsNotUsed!$D42="","",SUMIFS(Database!I:I,Database!F:F,TeamsNotUsed!$D42,Database!$A:$A,$O$5)),"")</f>
        <v/>
      </c>
      <c r="I42" s="12" t="str">
        <f>IFERROR(IF(TeamsNotUsed!$D42="","",SUMIFS(Database!J:J,Database!G:G,TeamsNotUsed!$D42,Database!$A:$A,$O$5)),"")</f>
        <v/>
      </c>
      <c r="J42" s="12" t="str">
        <f>IFERROR(IF(TeamsNotUsed!$D42="","",SUMIFS(Database!K:K,Database!H:H,TeamsNotUsed!$D42,Database!$A:$A,$O$5)),"")</f>
        <v/>
      </c>
      <c r="K42" s="12" t="str">
        <f>IFERROR(IF(TeamsNotUsed!$D42="","",SUMIFS(Database!L:L,Database!I:I,TeamsNotUsed!$D42,Database!$A:$A,$O$5)),"")</f>
        <v/>
      </c>
      <c r="L42" s="12" t="str">
        <f>IFERROR(IF(TeamsNotUsed!$D42="","",SUMIFS(Database!M:M,Database!J:J,TeamsNotUsed!$D42,Database!$A:$A,$O$5)),"")</f>
        <v/>
      </c>
      <c r="M42" s="12" t="str">
        <f>IFERROR(IF(TeamsNotUsed!$D42="","",SUMIFS(Database!N:N,Database!K:K,TeamsNotUsed!$D42,Database!$A:$A,$O$5)),"")</f>
        <v/>
      </c>
      <c r="N42" s="12" t="str">
        <f>IFERROR(IF(TeamsNotUsed!$D42="","",SUMIFS(Database!O:O,Database!L:L,TeamsNotUsed!$D42,Database!$A:$A,$O$5)),"")</f>
        <v/>
      </c>
      <c r="O42" s="12" t="str">
        <f>IFERROR(IF(TeamsNotUsed!$D42="","",SUMIFS(Database!P:P,Database!M:M,TeamsNotUsed!$D42,Database!$A:$A,$O$5)),"")</f>
        <v/>
      </c>
      <c r="P42" s="12" t="str">
        <f>IFERROR(IF(TeamsNotUsed!$D42="","",SUMIFS(Database!Q:Q,Database!N:N,TeamsNotUsed!$D42,Database!$A:$A,$O$5)),"")</f>
        <v/>
      </c>
      <c r="Q42" s="13" t="str">
        <f>IFERROR(IF(TeamsNotUsed!$D42="","",TeamsNotUsed!$O42/TeamsNotUsed!$P42),"-")</f>
        <v/>
      </c>
      <c r="R42" s="12" t="str">
        <f>IFERROR(IF(TeamsNotUsed!$D42="","",SUMIFS(Database!S:S,Database!P:P,TeamsNotUsed!$D42,Database!$A:$A,$O$5)),"")</f>
        <v/>
      </c>
      <c r="S42" s="12" t="str">
        <f>IFERROR(IF(TeamsNotUsed!$D42="","",SUMIFS(Database!T:T,Database!Q:Q,TeamsNotUsed!$D42,Database!$A:$A,$O$5)),"")</f>
        <v/>
      </c>
      <c r="T42" s="13" t="str">
        <f>IFERROR(IF(TeamsNotUsed!$D42="","",TeamsNotUsed!$R42/TeamsNotUsed!$S42),"-")</f>
        <v/>
      </c>
      <c r="U42" s="12" t="str">
        <f>IFERROR(IF(TeamsNotUsed!$D42="","",SUMIFS(Database!V:V,Database!S:S,TeamsNotUsed!$D42,Database!$A:$A,$O$5)),"")</f>
        <v/>
      </c>
      <c r="V42" s="12" t="str">
        <f>IFERROR(IF(TeamsNotUsed!$D42="","",SUMIFS(Database!W:W,Database!T:T,TeamsNotUsed!$D42,Database!$A:$A,$O$5)),"")</f>
        <v/>
      </c>
      <c r="W42" s="45" t="str">
        <f>IFERROR(IF(TeamsNotUsed!$D42="","",TeamsNotUsed!$U42/TeamsNotUsed!$V42),"-")</f>
        <v/>
      </c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</row>
    <row r="43" spans="1:35" x14ac:dyDescent="0.25">
      <c r="A43" s="23"/>
      <c r="B43" s="23"/>
      <c r="C43" s="43"/>
      <c r="D43" s="17"/>
      <c r="E43" s="11" t="s">
        <v>157</v>
      </c>
      <c r="F43" s="11" t="str">
        <f>IF(TeamsNotUsed!$D43="","",$C$34)</f>
        <v/>
      </c>
      <c r="G43" s="11" t="str">
        <f>IFERROR(IF(TeamsNotUsed!$D43="","",SUMIFS(Database!H:H,Database!E:E,TeamsNotUsed!$D43,Database!$A:$A,$O$5)),"")</f>
        <v/>
      </c>
      <c r="H43" s="11" t="str">
        <f>IFERROR(IF(TeamsNotUsed!$D43="","",SUMIFS(Database!I:I,Database!F:F,TeamsNotUsed!$D43,Database!$A:$A,$O$5)),"")</f>
        <v/>
      </c>
      <c r="I43" s="11" t="str">
        <f>IFERROR(IF(TeamsNotUsed!$D43="","",SUMIFS(Database!J:J,Database!G:G,TeamsNotUsed!$D43,Database!$A:$A,$O$5)),"")</f>
        <v/>
      </c>
      <c r="J43" s="11" t="str">
        <f>IFERROR(IF(TeamsNotUsed!$D43="","",SUMIFS(Database!K:K,Database!H:H,TeamsNotUsed!$D43,Database!$A:$A,$O$5)),"")</f>
        <v/>
      </c>
      <c r="K43" s="11" t="str">
        <f>IFERROR(IF(TeamsNotUsed!$D43="","",SUMIFS(Database!L:L,Database!I:I,TeamsNotUsed!$D43,Database!$A:$A,$O$5)),"")</f>
        <v/>
      </c>
      <c r="L43" s="11" t="str">
        <f>IFERROR(IF(TeamsNotUsed!$D43="","",SUMIFS(Database!M:M,Database!J:J,TeamsNotUsed!$D43,Database!$A:$A,$O$5)),"")</f>
        <v/>
      </c>
      <c r="M43" s="11" t="str">
        <f>IFERROR(IF(TeamsNotUsed!$D43="","",SUMIFS(Database!N:N,Database!K:K,TeamsNotUsed!$D43,Database!$A:$A,$O$5)),"")</f>
        <v/>
      </c>
      <c r="N43" s="11" t="str">
        <f>IFERROR(IF(TeamsNotUsed!$D43="","",SUMIFS(Database!O:O,Database!L:L,TeamsNotUsed!$D43,Database!$A:$A,$O$5)),"")</f>
        <v/>
      </c>
      <c r="O43" s="11" t="str">
        <f>IFERROR(IF(TeamsNotUsed!$D43="","",SUMIFS(Database!P:P,Database!M:M,TeamsNotUsed!$D43,Database!$A:$A,$O$5)),"")</f>
        <v/>
      </c>
      <c r="P43" s="11" t="str">
        <f>IFERROR(IF(TeamsNotUsed!$D43="","",SUMIFS(Database!Q:Q,Database!N:N,TeamsNotUsed!$D43,Database!$A:$A,$O$5)),"")</f>
        <v/>
      </c>
      <c r="Q43" s="14" t="str">
        <f>IFERROR(IF(TeamsNotUsed!$D43="","",TeamsNotUsed!$O43/TeamsNotUsed!$P43),"-")</f>
        <v/>
      </c>
      <c r="R43" s="11" t="str">
        <f>IFERROR(IF(TeamsNotUsed!$D43="","",SUMIFS(Database!S:S,Database!P:P,TeamsNotUsed!$D43,Database!$A:$A,$O$5)),"")</f>
        <v/>
      </c>
      <c r="S43" s="11" t="str">
        <f>IFERROR(IF(TeamsNotUsed!$D43="","",SUMIFS(Database!T:T,Database!Q:Q,TeamsNotUsed!$D43,Database!$A:$A,$O$5)),"")</f>
        <v/>
      </c>
      <c r="T43" s="14" t="str">
        <f>IFERROR(IF(TeamsNotUsed!$D43="","",TeamsNotUsed!$R43/TeamsNotUsed!$S43),"-")</f>
        <v/>
      </c>
      <c r="U43" s="11" t="str">
        <f>IFERROR(IF(TeamsNotUsed!$D43="","",SUMIFS(Database!V:V,Database!S:S,TeamsNotUsed!$D43,Database!$A:$A,$O$5)),"")</f>
        <v/>
      </c>
      <c r="V43" s="11" t="str">
        <f>IFERROR(IF(TeamsNotUsed!$D43="","",SUMIFS(Database!W:W,Database!T:T,TeamsNotUsed!$D43,Database!$A:$A,$O$5)),"")</f>
        <v/>
      </c>
      <c r="W43" s="46" t="str">
        <f>IFERROR(IF(TeamsNotUsed!$D43="","",TeamsNotUsed!$U43/TeamsNotUsed!$V43),"-")</f>
        <v/>
      </c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</row>
    <row r="44" spans="1:35" ht="15.75" thickBot="1" x14ac:dyDescent="0.3">
      <c r="A44" s="23"/>
      <c r="B44" s="23"/>
      <c r="C44" s="44"/>
      <c r="D44" s="17"/>
      <c r="E44" s="12" t="s">
        <v>157</v>
      </c>
      <c r="F44" s="12" t="str">
        <f>IF(TeamsNotUsed!$D44="","",$C$34)</f>
        <v/>
      </c>
      <c r="G44" s="12" t="str">
        <f>IFERROR(IF(TeamsNotUsed!$D44="","",SUMIFS(Database!H:H,Database!E:E,TeamsNotUsed!$D44,Database!$A:$A,$O$5)),"")</f>
        <v/>
      </c>
      <c r="H44" s="12" t="str">
        <f>IFERROR(IF(TeamsNotUsed!$D44="","",SUMIFS(Database!I:I,Database!F:F,TeamsNotUsed!$D44,Database!$A:$A,$O$5)),"")</f>
        <v/>
      </c>
      <c r="I44" s="12" t="str">
        <f>IFERROR(IF(TeamsNotUsed!$D44="","",SUMIFS(Database!J:J,Database!G:G,TeamsNotUsed!$D44,Database!$A:$A,$O$5)),"")</f>
        <v/>
      </c>
      <c r="J44" s="12" t="str">
        <f>IFERROR(IF(TeamsNotUsed!$D44="","",SUMIFS(Database!K:K,Database!H:H,TeamsNotUsed!$D44,Database!$A:$A,$O$5)),"")</f>
        <v/>
      </c>
      <c r="K44" s="12" t="str">
        <f>IFERROR(IF(TeamsNotUsed!$D44="","",SUMIFS(Database!L:L,Database!I:I,TeamsNotUsed!$D44,Database!$A:$A,$O$5)),"")</f>
        <v/>
      </c>
      <c r="L44" s="12" t="str">
        <f>IFERROR(IF(TeamsNotUsed!$D44="","",SUMIFS(Database!M:M,Database!J:J,TeamsNotUsed!$D44,Database!$A:$A,$O$5)),"")</f>
        <v/>
      </c>
      <c r="M44" s="12" t="str">
        <f>IFERROR(IF(TeamsNotUsed!$D44="","",SUMIFS(Database!N:N,Database!K:K,TeamsNotUsed!$D44,Database!$A:$A,$O$5)),"")</f>
        <v/>
      </c>
      <c r="N44" s="12" t="str">
        <f>IFERROR(IF(TeamsNotUsed!$D44="","",SUMIFS(Database!O:O,Database!L:L,TeamsNotUsed!$D44,Database!$A:$A,$O$5)),"")</f>
        <v/>
      </c>
      <c r="O44" s="12" t="str">
        <f>IFERROR(IF(TeamsNotUsed!$D44="","",SUMIFS(Database!P:P,Database!M:M,TeamsNotUsed!$D44,Database!$A:$A,$O$5)),"")</f>
        <v/>
      </c>
      <c r="P44" s="12" t="str">
        <f>IFERROR(IF(TeamsNotUsed!$D44="","",SUMIFS(Database!Q:Q,Database!N:N,TeamsNotUsed!$D44,Database!$A:$A,$O$5)),"")</f>
        <v/>
      </c>
      <c r="Q44" s="13" t="str">
        <f>IFERROR(IF(TeamsNotUsed!$D44="","",TeamsNotUsed!$O44/TeamsNotUsed!$P44),"-")</f>
        <v/>
      </c>
      <c r="R44" s="12" t="str">
        <f>IFERROR(IF(TeamsNotUsed!$D44="","",SUMIFS(Database!S:S,Database!P:P,TeamsNotUsed!$D44,Database!$A:$A,$O$5)),"")</f>
        <v/>
      </c>
      <c r="S44" s="12" t="str">
        <f>IFERROR(IF(TeamsNotUsed!$D44="","",SUMIFS(Database!T:T,Database!Q:Q,TeamsNotUsed!$D44,Database!$A:$A,$O$5)),"")</f>
        <v/>
      </c>
      <c r="T44" s="13" t="str">
        <f>IFERROR(IF(TeamsNotUsed!$D44="","",TeamsNotUsed!$R44/TeamsNotUsed!$S44),"-")</f>
        <v/>
      </c>
      <c r="U44" s="12" t="str">
        <f>IFERROR(IF(TeamsNotUsed!$D44="","",SUMIFS(Database!V:V,Database!S:S,TeamsNotUsed!$D44,Database!$A:$A,$O$5)),"")</f>
        <v/>
      </c>
      <c r="V44" s="12" t="str">
        <f>IFERROR(IF(TeamsNotUsed!$D44="","",SUMIFS(Database!W:W,Database!T:T,TeamsNotUsed!$D44,Database!$A:$A,$O$5)),"")</f>
        <v/>
      </c>
      <c r="W44" s="45" t="str">
        <f>IFERROR(IF(TeamsNotUsed!$D44="","",TeamsNotUsed!$U44/TeamsNotUsed!$V44),"-")</f>
        <v/>
      </c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</row>
    <row r="45" spans="1:35" ht="16.5" thickTop="1" thickBot="1" x14ac:dyDescent="0.3">
      <c r="A45" s="23"/>
      <c r="B45" s="23"/>
      <c r="C45" s="62"/>
      <c r="D45" s="63" t="s">
        <v>96</v>
      </c>
      <c r="E45" s="51">
        <f>SUBTOTAL(104,TeamsNotUsed!$E$10:$E$18)</f>
        <v>0</v>
      </c>
      <c r="F45" s="51"/>
      <c r="G45" s="51">
        <f>SUBTOTAL(109,TeamsNotUsed!$G$10:$G$18)</f>
        <v>0</v>
      </c>
      <c r="H45" s="51">
        <f>SUBTOTAL(109,TeamsNotUsed!$H$10:$H$18)</f>
        <v>0</v>
      </c>
      <c r="I45" s="51">
        <f>SUBTOTAL(109,TeamsNotUsed!$I$10:$I$18)</f>
        <v>0</v>
      </c>
      <c r="J45" s="51">
        <f>SUBTOTAL(109,TeamsNotUsed!$J$10:$J$18)</f>
        <v>0</v>
      </c>
      <c r="K45" s="51">
        <f>SUBTOTAL(109,TeamsNotUsed!$K$10:$K$18)</f>
        <v>0</v>
      </c>
      <c r="L45" s="51">
        <f>SUBTOTAL(109,TeamsNotUsed!$L$10:$L$18)</f>
        <v>0</v>
      </c>
      <c r="M45" s="51">
        <f>SUBTOTAL(109,TeamsNotUsed!$M$10:$M$18)</f>
        <v>0</v>
      </c>
      <c r="N45" s="51">
        <f>SUBTOTAL(109,TeamsNotUsed!$N$10:$N$18)</f>
        <v>0</v>
      </c>
      <c r="O45" s="51">
        <f>SUBTOTAL(109,TeamsNotUsed!$O$10:$O$18)</f>
        <v>0</v>
      </c>
      <c r="P45" s="51">
        <f>SUBTOTAL(109,TeamsNotUsed!$P$10:$P$18)</f>
        <v>0</v>
      </c>
      <c r="Q45" s="52" t="str">
        <f>IFERROR(TeamsNotUsed!$O$19/TeamsNotUsed!$P$19,"-")</f>
        <v>-</v>
      </c>
      <c r="R45" s="51">
        <f>SUBTOTAL(109,TeamsNotUsed!$R$10:$R$18)</f>
        <v>0</v>
      </c>
      <c r="S45" s="51">
        <f>SUBTOTAL(109,TeamsNotUsed!$S$10:$S$18)</f>
        <v>0</v>
      </c>
      <c r="T45" s="52" t="str">
        <f>IFERROR(TeamsNotUsed!$R$19/TeamsNotUsed!$S$19,"-")</f>
        <v>-</v>
      </c>
      <c r="U45" s="51">
        <f>SUBTOTAL(109,TeamsNotUsed!$U$10:$U$18)</f>
        <v>0</v>
      </c>
      <c r="V45" s="51">
        <f>SUBTOTAL(109,TeamsNotUsed!$V$10:$V$18)</f>
        <v>0</v>
      </c>
      <c r="W45" s="53" t="str">
        <f>IFERROR(TeamsNotUsed!$U$19/TeamsNotUsed!$V$19,"-")</f>
        <v>-</v>
      </c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</row>
    <row r="46" spans="1:35" ht="15.75" thickBot="1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</row>
    <row r="47" spans="1:35" ht="15.75" thickBot="1" x14ac:dyDescent="0.3">
      <c r="A47" s="23"/>
      <c r="B47" s="23"/>
      <c r="C47" s="104" t="s">
        <v>39</v>
      </c>
      <c r="D47" s="70"/>
      <c r="E47" s="70"/>
      <c r="F47" s="70"/>
      <c r="G47" s="70" t="s">
        <v>105</v>
      </c>
      <c r="H47" s="70"/>
      <c r="I47" s="70"/>
      <c r="J47" s="70"/>
      <c r="K47" s="70"/>
      <c r="L47" s="70"/>
      <c r="M47" s="70"/>
      <c r="N47" s="70"/>
      <c r="O47" s="70"/>
      <c r="P47" s="70"/>
      <c r="Q47" s="71"/>
      <c r="R47" s="70"/>
      <c r="S47" s="70"/>
      <c r="T47" s="71"/>
      <c r="U47" s="70"/>
      <c r="V47" s="70"/>
      <c r="W47" s="72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</row>
    <row r="48" spans="1:35" ht="15.75" thickBot="1" x14ac:dyDescent="0.3">
      <c r="A48" s="23"/>
      <c r="B48" s="23"/>
      <c r="C48" s="54" t="s">
        <v>69</v>
      </c>
      <c r="D48" s="55" t="s">
        <v>0</v>
      </c>
      <c r="E48" s="55" t="s">
        <v>71</v>
      </c>
      <c r="F48" s="55" t="s">
        <v>70</v>
      </c>
      <c r="G48" s="55" t="s">
        <v>72</v>
      </c>
      <c r="H48" s="55" t="s">
        <v>73</v>
      </c>
      <c r="I48" s="55" t="s">
        <v>74</v>
      </c>
      <c r="J48" s="55" t="s">
        <v>75</v>
      </c>
      <c r="K48" s="55" t="s">
        <v>76</v>
      </c>
      <c r="L48" s="55" t="s">
        <v>77</v>
      </c>
      <c r="M48" s="55" t="s">
        <v>78</v>
      </c>
      <c r="N48" s="55" t="s">
        <v>79</v>
      </c>
      <c r="O48" s="55" t="s">
        <v>80</v>
      </c>
      <c r="P48" s="55" t="s">
        <v>81</v>
      </c>
      <c r="Q48" s="56" t="s">
        <v>82</v>
      </c>
      <c r="R48" s="55" t="s">
        <v>83</v>
      </c>
      <c r="S48" s="55" t="s">
        <v>84</v>
      </c>
      <c r="T48" s="56" t="s">
        <v>85</v>
      </c>
      <c r="U48" s="55" t="s">
        <v>86</v>
      </c>
      <c r="V48" s="55" t="s">
        <v>87</v>
      </c>
      <c r="W48" s="57" t="s">
        <v>88</v>
      </c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</row>
    <row r="49" spans="1:35" x14ac:dyDescent="0.25">
      <c r="A49" s="23"/>
      <c r="B49" s="23"/>
      <c r="C49" s="58"/>
      <c r="D49" s="68"/>
      <c r="E49" s="59" t="s">
        <v>157</v>
      </c>
      <c r="F49" s="59" t="str">
        <f>IF(TeamsNotUsed!$D49="","",$C$47)</f>
        <v/>
      </c>
      <c r="G49" s="59" t="str">
        <f>IFERROR(IF(TeamsNotUsed!$D49="","",SUMIFS(Database!H:H,Database!E:E,TeamsNotUsed!$D49,Database!$A:$A,$O$5)),"")</f>
        <v/>
      </c>
      <c r="H49" s="59" t="str">
        <f>IFERROR(IF(TeamsNotUsed!$D49="","",SUMIFS(Database!I:I,Database!F:F,TeamsNotUsed!$D49,Database!$A:$A,$O$5)),"")</f>
        <v/>
      </c>
      <c r="I49" s="59" t="str">
        <f>IFERROR(IF(TeamsNotUsed!$D49="","",SUMIFS(Database!J:J,Database!G:G,TeamsNotUsed!$D49,Database!$A:$A,$O$5)),"")</f>
        <v/>
      </c>
      <c r="J49" s="59" t="str">
        <f>IFERROR(IF(TeamsNotUsed!$D49="","",SUMIFS(Database!K:K,Database!H:H,TeamsNotUsed!$D49,Database!$A:$A,$O$5)),"")</f>
        <v/>
      </c>
      <c r="K49" s="59" t="str">
        <f>IFERROR(IF(TeamsNotUsed!$D49="","",SUMIFS(Database!L:L,Database!I:I,TeamsNotUsed!$D49,Database!$A:$A,$O$5)),"")</f>
        <v/>
      </c>
      <c r="L49" s="59" t="str">
        <f>IFERROR(IF(TeamsNotUsed!$D49="","",SUMIFS(Database!M:M,Database!J:J,TeamsNotUsed!$D49,Database!$A:$A,$O$5)),"")</f>
        <v/>
      </c>
      <c r="M49" s="59" t="str">
        <f>IFERROR(IF(TeamsNotUsed!$D49="","",SUMIFS(Database!N:N,Database!K:K,TeamsNotUsed!$D49,Database!$A:$A,$O$5)),"")</f>
        <v/>
      </c>
      <c r="N49" s="59" t="str">
        <f>IFERROR(IF(TeamsNotUsed!$D49="","",SUMIFS(Database!O:O,Database!L:L,TeamsNotUsed!$D49,Database!$A:$A,$O$5)),"")</f>
        <v/>
      </c>
      <c r="O49" s="59" t="str">
        <f>IFERROR(IF(TeamsNotUsed!$D49="","",SUMIFS(Database!P:P,Database!M:M,TeamsNotUsed!$D49,Database!$A:$A,$O$5)),"")</f>
        <v/>
      </c>
      <c r="P49" s="59" t="str">
        <f>IFERROR(IF(TeamsNotUsed!$D49="","",SUMIFS(Database!Q:Q,Database!N:N,TeamsNotUsed!$D49,Database!$A:$A,$O$5)),"")</f>
        <v/>
      </c>
      <c r="Q49" s="60" t="str">
        <f>IFERROR(IF(TeamsNotUsed!$D49="","",TeamsNotUsed!$O49/TeamsNotUsed!$P49),"-")</f>
        <v/>
      </c>
      <c r="R49" s="59" t="str">
        <f>IFERROR(IF(TeamsNotUsed!$D49="","",SUMIFS(Database!S:S,Database!P:P,TeamsNotUsed!$D49,Database!$A:$A,$O$5)),"")</f>
        <v/>
      </c>
      <c r="S49" s="59" t="str">
        <f>IFERROR(IF(TeamsNotUsed!$D49="","",SUMIFS(Database!T:T,Database!Q:Q,TeamsNotUsed!$D49,Database!$A:$A,$O$5)),"")</f>
        <v/>
      </c>
      <c r="T49" s="60" t="str">
        <f>IFERROR(IF(TeamsNotUsed!$D49="","",TeamsNotUsed!$R49/TeamsNotUsed!$S49),"-")</f>
        <v/>
      </c>
      <c r="U49" s="59" t="str">
        <f>IFERROR(IF(TeamsNotUsed!$D49="","",SUMIFS(Database!V:V,Database!S:S,TeamsNotUsed!$D49,Database!$A:$A,$O$5)),"")</f>
        <v/>
      </c>
      <c r="V49" s="59" t="str">
        <f>IFERROR(IF(TeamsNotUsed!$D49="","",SUMIFS(Database!W:W,Database!T:T,TeamsNotUsed!$D49,Database!$A:$A,$O$5)),"")</f>
        <v/>
      </c>
      <c r="W49" s="61" t="str">
        <f>IFERROR(IF(TeamsNotUsed!$D49="","",TeamsNotUsed!$U49/TeamsNotUsed!$V49),"-")</f>
        <v/>
      </c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</row>
    <row r="50" spans="1:35" x14ac:dyDescent="0.25">
      <c r="A50" s="23"/>
      <c r="B50" s="23"/>
      <c r="C50" s="43"/>
      <c r="D50" s="17"/>
      <c r="E50" s="11" t="s">
        <v>157</v>
      </c>
      <c r="F50" s="11" t="str">
        <f>IF(TeamsNotUsed!$D50="","",$C$47)</f>
        <v/>
      </c>
      <c r="G50" s="11" t="str">
        <f>IFERROR(IF(TeamsNotUsed!$D50="","",SUMIFS(Database!H:H,Database!E:E,TeamsNotUsed!$D50,Database!$A:$A,$O$5)),"")</f>
        <v/>
      </c>
      <c r="H50" s="11" t="str">
        <f>IFERROR(IF(TeamsNotUsed!$D50="","",SUMIFS(Database!I:I,Database!F:F,TeamsNotUsed!$D50,Database!$A:$A,$O$5)),"")</f>
        <v/>
      </c>
      <c r="I50" s="11" t="str">
        <f>IFERROR(IF(TeamsNotUsed!$D50="","",SUMIFS(Database!J:J,Database!G:G,TeamsNotUsed!$D50,Database!$A:$A,$O$5)),"")</f>
        <v/>
      </c>
      <c r="J50" s="11" t="str">
        <f>IFERROR(IF(TeamsNotUsed!$D50="","",SUMIFS(Database!K:K,Database!H:H,TeamsNotUsed!$D50,Database!$A:$A,$O$5)),"")</f>
        <v/>
      </c>
      <c r="K50" s="11" t="str">
        <f>IFERROR(IF(TeamsNotUsed!$D50="","",SUMIFS(Database!L:L,Database!I:I,TeamsNotUsed!$D50,Database!$A:$A,$O$5)),"")</f>
        <v/>
      </c>
      <c r="L50" s="11" t="str">
        <f>IFERROR(IF(TeamsNotUsed!$D50="","",SUMIFS(Database!M:M,Database!J:J,TeamsNotUsed!$D50,Database!$A:$A,$O$5)),"")</f>
        <v/>
      </c>
      <c r="M50" s="11" t="str">
        <f>IFERROR(IF(TeamsNotUsed!$D50="","",SUMIFS(Database!N:N,Database!K:K,TeamsNotUsed!$D50,Database!$A:$A,$O$5)),"")</f>
        <v/>
      </c>
      <c r="N50" s="11" t="str">
        <f>IFERROR(IF(TeamsNotUsed!$D50="","",SUMIFS(Database!O:O,Database!L:L,TeamsNotUsed!$D50,Database!$A:$A,$O$5)),"")</f>
        <v/>
      </c>
      <c r="O50" s="11" t="str">
        <f>IFERROR(IF(TeamsNotUsed!$D50="","",SUMIFS(Database!P:P,Database!M:M,TeamsNotUsed!$D50,Database!$A:$A,$O$5)),"")</f>
        <v/>
      </c>
      <c r="P50" s="11" t="str">
        <f>IFERROR(IF(TeamsNotUsed!$D50="","",SUMIFS(Database!Q:Q,Database!N:N,TeamsNotUsed!$D50,Database!$A:$A,$O$5)),"")</f>
        <v/>
      </c>
      <c r="Q50" s="14" t="str">
        <f>IFERROR(IF(TeamsNotUsed!$D50="","",TeamsNotUsed!$O50/TeamsNotUsed!$P50),"-")</f>
        <v/>
      </c>
      <c r="R50" s="11" t="str">
        <f>IFERROR(IF(TeamsNotUsed!$D50="","",SUMIFS(Database!S:S,Database!P:P,TeamsNotUsed!$D50,Database!$A:$A,$O$5)),"")</f>
        <v/>
      </c>
      <c r="S50" s="11" t="str">
        <f>IFERROR(IF(TeamsNotUsed!$D50="","",SUMIFS(Database!T:T,Database!Q:Q,TeamsNotUsed!$D50,Database!$A:$A,$O$5)),"")</f>
        <v/>
      </c>
      <c r="T50" s="14" t="str">
        <f>IFERROR(IF(TeamsNotUsed!$D50="","",TeamsNotUsed!$R50/TeamsNotUsed!$S50),"-")</f>
        <v/>
      </c>
      <c r="U50" s="11" t="str">
        <f>IFERROR(IF(TeamsNotUsed!$D50="","",SUMIFS(Database!V:V,Database!S:S,TeamsNotUsed!$D50,Database!$A:$A,$O$5)),"")</f>
        <v/>
      </c>
      <c r="V50" s="11" t="str">
        <f>IFERROR(IF(TeamsNotUsed!$D50="","",SUMIFS(Database!W:W,Database!T:T,TeamsNotUsed!$D50,Database!$A:$A,$O$5)),"")</f>
        <v/>
      </c>
      <c r="W50" s="46" t="str">
        <f>IFERROR(IF(TeamsNotUsed!$D50="","",TeamsNotUsed!$U50/TeamsNotUsed!$V50),"-")</f>
        <v/>
      </c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</row>
    <row r="51" spans="1:35" x14ac:dyDescent="0.25">
      <c r="A51" s="23"/>
      <c r="B51" s="23"/>
      <c r="C51" s="44"/>
      <c r="D51" s="17"/>
      <c r="E51" s="12" t="s">
        <v>157</v>
      </c>
      <c r="F51" s="12" t="str">
        <f>IF(TeamsNotUsed!$D51="","",$C$47)</f>
        <v/>
      </c>
      <c r="G51" s="12" t="str">
        <f>IFERROR(IF(TeamsNotUsed!$D51="","",SUMIFS(Database!H:H,Database!E:E,TeamsNotUsed!$D51,Database!$A:$A,$O$5)),"")</f>
        <v/>
      </c>
      <c r="H51" s="12" t="str">
        <f>IFERROR(IF(TeamsNotUsed!$D51="","",SUMIFS(Database!I:I,Database!F:F,TeamsNotUsed!$D51,Database!$A:$A,$O$5)),"")</f>
        <v/>
      </c>
      <c r="I51" s="12" t="str">
        <f>IFERROR(IF(TeamsNotUsed!$D51="","",SUMIFS(Database!J:J,Database!G:G,TeamsNotUsed!$D51,Database!$A:$A,$O$5)),"")</f>
        <v/>
      </c>
      <c r="J51" s="12" t="str">
        <f>IFERROR(IF(TeamsNotUsed!$D51="","",SUMIFS(Database!K:K,Database!H:H,TeamsNotUsed!$D51,Database!$A:$A,$O$5)),"")</f>
        <v/>
      </c>
      <c r="K51" s="12" t="str">
        <f>IFERROR(IF(TeamsNotUsed!$D51="","",SUMIFS(Database!L:L,Database!I:I,TeamsNotUsed!$D51,Database!$A:$A,$O$5)),"")</f>
        <v/>
      </c>
      <c r="L51" s="12" t="str">
        <f>IFERROR(IF(TeamsNotUsed!$D51="","",SUMIFS(Database!M:M,Database!J:J,TeamsNotUsed!$D51,Database!$A:$A,$O$5)),"")</f>
        <v/>
      </c>
      <c r="M51" s="12" t="str">
        <f>IFERROR(IF(TeamsNotUsed!$D51="","",SUMIFS(Database!N:N,Database!K:K,TeamsNotUsed!$D51,Database!$A:$A,$O$5)),"")</f>
        <v/>
      </c>
      <c r="N51" s="12" t="str">
        <f>IFERROR(IF(TeamsNotUsed!$D51="","",SUMIFS(Database!O:O,Database!L:L,TeamsNotUsed!$D51,Database!$A:$A,$O$5)),"")</f>
        <v/>
      </c>
      <c r="O51" s="12" t="str">
        <f>IFERROR(IF(TeamsNotUsed!$D51="","",SUMIFS(Database!P:P,Database!M:M,TeamsNotUsed!$D51,Database!$A:$A,$O$5)),"")</f>
        <v/>
      </c>
      <c r="P51" s="12" t="str">
        <f>IFERROR(IF(TeamsNotUsed!$D51="","",SUMIFS(Database!Q:Q,Database!N:N,TeamsNotUsed!$D51,Database!$A:$A,$O$5)),"")</f>
        <v/>
      </c>
      <c r="Q51" s="13" t="str">
        <f>IFERROR(IF(TeamsNotUsed!$D51="","",TeamsNotUsed!$O51/TeamsNotUsed!$P51),"-")</f>
        <v/>
      </c>
      <c r="R51" s="12" t="str">
        <f>IFERROR(IF(TeamsNotUsed!$D51="","",SUMIFS(Database!S:S,Database!P:P,TeamsNotUsed!$D51,Database!$A:$A,$O$5)),"")</f>
        <v/>
      </c>
      <c r="S51" s="12" t="str">
        <f>IFERROR(IF(TeamsNotUsed!$D51="","",SUMIFS(Database!T:T,Database!Q:Q,TeamsNotUsed!$D51,Database!$A:$A,$O$5)),"")</f>
        <v/>
      </c>
      <c r="T51" s="13" t="str">
        <f>IFERROR(IF(TeamsNotUsed!$D51="","",TeamsNotUsed!$R51/TeamsNotUsed!$S51),"-")</f>
        <v/>
      </c>
      <c r="U51" s="12" t="str">
        <f>IFERROR(IF(TeamsNotUsed!$D51="","",SUMIFS(Database!V:V,Database!S:S,TeamsNotUsed!$D51,Database!$A:$A,$O$5)),"")</f>
        <v/>
      </c>
      <c r="V51" s="12" t="str">
        <f>IFERROR(IF(TeamsNotUsed!$D51="","",SUMIFS(Database!W:W,Database!T:T,TeamsNotUsed!$D51,Database!$A:$A,$O$5)),"")</f>
        <v/>
      </c>
      <c r="W51" s="45" t="str">
        <f>IFERROR(IF(TeamsNotUsed!$D51="","",TeamsNotUsed!$U51/TeamsNotUsed!$V51),"-")</f>
        <v/>
      </c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</row>
    <row r="52" spans="1:35" x14ac:dyDescent="0.25">
      <c r="A52" s="23"/>
      <c r="B52" s="23"/>
      <c r="C52" s="43"/>
      <c r="D52" s="17"/>
      <c r="E52" s="11" t="s">
        <v>157</v>
      </c>
      <c r="F52" s="11" t="str">
        <f>IF(TeamsNotUsed!$D52="","",$C$47)</f>
        <v/>
      </c>
      <c r="G52" s="11" t="str">
        <f>IFERROR(IF(TeamsNotUsed!$D52="","",SUMIFS(Database!H:H,Database!E:E,TeamsNotUsed!$D52,Database!$A:$A,$O$5)),"")</f>
        <v/>
      </c>
      <c r="H52" s="11" t="str">
        <f>IFERROR(IF(TeamsNotUsed!$D52="","",SUMIFS(Database!I:I,Database!F:F,TeamsNotUsed!$D52,Database!$A:$A,$O$5)),"")</f>
        <v/>
      </c>
      <c r="I52" s="11" t="str">
        <f>IFERROR(IF(TeamsNotUsed!$D52="","",SUMIFS(Database!J:J,Database!G:G,TeamsNotUsed!$D52,Database!$A:$A,$O$5)),"")</f>
        <v/>
      </c>
      <c r="J52" s="11" t="str">
        <f>IFERROR(IF(TeamsNotUsed!$D52="","",SUMIFS(Database!K:K,Database!H:H,TeamsNotUsed!$D52,Database!$A:$A,$O$5)),"")</f>
        <v/>
      </c>
      <c r="K52" s="11" t="str">
        <f>IFERROR(IF(TeamsNotUsed!$D52="","",SUMIFS(Database!L:L,Database!I:I,TeamsNotUsed!$D52,Database!$A:$A,$O$5)),"")</f>
        <v/>
      </c>
      <c r="L52" s="11" t="str">
        <f>IFERROR(IF(TeamsNotUsed!$D52="","",SUMIFS(Database!M:M,Database!J:J,TeamsNotUsed!$D52,Database!$A:$A,$O$5)),"")</f>
        <v/>
      </c>
      <c r="M52" s="11" t="str">
        <f>IFERROR(IF(TeamsNotUsed!$D52="","",SUMIFS(Database!N:N,Database!K:K,TeamsNotUsed!$D52,Database!$A:$A,$O$5)),"")</f>
        <v/>
      </c>
      <c r="N52" s="11" t="str">
        <f>IFERROR(IF(TeamsNotUsed!$D52="","",SUMIFS(Database!O:O,Database!L:L,TeamsNotUsed!$D52,Database!$A:$A,$O$5)),"")</f>
        <v/>
      </c>
      <c r="O52" s="11" t="str">
        <f>IFERROR(IF(TeamsNotUsed!$D52="","",SUMIFS(Database!P:P,Database!M:M,TeamsNotUsed!$D52,Database!$A:$A,$O$5)),"")</f>
        <v/>
      </c>
      <c r="P52" s="11" t="str">
        <f>IFERROR(IF(TeamsNotUsed!$D52="","",SUMIFS(Database!Q:Q,Database!N:N,TeamsNotUsed!$D52,Database!$A:$A,$O$5)),"")</f>
        <v/>
      </c>
      <c r="Q52" s="14" t="str">
        <f>IFERROR(IF(TeamsNotUsed!$D52="","",TeamsNotUsed!$O52/TeamsNotUsed!$P52),"-")</f>
        <v/>
      </c>
      <c r="R52" s="11" t="str">
        <f>IFERROR(IF(TeamsNotUsed!$D52="","",SUMIFS(Database!S:S,Database!P:P,TeamsNotUsed!$D52,Database!$A:$A,$O$5)),"")</f>
        <v/>
      </c>
      <c r="S52" s="11" t="str">
        <f>IFERROR(IF(TeamsNotUsed!$D52="","",SUMIFS(Database!T:T,Database!Q:Q,TeamsNotUsed!$D52,Database!$A:$A,$O$5)),"")</f>
        <v/>
      </c>
      <c r="T52" s="14" t="str">
        <f>IFERROR(IF(TeamsNotUsed!$D52="","",TeamsNotUsed!$R52/TeamsNotUsed!$S52),"-")</f>
        <v/>
      </c>
      <c r="U52" s="11" t="str">
        <f>IFERROR(IF(TeamsNotUsed!$D52="","",SUMIFS(Database!V:V,Database!S:S,TeamsNotUsed!$D52,Database!$A:$A,$O$5)),"")</f>
        <v/>
      </c>
      <c r="V52" s="11" t="str">
        <f>IFERROR(IF(TeamsNotUsed!$D52="","",SUMIFS(Database!W:W,Database!T:T,TeamsNotUsed!$D52,Database!$A:$A,$O$5)),"")</f>
        <v/>
      </c>
      <c r="W52" s="46" t="str">
        <f>IFERROR(IF(TeamsNotUsed!$D52="","",TeamsNotUsed!$U52/TeamsNotUsed!$V52),"-")</f>
        <v/>
      </c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</row>
    <row r="53" spans="1:35" x14ac:dyDescent="0.25">
      <c r="A53" s="23"/>
      <c r="B53" s="23"/>
      <c r="C53" s="44"/>
      <c r="D53" s="69"/>
      <c r="E53" s="12" t="s">
        <v>157</v>
      </c>
      <c r="F53" s="12" t="str">
        <f>IF(TeamsNotUsed!$D53="","",$C$47)</f>
        <v/>
      </c>
      <c r="G53" s="12" t="str">
        <f>IFERROR(IF(TeamsNotUsed!$D53="","",SUMIFS(Database!H:H,Database!E:E,TeamsNotUsed!$D53,Database!$A:$A,$O$5)),"")</f>
        <v/>
      </c>
      <c r="H53" s="12" t="str">
        <f>IFERROR(IF(TeamsNotUsed!$D53="","",SUMIFS(Database!I:I,Database!F:F,TeamsNotUsed!$D53,Database!$A:$A,$O$5)),"")</f>
        <v/>
      </c>
      <c r="I53" s="12" t="str">
        <f>IFERROR(IF(TeamsNotUsed!$D53="","",SUMIFS(Database!J:J,Database!G:G,TeamsNotUsed!$D53,Database!$A:$A,$O$5)),"")</f>
        <v/>
      </c>
      <c r="J53" s="12" t="str">
        <f>IFERROR(IF(TeamsNotUsed!$D53="","",SUMIFS(Database!K:K,Database!H:H,TeamsNotUsed!$D53,Database!$A:$A,$O$5)),"")</f>
        <v/>
      </c>
      <c r="K53" s="12" t="str">
        <f>IFERROR(IF(TeamsNotUsed!$D53="","",SUMIFS(Database!L:L,Database!I:I,TeamsNotUsed!$D53,Database!$A:$A,$O$5)),"")</f>
        <v/>
      </c>
      <c r="L53" s="12" t="str">
        <f>IFERROR(IF(TeamsNotUsed!$D53="","",SUMIFS(Database!M:M,Database!J:J,TeamsNotUsed!$D53,Database!$A:$A,$O$5)),"")</f>
        <v/>
      </c>
      <c r="M53" s="12" t="str">
        <f>IFERROR(IF(TeamsNotUsed!$D53="","",SUMIFS(Database!N:N,Database!K:K,TeamsNotUsed!$D53,Database!$A:$A,$O$5)),"")</f>
        <v/>
      </c>
      <c r="N53" s="12" t="str">
        <f>IFERROR(IF(TeamsNotUsed!$D53="","",SUMIFS(Database!O:O,Database!L:L,TeamsNotUsed!$D53,Database!$A:$A,$O$5)),"")</f>
        <v/>
      </c>
      <c r="O53" s="12" t="str">
        <f>IFERROR(IF(TeamsNotUsed!$D53="","",SUMIFS(Database!P:P,Database!M:M,TeamsNotUsed!$D53,Database!$A:$A,$O$5)),"")</f>
        <v/>
      </c>
      <c r="P53" s="12" t="str">
        <f>IFERROR(IF(TeamsNotUsed!$D53="","",SUMIFS(Database!Q:Q,Database!N:N,TeamsNotUsed!$D53,Database!$A:$A,$O$5)),"")</f>
        <v/>
      </c>
      <c r="Q53" s="13" t="str">
        <f>IFERROR(IF(TeamsNotUsed!$D53="","",TeamsNotUsed!$O53/TeamsNotUsed!$P53),"-")</f>
        <v/>
      </c>
      <c r="R53" s="12" t="str">
        <f>IFERROR(IF(TeamsNotUsed!$D53="","",SUMIFS(Database!S:S,Database!P:P,TeamsNotUsed!$D53,Database!$A:$A,$O$5)),"")</f>
        <v/>
      </c>
      <c r="S53" s="12" t="str">
        <f>IFERROR(IF(TeamsNotUsed!$D53="","",SUMIFS(Database!T:T,Database!Q:Q,TeamsNotUsed!$D53,Database!$A:$A,$O$5)),"")</f>
        <v/>
      </c>
      <c r="T53" s="13" t="str">
        <f>IFERROR(IF(TeamsNotUsed!$D53="","",TeamsNotUsed!$R53/TeamsNotUsed!$S53),"-")</f>
        <v/>
      </c>
      <c r="U53" s="12" t="str">
        <f>IFERROR(IF(TeamsNotUsed!$D53="","",SUMIFS(Database!V:V,Database!S:S,TeamsNotUsed!$D53,Database!$A:$A,$O$5)),"")</f>
        <v/>
      </c>
      <c r="V53" s="12" t="str">
        <f>IFERROR(IF(TeamsNotUsed!$D53="","",SUMIFS(Database!W:W,Database!T:T,TeamsNotUsed!$D53,Database!$A:$A,$O$5)),"")</f>
        <v/>
      </c>
      <c r="W53" s="45" t="str">
        <f>IFERROR(IF(TeamsNotUsed!$D53="","",TeamsNotUsed!$U53/TeamsNotUsed!$V53),"-")</f>
        <v/>
      </c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</row>
    <row r="54" spans="1:35" x14ac:dyDescent="0.25">
      <c r="A54" s="23"/>
      <c r="B54" s="23"/>
      <c r="C54" s="43"/>
      <c r="D54" s="17"/>
      <c r="E54" s="11" t="s">
        <v>157</v>
      </c>
      <c r="F54" s="11" t="str">
        <f>IF(TeamsNotUsed!$D54="","",$C$47)</f>
        <v/>
      </c>
      <c r="G54" s="11" t="str">
        <f>IFERROR(IF(TeamsNotUsed!$D54="","",SUMIFS(Database!H:H,Database!E:E,TeamsNotUsed!$D54,Database!$A:$A,$O$5)),"")</f>
        <v/>
      </c>
      <c r="H54" s="11" t="str">
        <f>IFERROR(IF(TeamsNotUsed!$D54="","",SUMIFS(Database!I:I,Database!F:F,TeamsNotUsed!$D54,Database!$A:$A,$O$5)),"")</f>
        <v/>
      </c>
      <c r="I54" s="11" t="str">
        <f>IFERROR(IF(TeamsNotUsed!$D54="","",SUMIFS(Database!J:J,Database!G:G,TeamsNotUsed!$D54,Database!$A:$A,$O$5)),"")</f>
        <v/>
      </c>
      <c r="J54" s="11" t="str">
        <f>IFERROR(IF(TeamsNotUsed!$D54="","",SUMIFS(Database!K:K,Database!H:H,TeamsNotUsed!$D54,Database!$A:$A,$O$5)),"")</f>
        <v/>
      </c>
      <c r="K54" s="11" t="str">
        <f>IFERROR(IF(TeamsNotUsed!$D54="","",SUMIFS(Database!L:L,Database!I:I,TeamsNotUsed!$D54,Database!$A:$A,$O$5)),"")</f>
        <v/>
      </c>
      <c r="L54" s="11" t="str">
        <f>IFERROR(IF(TeamsNotUsed!$D54="","",SUMIFS(Database!M:M,Database!J:J,TeamsNotUsed!$D54,Database!$A:$A,$O$5)),"")</f>
        <v/>
      </c>
      <c r="M54" s="11" t="str">
        <f>IFERROR(IF(TeamsNotUsed!$D54="","",SUMIFS(Database!N:N,Database!K:K,TeamsNotUsed!$D54,Database!$A:$A,$O$5)),"")</f>
        <v/>
      </c>
      <c r="N54" s="11" t="str">
        <f>IFERROR(IF(TeamsNotUsed!$D54="","",SUMIFS(Database!O:O,Database!L:L,TeamsNotUsed!$D54,Database!$A:$A,$O$5)),"")</f>
        <v/>
      </c>
      <c r="O54" s="11" t="str">
        <f>IFERROR(IF(TeamsNotUsed!$D54="","",SUMIFS(Database!P:P,Database!M:M,TeamsNotUsed!$D54,Database!$A:$A,$O$5)),"")</f>
        <v/>
      </c>
      <c r="P54" s="11" t="str">
        <f>IFERROR(IF(TeamsNotUsed!$D54="","",SUMIFS(Database!Q:Q,Database!N:N,TeamsNotUsed!$D54,Database!$A:$A,$O$5)),"")</f>
        <v/>
      </c>
      <c r="Q54" s="14" t="str">
        <f>IFERROR(IF(TeamsNotUsed!$D54="","",TeamsNotUsed!$O54/TeamsNotUsed!$P54),"-")</f>
        <v/>
      </c>
      <c r="R54" s="11" t="str">
        <f>IFERROR(IF(TeamsNotUsed!$D54="","",SUMIFS(Database!S:S,Database!P:P,TeamsNotUsed!$D54,Database!$A:$A,$O$5)),"")</f>
        <v/>
      </c>
      <c r="S54" s="11" t="str">
        <f>IFERROR(IF(TeamsNotUsed!$D54="","",SUMIFS(Database!T:T,Database!Q:Q,TeamsNotUsed!$D54,Database!$A:$A,$O$5)),"")</f>
        <v/>
      </c>
      <c r="T54" s="14" t="str">
        <f>IFERROR(IF(TeamsNotUsed!$D54="","",TeamsNotUsed!$R54/TeamsNotUsed!$S54),"-")</f>
        <v/>
      </c>
      <c r="U54" s="11" t="str">
        <f>IFERROR(IF(TeamsNotUsed!$D54="","",SUMIFS(Database!V:V,Database!S:S,TeamsNotUsed!$D54,Database!$A:$A,$O$5)),"")</f>
        <v/>
      </c>
      <c r="V54" s="11" t="str">
        <f>IFERROR(IF(TeamsNotUsed!$D54="","",SUMIFS(Database!W:W,Database!T:T,TeamsNotUsed!$D54,Database!$A:$A,$O$5)),"")</f>
        <v/>
      </c>
      <c r="W54" s="46" t="str">
        <f>IFERROR(IF(TeamsNotUsed!$D54="","",TeamsNotUsed!$U54/TeamsNotUsed!$V54),"-")</f>
        <v/>
      </c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</row>
    <row r="55" spans="1:35" x14ac:dyDescent="0.25">
      <c r="A55" s="23"/>
      <c r="B55" s="23"/>
      <c r="C55" s="44"/>
      <c r="D55" s="17"/>
      <c r="E55" s="12" t="s">
        <v>157</v>
      </c>
      <c r="F55" s="12" t="str">
        <f>IF(TeamsNotUsed!$D55="","",$C$47)</f>
        <v/>
      </c>
      <c r="G55" s="12" t="str">
        <f>IFERROR(IF(TeamsNotUsed!$D55="","",SUMIFS(Database!H:H,Database!E:E,TeamsNotUsed!$D55,Database!$A:$A,$O$5)),"")</f>
        <v/>
      </c>
      <c r="H55" s="12" t="str">
        <f>IFERROR(IF(TeamsNotUsed!$D55="","",SUMIFS(Database!I:I,Database!F:F,TeamsNotUsed!$D55,Database!$A:$A,$O$5)),"")</f>
        <v/>
      </c>
      <c r="I55" s="12" t="str">
        <f>IFERROR(IF(TeamsNotUsed!$D55="","",SUMIFS(Database!J:J,Database!G:G,TeamsNotUsed!$D55,Database!$A:$A,$O$5)),"")</f>
        <v/>
      </c>
      <c r="J55" s="12" t="str">
        <f>IFERROR(IF(TeamsNotUsed!$D55="","",SUMIFS(Database!K:K,Database!H:H,TeamsNotUsed!$D55,Database!$A:$A,$O$5)),"")</f>
        <v/>
      </c>
      <c r="K55" s="12" t="str">
        <f>IFERROR(IF(TeamsNotUsed!$D55="","",SUMIFS(Database!L:L,Database!I:I,TeamsNotUsed!$D55,Database!$A:$A,$O$5)),"")</f>
        <v/>
      </c>
      <c r="L55" s="12" t="str">
        <f>IFERROR(IF(TeamsNotUsed!$D55="","",SUMIFS(Database!M:M,Database!J:J,TeamsNotUsed!$D55,Database!$A:$A,$O$5)),"")</f>
        <v/>
      </c>
      <c r="M55" s="12" t="str">
        <f>IFERROR(IF(TeamsNotUsed!$D55="","",SUMIFS(Database!N:N,Database!K:K,TeamsNotUsed!$D55,Database!$A:$A,$O$5)),"")</f>
        <v/>
      </c>
      <c r="N55" s="12" t="str">
        <f>IFERROR(IF(TeamsNotUsed!$D55="","",SUMIFS(Database!O:O,Database!L:L,TeamsNotUsed!$D55,Database!$A:$A,$O$5)),"")</f>
        <v/>
      </c>
      <c r="O55" s="12" t="str">
        <f>IFERROR(IF(TeamsNotUsed!$D55="","",SUMIFS(Database!P:P,Database!M:M,TeamsNotUsed!$D55,Database!$A:$A,$O$5)),"")</f>
        <v/>
      </c>
      <c r="P55" s="12" t="str">
        <f>IFERROR(IF(TeamsNotUsed!$D55="","",SUMIFS(Database!Q:Q,Database!N:N,TeamsNotUsed!$D55,Database!$A:$A,$O$5)),"")</f>
        <v/>
      </c>
      <c r="Q55" s="13" t="str">
        <f>IFERROR(IF(TeamsNotUsed!$D55="","",TeamsNotUsed!$O55/TeamsNotUsed!$P55),"-")</f>
        <v/>
      </c>
      <c r="R55" s="12" t="str">
        <f>IFERROR(IF(TeamsNotUsed!$D55="","",SUMIFS(Database!S:S,Database!P:P,TeamsNotUsed!$D55,Database!$A:$A,$O$5)),"")</f>
        <v/>
      </c>
      <c r="S55" s="12" t="str">
        <f>IFERROR(IF(TeamsNotUsed!$D55="","",SUMIFS(Database!T:T,Database!Q:Q,TeamsNotUsed!$D55,Database!$A:$A,$O$5)),"")</f>
        <v/>
      </c>
      <c r="T55" s="13" t="str">
        <f>IFERROR(IF(TeamsNotUsed!$D55="","",TeamsNotUsed!$R55/TeamsNotUsed!$S55),"-")</f>
        <v/>
      </c>
      <c r="U55" s="12" t="str">
        <f>IFERROR(IF(TeamsNotUsed!$D55="","",SUMIFS(Database!V:V,Database!S:S,TeamsNotUsed!$D55,Database!$A:$A,$O$5)),"")</f>
        <v/>
      </c>
      <c r="V55" s="12" t="str">
        <f>IFERROR(IF(TeamsNotUsed!$D55="","",SUMIFS(Database!W:W,Database!T:T,TeamsNotUsed!$D55,Database!$A:$A,$O$5)),"")</f>
        <v/>
      </c>
      <c r="W55" s="45" t="str">
        <f>IFERROR(IF(TeamsNotUsed!$D55="","",TeamsNotUsed!$U55/TeamsNotUsed!$V55),"-")</f>
        <v/>
      </c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</row>
    <row r="56" spans="1:35" x14ac:dyDescent="0.25">
      <c r="A56" s="23"/>
      <c r="B56" s="23"/>
      <c r="C56" s="43"/>
      <c r="D56" s="17"/>
      <c r="E56" s="11" t="s">
        <v>157</v>
      </c>
      <c r="F56" s="11" t="str">
        <f>IF(TeamsNotUsed!$D56="","",$C$47)</f>
        <v/>
      </c>
      <c r="G56" s="11" t="str">
        <f>IFERROR(IF(TeamsNotUsed!$D56="","",SUMIFS(Database!H:H,Database!E:E,TeamsNotUsed!$D56,Database!$A:$A,$O$5)),"")</f>
        <v/>
      </c>
      <c r="H56" s="11" t="str">
        <f>IFERROR(IF(TeamsNotUsed!$D56="","",SUMIFS(Database!I:I,Database!F:F,TeamsNotUsed!$D56,Database!$A:$A,$O$5)),"")</f>
        <v/>
      </c>
      <c r="I56" s="11" t="str">
        <f>IFERROR(IF(TeamsNotUsed!$D56="","",SUMIFS(Database!J:J,Database!G:G,TeamsNotUsed!$D56,Database!$A:$A,$O$5)),"")</f>
        <v/>
      </c>
      <c r="J56" s="11" t="str">
        <f>IFERROR(IF(TeamsNotUsed!$D56="","",SUMIFS(Database!K:K,Database!H:H,TeamsNotUsed!$D56,Database!$A:$A,$O$5)),"")</f>
        <v/>
      </c>
      <c r="K56" s="11" t="str">
        <f>IFERROR(IF(TeamsNotUsed!$D56="","",SUMIFS(Database!L:L,Database!I:I,TeamsNotUsed!$D56,Database!$A:$A,$O$5)),"")</f>
        <v/>
      </c>
      <c r="L56" s="11" t="str">
        <f>IFERROR(IF(TeamsNotUsed!$D56="","",SUMIFS(Database!M:M,Database!J:J,TeamsNotUsed!$D56,Database!$A:$A,$O$5)),"")</f>
        <v/>
      </c>
      <c r="M56" s="11" t="str">
        <f>IFERROR(IF(TeamsNotUsed!$D56="","",SUMIFS(Database!N:N,Database!K:K,TeamsNotUsed!$D56,Database!$A:$A,$O$5)),"")</f>
        <v/>
      </c>
      <c r="N56" s="11" t="str">
        <f>IFERROR(IF(TeamsNotUsed!$D56="","",SUMIFS(Database!O:O,Database!L:L,TeamsNotUsed!$D56,Database!$A:$A,$O$5)),"")</f>
        <v/>
      </c>
      <c r="O56" s="11" t="str">
        <f>IFERROR(IF(TeamsNotUsed!$D56="","",SUMIFS(Database!P:P,Database!M:M,TeamsNotUsed!$D56,Database!$A:$A,$O$5)),"")</f>
        <v/>
      </c>
      <c r="P56" s="11" t="str">
        <f>IFERROR(IF(TeamsNotUsed!$D56="","",SUMIFS(Database!Q:Q,Database!N:N,TeamsNotUsed!$D56,Database!$A:$A,$O$5)),"")</f>
        <v/>
      </c>
      <c r="Q56" s="14" t="str">
        <f>IFERROR(IF(TeamsNotUsed!$D56="","",TeamsNotUsed!$O56/TeamsNotUsed!$P56),"-")</f>
        <v/>
      </c>
      <c r="R56" s="11" t="str">
        <f>IFERROR(IF(TeamsNotUsed!$D56="","",SUMIFS(Database!S:S,Database!P:P,TeamsNotUsed!$D56,Database!$A:$A,$O$5)),"")</f>
        <v/>
      </c>
      <c r="S56" s="11" t="str">
        <f>IFERROR(IF(TeamsNotUsed!$D56="","",SUMIFS(Database!T:T,Database!Q:Q,TeamsNotUsed!$D56,Database!$A:$A,$O$5)),"")</f>
        <v/>
      </c>
      <c r="T56" s="14" t="str">
        <f>IFERROR(IF(TeamsNotUsed!$D56="","",TeamsNotUsed!$R56/TeamsNotUsed!$S56),"-")</f>
        <v/>
      </c>
      <c r="U56" s="11" t="str">
        <f>IFERROR(IF(TeamsNotUsed!$D56="","",SUMIFS(Database!V:V,Database!S:S,TeamsNotUsed!$D56,Database!$A:$A,$O$5)),"")</f>
        <v/>
      </c>
      <c r="V56" s="11" t="str">
        <f>IFERROR(IF(TeamsNotUsed!$D56="","",SUMIFS(Database!W:W,Database!T:T,TeamsNotUsed!$D56,Database!$A:$A,$O$5)),"")</f>
        <v/>
      </c>
      <c r="W56" s="46" t="str">
        <f>IFERROR(IF(TeamsNotUsed!$D56="","",TeamsNotUsed!$U56/TeamsNotUsed!$V56),"-")</f>
        <v/>
      </c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</row>
    <row r="57" spans="1:35" ht="15.75" thickBot="1" x14ac:dyDescent="0.3">
      <c r="A57" s="23"/>
      <c r="B57" s="23"/>
      <c r="C57" s="44"/>
      <c r="D57" s="17"/>
      <c r="E57" s="12" t="s">
        <v>157</v>
      </c>
      <c r="F57" s="12" t="str">
        <f>IF(TeamsNotUsed!$D57="","",$C$47)</f>
        <v/>
      </c>
      <c r="G57" s="12" t="str">
        <f>IFERROR(IF(TeamsNotUsed!$D57="","",SUMIFS(Database!H:H,Database!E:E,TeamsNotUsed!$D57,Database!$A:$A,$O$5)),"")</f>
        <v/>
      </c>
      <c r="H57" s="12" t="str">
        <f>IFERROR(IF(TeamsNotUsed!$D57="","",SUMIFS(Database!I:I,Database!F:F,TeamsNotUsed!$D57,Database!$A:$A,$O$5)),"")</f>
        <v/>
      </c>
      <c r="I57" s="12" t="str">
        <f>IFERROR(IF(TeamsNotUsed!$D57="","",SUMIFS(Database!J:J,Database!G:G,TeamsNotUsed!$D57,Database!$A:$A,$O$5)),"")</f>
        <v/>
      </c>
      <c r="J57" s="12" t="str">
        <f>IFERROR(IF(TeamsNotUsed!$D57="","",SUMIFS(Database!K:K,Database!H:H,TeamsNotUsed!$D57,Database!$A:$A,$O$5)),"")</f>
        <v/>
      </c>
      <c r="K57" s="12" t="str">
        <f>IFERROR(IF(TeamsNotUsed!$D57="","",SUMIFS(Database!L:L,Database!I:I,TeamsNotUsed!$D57,Database!$A:$A,$O$5)),"")</f>
        <v/>
      </c>
      <c r="L57" s="12" t="str">
        <f>IFERROR(IF(TeamsNotUsed!$D57="","",SUMIFS(Database!M:M,Database!J:J,TeamsNotUsed!$D57,Database!$A:$A,$O$5)),"")</f>
        <v/>
      </c>
      <c r="M57" s="12" t="str">
        <f>IFERROR(IF(TeamsNotUsed!$D57="","",SUMIFS(Database!N:N,Database!K:K,TeamsNotUsed!$D57,Database!$A:$A,$O$5)),"")</f>
        <v/>
      </c>
      <c r="N57" s="12" t="str">
        <f>IFERROR(IF(TeamsNotUsed!$D57="","",SUMIFS(Database!O:O,Database!L:L,TeamsNotUsed!$D57,Database!$A:$A,$O$5)),"")</f>
        <v/>
      </c>
      <c r="O57" s="12" t="str">
        <f>IFERROR(IF(TeamsNotUsed!$D57="","",SUMIFS(Database!P:P,Database!M:M,TeamsNotUsed!$D57,Database!$A:$A,$O$5)),"")</f>
        <v/>
      </c>
      <c r="P57" s="12" t="str">
        <f>IFERROR(IF(TeamsNotUsed!$D57="","",SUMIFS(Database!Q:Q,Database!N:N,TeamsNotUsed!$D57,Database!$A:$A,$O$5)),"")</f>
        <v/>
      </c>
      <c r="Q57" s="13" t="str">
        <f>IFERROR(IF(TeamsNotUsed!$D57="","",TeamsNotUsed!$O57/TeamsNotUsed!$P57),"-")</f>
        <v/>
      </c>
      <c r="R57" s="12" t="str">
        <f>IFERROR(IF(TeamsNotUsed!$D57="","",SUMIFS(Database!S:S,Database!P:P,TeamsNotUsed!$D57,Database!$A:$A,$O$5)),"")</f>
        <v/>
      </c>
      <c r="S57" s="12" t="str">
        <f>IFERROR(IF(TeamsNotUsed!$D57="","",SUMIFS(Database!T:T,Database!Q:Q,TeamsNotUsed!$D57,Database!$A:$A,$O$5)),"")</f>
        <v/>
      </c>
      <c r="T57" s="13" t="str">
        <f>IFERROR(IF(TeamsNotUsed!$D57="","",TeamsNotUsed!$R57/TeamsNotUsed!$S57),"-")</f>
        <v/>
      </c>
      <c r="U57" s="12" t="str">
        <f>IFERROR(IF(TeamsNotUsed!$D57="","",SUMIFS(Database!V:V,Database!S:S,TeamsNotUsed!$D57,Database!$A:$A,$O$5)),"")</f>
        <v/>
      </c>
      <c r="V57" s="12" t="str">
        <f>IFERROR(IF(TeamsNotUsed!$D57="","",SUMIFS(Database!W:W,Database!T:T,TeamsNotUsed!$D57,Database!$A:$A,$O$5)),"")</f>
        <v/>
      </c>
      <c r="W57" s="45" t="str">
        <f>IFERROR(IF(TeamsNotUsed!$D57="","",TeamsNotUsed!$U57/TeamsNotUsed!$V57),"-")</f>
        <v/>
      </c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</row>
    <row r="58" spans="1:35" ht="16.5" thickTop="1" thickBot="1" x14ac:dyDescent="0.3">
      <c r="A58" s="23"/>
      <c r="B58" s="23"/>
      <c r="C58" s="62"/>
      <c r="D58" s="63" t="s">
        <v>96</v>
      </c>
      <c r="E58" s="51">
        <f>SUBTOTAL(104,TeamsNotUsed!$E$10:$E$18)</f>
        <v>0</v>
      </c>
      <c r="F58" s="51"/>
      <c r="G58" s="51">
        <f>SUBTOTAL(109,TeamsNotUsed!$G$10:$G$18)</f>
        <v>0</v>
      </c>
      <c r="H58" s="51">
        <f>SUBTOTAL(109,TeamsNotUsed!$H$10:$H$18)</f>
        <v>0</v>
      </c>
      <c r="I58" s="51">
        <f>SUBTOTAL(109,TeamsNotUsed!$I$10:$I$18)</f>
        <v>0</v>
      </c>
      <c r="J58" s="51">
        <f>SUBTOTAL(109,TeamsNotUsed!$J$10:$J$18)</f>
        <v>0</v>
      </c>
      <c r="K58" s="51">
        <f>SUBTOTAL(109,TeamsNotUsed!$K$10:$K$18)</f>
        <v>0</v>
      </c>
      <c r="L58" s="51">
        <f>SUBTOTAL(109,TeamsNotUsed!$L$10:$L$18)</f>
        <v>0</v>
      </c>
      <c r="M58" s="51">
        <f>SUBTOTAL(109,TeamsNotUsed!$M$10:$M$18)</f>
        <v>0</v>
      </c>
      <c r="N58" s="51">
        <f>SUBTOTAL(109,TeamsNotUsed!$N$10:$N$18)</f>
        <v>0</v>
      </c>
      <c r="O58" s="51">
        <f>SUBTOTAL(109,TeamsNotUsed!$O$10:$O$18)</f>
        <v>0</v>
      </c>
      <c r="P58" s="51">
        <f>SUBTOTAL(109,TeamsNotUsed!$P$10:$P$18)</f>
        <v>0</v>
      </c>
      <c r="Q58" s="52" t="str">
        <f>IFERROR(TeamsNotUsed!$O$19/TeamsNotUsed!$P$19,"-")</f>
        <v>-</v>
      </c>
      <c r="R58" s="51">
        <f>SUBTOTAL(109,TeamsNotUsed!$R$10:$R$18)</f>
        <v>0</v>
      </c>
      <c r="S58" s="51">
        <f>SUBTOTAL(109,TeamsNotUsed!$S$10:$S$18)</f>
        <v>0</v>
      </c>
      <c r="T58" s="52" t="str">
        <f>IFERROR(TeamsNotUsed!$R$19/TeamsNotUsed!$S$19,"-")</f>
        <v>-</v>
      </c>
      <c r="U58" s="51">
        <f>SUBTOTAL(109,TeamsNotUsed!$U$10:$U$18)</f>
        <v>0</v>
      </c>
      <c r="V58" s="51">
        <f>SUBTOTAL(109,TeamsNotUsed!$V$10:$V$18)</f>
        <v>0</v>
      </c>
      <c r="W58" s="53" t="str">
        <f>IFERROR(TeamsNotUsed!$U$19/TeamsNotUsed!$V$19,"-")</f>
        <v>-</v>
      </c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</row>
    <row r="59" spans="1:35" ht="15.75" thickBo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</row>
    <row r="60" spans="1:35" ht="15.75" thickBot="1" x14ac:dyDescent="0.3">
      <c r="A60" s="23"/>
      <c r="B60" s="23"/>
      <c r="C60" s="104" t="s">
        <v>43</v>
      </c>
      <c r="D60" s="70"/>
      <c r="E60" s="70"/>
      <c r="F60" s="70"/>
      <c r="G60" s="70" t="s">
        <v>105</v>
      </c>
      <c r="H60" s="70"/>
      <c r="I60" s="70"/>
      <c r="J60" s="70"/>
      <c r="K60" s="70"/>
      <c r="L60" s="70"/>
      <c r="M60" s="70"/>
      <c r="N60" s="70"/>
      <c r="O60" s="70"/>
      <c r="P60" s="70"/>
      <c r="Q60" s="71"/>
      <c r="R60" s="70"/>
      <c r="S60" s="70"/>
      <c r="T60" s="71"/>
      <c r="U60" s="70"/>
      <c r="V60" s="70"/>
      <c r="W60" s="72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</row>
    <row r="61" spans="1:35" ht="15.75" thickBot="1" x14ac:dyDescent="0.3">
      <c r="A61" s="23"/>
      <c r="B61" s="23"/>
      <c r="C61" s="54" t="s">
        <v>69</v>
      </c>
      <c r="D61" s="55" t="s">
        <v>0</v>
      </c>
      <c r="E61" s="55" t="s">
        <v>71</v>
      </c>
      <c r="F61" s="55" t="s">
        <v>70</v>
      </c>
      <c r="G61" s="55" t="s">
        <v>72</v>
      </c>
      <c r="H61" s="55" t="s">
        <v>73</v>
      </c>
      <c r="I61" s="55" t="s">
        <v>74</v>
      </c>
      <c r="J61" s="55" t="s">
        <v>75</v>
      </c>
      <c r="K61" s="55" t="s">
        <v>76</v>
      </c>
      <c r="L61" s="55" t="s">
        <v>77</v>
      </c>
      <c r="M61" s="55" t="s">
        <v>78</v>
      </c>
      <c r="N61" s="55" t="s">
        <v>79</v>
      </c>
      <c r="O61" s="55" t="s">
        <v>80</v>
      </c>
      <c r="P61" s="55" t="s">
        <v>81</v>
      </c>
      <c r="Q61" s="56" t="s">
        <v>82</v>
      </c>
      <c r="R61" s="55" t="s">
        <v>83</v>
      </c>
      <c r="S61" s="55" t="s">
        <v>84</v>
      </c>
      <c r="T61" s="56" t="s">
        <v>85</v>
      </c>
      <c r="U61" s="55" t="s">
        <v>86</v>
      </c>
      <c r="V61" s="55" t="s">
        <v>87</v>
      </c>
      <c r="W61" s="57" t="s">
        <v>88</v>
      </c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</row>
    <row r="62" spans="1:35" x14ac:dyDescent="0.25">
      <c r="A62" s="23"/>
      <c r="B62" s="23"/>
      <c r="C62" s="58"/>
      <c r="D62" s="68"/>
      <c r="E62" s="59" t="s">
        <v>157</v>
      </c>
      <c r="F62" s="59" t="str">
        <f>IF(TeamsNotUsed!$D62="","",$C$60)</f>
        <v/>
      </c>
      <c r="G62" s="59" t="str">
        <f>IFERROR(IF(TeamsNotUsed!$D62="","",SUMIFS(Database!H:H,Database!E:E,TeamsNotUsed!$D62,Database!$A:$A,$O$5)),"")</f>
        <v/>
      </c>
      <c r="H62" s="59" t="str">
        <f>IFERROR(IF(TeamsNotUsed!$D62="","",SUMIFS(Database!I:I,Database!F:F,TeamsNotUsed!$D62,Database!$A:$A,$O$5)),"")</f>
        <v/>
      </c>
      <c r="I62" s="59" t="str">
        <f>IFERROR(IF(TeamsNotUsed!$D62="","",SUMIFS(Database!J:J,Database!G:G,TeamsNotUsed!$D62,Database!$A:$A,$O$5)),"")</f>
        <v/>
      </c>
      <c r="J62" s="59" t="str">
        <f>IFERROR(IF(TeamsNotUsed!$D62="","",SUMIFS(Database!K:K,Database!H:H,TeamsNotUsed!$D62,Database!$A:$A,$O$5)),"")</f>
        <v/>
      </c>
      <c r="K62" s="59" t="str">
        <f>IFERROR(IF(TeamsNotUsed!$D62="","",SUMIFS(Database!L:L,Database!I:I,TeamsNotUsed!$D62,Database!$A:$A,$O$5)),"")</f>
        <v/>
      </c>
      <c r="L62" s="59" t="str">
        <f>IFERROR(IF(TeamsNotUsed!$D62="","",SUMIFS(Database!M:M,Database!J:J,TeamsNotUsed!$D62,Database!$A:$A,$O$5)),"")</f>
        <v/>
      </c>
      <c r="M62" s="59" t="str">
        <f>IFERROR(IF(TeamsNotUsed!$D62="","",SUMIFS(Database!N:N,Database!K:K,TeamsNotUsed!$D62,Database!$A:$A,$O$5)),"")</f>
        <v/>
      </c>
      <c r="N62" s="59" t="str">
        <f>IFERROR(IF(TeamsNotUsed!$D62="","",SUMIFS(Database!O:O,Database!L:L,TeamsNotUsed!$D62,Database!$A:$A,$O$5)),"")</f>
        <v/>
      </c>
      <c r="O62" s="59" t="str">
        <f>IFERROR(IF(TeamsNotUsed!$D62="","",SUMIFS(Database!P:P,Database!M:M,TeamsNotUsed!$D62,Database!$A:$A,$O$5)),"")</f>
        <v/>
      </c>
      <c r="P62" s="59" t="str">
        <f>IFERROR(IF(TeamsNotUsed!$D62="","",SUMIFS(Database!Q:Q,Database!N:N,TeamsNotUsed!$D62,Database!$A:$A,$O$5)),"")</f>
        <v/>
      </c>
      <c r="Q62" s="60" t="str">
        <f>IFERROR(IF(TeamsNotUsed!$D62="","",TeamsNotUsed!$O62/TeamsNotUsed!$P62),"-")</f>
        <v/>
      </c>
      <c r="R62" s="59" t="str">
        <f>IFERROR(IF(TeamsNotUsed!$D62="","",SUMIFS(Database!S:S,Database!P:P,TeamsNotUsed!$D62,Database!$A:$A,$O$5)),"")</f>
        <v/>
      </c>
      <c r="S62" s="59" t="str">
        <f>IFERROR(IF(TeamsNotUsed!$D62="","",SUMIFS(Database!T:T,Database!Q:Q,TeamsNotUsed!$D62,Database!$A:$A,$O$5)),"")</f>
        <v/>
      </c>
      <c r="T62" s="60" t="str">
        <f>IFERROR(IF(TeamsNotUsed!$D62="","",TeamsNotUsed!$R62/TeamsNotUsed!$S62),"-")</f>
        <v/>
      </c>
      <c r="U62" s="59" t="str">
        <f>IFERROR(IF(TeamsNotUsed!$D62="","",SUMIFS(Database!V:V,Database!S:S,TeamsNotUsed!$D62,Database!$A:$A,$O$5)),"")</f>
        <v/>
      </c>
      <c r="V62" s="59" t="str">
        <f>IFERROR(IF(TeamsNotUsed!$D62="","",SUMIFS(Database!W:W,Database!T:T,TeamsNotUsed!$D62,Database!$A:$A,$O$5)),"")</f>
        <v/>
      </c>
      <c r="W62" s="61" t="str">
        <f>IFERROR(IF(TeamsNotUsed!$D62="","",TeamsNotUsed!$U62/TeamsNotUsed!$V62),"-")</f>
        <v/>
      </c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</row>
    <row r="63" spans="1:35" x14ac:dyDescent="0.25">
      <c r="A63" s="23"/>
      <c r="B63" s="23"/>
      <c r="C63" s="43"/>
      <c r="D63" s="17"/>
      <c r="E63" s="11" t="s">
        <v>157</v>
      </c>
      <c r="F63" s="11" t="str">
        <f>IF(TeamsNotUsed!$D63="","",$C$60)</f>
        <v/>
      </c>
      <c r="G63" s="11" t="str">
        <f>IFERROR(IF(TeamsNotUsed!$D63="","",SUMIFS(Database!H:H,Database!E:E,TeamsNotUsed!$D63,Database!$A:$A,$O$5)),"")</f>
        <v/>
      </c>
      <c r="H63" s="11" t="str">
        <f>IFERROR(IF(TeamsNotUsed!$D63="","",SUMIFS(Database!I:I,Database!F:F,TeamsNotUsed!$D63,Database!$A:$A,$O$5)),"")</f>
        <v/>
      </c>
      <c r="I63" s="11" t="str">
        <f>IFERROR(IF(TeamsNotUsed!$D63="","",SUMIFS(Database!J:J,Database!G:G,TeamsNotUsed!$D63,Database!$A:$A,$O$5)),"")</f>
        <v/>
      </c>
      <c r="J63" s="11" t="str">
        <f>IFERROR(IF(TeamsNotUsed!$D63="","",SUMIFS(Database!K:K,Database!H:H,TeamsNotUsed!$D63,Database!$A:$A,$O$5)),"")</f>
        <v/>
      </c>
      <c r="K63" s="11" t="str">
        <f>IFERROR(IF(TeamsNotUsed!$D63="","",SUMIFS(Database!L:L,Database!I:I,TeamsNotUsed!$D63,Database!$A:$A,$O$5)),"")</f>
        <v/>
      </c>
      <c r="L63" s="11" t="str">
        <f>IFERROR(IF(TeamsNotUsed!$D63="","",SUMIFS(Database!M:M,Database!J:J,TeamsNotUsed!$D63,Database!$A:$A,$O$5)),"")</f>
        <v/>
      </c>
      <c r="M63" s="11" t="str">
        <f>IFERROR(IF(TeamsNotUsed!$D63="","",SUMIFS(Database!N:N,Database!K:K,TeamsNotUsed!$D63,Database!$A:$A,$O$5)),"")</f>
        <v/>
      </c>
      <c r="N63" s="11" t="str">
        <f>IFERROR(IF(TeamsNotUsed!$D63="","",SUMIFS(Database!O:O,Database!L:L,TeamsNotUsed!$D63,Database!$A:$A,$O$5)),"")</f>
        <v/>
      </c>
      <c r="O63" s="11" t="str">
        <f>IFERROR(IF(TeamsNotUsed!$D63="","",SUMIFS(Database!P:P,Database!M:M,TeamsNotUsed!$D63,Database!$A:$A,$O$5)),"")</f>
        <v/>
      </c>
      <c r="P63" s="11" t="str">
        <f>IFERROR(IF(TeamsNotUsed!$D63="","",SUMIFS(Database!Q:Q,Database!N:N,TeamsNotUsed!$D63,Database!$A:$A,$O$5)),"")</f>
        <v/>
      </c>
      <c r="Q63" s="14" t="str">
        <f>IFERROR(IF(TeamsNotUsed!$D63="","",TeamsNotUsed!$O63/TeamsNotUsed!$P63),"-")</f>
        <v/>
      </c>
      <c r="R63" s="11" t="str">
        <f>IFERROR(IF(TeamsNotUsed!$D63="","",SUMIFS(Database!S:S,Database!P:P,TeamsNotUsed!$D63,Database!$A:$A,$O$5)),"")</f>
        <v/>
      </c>
      <c r="S63" s="11" t="str">
        <f>IFERROR(IF(TeamsNotUsed!$D63="","",SUMIFS(Database!T:T,Database!Q:Q,TeamsNotUsed!$D63,Database!$A:$A,$O$5)),"")</f>
        <v/>
      </c>
      <c r="T63" s="14" t="str">
        <f>IFERROR(IF(TeamsNotUsed!$D63="","",TeamsNotUsed!$R63/TeamsNotUsed!$S63),"-")</f>
        <v/>
      </c>
      <c r="U63" s="11" t="str">
        <f>IFERROR(IF(TeamsNotUsed!$D63="","",SUMIFS(Database!V:V,Database!S:S,TeamsNotUsed!$D63,Database!$A:$A,$O$5)),"")</f>
        <v/>
      </c>
      <c r="V63" s="11" t="str">
        <f>IFERROR(IF(TeamsNotUsed!$D63="","",SUMIFS(Database!W:W,Database!T:T,TeamsNotUsed!$D63,Database!$A:$A,$O$5)),"")</f>
        <v/>
      </c>
      <c r="W63" s="46" t="str">
        <f>IFERROR(IF(TeamsNotUsed!$D63="","",TeamsNotUsed!$U63/TeamsNotUsed!$V63),"-")</f>
        <v/>
      </c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</row>
    <row r="64" spans="1:35" x14ac:dyDescent="0.25">
      <c r="A64" s="23"/>
      <c r="B64" s="23"/>
      <c r="C64" s="44"/>
      <c r="D64" s="17"/>
      <c r="E64" s="12" t="s">
        <v>157</v>
      </c>
      <c r="F64" s="12" t="str">
        <f>IF(TeamsNotUsed!$D64="","",$C$60)</f>
        <v/>
      </c>
      <c r="G64" s="12" t="str">
        <f>IFERROR(IF(TeamsNotUsed!$D64="","",SUMIFS(Database!H:H,Database!E:E,TeamsNotUsed!$D64,Database!$A:$A,$O$5)),"")</f>
        <v/>
      </c>
      <c r="H64" s="12" t="str">
        <f>IFERROR(IF(TeamsNotUsed!$D64="","",SUMIFS(Database!I:I,Database!F:F,TeamsNotUsed!$D64,Database!$A:$A,$O$5)),"")</f>
        <v/>
      </c>
      <c r="I64" s="12" t="str">
        <f>IFERROR(IF(TeamsNotUsed!$D64="","",SUMIFS(Database!J:J,Database!G:G,TeamsNotUsed!$D64,Database!$A:$A,$O$5)),"")</f>
        <v/>
      </c>
      <c r="J64" s="12" t="str">
        <f>IFERROR(IF(TeamsNotUsed!$D64="","",SUMIFS(Database!K:K,Database!H:H,TeamsNotUsed!$D64,Database!$A:$A,$O$5)),"")</f>
        <v/>
      </c>
      <c r="K64" s="12" t="str">
        <f>IFERROR(IF(TeamsNotUsed!$D64="","",SUMIFS(Database!L:L,Database!I:I,TeamsNotUsed!$D64,Database!$A:$A,$O$5)),"")</f>
        <v/>
      </c>
      <c r="L64" s="12" t="str">
        <f>IFERROR(IF(TeamsNotUsed!$D64="","",SUMIFS(Database!M:M,Database!J:J,TeamsNotUsed!$D64,Database!$A:$A,$O$5)),"")</f>
        <v/>
      </c>
      <c r="M64" s="12" t="str">
        <f>IFERROR(IF(TeamsNotUsed!$D64="","",SUMIFS(Database!N:N,Database!K:K,TeamsNotUsed!$D64,Database!$A:$A,$O$5)),"")</f>
        <v/>
      </c>
      <c r="N64" s="12" t="str">
        <f>IFERROR(IF(TeamsNotUsed!$D64="","",SUMIFS(Database!O:O,Database!L:L,TeamsNotUsed!$D64,Database!$A:$A,$O$5)),"")</f>
        <v/>
      </c>
      <c r="O64" s="12" t="str">
        <f>IFERROR(IF(TeamsNotUsed!$D64="","",SUMIFS(Database!P:P,Database!M:M,TeamsNotUsed!$D64,Database!$A:$A,$O$5)),"")</f>
        <v/>
      </c>
      <c r="P64" s="12" t="str">
        <f>IFERROR(IF(TeamsNotUsed!$D64="","",SUMIFS(Database!Q:Q,Database!N:N,TeamsNotUsed!$D64,Database!$A:$A,$O$5)),"")</f>
        <v/>
      </c>
      <c r="Q64" s="13" t="str">
        <f>IFERROR(IF(TeamsNotUsed!$D64="","",TeamsNotUsed!$O64/TeamsNotUsed!$P64),"-")</f>
        <v/>
      </c>
      <c r="R64" s="12" t="str">
        <f>IFERROR(IF(TeamsNotUsed!$D64="","",SUMIFS(Database!S:S,Database!P:P,TeamsNotUsed!$D64,Database!$A:$A,$O$5)),"")</f>
        <v/>
      </c>
      <c r="S64" s="12" t="str">
        <f>IFERROR(IF(TeamsNotUsed!$D64="","",SUMIFS(Database!T:T,Database!Q:Q,TeamsNotUsed!$D64,Database!$A:$A,$O$5)),"")</f>
        <v/>
      </c>
      <c r="T64" s="13" t="str">
        <f>IFERROR(IF(TeamsNotUsed!$D64="","",TeamsNotUsed!$R64/TeamsNotUsed!$S64),"-")</f>
        <v/>
      </c>
      <c r="U64" s="12" t="str">
        <f>IFERROR(IF(TeamsNotUsed!$D64="","",SUMIFS(Database!V:V,Database!S:S,TeamsNotUsed!$D64,Database!$A:$A,$O$5)),"")</f>
        <v/>
      </c>
      <c r="V64" s="12" t="str">
        <f>IFERROR(IF(TeamsNotUsed!$D64="","",SUMIFS(Database!W:W,Database!T:T,TeamsNotUsed!$D64,Database!$A:$A,$O$5)),"")</f>
        <v/>
      </c>
      <c r="W64" s="45" t="str">
        <f>IFERROR(IF(TeamsNotUsed!$D64="","",TeamsNotUsed!$U64/TeamsNotUsed!$V64),"-")</f>
        <v/>
      </c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</row>
    <row r="65" spans="1:35" x14ac:dyDescent="0.25">
      <c r="A65" s="23"/>
      <c r="B65" s="23"/>
      <c r="C65" s="43"/>
      <c r="D65" s="17"/>
      <c r="E65" s="11" t="s">
        <v>157</v>
      </c>
      <c r="F65" s="11" t="str">
        <f>IF(TeamsNotUsed!$D65="","",$C$60)</f>
        <v/>
      </c>
      <c r="G65" s="11" t="str">
        <f>IFERROR(IF(TeamsNotUsed!$D65="","",SUMIFS(Database!H:H,Database!E:E,TeamsNotUsed!$D65,Database!$A:$A,$O$5)),"")</f>
        <v/>
      </c>
      <c r="H65" s="11" t="str">
        <f>IFERROR(IF(TeamsNotUsed!$D65="","",SUMIFS(Database!I:I,Database!F:F,TeamsNotUsed!$D65,Database!$A:$A,$O$5)),"")</f>
        <v/>
      </c>
      <c r="I65" s="11" t="str">
        <f>IFERROR(IF(TeamsNotUsed!$D65="","",SUMIFS(Database!J:J,Database!G:G,TeamsNotUsed!$D65,Database!$A:$A,$O$5)),"")</f>
        <v/>
      </c>
      <c r="J65" s="11" t="str">
        <f>IFERROR(IF(TeamsNotUsed!$D65="","",SUMIFS(Database!K:K,Database!H:H,TeamsNotUsed!$D65,Database!$A:$A,$O$5)),"")</f>
        <v/>
      </c>
      <c r="K65" s="11" t="str">
        <f>IFERROR(IF(TeamsNotUsed!$D65="","",SUMIFS(Database!L:L,Database!I:I,TeamsNotUsed!$D65,Database!$A:$A,$O$5)),"")</f>
        <v/>
      </c>
      <c r="L65" s="11" t="str">
        <f>IFERROR(IF(TeamsNotUsed!$D65="","",SUMIFS(Database!M:M,Database!J:J,TeamsNotUsed!$D65,Database!$A:$A,$O$5)),"")</f>
        <v/>
      </c>
      <c r="M65" s="11" t="str">
        <f>IFERROR(IF(TeamsNotUsed!$D65="","",SUMIFS(Database!N:N,Database!K:K,TeamsNotUsed!$D65,Database!$A:$A,$O$5)),"")</f>
        <v/>
      </c>
      <c r="N65" s="11" t="str">
        <f>IFERROR(IF(TeamsNotUsed!$D65="","",SUMIFS(Database!O:O,Database!L:L,TeamsNotUsed!$D65,Database!$A:$A,$O$5)),"")</f>
        <v/>
      </c>
      <c r="O65" s="11" t="str">
        <f>IFERROR(IF(TeamsNotUsed!$D65="","",SUMIFS(Database!P:P,Database!M:M,TeamsNotUsed!$D65,Database!$A:$A,$O$5)),"")</f>
        <v/>
      </c>
      <c r="P65" s="11" t="str">
        <f>IFERROR(IF(TeamsNotUsed!$D65="","",SUMIFS(Database!Q:Q,Database!N:N,TeamsNotUsed!$D65,Database!$A:$A,$O$5)),"")</f>
        <v/>
      </c>
      <c r="Q65" s="14" t="str">
        <f>IFERROR(IF(TeamsNotUsed!$D65="","",TeamsNotUsed!$O65/TeamsNotUsed!$P65),"-")</f>
        <v/>
      </c>
      <c r="R65" s="11" t="str">
        <f>IFERROR(IF(TeamsNotUsed!$D65="","",SUMIFS(Database!S:S,Database!P:P,TeamsNotUsed!$D65,Database!$A:$A,$O$5)),"")</f>
        <v/>
      </c>
      <c r="S65" s="11" t="str">
        <f>IFERROR(IF(TeamsNotUsed!$D65="","",SUMIFS(Database!T:T,Database!Q:Q,TeamsNotUsed!$D65,Database!$A:$A,$O$5)),"")</f>
        <v/>
      </c>
      <c r="T65" s="14" t="str">
        <f>IFERROR(IF(TeamsNotUsed!$D65="","",TeamsNotUsed!$R65/TeamsNotUsed!$S65),"-")</f>
        <v/>
      </c>
      <c r="U65" s="11" t="str">
        <f>IFERROR(IF(TeamsNotUsed!$D65="","",SUMIFS(Database!V:V,Database!S:S,TeamsNotUsed!$D65,Database!$A:$A,$O$5)),"")</f>
        <v/>
      </c>
      <c r="V65" s="11" t="str">
        <f>IFERROR(IF(TeamsNotUsed!$D65="","",SUMIFS(Database!W:W,Database!T:T,TeamsNotUsed!$D65,Database!$A:$A,$O$5)),"")</f>
        <v/>
      </c>
      <c r="W65" s="46" t="str">
        <f>IFERROR(IF(TeamsNotUsed!$D65="","",TeamsNotUsed!$U65/TeamsNotUsed!$V65),"-")</f>
        <v/>
      </c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</row>
    <row r="66" spans="1:35" x14ac:dyDescent="0.25">
      <c r="A66" s="23"/>
      <c r="B66" s="23"/>
      <c r="C66" s="44"/>
      <c r="D66" s="69"/>
      <c r="E66" s="12" t="s">
        <v>157</v>
      </c>
      <c r="F66" s="12" t="str">
        <f>IF(TeamsNotUsed!$D66="","",$C$60)</f>
        <v/>
      </c>
      <c r="G66" s="12" t="str">
        <f>IFERROR(IF(TeamsNotUsed!$D66="","",SUMIFS(Database!H:H,Database!E:E,TeamsNotUsed!$D66,Database!$A:$A,$O$5)),"")</f>
        <v/>
      </c>
      <c r="H66" s="12" t="str">
        <f>IFERROR(IF(TeamsNotUsed!$D66="","",SUMIFS(Database!I:I,Database!F:F,TeamsNotUsed!$D66,Database!$A:$A,$O$5)),"")</f>
        <v/>
      </c>
      <c r="I66" s="12" t="str">
        <f>IFERROR(IF(TeamsNotUsed!$D66="","",SUMIFS(Database!J:J,Database!G:G,TeamsNotUsed!$D66,Database!$A:$A,$O$5)),"")</f>
        <v/>
      </c>
      <c r="J66" s="12" t="str">
        <f>IFERROR(IF(TeamsNotUsed!$D66="","",SUMIFS(Database!K:K,Database!H:H,TeamsNotUsed!$D66,Database!$A:$A,$O$5)),"")</f>
        <v/>
      </c>
      <c r="K66" s="12" t="str">
        <f>IFERROR(IF(TeamsNotUsed!$D66="","",SUMIFS(Database!L:L,Database!I:I,TeamsNotUsed!$D66,Database!$A:$A,$O$5)),"")</f>
        <v/>
      </c>
      <c r="L66" s="12" t="str">
        <f>IFERROR(IF(TeamsNotUsed!$D66="","",SUMIFS(Database!M:M,Database!J:J,TeamsNotUsed!$D66,Database!$A:$A,$O$5)),"")</f>
        <v/>
      </c>
      <c r="M66" s="12" t="str">
        <f>IFERROR(IF(TeamsNotUsed!$D66="","",SUMIFS(Database!N:N,Database!K:K,TeamsNotUsed!$D66,Database!$A:$A,$O$5)),"")</f>
        <v/>
      </c>
      <c r="N66" s="12" t="str">
        <f>IFERROR(IF(TeamsNotUsed!$D66="","",SUMIFS(Database!O:O,Database!L:L,TeamsNotUsed!$D66,Database!$A:$A,$O$5)),"")</f>
        <v/>
      </c>
      <c r="O66" s="12" t="str">
        <f>IFERROR(IF(TeamsNotUsed!$D66="","",SUMIFS(Database!P:P,Database!M:M,TeamsNotUsed!$D66,Database!$A:$A,$O$5)),"")</f>
        <v/>
      </c>
      <c r="P66" s="12" t="str">
        <f>IFERROR(IF(TeamsNotUsed!$D66="","",SUMIFS(Database!Q:Q,Database!N:N,TeamsNotUsed!$D66,Database!$A:$A,$O$5)),"")</f>
        <v/>
      </c>
      <c r="Q66" s="13" t="str">
        <f>IFERROR(IF(TeamsNotUsed!$D66="","",TeamsNotUsed!$O66/TeamsNotUsed!$P66),"-")</f>
        <v/>
      </c>
      <c r="R66" s="12" t="str">
        <f>IFERROR(IF(TeamsNotUsed!$D66="","",SUMIFS(Database!S:S,Database!P:P,TeamsNotUsed!$D66,Database!$A:$A,$O$5)),"")</f>
        <v/>
      </c>
      <c r="S66" s="12" t="str">
        <f>IFERROR(IF(TeamsNotUsed!$D66="","",SUMIFS(Database!T:T,Database!Q:Q,TeamsNotUsed!$D66,Database!$A:$A,$O$5)),"")</f>
        <v/>
      </c>
      <c r="T66" s="13" t="str">
        <f>IFERROR(IF(TeamsNotUsed!$D66="","",TeamsNotUsed!$R66/TeamsNotUsed!$S66),"-")</f>
        <v/>
      </c>
      <c r="U66" s="12" t="str">
        <f>IFERROR(IF(TeamsNotUsed!$D66="","",SUMIFS(Database!V:V,Database!S:S,TeamsNotUsed!$D66,Database!$A:$A,$O$5)),"")</f>
        <v/>
      </c>
      <c r="V66" s="12" t="str">
        <f>IFERROR(IF(TeamsNotUsed!$D66="","",SUMIFS(Database!W:W,Database!T:T,TeamsNotUsed!$D66,Database!$A:$A,$O$5)),"")</f>
        <v/>
      </c>
      <c r="W66" s="45" t="str">
        <f>IFERROR(IF(TeamsNotUsed!$D66="","",TeamsNotUsed!$U66/TeamsNotUsed!$V66),"-")</f>
        <v/>
      </c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</row>
    <row r="67" spans="1:35" x14ac:dyDescent="0.25">
      <c r="A67" s="23"/>
      <c r="B67" s="23"/>
      <c r="C67" s="43"/>
      <c r="D67" s="17"/>
      <c r="E67" s="11" t="s">
        <v>157</v>
      </c>
      <c r="F67" s="11" t="str">
        <f>IF(TeamsNotUsed!$D67="","",$C$60)</f>
        <v/>
      </c>
      <c r="G67" s="11" t="str">
        <f>IFERROR(IF(TeamsNotUsed!$D67="","",SUMIFS(Database!H:H,Database!E:E,TeamsNotUsed!$D67,Database!$A:$A,$O$5)),"")</f>
        <v/>
      </c>
      <c r="H67" s="11" t="str">
        <f>IFERROR(IF(TeamsNotUsed!$D67="","",SUMIFS(Database!I:I,Database!F:F,TeamsNotUsed!$D67,Database!$A:$A,$O$5)),"")</f>
        <v/>
      </c>
      <c r="I67" s="11" t="str">
        <f>IFERROR(IF(TeamsNotUsed!$D67="","",SUMIFS(Database!J:J,Database!G:G,TeamsNotUsed!$D67,Database!$A:$A,$O$5)),"")</f>
        <v/>
      </c>
      <c r="J67" s="11" t="str">
        <f>IFERROR(IF(TeamsNotUsed!$D67="","",SUMIFS(Database!K:K,Database!H:H,TeamsNotUsed!$D67,Database!$A:$A,$O$5)),"")</f>
        <v/>
      </c>
      <c r="K67" s="11" t="str">
        <f>IFERROR(IF(TeamsNotUsed!$D67="","",SUMIFS(Database!L:L,Database!I:I,TeamsNotUsed!$D67,Database!$A:$A,$O$5)),"")</f>
        <v/>
      </c>
      <c r="L67" s="11" t="str">
        <f>IFERROR(IF(TeamsNotUsed!$D67="","",SUMIFS(Database!M:M,Database!J:J,TeamsNotUsed!$D67,Database!$A:$A,$O$5)),"")</f>
        <v/>
      </c>
      <c r="M67" s="11" t="str">
        <f>IFERROR(IF(TeamsNotUsed!$D67="","",SUMIFS(Database!N:N,Database!K:K,TeamsNotUsed!$D67,Database!$A:$A,$O$5)),"")</f>
        <v/>
      </c>
      <c r="N67" s="11" t="str">
        <f>IFERROR(IF(TeamsNotUsed!$D67="","",SUMIFS(Database!O:O,Database!L:L,TeamsNotUsed!$D67,Database!$A:$A,$O$5)),"")</f>
        <v/>
      </c>
      <c r="O67" s="11" t="str">
        <f>IFERROR(IF(TeamsNotUsed!$D67="","",SUMIFS(Database!P:P,Database!M:M,TeamsNotUsed!$D67,Database!$A:$A,$O$5)),"")</f>
        <v/>
      </c>
      <c r="P67" s="11" t="str">
        <f>IFERROR(IF(TeamsNotUsed!$D67="","",SUMIFS(Database!Q:Q,Database!N:N,TeamsNotUsed!$D67,Database!$A:$A,$O$5)),"")</f>
        <v/>
      </c>
      <c r="Q67" s="14" t="str">
        <f>IFERROR(IF(TeamsNotUsed!$D67="","",TeamsNotUsed!$O67/TeamsNotUsed!$P67),"-")</f>
        <v/>
      </c>
      <c r="R67" s="11" t="str">
        <f>IFERROR(IF(TeamsNotUsed!$D67="","",SUMIFS(Database!S:S,Database!P:P,TeamsNotUsed!$D67,Database!$A:$A,$O$5)),"")</f>
        <v/>
      </c>
      <c r="S67" s="11" t="str">
        <f>IFERROR(IF(TeamsNotUsed!$D67="","",SUMIFS(Database!T:T,Database!Q:Q,TeamsNotUsed!$D67,Database!$A:$A,$O$5)),"")</f>
        <v/>
      </c>
      <c r="T67" s="14" t="str">
        <f>IFERROR(IF(TeamsNotUsed!$D67="","",TeamsNotUsed!$R67/TeamsNotUsed!$S67),"-")</f>
        <v/>
      </c>
      <c r="U67" s="11" t="str">
        <f>IFERROR(IF(TeamsNotUsed!$D67="","",SUMIFS(Database!V:V,Database!S:S,TeamsNotUsed!$D67,Database!$A:$A,$O$5)),"")</f>
        <v/>
      </c>
      <c r="V67" s="11" t="str">
        <f>IFERROR(IF(TeamsNotUsed!$D67="","",SUMIFS(Database!W:W,Database!T:T,TeamsNotUsed!$D67,Database!$A:$A,$O$5)),"")</f>
        <v/>
      </c>
      <c r="W67" s="46" t="str">
        <f>IFERROR(IF(TeamsNotUsed!$D67="","",TeamsNotUsed!$U67/TeamsNotUsed!$V67),"-")</f>
        <v/>
      </c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</row>
    <row r="68" spans="1:35" x14ac:dyDescent="0.25">
      <c r="A68" s="23"/>
      <c r="B68" s="23"/>
      <c r="C68" s="44"/>
      <c r="D68" s="17"/>
      <c r="E68" s="12" t="s">
        <v>157</v>
      </c>
      <c r="F68" s="12" t="str">
        <f>IF(TeamsNotUsed!$D68="","",$C$60)</f>
        <v/>
      </c>
      <c r="G68" s="12" t="str">
        <f>IFERROR(IF(TeamsNotUsed!$D68="","",SUMIFS(Database!H:H,Database!E:E,TeamsNotUsed!$D68,Database!$A:$A,$O$5)),"")</f>
        <v/>
      </c>
      <c r="H68" s="12" t="str">
        <f>IFERROR(IF(TeamsNotUsed!$D68="","",SUMIFS(Database!I:I,Database!F:F,TeamsNotUsed!$D68,Database!$A:$A,$O$5)),"")</f>
        <v/>
      </c>
      <c r="I68" s="12" t="str">
        <f>IFERROR(IF(TeamsNotUsed!$D68="","",SUMIFS(Database!J:J,Database!G:G,TeamsNotUsed!$D68,Database!$A:$A,$O$5)),"")</f>
        <v/>
      </c>
      <c r="J68" s="12" t="str">
        <f>IFERROR(IF(TeamsNotUsed!$D68="","",SUMIFS(Database!K:K,Database!H:H,TeamsNotUsed!$D68,Database!$A:$A,$O$5)),"")</f>
        <v/>
      </c>
      <c r="K68" s="12" t="str">
        <f>IFERROR(IF(TeamsNotUsed!$D68="","",SUMIFS(Database!L:L,Database!I:I,TeamsNotUsed!$D68,Database!$A:$A,$O$5)),"")</f>
        <v/>
      </c>
      <c r="L68" s="12" t="str">
        <f>IFERROR(IF(TeamsNotUsed!$D68="","",SUMIFS(Database!M:M,Database!J:J,TeamsNotUsed!$D68,Database!$A:$A,$O$5)),"")</f>
        <v/>
      </c>
      <c r="M68" s="12" t="str">
        <f>IFERROR(IF(TeamsNotUsed!$D68="","",SUMIFS(Database!N:N,Database!K:K,TeamsNotUsed!$D68,Database!$A:$A,$O$5)),"")</f>
        <v/>
      </c>
      <c r="N68" s="12" t="str">
        <f>IFERROR(IF(TeamsNotUsed!$D68="","",SUMIFS(Database!O:O,Database!L:L,TeamsNotUsed!$D68,Database!$A:$A,$O$5)),"")</f>
        <v/>
      </c>
      <c r="O68" s="12" t="str">
        <f>IFERROR(IF(TeamsNotUsed!$D68="","",SUMIFS(Database!P:P,Database!M:M,TeamsNotUsed!$D68,Database!$A:$A,$O$5)),"")</f>
        <v/>
      </c>
      <c r="P68" s="12" t="str">
        <f>IFERROR(IF(TeamsNotUsed!$D68="","",SUMIFS(Database!Q:Q,Database!N:N,TeamsNotUsed!$D68,Database!$A:$A,$O$5)),"")</f>
        <v/>
      </c>
      <c r="Q68" s="13" t="str">
        <f>IFERROR(IF(TeamsNotUsed!$D68="","",TeamsNotUsed!$O68/TeamsNotUsed!$P68),"-")</f>
        <v/>
      </c>
      <c r="R68" s="12" t="str">
        <f>IFERROR(IF(TeamsNotUsed!$D68="","",SUMIFS(Database!S:S,Database!P:P,TeamsNotUsed!$D68,Database!$A:$A,$O$5)),"")</f>
        <v/>
      </c>
      <c r="S68" s="12" t="str">
        <f>IFERROR(IF(TeamsNotUsed!$D68="","",SUMIFS(Database!T:T,Database!Q:Q,TeamsNotUsed!$D68,Database!$A:$A,$O$5)),"")</f>
        <v/>
      </c>
      <c r="T68" s="13" t="str">
        <f>IFERROR(IF(TeamsNotUsed!$D68="","",TeamsNotUsed!$R68/TeamsNotUsed!$S68),"-")</f>
        <v/>
      </c>
      <c r="U68" s="12" t="str">
        <f>IFERROR(IF(TeamsNotUsed!$D68="","",SUMIFS(Database!V:V,Database!S:S,TeamsNotUsed!$D68,Database!$A:$A,$O$5)),"")</f>
        <v/>
      </c>
      <c r="V68" s="12" t="str">
        <f>IFERROR(IF(TeamsNotUsed!$D68="","",SUMIFS(Database!W:W,Database!T:T,TeamsNotUsed!$D68,Database!$A:$A,$O$5)),"")</f>
        <v/>
      </c>
      <c r="W68" s="45" t="str">
        <f>IFERROR(IF(TeamsNotUsed!$D68="","",TeamsNotUsed!$U68/TeamsNotUsed!$V68),"-")</f>
        <v/>
      </c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</row>
    <row r="69" spans="1:35" x14ac:dyDescent="0.25">
      <c r="A69" s="23"/>
      <c r="B69" s="23"/>
      <c r="C69" s="43"/>
      <c r="D69" s="17"/>
      <c r="E69" s="11" t="s">
        <v>157</v>
      </c>
      <c r="F69" s="11" t="str">
        <f>IF(TeamsNotUsed!$D69="","",$C$60)</f>
        <v/>
      </c>
      <c r="G69" s="11" t="str">
        <f>IFERROR(IF(TeamsNotUsed!$D69="","",SUMIFS(Database!H:H,Database!E:E,TeamsNotUsed!$D69,Database!$A:$A,$O$5)),"")</f>
        <v/>
      </c>
      <c r="H69" s="11" t="str">
        <f>IFERROR(IF(TeamsNotUsed!$D69="","",SUMIFS(Database!I:I,Database!F:F,TeamsNotUsed!$D69,Database!$A:$A,$O$5)),"")</f>
        <v/>
      </c>
      <c r="I69" s="11" t="str">
        <f>IFERROR(IF(TeamsNotUsed!$D69="","",SUMIFS(Database!J:J,Database!G:G,TeamsNotUsed!$D69,Database!$A:$A,$O$5)),"")</f>
        <v/>
      </c>
      <c r="J69" s="11" t="str">
        <f>IFERROR(IF(TeamsNotUsed!$D69="","",SUMIFS(Database!K:K,Database!H:H,TeamsNotUsed!$D69,Database!$A:$A,$O$5)),"")</f>
        <v/>
      </c>
      <c r="K69" s="11" t="str">
        <f>IFERROR(IF(TeamsNotUsed!$D69="","",SUMIFS(Database!L:L,Database!I:I,TeamsNotUsed!$D69,Database!$A:$A,$O$5)),"")</f>
        <v/>
      </c>
      <c r="L69" s="11" t="str">
        <f>IFERROR(IF(TeamsNotUsed!$D69="","",SUMIFS(Database!M:M,Database!J:J,TeamsNotUsed!$D69,Database!$A:$A,$O$5)),"")</f>
        <v/>
      </c>
      <c r="M69" s="11" t="str">
        <f>IFERROR(IF(TeamsNotUsed!$D69="","",SUMIFS(Database!N:N,Database!K:K,TeamsNotUsed!$D69,Database!$A:$A,$O$5)),"")</f>
        <v/>
      </c>
      <c r="N69" s="11" t="str">
        <f>IFERROR(IF(TeamsNotUsed!$D69="","",SUMIFS(Database!O:O,Database!L:L,TeamsNotUsed!$D69,Database!$A:$A,$O$5)),"")</f>
        <v/>
      </c>
      <c r="O69" s="11" t="str">
        <f>IFERROR(IF(TeamsNotUsed!$D69="","",SUMIFS(Database!P:P,Database!M:M,TeamsNotUsed!$D69,Database!$A:$A,$O$5)),"")</f>
        <v/>
      </c>
      <c r="P69" s="11" t="str">
        <f>IFERROR(IF(TeamsNotUsed!$D69="","",SUMIFS(Database!Q:Q,Database!N:N,TeamsNotUsed!$D69,Database!$A:$A,$O$5)),"")</f>
        <v/>
      </c>
      <c r="Q69" s="14" t="str">
        <f>IFERROR(IF(TeamsNotUsed!$D69="","",TeamsNotUsed!$O69/TeamsNotUsed!$P69),"-")</f>
        <v/>
      </c>
      <c r="R69" s="11" t="str">
        <f>IFERROR(IF(TeamsNotUsed!$D69="","",SUMIFS(Database!S:S,Database!P:P,TeamsNotUsed!$D69,Database!$A:$A,$O$5)),"")</f>
        <v/>
      </c>
      <c r="S69" s="11" t="str">
        <f>IFERROR(IF(TeamsNotUsed!$D69="","",SUMIFS(Database!T:T,Database!Q:Q,TeamsNotUsed!$D69,Database!$A:$A,$O$5)),"")</f>
        <v/>
      </c>
      <c r="T69" s="14" t="str">
        <f>IFERROR(IF(TeamsNotUsed!$D69="","",TeamsNotUsed!$R69/TeamsNotUsed!$S69),"-")</f>
        <v/>
      </c>
      <c r="U69" s="11" t="str">
        <f>IFERROR(IF(TeamsNotUsed!$D69="","",SUMIFS(Database!V:V,Database!S:S,TeamsNotUsed!$D69,Database!$A:$A,$O$5)),"")</f>
        <v/>
      </c>
      <c r="V69" s="11" t="str">
        <f>IFERROR(IF(TeamsNotUsed!$D69="","",SUMIFS(Database!W:W,Database!T:T,TeamsNotUsed!$D69,Database!$A:$A,$O$5)),"")</f>
        <v/>
      </c>
      <c r="W69" s="46" t="str">
        <f>IFERROR(IF(TeamsNotUsed!$D69="","",TeamsNotUsed!$U69/TeamsNotUsed!$V69),"-")</f>
        <v/>
      </c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</row>
    <row r="70" spans="1:35" ht="15.75" thickBot="1" x14ac:dyDescent="0.3">
      <c r="A70" s="23"/>
      <c r="B70" s="23"/>
      <c r="C70" s="44"/>
      <c r="D70" s="17"/>
      <c r="E70" s="12" t="s">
        <v>157</v>
      </c>
      <c r="F70" s="12" t="str">
        <f>IF(TeamsNotUsed!$D70="","",$C$60)</f>
        <v/>
      </c>
      <c r="G70" s="12" t="str">
        <f>IFERROR(IF(TeamsNotUsed!$D70="","",SUMIFS(Database!H:H,Database!E:E,TeamsNotUsed!$D70,Database!$A:$A,$O$5)),"")</f>
        <v/>
      </c>
      <c r="H70" s="12" t="str">
        <f>IFERROR(IF(TeamsNotUsed!$D70="","",SUMIFS(Database!I:I,Database!F:F,TeamsNotUsed!$D70,Database!$A:$A,$O$5)),"")</f>
        <v/>
      </c>
      <c r="I70" s="12" t="str">
        <f>IFERROR(IF(TeamsNotUsed!$D70="","",SUMIFS(Database!J:J,Database!G:G,TeamsNotUsed!$D70,Database!$A:$A,$O$5)),"")</f>
        <v/>
      </c>
      <c r="J70" s="12" t="str">
        <f>IFERROR(IF(TeamsNotUsed!$D70="","",SUMIFS(Database!K:K,Database!H:H,TeamsNotUsed!$D70,Database!$A:$A,$O$5)),"")</f>
        <v/>
      </c>
      <c r="K70" s="12" t="str">
        <f>IFERROR(IF(TeamsNotUsed!$D70="","",SUMIFS(Database!L:L,Database!I:I,TeamsNotUsed!$D70,Database!$A:$A,$O$5)),"")</f>
        <v/>
      </c>
      <c r="L70" s="12" t="str">
        <f>IFERROR(IF(TeamsNotUsed!$D70="","",SUMIFS(Database!M:M,Database!J:J,TeamsNotUsed!$D70,Database!$A:$A,$O$5)),"")</f>
        <v/>
      </c>
      <c r="M70" s="12" t="str">
        <f>IFERROR(IF(TeamsNotUsed!$D70="","",SUMIFS(Database!N:N,Database!K:K,TeamsNotUsed!$D70,Database!$A:$A,$O$5)),"")</f>
        <v/>
      </c>
      <c r="N70" s="12" t="str">
        <f>IFERROR(IF(TeamsNotUsed!$D70="","",SUMIFS(Database!O:O,Database!L:L,TeamsNotUsed!$D70,Database!$A:$A,$O$5)),"")</f>
        <v/>
      </c>
      <c r="O70" s="12" t="str">
        <f>IFERROR(IF(TeamsNotUsed!$D70="","",SUMIFS(Database!P:P,Database!M:M,TeamsNotUsed!$D70,Database!$A:$A,$O$5)),"")</f>
        <v/>
      </c>
      <c r="P70" s="12" t="str">
        <f>IFERROR(IF(TeamsNotUsed!$D70="","",SUMIFS(Database!Q:Q,Database!N:N,TeamsNotUsed!$D70,Database!$A:$A,$O$5)),"")</f>
        <v/>
      </c>
      <c r="Q70" s="13" t="str">
        <f>IFERROR(IF(TeamsNotUsed!$D70="","",TeamsNotUsed!$O70/TeamsNotUsed!$P70),"-")</f>
        <v/>
      </c>
      <c r="R70" s="12" t="str">
        <f>IFERROR(IF(TeamsNotUsed!$D70="","",SUMIFS(Database!S:S,Database!P:P,TeamsNotUsed!$D70,Database!$A:$A,$O$5)),"")</f>
        <v/>
      </c>
      <c r="S70" s="12" t="str">
        <f>IFERROR(IF(TeamsNotUsed!$D70="","",SUMIFS(Database!T:T,Database!Q:Q,TeamsNotUsed!$D70,Database!$A:$A,$O$5)),"")</f>
        <v/>
      </c>
      <c r="T70" s="13" t="str">
        <f>IFERROR(IF(TeamsNotUsed!$D70="","",TeamsNotUsed!$R70/TeamsNotUsed!$S70),"-")</f>
        <v/>
      </c>
      <c r="U70" s="12" t="str">
        <f>IFERROR(IF(TeamsNotUsed!$D70="","",SUMIFS(Database!V:V,Database!S:S,TeamsNotUsed!$D70,Database!$A:$A,$O$5)),"")</f>
        <v/>
      </c>
      <c r="V70" s="12" t="str">
        <f>IFERROR(IF(TeamsNotUsed!$D70="","",SUMIFS(Database!W:W,Database!T:T,TeamsNotUsed!$D70,Database!$A:$A,$O$5)),"")</f>
        <v/>
      </c>
      <c r="W70" s="45" t="str">
        <f>IFERROR(IF(TeamsNotUsed!$D70="","",TeamsNotUsed!$U70/TeamsNotUsed!$V70),"-")</f>
        <v/>
      </c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</row>
    <row r="71" spans="1:35" ht="16.5" thickTop="1" thickBot="1" x14ac:dyDescent="0.3">
      <c r="A71" s="23"/>
      <c r="B71" s="23"/>
      <c r="C71" s="62"/>
      <c r="D71" s="63" t="s">
        <v>96</v>
      </c>
      <c r="E71" s="51">
        <f>SUBTOTAL(104,TeamsNotUsed!$E$10:$E$18)</f>
        <v>0</v>
      </c>
      <c r="F71" s="51"/>
      <c r="G71" s="51">
        <f>SUBTOTAL(109,TeamsNotUsed!$G$10:$G$18)</f>
        <v>0</v>
      </c>
      <c r="H71" s="51">
        <f>SUBTOTAL(109,TeamsNotUsed!$H$10:$H$18)</f>
        <v>0</v>
      </c>
      <c r="I71" s="51">
        <f>SUBTOTAL(109,TeamsNotUsed!$I$10:$I$18)</f>
        <v>0</v>
      </c>
      <c r="J71" s="51">
        <f>SUBTOTAL(109,TeamsNotUsed!$J$10:$J$18)</f>
        <v>0</v>
      </c>
      <c r="K71" s="51">
        <f>SUBTOTAL(109,TeamsNotUsed!$K$10:$K$18)</f>
        <v>0</v>
      </c>
      <c r="L71" s="51">
        <f>SUBTOTAL(109,TeamsNotUsed!$L$10:$L$18)</f>
        <v>0</v>
      </c>
      <c r="M71" s="51">
        <f>SUBTOTAL(109,TeamsNotUsed!$M$10:$M$18)</f>
        <v>0</v>
      </c>
      <c r="N71" s="51">
        <f>SUBTOTAL(109,TeamsNotUsed!$N$10:$N$18)</f>
        <v>0</v>
      </c>
      <c r="O71" s="51">
        <f>SUBTOTAL(109,TeamsNotUsed!$O$10:$O$18)</f>
        <v>0</v>
      </c>
      <c r="P71" s="51">
        <f>SUBTOTAL(109,TeamsNotUsed!$P$10:$P$18)</f>
        <v>0</v>
      </c>
      <c r="Q71" s="52" t="str">
        <f>IFERROR(TeamsNotUsed!$O$19/TeamsNotUsed!$P$19,"-")</f>
        <v>-</v>
      </c>
      <c r="R71" s="51">
        <f>SUBTOTAL(109,TeamsNotUsed!$R$10:$R$18)</f>
        <v>0</v>
      </c>
      <c r="S71" s="51">
        <f>SUBTOTAL(109,TeamsNotUsed!$S$10:$S$18)</f>
        <v>0</v>
      </c>
      <c r="T71" s="52" t="str">
        <f>IFERROR(TeamsNotUsed!$R$19/TeamsNotUsed!$S$19,"-")</f>
        <v>-</v>
      </c>
      <c r="U71" s="51">
        <f>SUBTOTAL(109,TeamsNotUsed!$U$10:$U$18)</f>
        <v>0</v>
      </c>
      <c r="V71" s="51">
        <f>SUBTOTAL(109,TeamsNotUsed!$V$10:$V$18)</f>
        <v>0</v>
      </c>
      <c r="W71" s="53" t="str">
        <f>IFERROR(TeamsNotUsed!$U$19/TeamsNotUsed!$V$19,"-")</f>
        <v>-</v>
      </c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</row>
    <row r="72" spans="1:35" ht="15.75" thickBo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</row>
    <row r="73" spans="1:35" ht="15.75" thickBot="1" x14ac:dyDescent="0.3">
      <c r="A73" s="23"/>
      <c r="B73" s="23"/>
      <c r="C73" s="104" t="s">
        <v>40</v>
      </c>
      <c r="D73" s="70"/>
      <c r="E73" s="70"/>
      <c r="F73" s="70"/>
      <c r="G73" s="70" t="s">
        <v>105</v>
      </c>
      <c r="H73" s="70"/>
      <c r="I73" s="70"/>
      <c r="J73" s="70"/>
      <c r="K73" s="70"/>
      <c r="L73" s="70"/>
      <c r="M73" s="70"/>
      <c r="N73" s="70"/>
      <c r="O73" s="70"/>
      <c r="P73" s="70"/>
      <c r="Q73" s="71"/>
      <c r="R73" s="70"/>
      <c r="S73" s="70"/>
      <c r="T73" s="71"/>
      <c r="U73" s="70"/>
      <c r="V73" s="70"/>
      <c r="W73" s="72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</row>
    <row r="74" spans="1:35" ht="15.75" thickBot="1" x14ac:dyDescent="0.3">
      <c r="A74" s="23"/>
      <c r="B74" s="23"/>
      <c r="C74" s="54" t="s">
        <v>69</v>
      </c>
      <c r="D74" s="55" t="s">
        <v>0</v>
      </c>
      <c r="E74" s="55" t="s">
        <v>71</v>
      </c>
      <c r="F74" s="55" t="s">
        <v>70</v>
      </c>
      <c r="G74" s="55" t="s">
        <v>72</v>
      </c>
      <c r="H74" s="55" t="s">
        <v>73</v>
      </c>
      <c r="I74" s="55" t="s">
        <v>74</v>
      </c>
      <c r="J74" s="55" t="s">
        <v>75</v>
      </c>
      <c r="K74" s="55" t="s">
        <v>76</v>
      </c>
      <c r="L74" s="55" t="s">
        <v>77</v>
      </c>
      <c r="M74" s="55" t="s">
        <v>78</v>
      </c>
      <c r="N74" s="55" t="s">
        <v>79</v>
      </c>
      <c r="O74" s="55" t="s">
        <v>80</v>
      </c>
      <c r="P74" s="55" t="s">
        <v>81</v>
      </c>
      <c r="Q74" s="56" t="s">
        <v>82</v>
      </c>
      <c r="R74" s="55" t="s">
        <v>83</v>
      </c>
      <c r="S74" s="55" t="s">
        <v>84</v>
      </c>
      <c r="T74" s="56" t="s">
        <v>85</v>
      </c>
      <c r="U74" s="55" t="s">
        <v>86</v>
      </c>
      <c r="V74" s="55" t="s">
        <v>87</v>
      </c>
      <c r="W74" s="57" t="s">
        <v>88</v>
      </c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</row>
    <row r="75" spans="1:35" x14ac:dyDescent="0.25">
      <c r="A75" s="23"/>
      <c r="B75" s="23"/>
      <c r="C75" s="58"/>
      <c r="D75" s="68"/>
      <c r="E75" s="59" t="s">
        <v>157</v>
      </c>
      <c r="F75" s="59" t="str">
        <f>IF(TeamsNotUsed!$D75="","",$C$73)</f>
        <v/>
      </c>
      <c r="G75" s="59" t="str">
        <f>IFERROR(IF(TeamsNotUsed!$D75="","",SUMIFS(Database!H:H,Database!E:E,TeamsNotUsed!$D75,Database!$A:$A,$O$5)),"")</f>
        <v/>
      </c>
      <c r="H75" s="59" t="str">
        <f>IFERROR(IF(TeamsNotUsed!$D75="","",SUMIFS(Database!I:I,Database!F:F,TeamsNotUsed!$D75,Database!$A:$A,$O$5)),"")</f>
        <v/>
      </c>
      <c r="I75" s="59" t="str">
        <f>IFERROR(IF(TeamsNotUsed!$D75="","",SUMIFS(Database!J:J,Database!G:G,TeamsNotUsed!$D75,Database!$A:$A,$O$5)),"")</f>
        <v/>
      </c>
      <c r="J75" s="59" t="str">
        <f>IFERROR(IF(TeamsNotUsed!$D75="","",SUMIFS(Database!K:K,Database!H:H,TeamsNotUsed!$D75,Database!$A:$A,$O$5)),"")</f>
        <v/>
      </c>
      <c r="K75" s="59" t="str">
        <f>IFERROR(IF(TeamsNotUsed!$D75="","",SUMIFS(Database!L:L,Database!I:I,TeamsNotUsed!$D75,Database!$A:$A,$O$5)),"")</f>
        <v/>
      </c>
      <c r="L75" s="59" t="str">
        <f>IFERROR(IF(TeamsNotUsed!$D75="","",SUMIFS(Database!M:M,Database!J:J,TeamsNotUsed!$D75,Database!$A:$A,$O$5)),"")</f>
        <v/>
      </c>
      <c r="M75" s="59" t="str">
        <f>IFERROR(IF(TeamsNotUsed!$D75="","",SUMIFS(Database!N:N,Database!K:K,TeamsNotUsed!$D75,Database!$A:$A,$O$5)),"")</f>
        <v/>
      </c>
      <c r="N75" s="59" t="str">
        <f>IFERROR(IF(TeamsNotUsed!$D75="","",SUMIFS(Database!O:O,Database!L:L,TeamsNotUsed!$D75,Database!$A:$A,$O$5)),"")</f>
        <v/>
      </c>
      <c r="O75" s="59" t="str">
        <f>IFERROR(IF(TeamsNotUsed!$D75="","",SUMIFS(Database!P:P,Database!M:M,TeamsNotUsed!$D75,Database!$A:$A,$O$5)),"")</f>
        <v/>
      </c>
      <c r="P75" s="59" t="str">
        <f>IFERROR(IF(TeamsNotUsed!$D75="","",SUMIFS(Database!Q:Q,Database!N:N,TeamsNotUsed!$D75,Database!$A:$A,$O$5)),"")</f>
        <v/>
      </c>
      <c r="Q75" s="60" t="str">
        <f>IFERROR(IF(TeamsNotUsed!$D75="","",TeamsNotUsed!$O75/TeamsNotUsed!$P75),"-")</f>
        <v/>
      </c>
      <c r="R75" s="59" t="str">
        <f>IFERROR(IF(TeamsNotUsed!$D75="","",SUMIFS(Database!S:S,Database!P:P,TeamsNotUsed!$D75,Database!$A:$A,$O$5)),"")</f>
        <v/>
      </c>
      <c r="S75" s="59" t="str">
        <f>IFERROR(IF(TeamsNotUsed!$D75="","",SUMIFS(Database!T:T,Database!Q:Q,TeamsNotUsed!$D75,Database!$A:$A,$O$5)),"")</f>
        <v/>
      </c>
      <c r="T75" s="60" t="str">
        <f>IFERROR(IF(TeamsNotUsed!$D75="","",TeamsNotUsed!$R75/TeamsNotUsed!$S75),"-")</f>
        <v/>
      </c>
      <c r="U75" s="59" t="str">
        <f>IFERROR(IF(TeamsNotUsed!$D75="","",SUMIFS(Database!V:V,Database!S:S,TeamsNotUsed!$D75,Database!$A:$A,$O$5)),"")</f>
        <v/>
      </c>
      <c r="V75" s="59" t="str">
        <f>IFERROR(IF(TeamsNotUsed!$D75="","",SUMIFS(Database!W:W,Database!T:T,TeamsNotUsed!$D75,Database!$A:$A,$O$5)),"")</f>
        <v/>
      </c>
      <c r="W75" s="61" t="str">
        <f>IFERROR(IF(TeamsNotUsed!$D75="","",TeamsNotUsed!$U75/TeamsNotUsed!$V75),"-")</f>
        <v/>
      </c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</row>
    <row r="76" spans="1:35" x14ac:dyDescent="0.25">
      <c r="A76" s="23"/>
      <c r="B76" s="23"/>
      <c r="C76" s="43"/>
      <c r="D76" s="17"/>
      <c r="E76" s="11" t="s">
        <v>157</v>
      </c>
      <c r="F76" s="11" t="str">
        <f>IF(TeamsNotUsed!$D76="","",$C$73)</f>
        <v/>
      </c>
      <c r="G76" s="11" t="str">
        <f>IFERROR(IF(TeamsNotUsed!$D76="","",SUMIFS(Database!H:H,Database!E:E,TeamsNotUsed!$D76,Database!$A:$A,$O$5)),"")</f>
        <v/>
      </c>
      <c r="H76" s="11" t="str">
        <f>IFERROR(IF(TeamsNotUsed!$D76="","",SUMIFS(Database!I:I,Database!F:F,TeamsNotUsed!$D76,Database!$A:$A,$O$5)),"")</f>
        <v/>
      </c>
      <c r="I76" s="11" t="str">
        <f>IFERROR(IF(TeamsNotUsed!$D76="","",SUMIFS(Database!J:J,Database!G:G,TeamsNotUsed!$D76,Database!$A:$A,$O$5)),"")</f>
        <v/>
      </c>
      <c r="J76" s="11" t="str">
        <f>IFERROR(IF(TeamsNotUsed!$D76="","",SUMIFS(Database!K:K,Database!H:H,TeamsNotUsed!$D76,Database!$A:$A,$O$5)),"")</f>
        <v/>
      </c>
      <c r="K76" s="11" t="str">
        <f>IFERROR(IF(TeamsNotUsed!$D76="","",SUMIFS(Database!L:L,Database!I:I,TeamsNotUsed!$D76,Database!$A:$A,$O$5)),"")</f>
        <v/>
      </c>
      <c r="L76" s="11" t="str">
        <f>IFERROR(IF(TeamsNotUsed!$D76="","",SUMIFS(Database!M:M,Database!J:J,TeamsNotUsed!$D76,Database!$A:$A,$O$5)),"")</f>
        <v/>
      </c>
      <c r="M76" s="11" t="str">
        <f>IFERROR(IF(TeamsNotUsed!$D76="","",SUMIFS(Database!N:N,Database!K:K,TeamsNotUsed!$D76,Database!$A:$A,$O$5)),"")</f>
        <v/>
      </c>
      <c r="N76" s="11" t="str">
        <f>IFERROR(IF(TeamsNotUsed!$D76="","",SUMIFS(Database!O:O,Database!L:L,TeamsNotUsed!$D76,Database!$A:$A,$O$5)),"")</f>
        <v/>
      </c>
      <c r="O76" s="11" t="str">
        <f>IFERROR(IF(TeamsNotUsed!$D76="","",SUMIFS(Database!P:P,Database!M:M,TeamsNotUsed!$D76,Database!$A:$A,$O$5)),"")</f>
        <v/>
      </c>
      <c r="P76" s="11" t="str">
        <f>IFERROR(IF(TeamsNotUsed!$D76="","",SUMIFS(Database!Q:Q,Database!N:N,TeamsNotUsed!$D76,Database!$A:$A,$O$5)),"")</f>
        <v/>
      </c>
      <c r="Q76" s="14" t="str">
        <f>IFERROR(IF(TeamsNotUsed!$D76="","",TeamsNotUsed!$O76/TeamsNotUsed!$P76),"-")</f>
        <v/>
      </c>
      <c r="R76" s="11" t="str">
        <f>IFERROR(IF(TeamsNotUsed!$D76="","",SUMIFS(Database!S:S,Database!P:P,TeamsNotUsed!$D76,Database!$A:$A,$O$5)),"")</f>
        <v/>
      </c>
      <c r="S76" s="11" t="str">
        <f>IFERROR(IF(TeamsNotUsed!$D76="","",SUMIFS(Database!T:T,Database!Q:Q,TeamsNotUsed!$D76,Database!$A:$A,$O$5)),"")</f>
        <v/>
      </c>
      <c r="T76" s="14" t="str">
        <f>IFERROR(IF(TeamsNotUsed!$D76="","",TeamsNotUsed!$R76/TeamsNotUsed!$S76),"-")</f>
        <v/>
      </c>
      <c r="U76" s="11" t="str">
        <f>IFERROR(IF(TeamsNotUsed!$D76="","",SUMIFS(Database!V:V,Database!S:S,TeamsNotUsed!$D76,Database!$A:$A,$O$5)),"")</f>
        <v/>
      </c>
      <c r="V76" s="11" t="str">
        <f>IFERROR(IF(TeamsNotUsed!$D76="","",SUMIFS(Database!W:W,Database!T:T,TeamsNotUsed!$D76,Database!$A:$A,$O$5)),"")</f>
        <v/>
      </c>
      <c r="W76" s="46" t="str">
        <f>IFERROR(IF(TeamsNotUsed!$D76="","",TeamsNotUsed!$U76/TeamsNotUsed!$V76),"-")</f>
        <v/>
      </c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</row>
    <row r="77" spans="1:35" x14ac:dyDescent="0.25">
      <c r="A77" s="23"/>
      <c r="B77" s="23"/>
      <c r="C77" s="44"/>
      <c r="D77" s="17"/>
      <c r="E77" s="12" t="s">
        <v>157</v>
      </c>
      <c r="F77" s="12" t="str">
        <f>IF(TeamsNotUsed!$D77="","",$C$73)</f>
        <v/>
      </c>
      <c r="G77" s="12" t="str">
        <f>IFERROR(IF(TeamsNotUsed!$D77="","",SUMIFS(Database!H:H,Database!E:E,TeamsNotUsed!$D77,Database!$A:$A,$O$5)),"")</f>
        <v/>
      </c>
      <c r="H77" s="12" t="str">
        <f>IFERROR(IF(TeamsNotUsed!$D77="","",SUMIFS(Database!I:I,Database!F:F,TeamsNotUsed!$D77,Database!$A:$A,$O$5)),"")</f>
        <v/>
      </c>
      <c r="I77" s="12" t="str">
        <f>IFERROR(IF(TeamsNotUsed!$D77="","",SUMIFS(Database!J:J,Database!G:G,TeamsNotUsed!$D77,Database!$A:$A,$O$5)),"")</f>
        <v/>
      </c>
      <c r="J77" s="12" t="str">
        <f>IFERROR(IF(TeamsNotUsed!$D77="","",SUMIFS(Database!K:K,Database!H:H,TeamsNotUsed!$D77,Database!$A:$A,$O$5)),"")</f>
        <v/>
      </c>
      <c r="K77" s="12" t="str">
        <f>IFERROR(IF(TeamsNotUsed!$D77="","",SUMIFS(Database!L:L,Database!I:I,TeamsNotUsed!$D77,Database!$A:$A,$O$5)),"")</f>
        <v/>
      </c>
      <c r="L77" s="12" t="str">
        <f>IFERROR(IF(TeamsNotUsed!$D77="","",SUMIFS(Database!M:M,Database!J:J,TeamsNotUsed!$D77,Database!$A:$A,$O$5)),"")</f>
        <v/>
      </c>
      <c r="M77" s="12" t="str">
        <f>IFERROR(IF(TeamsNotUsed!$D77="","",SUMIFS(Database!N:N,Database!K:K,TeamsNotUsed!$D77,Database!$A:$A,$O$5)),"")</f>
        <v/>
      </c>
      <c r="N77" s="12" t="str">
        <f>IFERROR(IF(TeamsNotUsed!$D77="","",SUMIFS(Database!O:O,Database!L:L,TeamsNotUsed!$D77,Database!$A:$A,$O$5)),"")</f>
        <v/>
      </c>
      <c r="O77" s="12" t="str">
        <f>IFERROR(IF(TeamsNotUsed!$D77="","",SUMIFS(Database!P:P,Database!M:M,TeamsNotUsed!$D77,Database!$A:$A,$O$5)),"")</f>
        <v/>
      </c>
      <c r="P77" s="12" t="str">
        <f>IFERROR(IF(TeamsNotUsed!$D77="","",SUMIFS(Database!Q:Q,Database!N:N,TeamsNotUsed!$D77,Database!$A:$A,$O$5)),"")</f>
        <v/>
      </c>
      <c r="Q77" s="13" t="str">
        <f>IFERROR(IF(TeamsNotUsed!$D77="","",TeamsNotUsed!$O77/TeamsNotUsed!$P77),"-")</f>
        <v/>
      </c>
      <c r="R77" s="12" t="str">
        <f>IFERROR(IF(TeamsNotUsed!$D77="","",SUMIFS(Database!S:S,Database!P:P,TeamsNotUsed!$D77,Database!$A:$A,$O$5)),"")</f>
        <v/>
      </c>
      <c r="S77" s="12" t="str">
        <f>IFERROR(IF(TeamsNotUsed!$D77="","",SUMIFS(Database!T:T,Database!Q:Q,TeamsNotUsed!$D77,Database!$A:$A,$O$5)),"")</f>
        <v/>
      </c>
      <c r="T77" s="13" t="str">
        <f>IFERROR(IF(TeamsNotUsed!$D77="","",TeamsNotUsed!$R77/TeamsNotUsed!$S77),"-")</f>
        <v/>
      </c>
      <c r="U77" s="12" t="str">
        <f>IFERROR(IF(TeamsNotUsed!$D77="","",SUMIFS(Database!V:V,Database!S:S,TeamsNotUsed!$D77,Database!$A:$A,$O$5)),"")</f>
        <v/>
      </c>
      <c r="V77" s="12" t="str">
        <f>IFERROR(IF(TeamsNotUsed!$D77="","",SUMIFS(Database!W:W,Database!T:T,TeamsNotUsed!$D77,Database!$A:$A,$O$5)),"")</f>
        <v/>
      </c>
      <c r="W77" s="45" t="str">
        <f>IFERROR(IF(TeamsNotUsed!$D77="","",TeamsNotUsed!$U77/TeamsNotUsed!$V77),"-")</f>
        <v/>
      </c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</row>
    <row r="78" spans="1:35" x14ac:dyDescent="0.25">
      <c r="A78" s="23"/>
      <c r="B78" s="23"/>
      <c r="C78" s="43"/>
      <c r="D78" s="17"/>
      <c r="E78" s="11" t="s">
        <v>157</v>
      </c>
      <c r="F78" s="11" t="str">
        <f>IF(TeamsNotUsed!$D78="","",$C$73)</f>
        <v/>
      </c>
      <c r="G78" s="11" t="str">
        <f>IFERROR(IF(TeamsNotUsed!$D78="","",SUMIFS(Database!H:H,Database!E:E,TeamsNotUsed!$D78,Database!$A:$A,$O$5)),"")</f>
        <v/>
      </c>
      <c r="H78" s="11" t="str">
        <f>IFERROR(IF(TeamsNotUsed!$D78="","",SUMIFS(Database!I:I,Database!F:F,TeamsNotUsed!$D78,Database!$A:$A,$O$5)),"")</f>
        <v/>
      </c>
      <c r="I78" s="11" t="str">
        <f>IFERROR(IF(TeamsNotUsed!$D78="","",SUMIFS(Database!J:J,Database!G:G,TeamsNotUsed!$D78,Database!$A:$A,$O$5)),"")</f>
        <v/>
      </c>
      <c r="J78" s="11" t="str">
        <f>IFERROR(IF(TeamsNotUsed!$D78="","",SUMIFS(Database!K:K,Database!H:H,TeamsNotUsed!$D78,Database!$A:$A,$O$5)),"")</f>
        <v/>
      </c>
      <c r="K78" s="11" t="str">
        <f>IFERROR(IF(TeamsNotUsed!$D78="","",SUMIFS(Database!L:L,Database!I:I,TeamsNotUsed!$D78,Database!$A:$A,$O$5)),"")</f>
        <v/>
      </c>
      <c r="L78" s="11" t="str">
        <f>IFERROR(IF(TeamsNotUsed!$D78="","",SUMIFS(Database!M:M,Database!J:J,TeamsNotUsed!$D78,Database!$A:$A,$O$5)),"")</f>
        <v/>
      </c>
      <c r="M78" s="11" t="str">
        <f>IFERROR(IF(TeamsNotUsed!$D78="","",SUMIFS(Database!N:N,Database!K:K,TeamsNotUsed!$D78,Database!$A:$A,$O$5)),"")</f>
        <v/>
      </c>
      <c r="N78" s="11" t="str">
        <f>IFERROR(IF(TeamsNotUsed!$D78="","",SUMIFS(Database!O:O,Database!L:L,TeamsNotUsed!$D78,Database!$A:$A,$O$5)),"")</f>
        <v/>
      </c>
      <c r="O78" s="11" t="str">
        <f>IFERROR(IF(TeamsNotUsed!$D78="","",SUMIFS(Database!P:P,Database!M:M,TeamsNotUsed!$D78,Database!$A:$A,$O$5)),"")</f>
        <v/>
      </c>
      <c r="P78" s="11" t="str">
        <f>IFERROR(IF(TeamsNotUsed!$D78="","",SUMIFS(Database!Q:Q,Database!N:N,TeamsNotUsed!$D78,Database!$A:$A,$O$5)),"")</f>
        <v/>
      </c>
      <c r="Q78" s="14" t="str">
        <f>IFERROR(IF(TeamsNotUsed!$D78="","",TeamsNotUsed!$O78/TeamsNotUsed!$P78),"-")</f>
        <v/>
      </c>
      <c r="R78" s="11" t="str">
        <f>IFERROR(IF(TeamsNotUsed!$D78="","",SUMIFS(Database!S:S,Database!P:P,TeamsNotUsed!$D78,Database!$A:$A,$O$5)),"")</f>
        <v/>
      </c>
      <c r="S78" s="11" t="str">
        <f>IFERROR(IF(TeamsNotUsed!$D78="","",SUMIFS(Database!T:T,Database!Q:Q,TeamsNotUsed!$D78,Database!$A:$A,$O$5)),"")</f>
        <v/>
      </c>
      <c r="T78" s="14" t="str">
        <f>IFERROR(IF(TeamsNotUsed!$D78="","",TeamsNotUsed!$R78/TeamsNotUsed!$S78),"-")</f>
        <v/>
      </c>
      <c r="U78" s="11" t="str">
        <f>IFERROR(IF(TeamsNotUsed!$D78="","",SUMIFS(Database!V:V,Database!S:S,TeamsNotUsed!$D78,Database!$A:$A,$O$5)),"")</f>
        <v/>
      </c>
      <c r="V78" s="11" t="str">
        <f>IFERROR(IF(TeamsNotUsed!$D78="","",SUMIFS(Database!W:W,Database!T:T,TeamsNotUsed!$D78,Database!$A:$A,$O$5)),"")</f>
        <v/>
      </c>
      <c r="W78" s="46" t="str">
        <f>IFERROR(IF(TeamsNotUsed!$D78="","",TeamsNotUsed!$U78/TeamsNotUsed!$V78),"-")</f>
        <v/>
      </c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</row>
    <row r="79" spans="1:35" x14ac:dyDescent="0.25">
      <c r="A79" s="23"/>
      <c r="B79" s="23"/>
      <c r="C79" s="44"/>
      <c r="D79" s="69"/>
      <c r="E79" s="12" t="s">
        <v>157</v>
      </c>
      <c r="F79" s="12" t="str">
        <f>IF(TeamsNotUsed!$D79="","",$C$73)</f>
        <v/>
      </c>
      <c r="G79" s="12" t="str">
        <f>IFERROR(IF(TeamsNotUsed!$D79="","",SUMIFS(Database!H:H,Database!E:E,TeamsNotUsed!$D79,Database!$A:$A,$O$5)),"")</f>
        <v/>
      </c>
      <c r="H79" s="12" t="str">
        <f>IFERROR(IF(TeamsNotUsed!$D79="","",SUMIFS(Database!I:I,Database!F:F,TeamsNotUsed!$D79,Database!$A:$A,$O$5)),"")</f>
        <v/>
      </c>
      <c r="I79" s="12" t="str">
        <f>IFERROR(IF(TeamsNotUsed!$D79="","",SUMIFS(Database!J:J,Database!G:G,TeamsNotUsed!$D79,Database!$A:$A,$O$5)),"")</f>
        <v/>
      </c>
      <c r="J79" s="12" t="str">
        <f>IFERROR(IF(TeamsNotUsed!$D79="","",SUMIFS(Database!K:K,Database!H:H,TeamsNotUsed!$D79,Database!$A:$A,$O$5)),"")</f>
        <v/>
      </c>
      <c r="K79" s="12" t="str">
        <f>IFERROR(IF(TeamsNotUsed!$D79="","",SUMIFS(Database!L:L,Database!I:I,TeamsNotUsed!$D79,Database!$A:$A,$O$5)),"")</f>
        <v/>
      </c>
      <c r="L79" s="12" t="str">
        <f>IFERROR(IF(TeamsNotUsed!$D79="","",SUMIFS(Database!M:M,Database!J:J,TeamsNotUsed!$D79,Database!$A:$A,$O$5)),"")</f>
        <v/>
      </c>
      <c r="M79" s="12" t="str">
        <f>IFERROR(IF(TeamsNotUsed!$D79="","",SUMIFS(Database!N:N,Database!K:K,TeamsNotUsed!$D79,Database!$A:$A,$O$5)),"")</f>
        <v/>
      </c>
      <c r="N79" s="12" t="str">
        <f>IFERROR(IF(TeamsNotUsed!$D79="","",SUMIFS(Database!O:O,Database!L:L,TeamsNotUsed!$D79,Database!$A:$A,$O$5)),"")</f>
        <v/>
      </c>
      <c r="O79" s="12" t="str">
        <f>IFERROR(IF(TeamsNotUsed!$D79="","",SUMIFS(Database!P:P,Database!M:M,TeamsNotUsed!$D79,Database!$A:$A,$O$5)),"")</f>
        <v/>
      </c>
      <c r="P79" s="12" t="str">
        <f>IFERROR(IF(TeamsNotUsed!$D79="","",SUMIFS(Database!Q:Q,Database!N:N,TeamsNotUsed!$D79,Database!$A:$A,$O$5)),"")</f>
        <v/>
      </c>
      <c r="Q79" s="13" t="str">
        <f>IFERROR(IF(TeamsNotUsed!$D79="","",TeamsNotUsed!$O79/TeamsNotUsed!$P79),"-")</f>
        <v/>
      </c>
      <c r="R79" s="12" t="str">
        <f>IFERROR(IF(TeamsNotUsed!$D79="","",SUMIFS(Database!S:S,Database!P:P,TeamsNotUsed!$D79,Database!$A:$A,$O$5)),"")</f>
        <v/>
      </c>
      <c r="S79" s="12" t="str">
        <f>IFERROR(IF(TeamsNotUsed!$D79="","",SUMIFS(Database!T:T,Database!Q:Q,TeamsNotUsed!$D79,Database!$A:$A,$O$5)),"")</f>
        <v/>
      </c>
      <c r="T79" s="13" t="str">
        <f>IFERROR(IF(TeamsNotUsed!$D79="","",TeamsNotUsed!$R79/TeamsNotUsed!$S79),"-")</f>
        <v/>
      </c>
      <c r="U79" s="12" t="str">
        <f>IFERROR(IF(TeamsNotUsed!$D79="","",SUMIFS(Database!V:V,Database!S:S,TeamsNotUsed!$D79,Database!$A:$A,$O$5)),"")</f>
        <v/>
      </c>
      <c r="V79" s="12" t="str">
        <f>IFERROR(IF(TeamsNotUsed!$D79="","",SUMIFS(Database!W:W,Database!T:T,TeamsNotUsed!$D79,Database!$A:$A,$O$5)),"")</f>
        <v/>
      </c>
      <c r="W79" s="45" t="str">
        <f>IFERROR(IF(TeamsNotUsed!$D79="","",TeamsNotUsed!$U79/TeamsNotUsed!$V79),"-")</f>
        <v/>
      </c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</row>
    <row r="80" spans="1:35" x14ac:dyDescent="0.25">
      <c r="A80" s="23"/>
      <c r="B80" s="23"/>
      <c r="C80" s="43"/>
      <c r="D80" s="17"/>
      <c r="E80" s="11" t="s">
        <v>157</v>
      </c>
      <c r="F80" s="11" t="str">
        <f>IF(TeamsNotUsed!$D80="","",$C$73)</f>
        <v/>
      </c>
      <c r="G80" s="11" t="str">
        <f>IFERROR(IF(TeamsNotUsed!$D80="","",SUMIFS(Database!H:H,Database!E:E,TeamsNotUsed!$D80,Database!$A:$A,$O$5)),"")</f>
        <v/>
      </c>
      <c r="H80" s="11" t="str">
        <f>IFERROR(IF(TeamsNotUsed!$D80="","",SUMIFS(Database!I:I,Database!F:F,TeamsNotUsed!$D80,Database!$A:$A,$O$5)),"")</f>
        <v/>
      </c>
      <c r="I80" s="11" t="str">
        <f>IFERROR(IF(TeamsNotUsed!$D80="","",SUMIFS(Database!J:J,Database!G:G,TeamsNotUsed!$D80,Database!$A:$A,$O$5)),"")</f>
        <v/>
      </c>
      <c r="J80" s="11" t="str">
        <f>IFERROR(IF(TeamsNotUsed!$D80="","",SUMIFS(Database!K:K,Database!H:H,TeamsNotUsed!$D80,Database!$A:$A,$O$5)),"")</f>
        <v/>
      </c>
      <c r="K80" s="11" t="str">
        <f>IFERROR(IF(TeamsNotUsed!$D80="","",SUMIFS(Database!L:L,Database!I:I,TeamsNotUsed!$D80,Database!$A:$A,$O$5)),"")</f>
        <v/>
      </c>
      <c r="L80" s="11" t="str">
        <f>IFERROR(IF(TeamsNotUsed!$D80="","",SUMIFS(Database!M:M,Database!J:J,TeamsNotUsed!$D80,Database!$A:$A,$O$5)),"")</f>
        <v/>
      </c>
      <c r="M80" s="11" t="str">
        <f>IFERROR(IF(TeamsNotUsed!$D80="","",SUMIFS(Database!N:N,Database!K:K,TeamsNotUsed!$D80,Database!$A:$A,$O$5)),"")</f>
        <v/>
      </c>
      <c r="N80" s="11" t="str">
        <f>IFERROR(IF(TeamsNotUsed!$D80="","",SUMIFS(Database!O:O,Database!L:L,TeamsNotUsed!$D80,Database!$A:$A,$O$5)),"")</f>
        <v/>
      </c>
      <c r="O80" s="11" t="str">
        <f>IFERROR(IF(TeamsNotUsed!$D80="","",SUMIFS(Database!P:P,Database!M:M,TeamsNotUsed!$D80,Database!$A:$A,$O$5)),"")</f>
        <v/>
      </c>
      <c r="P80" s="11" t="str">
        <f>IFERROR(IF(TeamsNotUsed!$D80="","",SUMIFS(Database!Q:Q,Database!N:N,TeamsNotUsed!$D80,Database!$A:$A,$O$5)),"")</f>
        <v/>
      </c>
      <c r="Q80" s="14" t="str">
        <f>IFERROR(IF(TeamsNotUsed!$D80="","",TeamsNotUsed!$O80/TeamsNotUsed!$P80),"-")</f>
        <v/>
      </c>
      <c r="R80" s="11" t="str">
        <f>IFERROR(IF(TeamsNotUsed!$D80="","",SUMIFS(Database!S:S,Database!P:P,TeamsNotUsed!$D80,Database!$A:$A,$O$5)),"")</f>
        <v/>
      </c>
      <c r="S80" s="11" t="str">
        <f>IFERROR(IF(TeamsNotUsed!$D80="","",SUMIFS(Database!T:T,Database!Q:Q,TeamsNotUsed!$D80,Database!$A:$A,$O$5)),"")</f>
        <v/>
      </c>
      <c r="T80" s="14" t="str">
        <f>IFERROR(IF(TeamsNotUsed!$D80="","",TeamsNotUsed!$R80/TeamsNotUsed!$S80),"-")</f>
        <v/>
      </c>
      <c r="U80" s="11" t="str">
        <f>IFERROR(IF(TeamsNotUsed!$D80="","",SUMIFS(Database!V:V,Database!S:S,TeamsNotUsed!$D80,Database!$A:$A,$O$5)),"")</f>
        <v/>
      </c>
      <c r="V80" s="11" t="str">
        <f>IFERROR(IF(TeamsNotUsed!$D80="","",SUMIFS(Database!W:W,Database!T:T,TeamsNotUsed!$D80,Database!$A:$A,$O$5)),"")</f>
        <v/>
      </c>
      <c r="W80" s="46" t="str">
        <f>IFERROR(IF(TeamsNotUsed!$D80="","",TeamsNotUsed!$U80/TeamsNotUsed!$V80),"-")</f>
        <v/>
      </c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</row>
    <row r="81" spans="1:35" x14ac:dyDescent="0.25">
      <c r="A81" s="23"/>
      <c r="B81" s="23"/>
      <c r="C81" s="44"/>
      <c r="D81" s="17"/>
      <c r="E81" s="12" t="s">
        <v>157</v>
      </c>
      <c r="F81" s="12" t="str">
        <f>IF(TeamsNotUsed!$D81="","",$C$73)</f>
        <v/>
      </c>
      <c r="G81" s="12" t="str">
        <f>IFERROR(IF(TeamsNotUsed!$D81="","",SUMIFS(Database!H:H,Database!E:E,TeamsNotUsed!$D81,Database!$A:$A,$O$5)),"")</f>
        <v/>
      </c>
      <c r="H81" s="12" t="str">
        <f>IFERROR(IF(TeamsNotUsed!$D81="","",SUMIFS(Database!I:I,Database!F:F,TeamsNotUsed!$D81,Database!$A:$A,$O$5)),"")</f>
        <v/>
      </c>
      <c r="I81" s="12" t="str">
        <f>IFERROR(IF(TeamsNotUsed!$D81="","",SUMIFS(Database!J:J,Database!G:G,TeamsNotUsed!$D81,Database!$A:$A,$O$5)),"")</f>
        <v/>
      </c>
      <c r="J81" s="12" t="str">
        <f>IFERROR(IF(TeamsNotUsed!$D81="","",SUMIFS(Database!K:K,Database!H:H,TeamsNotUsed!$D81,Database!$A:$A,$O$5)),"")</f>
        <v/>
      </c>
      <c r="K81" s="12" t="str">
        <f>IFERROR(IF(TeamsNotUsed!$D81="","",SUMIFS(Database!L:L,Database!I:I,TeamsNotUsed!$D81,Database!$A:$A,$O$5)),"")</f>
        <v/>
      </c>
      <c r="L81" s="12" t="str">
        <f>IFERROR(IF(TeamsNotUsed!$D81="","",SUMIFS(Database!M:M,Database!J:J,TeamsNotUsed!$D81,Database!$A:$A,$O$5)),"")</f>
        <v/>
      </c>
      <c r="M81" s="12" t="str">
        <f>IFERROR(IF(TeamsNotUsed!$D81="","",SUMIFS(Database!N:N,Database!K:K,TeamsNotUsed!$D81,Database!$A:$A,$O$5)),"")</f>
        <v/>
      </c>
      <c r="N81" s="12" t="str">
        <f>IFERROR(IF(TeamsNotUsed!$D81="","",SUMIFS(Database!O:O,Database!L:L,TeamsNotUsed!$D81,Database!$A:$A,$O$5)),"")</f>
        <v/>
      </c>
      <c r="O81" s="12" t="str">
        <f>IFERROR(IF(TeamsNotUsed!$D81="","",SUMIFS(Database!P:P,Database!M:M,TeamsNotUsed!$D81,Database!$A:$A,$O$5)),"")</f>
        <v/>
      </c>
      <c r="P81" s="12" t="str">
        <f>IFERROR(IF(TeamsNotUsed!$D81="","",SUMIFS(Database!Q:Q,Database!N:N,TeamsNotUsed!$D81,Database!$A:$A,$O$5)),"")</f>
        <v/>
      </c>
      <c r="Q81" s="13" t="str">
        <f>IFERROR(IF(TeamsNotUsed!$D81="","",TeamsNotUsed!$O81/TeamsNotUsed!$P81),"-")</f>
        <v/>
      </c>
      <c r="R81" s="12" t="str">
        <f>IFERROR(IF(TeamsNotUsed!$D81="","",SUMIFS(Database!S:S,Database!P:P,TeamsNotUsed!$D81,Database!$A:$A,$O$5)),"")</f>
        <v/>
      </c>
      <c r="S81" s="12" t="str">
        <f>IFERROR(IF(TeamsNotUsed!$D81="","",SUMIFS(Database!T:T,Database!Q:Q,TeamsNotUsed!$D81,Database!$A:$A,$O$5)),"")</f>
        <v/>
      </c>
      <c r="T81" s="13" t="str">
        <f>IFERROR(IF(TeamsNotUsed!$D81="","",TeamsNotUsed!$R81/TeamsNotUsed!$S81),"-")</f>
        <v/>
      </c>
      <c r="U81" s="12" t="str">
        <f>IFERROR(IF(TeamsNotUsed!$D81="","",SUMIFS(Database!V:V,Database!S:S,TeamsNotUsed!$D81,Database!$A:$A,$O$5)),"")</f>
        <v/>
      </c>
      <c r="V81" s="12" t="str">
        <f>IFERROR(IF(TeamsNotUsed!$D81="","",SUMIFS(Database!W:W,Database!T:T,TeamsNotUsed!$D81,Database!$A:$A,$O$5)),"")</f>
        <v/>
      </c>
      <c r="W81" s="45" t="str">
        <f>IFERROR(IF(TeamsNotUsed!$D81="","",TeamsNotUsed!$U81/TeamsNotUsed!$V81),"-")</f>
        <v/>
      </c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</row>
    <row r="82" spans="1:35" x14ac:dyDescent="0.25">
      <c r="A82" s="23"/>
      <c r="B82" s="23"/>
      <c r="C82" s="43"/>
      <c r="D82" s="17"/>
      <c r="E82" s="11" t="s">
        <v>157</v>
      </c>
      <c r="F82" s="11" t="str">
        <f>IF(TeamsNotUsed!$D82="","",$C$73)</f>
        <v/>
      </c>
      <c r="G82" s="11" t="str">
        <f>IFERROR(IF(TeamsNotUsed!$D82="","",SUMIFS(Database!H:H,Database!E:E,TeamsNotUsed!$D82,Database!$A:$A,$O$5)),"")</f>
        <v/>
      </c>
      <c r="H82" s="11" t="str">
        <f>IFERROR(IF(TeamsNotUsed!$D82="","",SUMIFS(Database!I:I,Database!F:F,TeamsNotUsed!$D82,Database!$A:$A,$O$5)),"")</f>
        <v/>
      </c>
      <c r="I82" s="11" t="str">
        <f>IFERROR(IF(TeamsNotUsed!$D82="","",SUMIFS(Database!J:J,Database!G:G,TeamsNotUsed!$D82,Database!$A:$A,$O$5)),"")</f>
        <v/>
      </c>
      <c r="J82" s="11" t="str">
        <f>IFERROR(IF(TeamsNotUsed!$D82="","",SUMIFS(Database!K:K,Database!H:H,TeamsNotUsed!$D82,Database!$A:$A,$O$5)),"")</f>
        <v/>
      </c>
      <c r="K82" s="11" t="str">
        <f>IFERROR(IF(TeamsNotUsed!$D82="","",SUMIFS(Database!L:L,Database!I:I,TeamsNotUsed!$D82,Database!$A:$A,$O$5)),"")</f>
        <v/>
      </c>
      <c r="L82" s="11" t="str">
        <f>IFERROR(IF(TeamsNotUsed!$D82="","",SUMIFS(Database!M:M,Database!J:J,TeamsNotUsed!$D82,Database!$A:$A,$O$5)),"")</f>
        <v/>
      </c>
      <c r="M82" s="11" t="str">
        <f>IFERROR(IF(TeamsNotUsed!$D82="","",SUMIFS(Database!N:N,Database!K:K,TeamsNotUsed!$D82,Database!$A:$A,$O$5)),"")</f>
        <v/>
      </c>
      <c r="N82" s="11" t="str">
        <f>IFERROR(IF(TeamsNotUsed!$D82="","",SUMIFS(Database!O:O,Database!L:L,TeamsNotUsed!$D82,Database!$A:$A,$O$5)),"")</f>
        <v/>
      </c>
      <c r="O82" s="11" t="str">
        <f>IFERROR(IF(TeamsNotUsed!$D82="","",SUMIFS(Database!P:P,Database!M:M,TeamsNotUsed!$D82,Database!$A:$A,$O$5)),"")</f>
        <v/>
      </c>
      <c r="P82" s="11" t="str">
        <f>IFERROR(IF(TeamsNotUsed!$D82="","",SUMIFS(Database!Q:Q,Database!N:N,TeamsNotUsed!$D82,Database!$A:$A,$O$5)),"")</f>
        <v/>
      </c>
      <c r="Q82" s="14" t="str">
        <f>IFERROR(IF(TeamsNotUsed!$D82="","",TeamsNotUsed!$O82/TeamsNotUsed!$P82),"-")</f>
        <v/>
      </c>
      <c r="R82" s="11" t="str">
        <f>IFERROR(IF(TeamsNotUsed!$D82="","",SUMIFS(Database!S:S,Database!P:P,TeamsNotUsed!$D82,Database!$A:$A,$O$5)),"")</f>
        <v/>
      </c>
      <c r="S82" s="11" t="str">
        <f>IFERROR(IF(TeamsNotUsed!$D82="","",SUMIFS(Database!T:T,Database!Q:Q,TeamsNotUsed!$D82,Database!$A:$A,$O$5)),"")</f>
        <v/>
      </c>
      <c r="T82" s="14" t="str">
        <f>IFERROR(IF(TeamsNotUsed!$D82="","",TeamsNotUsed!$R82/TeamsNotUsed!$S82),"-")</f>
        <v/>
      </c>
      <c r="U82" s="11" t="str">
        <f>IFERROR(IF(TeamsNotUsed!$D82="","",SUMIFS(Database!V:V,Database!S:S,TeamsNotUsed!$D82,Database!$A:$A,$O$5)),"")</f>
        <v/>
      </c>
      <c r="V82" s="11" t="str">
        <f>IFERROR(IF(TeamsNotUsed!$D82="","",SUMIFS(Database!W:W,Database!T:T,TeamsNotUsed!$D82,Database!$A:$A,$O$5)),"")</f>
        <v/>
      </c>
      <c r="W82" s="46" t="str">
        <f>IFERROR(IF(TeamsNotUsed!$D82="","",TeamsNotUsed!$U82/TeamsNotUsed!$V82),"-")</f>
        <v/>
      </c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</row>
    <row r="83" spans="1:35" ht="15.75" thickBot="1" x14ac:dyDescent="0.3">
      <c r="A83" s="23"/>
      <c r="B83" s="23"/>
      <c r="C83" s="44"/>
      <c r="D83" s="17"/>
      <c r="E83" s="12" t="s">
        <v>157</v>
      </c>
      <c r="F83" s="12" t="str">
        <f>IF(TeamsNotUsed!$D83="","",$C$73)</f>
        <v/>
      </c>
      <c r="G83" s="12" t="str">
        <f>IFERROR(IF(TeamsNotUsed!$D83="","",SUMIFS(Database!H:H,Database!E:E,TeamsNotUsed!$D83,Database!$A:$A,$O$5)),"")</f>
        <v/>
      </c>
      <c r="H83" s="12" t="str">
        <f>IFERROR(IF(TeamsNotUsed!$D83="","",SUMIFS(Database!I:I,Database!F:F,TeamsNotUsed!$D83,Database!$A:$A,$O$5)),"")</f>
        <v/>
      </c>
      <c r="I83" s="12" t="str">
        <f>IFERROR(IF(TeamsNotUsed!$D83="","",SUMIFS(Database!J:J,Database!G:G,TeamsNotUsed!$D83,Database!$A:$A,$O$5)),"")</f>
        <v/>
      </c>
      <c r="J83" s="12" t="str">
        <f>IFERROR(IF(TeamsNotUsed!$D83="","",SUMIFS(Database!K:K,Database!H:H,TeamsNotUsed!$D83,Database!$A:$A,$O$5)),"")</f>
        <v/>
      </c>
      <c r="K83" s="12" t="str">
        <f>IFERROR(IF(TeamsNotUsed!$D83="","",SUMIFS(Database!L:L,Database!I:I,TeamsNotUsed!$D83,Database!$A:$A,$O$5)),"")</f>
        <v/>
      </c>
      <c r="L83" s="12" t="str">
        <f>IFERROR(IF(TeamsNotUsed!$D83="","",SUMIFS(Database!M:M,Database!J:J,TeamsNotUsed!$D83,Database!$A:$A,$O$5)),"")</f>
        <v/>
      </c>
      <c r="M83" s="12" t="str">
        <f>IFERROR(IF(TeamsNotUsed!$D83="","",SUMIFS(Database!N:N,Database!K:K,TeamsNotUsed!$D83,Database!$A:$A,$O$5)),"")</f>
        <v/>
      </c>
      <c r="N83" s="12" t="str">
        <f>IFERROR(IF(TeamsNotUsed!$D83="","",SUMIFS(Database!O:O,Database!L:L,TeamsNotUsed!$D83,Database!$A:$A,$O$5)),"")</f>
        <v/>
      </c>
      <c r="O83" s="12" t="str">
        <f>IFERROR(IF(TeamsNotUsed!$D83="","",SUMIFS(Database!P:P,Database!M:M,TeamsNotUsed!$D83,Database!$A:$A,$O$5)),"")</f>
        <v/>
      </c>
      <c r="P83" s="12" t="str">
        <f>IFERROR(IF(TeamsNotUsed!$D83="","",SUMIFS(Database!Q:Q,Database!N:N,TeamsNotUsed!$D83,Database!$A:$A,$O$5)),"")</f>
        <v/>
      </c>
      <c r="Q83" s="13" t="str">
        <f>IFERROR(IF(TeamsNotUsed!$D83="","",TeamsNotUsed!$O83/TeamsNotUsed!$P83),"-")</f>
        <v/>
      </c>
      <c r="R83" s="12" t="str">
        <f>IFERROR(IF(TeamsNotUsed!$D83="","",SUMIFS(Database!S:S,Database!P:P,TeamsNotUsed!$D83,Database!$A:$A,$O$5)),"")</f>
        <v/>
      </c>
      <c r="S83" s="12" t="str">
        <f>IFERROR(IF(TeamsNotUsed!$D83="","",SUMIFS(Database!T:T,Database!Q:Q,TeamsNotUsed!$D83,Database!$A:$A,$O$5)),"")</f>
        <v/>
      </c>
      <c r="T83" s="13" t="str">
        <f>IFERROR(IF(TeamsNotUsed!$D83="","",TeamsNotUsed!$R83/TeamsNotUsed!$S83),"-")</f>
        <v/>
      </c>
      <c r="U83" s="12" t="str">
        <f>IFERROR(IF(TeamsNotUsed!$D83="","",SUMIFS(Database!V:V,Database!S:S,TeamsNotUsed!$D83,Database!$A:$A,$O$5)),"")</f>
        <v/>
      </c>
      <c r="V83" s="12" t="str">
        <f>IFERROR(IF(TeamsNotUsed!$D83="","",SUMIFS(Database!W:W,Database!T:T,TeamsNotUsed!$D83,Database!$A:$A,$O$5)),"")</f>
        <v/>
      </c>
      <c r="W83" s="45" t="str">
        <f>IFERROR(IF(TeamsNotUsed!$D83="","",TeamsNotUsed!$U83/TeamsNotUsed!$V83),"-")</f>
        <v/>
      </c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</row>
    <row r="84" spans="1:35" ht="16.5" thickTop="1" thickBot="1" x14ac:dyDescent="0.3">
      <c r="A84" s="23"/>
      <c r="B84" s="23"/>
      <c r="C84" s="62"/>
      <c r="D84" s="63" t="s">
        <v>96</v>
      </c>
      <c r="E84" s="51">
        <f>SUBTOTAL(104,TeamsNotUsed!$E$10:$E$18)</f>
        <v>0</v>
      </c>
      <c r="F84" s="51"/>
      <c r="G84" s="51">
        <f>SUBTOTAL(109,TeamsNotUsed!$G$10:$G$18)</f>
        <v>0</v>
      </c>
      <c r="H84" s="51">
        <f>SUBTOTAL(109,TeamsNotUsed!$H$10:$H$18)</f>
        <v>0</v>
      </c>
      <c r="I84" s="51">
        <f>SUBTOTAL(109,TeamsNotUsed!$I$10:$I$18)</f>
        <v>0</v>
      </c>
      <c r="J84" s="51">
        <f>SUBTOTAL(109,TeamsNotUsed!$J$10:$J$18)</f>
        <v>0</v>
      </c>
      <c r="K84" s="51">
        <f>SUBTOTAL(109,TeamsNotUsed!$K$10:$K$18)</f>
        <v>0</v>
      </c>
      <c r="L84" s="51">
        <f>SUBTOTAL(109,TeamsNotUsed!$L$10:$L$18)</f>
        <v>0</v>
      </c>
      <c r="M84" s="51">
        <f>SUBTOTAL(109,TeamsNotUsed!$M$10:$M$18)</f>
        <v>0</v>
      </c>
      <c r="N84" s="51">
        <f>SUBTOTAL(109,TeamsNotUsed!$N$10:$N$18)</f>
        <v>0</v>
      </c>
      <c r="O84" s="51">
        <f>SUBTOTAL(109,TeamsNotUsed!$O$10:$O$18)</f>
        <v>0</v>
      </c>
      <c r="P84" s="51">
        <f>SUBTOTAL(109,TeamsNotUsed!$P$10:$P$18)</f>
        <v>0</v>
      </c>
      <c r="Q84" s="52" t="str">
        <f>IFERROR(TeamsNotUsed!$O$19/TeamsNotUsed!$P$19,"-")</f>
        <v>-</v>
      </c>
      <c r="R84" s="51">
        <f>SUBTOTAL(109,TeamsNotUsed!$R$10:$R$18)</f>
        <v>0</v>
      </c>
      <c r="S84" s="51">
        <f>SUBTOTAL(109,TeamsNotUsed!$S$10:$S$18)</f>
        <v>0</v>
      </c>
      <c r="T84" s="52" t="str">
        <f>IFERROR(TeamsNotUsed!$R$19/TeamsNotUsed!$S$19,"-")</f>
        <v>-</v>
      </c>
      <c r="U84" s="51">
        <f>SUBTOTAL(109,TeamsNotUsed!$U$10:$U$18)</f>
        <v>0</v>
      </c>
      <c r="V84" s="51">
        <f>SUBTOTAL(109,TeamsNotUsed!$V$10:$V$18)</f>
        <v>0</v>
      </c>
      <c r="W84" s="53" t="str">
        <f>IFERROR(TeamsNotUsed!$U$19/TeamsNotUsed!$V$19,"-")</f>
        <v>-</v>
      </c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</row>
    <row r="85" spans="1:35" x14ac:dyDescent="0.2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</row>
    <row r="86" spans="1:35" x14ac:dyDescent="0.25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</row>
    <row r="87" spans="1:35" x14ac:dyDescent="0.2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</row>
    <row r="88" spans="1:35" x14ac:dyDescent="0.25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</row>
    <row r="89" spans="1:35" x14ac:dyDescent="0.25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</row>
    <row r="90" spans="1:35" x14ac:dyDescent="0.25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</row>
    <row r="91" spans="1:35" x14ac:dyDescent="0.2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</row>
    <row r="92" spans="1:35" x14ac:dyDescent="0.2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</row>
    <row r="93" spans="1:35" x14ac:dyDescent="0.25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</row>
    <row r="94" spans="1:35" x14ac:dyDescent="0.25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</row>
    <row r="95" spans="1:35" x14ac:dyDescent="0.2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</row>
    <row r="96" spans="1:35" x14ac:dyDescent="0.25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</row>
    <row r="97" spans="1:35" x14ac:dyDescent="0.25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</row>
    <row r="98" spans="1:35" x14ac:dyDescent="0.25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</row>
    <row r="99" spans="1:35" x14ac:dyDescent="0.25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</row>
    <row r="100" spans="1:35" x14ac:dyDescent="0.25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</row>
    <row r="101" spans="1:35" x14ac:dyDescent="0.2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</row>
    <row r="102" spans="1:35" x14ac:dyDescent="0.2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</row>
    <row r="103" spans="1:35" x14ac:dyDescent="0.2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</row>
    <row r="104" spans="1:35" x14ac:dyDescent="0.2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</row>
    <row r="105" spans="1:35" x14ac:dyDescent="0.2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</row>
    <row r="106" spans="1:35" x14ac:dyDescent="0.2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</row>
    <row r="107" spans="1:35" x14ac:dyDescent="0.2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</row>
    <row r="108" spans="1:35" x14ac:dyDescent="0.2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</row>
    <row r="109" spans="1:35" x14ac:dyDescent="0.2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</row>
    <row r="110" spans="1:35" x14ac:dyDescent="0.2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</row>
    <row r="111" spans="1:35" x14ac:dyDescent="0.25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</row>
    <row r="112" spans="1:35" x14ac:dyDescent="0.2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</row>
    <row r="113" spans="1:35" x14ac:dyDescent="0.25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</row>
    <row r="114" spans="1:35" x14ac:dyDescent="0.25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</row>
    <row r="115" spans="1:35" x14ac:dyDescent="0.25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</row>
    <row r="116" spans="1:35" x14ac:dyDescent="0.25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</row>
    <row r="117" spans="1:35" x14ac:dyDescent="0.25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</row>
    <row r="118" spans="1:35" x14ac:dyDescent="0.25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</row>
    <row r="119" spans="1:35" x14ac:dyDescent="0.25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</row>
    <row r="120" spans="1:35" x14ac:dyDescent="0.25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</row>
    <row r="121" spans="1:35" x14ac:dyDescent="0.25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</row>
    <row r="122" spans="1:35" x14ac:dyDescent="0.25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</row>
    <row r="123" spans="1:35" x14ac:dyDescent="0.25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</row>
    <row r="124" spans="1:35" x14ac:dyDescent="0.25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</row>
    <row r="125" spans="1:35" x14ac:dyDescent="0.25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</row>
    <row r="126" spans="1:35" x14ac:dyDescent="0.25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</row>
    <row r="127" spans="1:35" x14ac:dyDescent="0.25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</row>
    <row r="128" spans="1:35" x14ac:dyDescent="0.25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</row>
    <row r="129" spans="1:35" x14ac:dyDescent="0.25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</row>
    <row r="130" spans="1:35" x14ac:dyDescent="0.25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</row>
    <row r="131" spans="1:35" x14ac:dyDescent="0.25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</row>
    <row r="132" spans="1:35" x14ac:dyDescent="0.25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</row>
    <row r="133" spans="1:35" x14ac:dyDescent="0.25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</row>
    <row r="134" spans="1:35" x14ac:dyDescent="0.25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</row>
    <row r="135" spans="1:35" x14ac:dyDescent="0.2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</row>
    <row r="136" spans="1:35" x14ac:dyDescent="0.25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</row>
    <row r="137" spans="1:35" x14ac:dyDescent="0.25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</row>
    <row r="138" spans="1:35" x14ac:dyDescent="0.25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</row>
    <row r="139" spans="1:35" x14ac:dyDescent="0.25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</row>
    <row r="140" spans="1:35" x14ac:dyDescent="0.2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</row>
    <row r="141" spans="1:35" x14ac:dyDescent="0.25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</row>
    <row r="142" spans="1:35" x14ac:dyDescent="0.2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</row>
    <row r="143" spans="1:35" x14ac:dyDescent="0.25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</row>
    <row r="144" spans="1:35" x14ac:dyDescent="0.2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</row>
    <row r="145" spans="1:35" x14ac:dyDescent="0.2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</row>
    <row r="146" spans="1:35" x14ac:dyDescent="0.25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</row>
    <row r="147" spans="1:35" x14ac:dyDescent="0.25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</row>
    <row r="148" spans="1:35" x14ac:dyDescent="0.25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</row>
    <row r="149" spans="1:35" x14ac:dyDescent="0.2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</row>
    <row r="150" spans="1:35" x14ac:dyDescent="0.2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</row>
    <row r="151" spans="1:35" x14ac:dyDescent="0.25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</row>
    <row r="152" spans="1:35" x14ac:dyDescent="0.25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</row>
    <row r="153" spans="1:35" x14ac:dyDescent="0.25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</row>
    <row r="154" spans="1:35" x14ac:dyDescent="0.25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</row>
    <row r="155" spans="1:35" x14ac:dyDescent="0.2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</row>
    <row r="156" spans="1:35" x14ac:dyDescent="0.25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</row>
    <row r="157" spans="1:35" x14ac:dyDescent="0.25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</row>
    <row r="158" spans="1:35" x14ac:dyDescent="0.25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</row>
    <row r="159" spans="1:35" x14ac:dyDescent="0.2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</row>
    <row r="160" spans="1:35" x14ac:dyDescent="0.2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</row>
    <row r="161" spans="1:35" x14ac:dyDescent="0.25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</row>
    <row r="162" spans="1:35" x14ac:dyDescent="0.2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</row>
    <row r="163" spans="1:35" x14ac:dyDescent="0.2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</row>
    <row r="164" spans="1:35" x14ac:dyDescent="0.25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</row>
    <row r="165" spans="1:35" x14ac:dyDescent="0.25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</row>
    <row r="166" spans="1:35" x14ac:dyDescent="0.25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</row>
    <row r="167" spans="1:35" x14ac:dyDescent="0.25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</row>
    <row r="168" spans="1:35" x14ac:dyDescent="0.25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</row>
    <row r="169" spans="1:35" x14ac:dyDescent="0.25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</row>
    <row r="170" spans="1:35" x14ac:dyDescent="0.2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</row>
    <row r="171" spans="1:35" x14ac:dyDescent="0.25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</row>
    <row r="172" spans="1:35" x14ac:dyDescent="0.25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</row>
    <row r="173" spans="1:35" x14ac:dyDescent="0.25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</row>
    <row r="174" spans="1:35" x14ac:dyDescent="0.25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</row>
    <row r="175" spans="1:35" x14ac:dyDescent="0.2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</row>
    <row r="176" spans="1:35" x14ac:dyDescent="0.25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</row>
    <row r="177" spans="1:35" x14ac:dyDescent="0.25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</row>
    <row r="178" spans="1:35" x14ac:dyDescent="0.25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</row>
    <row r="179" spans="1:35" x14ac:dyDescent="0.2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</row>
    <row r="180" spans="1:35" x14ac:dyDescent="0.2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</row>
    <row r="181" spans="1:35" x14ac:dyDescent="0.2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</row>
    <row r="182" spans="1:35" x14ac:dyDescent="0.2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</row>
    <row r="183" spans="1:35" x14ac:dyDescent="0.2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</row>
    <row r="184" spans="1:35" x14ac:dyDescent="0.2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</row>
    <row r="185" spans="1:35" x14ac:dyDescent="0.2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</row>
    <row r="186" spans="1:35" x14ac:dyDescent="0.2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</row>
    <row r="187" spans="1:35" x14ac:dyDescent="0.2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</row>
    <row r="188" spans="1:35" x14ac:dyDescent="0.25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</row>
    <row r="189" spans="1:35" x14ac:dyDescent="0.25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</row>
    <row r="190" spans="1:35" x14ac:dyDescent="0.25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</row>
    <row r="191" spans="1:35" x14ac:dyDescent="0.25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</row>
    <row r="192" spans="1:35" x14ac:dyDescent="0.25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</row>
    <row r="193" spans="1:35" x14ac:dyDescent="0.25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</row>
    <row r="194" spans="1:35" x14ac:dyDescent="0.25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</row>
    <row r="195" spans="1:35" x14ac:dyDescent="0.25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</row>
    <row r="196" spans="1:35" x14ac:dyDescent="0.2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</row>
    <row r="197" spans="1:35" x14ac:dyDescent="0.2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</row>
    <row r="198" spans="1:35" x14ac:dyDescent="0.2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</row>
    <row r="199" spans="1:35" x14ac:dyDescent="0.25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</row>
    <row r="200" spans="1:35" x14ac:dyDescent="0.25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</row>
    <row r="201" spans="1:35" x14ac:dyDescent="0.25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</row>
    <row r="202" spans="1:35" x14ac:dyDescent="0.25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</row>
    <row r="203" spans="1:35" x14ac:dyDescent="0.2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</row>
    <row r="204" spans="1:35" x14ac:dyDescent="0.25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</row>
    <row r="205" spans="1:35" x14ac:dyDescent="0.25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</row>
    <row r="206" spans="1:35" x14ac:dyDescent="0.25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</row>
    <row r="207" spans="1:35" x14ac:dyDescent="0.25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</row>
    <row r="208" spans="1:35" x14ac:dyDescent="0.25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</row>
    <row r="209" spans="1:35" x14ac:dyDescent="0.25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</row>
    <row r="210" spans="1:35" x14ac:dyDescent="0.25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</row>
    <row r="211" spans="1:35" x14ac:dyDescent="0.25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</row>
    <row r="212" spans="1:35" x14ac:dyDescent="0.25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</row>
    <row r="213" spans="1:35" x14ac:dyDescent="0.25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</row>
    <row r="214" spans="1:35" x14ac:dyDescent="0.2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</row>
    <row r="215" spans="1:35" x14ac:dyDescent="0.25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</row>
    <row r="216" spans="1:35" x14ac:dyDescent="0.2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</row>
    <row r="217" spans="1:35" x14ac:dyDescent="0.25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</row>
    <row r="218" spans="1:35" x14ac:dyDescent="0.25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</row>
    <row r="219" spans="1:35" x14ac:dyDescent="0.25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</row>
    <row r="220" spans="1:35" x14ac:dyDescent="0.2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</row>
    <row r="221" spans="1:35" x14ac:dyDescent="0.2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</row>
    <row r="222" spans="1:35" x14ac:dyDescent="0.2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</row>
    <row r="223" spans="1:35" x14ac:dyDescent="0.2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</row>
    <row r="224" spans="1:35" x14ac:dyDescent="0.2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</row>
    <row r="225" spans="1:35" x14ac:dyDescent="0.2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</row>
    <row r="226" spans="1:35" x14ac:dyDescent="0.2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</row>
    <row r="227" spans="1:35" x14ac:dyDescent="0.2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</row>
    <row r="228" spans="1:35" x14ac:dyDescent="0.2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</row>
    <row r="229" spans="1:35" x14ac:dyDescent="0.2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</row>
    <row r="230" spans="1:35" x14ac:dyDescent="0.2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</row>
    <row r="231" spans="1:35" x14ac:dyDescent="0.2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</row>
    <row r="232" spans="1:35" x14ac:dyDescent="0.2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</row>
    <row r="233" spans="1:35" x14ac:dyDescent="0.2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</row>
    <row r="234" spans="1:35" x14ac:dyDescent="0.25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</row>
    <row r="235" spans="1:35" x14ac:dyDescent="0.25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</row>
    <row r="236" spans="1:35" x14ac:dyDescent="0.25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</row>
    <row r="237" spans="1:35" x14ac:dyDescent="0.25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</row>
    <row r="238" spans="1:35" x14ac:dyDescent="0.25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</row>
    <row r="239" spans="1:35" x14ac:dyDescent="0.25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</row>
    <row r="240" spans="1:35" x14ac:dyDescent="0.2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</row>
    <row r="241" spans="1:35" x14ac:dyDescent="0.25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</row>
    <row r="242" spans="1:35" x14ac:dyDescent="0.25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</row>
    <row r="243" spans="1:35" x14ac:dyDescent="0.25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</row>
    <row r="244" spans="1:35" x14ac:dyDescent="0.25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</row>
    <row r="245" spans="1:35" x14ac:dyDescent="0.25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</row>
    <row r="246" spans="1:35" x14ac:dyDescent="0.25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</row>
    <row r="247" spans="1:35" x14ac:dyDescent="0.25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</row>
    <row r="248" spans="1:35" x14ac:dyDescent="0.25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</row>
    <row r="249" spans="1:35" x14ac:dyDescent="0.25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</row>
  </sheetData>
  <pageMargins left="0.7" right="0.7" top="0.75" bottom="0.75" header="0.3" footer="0.3"/>
  <pageSetup orientation="portrait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'/Users/sethh933/Documents/Local Basketball League/D:\Documents\[Season 2 Stats_v1.xlsx]RegPerGame'!#REF!</xm:f>
          </x14:formula1>
          <xm:sqref>D10:D18 D36:D44 D49:D57 D62:D70 D23:D31 D75:D83</xm:sqref>
        </x14:dataValidation>
        <x14:dataValidation type="list" allowBlank="1" showInputMessage="1" showErrorMessage="1" xr:uid="{00000000-0002-0000-0300-000001000000}">
          <x14:formula1>
            <xm:f>Lists!$E$5:$E$14</xm:f>
          </x14:formula1>
          <xm:sqref>O5</xm:sqref>
        </x14:dataValidation>
        <x14:dataValidation type="list" allowBlank="1" showInputMessage="1" showErrorMessage="1" xr:uid="{00000000-0002-0000-0300-000002000000}">
          <x14:formula1>
            <xm:f>Lists!$D$5:$D$10</xm:f>
          </x14:formula1>
          <xm:sqref>C8 C73 C21 C60 C47 C34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92D050"/>
  </sheetPr>
  <dimension ref="C7:W44"/>
  <sheetViews>
    <sheetView workbookViewId="0">
      <pane ySplit="8" topLeftCell="A9" activePane="bottomLeft" state="frozen"/>
      <selection pane="bottomLeft"/>
    </sheetView>
  </sheetViews>
  <sheetFormatPr defaultColWidth="8.85546875" defaultRowHeight="15" x14ac:dyDescent="0.25"/>
  <cols>
    <col min="1" max="2" width="2.85546875" customWidth="1"/>
    <col min="3" max="3" width="5" customWidth="1"/>
    <col min="4" max="4" width="18.7109375" bestFit="1" customWidth="1"/>
    <col min="5" max="5" width="5.7109375" style="1" customWidth="1"/>
    <col min="6" max="6" width="19.42578125" style="1" bestFit="1" customWidth="1"/>
    <col min="7" max="16" width="9.140625" style="1"/>
    <col min="17" max="17" width="9.140625" style="105"/>
    <col min="18" max="19" width="9.140625" style="1"/>
    <col min="20" max="20" width="9.140625" style="105"/>
    <col min="21" max="22" width="9.140625" style="1"/>
    <col min="23" max="23" width="9.140625" style="105"/>
  </cols>
  <sheetData>
    <row r="7" spans="3:23" ht="15.75" thickBot="1" x14ac:dyDescent="0.3"/>
    <row r="8" spans="3:23" x14ac:dyDescent="0.25">
      <c r="C8" s="54" t="s">
        <v>69</v>
      </c>
      <c r="D8" s="55" t="s">
        <v>107</v>
      </c>
      <c r="E8" s="55" t="s">
        <v>71</v>
      </c>
      <c r="F8" s="55" t="s">
        <v>70</v>
      </c>
      <c r="G8" s="55" t="s">
        <v>72</v>
      </c>
      <c r="H8" s="55" t="s">
        <v>73</v>
      </c>
      <c r="I8" s="55" t="s">
        <v>74</v>
      </c>
      <c r="J8" s="55" t="s">
        <v>75</v>
      </c>
      <c r="K8" s="55" t="s">
        <v>76</v>
      </c>
      <c r="L8" s="55" t="s">
        <v>77</v>
      </c>
      <c r="M8" s="55" t="s">
        <v>78</v>
      </c>
      <c r="N8" s="55" t="s">
        <v>79</v>
      </c>
      <c r="O8" s="55" t="s">
        <v>80</v>
      </c>
      <c r="P8" s="55" t="s">
        <v>81</v>
      </c>
      <c r="Q8" s="56" t="s">
        <v>82</v>
      </c>
      <c r="R8" s="55" t="s">
        <v>83</v>
      </c>
      <c r="S8" s="55" t="s">
        <v>84</v>
      </c>
      <c r="T8" s="56" t="s">
        <v>85</v>
      </c>
      <c r="U8" s="55" t="s">
        <v>86</v>
      </c>
      <c r="V8" s="55" t="s">
        <v>87</v>
      </c>
      <c r="W8" s="57" t="s">
        <v>88</v>
      </c>
    </row>
    <row r="9" spans="3:23" x14ac:dyDescent="0.25">
      <c r="C9">
        <v>1</v>
      </c>
      <c r="D9" t="s">
        <v>17</v>
      </c>
      <c r="E9" s="1">
        <f>IF($D9="","",COUNTIFS(Database!$E:$E,Individual!$D9,Database!G:G,"1"))</f>
        <v>4</v>
      </c>
      <c r="F9" s="1" t="e">
        <f>VLOOKUP($D9,#REF!,3,FALSE)</f>
        <v>#REF!</v>
      </c>
      <c r="G9" s="1">
        <f>IF($D9="","",COUNTIFS(Database!$E:$E,Individual!$D9,Database!I:I,"1"))</f>
        <v>0</v>
      </c>
      <c r="H9" s="1">
        <f>IF($D9="","",COUNTIFS(Database!$E:$E,Individual!$D9,Database!J:J,"1"))</f>
        <v>1</v>
      </c>
      <c r="I9" s="1">
        <f>IF($D9="","",COUNTIFS(Database!$E:$E,Individual!$D9,Database!K:K,"1"))</f>
        <v>1</v>
      </c>
      <c r="J9" s="1">
        <f>IF($D9="","",COUNTIFS(Database!$E:$E,Individual!$D9,Database!L:L,"1"))</f>
        <v>0</v>
      </c>
      <c r="K9" s="1">
        <f>IF($D9="","",COUNTIFS(Database!$E:$E,Individual!$D9,Database!M:M,"1"))</f>
        <v>1</v>
      </c>
      <c r="L9" s="1">
        <f>IF($D9="","",COUNTIFS(Database!$E:$E,Individual!$D9,Database!N:N,"1"))</f>
        <v>0</v>
      </c>
      <c r="M9" s="1">
        <f>IF($D9="","",COUNTIFS(Database!$E:$E,Individual!$D9,Database!O:O,"1"))</f>
        <v>0</v>
      </c>
      <c r="N9" s="1">
        <f>IF($D9="","",COUNTIFS(Database!$E:$E,Individual!$D9,Database!P:P,"1"))</f>
        <v>0</v>
      </c>
      <c r="O9" s="1">
        <f>IF($D9="","",COUNTIFS(Database!$E:$E,Individual!$D9,Database!Q:Q,"1"))</f>
        <v>1</v>
      </c>
      <c r="P9" s="1">
        <f>IF($D9="","",COUNTIFS(Database!$E:$E,Individual!$D9,Database!R:R,"1"))</f>
        <v>0</v>
      </c>
      <c r="Q9" s="105" t="str">
        <f>IFERROR(IF($D9="","",$O9/$P9),"-")</f>
        <v>-</v>
      </c>
      <c r="R9" s="1">
        <f>IF($D9="","",COUNTIFS(Database!$E:$E,Individual!$D9,Database!T:T,"1"))</f>
        <v>0</v>
      </c>
      <c r="S9" s="1">
        <f>IF($D9="","",COUNTIFS(Database!$E:$E,Individual!$D9,Database!U:U,"1"))</f>
        <v>0</v>
      </c>
      <c r="T9" s="105" t="str">
        <f>IFERROR(IF($D9="","",$R9/$S9),"-")</f>
        <v>-</v>
      </c>
      <c r="U9" s="1">
        <f>IF($D9="","",COUNTIFS(Database!$E:$E,Individual!$D9,Database!W:W,"1"))</f>
        <v>0</v>
      </c>
      <c r="V9" s="1">
        <f>IF($D9="","",COUNTIFS(Database!$E:$E,Individual!$D9,Database!X:X,"1"))</f>
        <v>0</v>
      </c>
      <c r="W9" s="105" t="str">
        <f>IFERROR(IF($D9="","",$U9/$V9),"-")</f>
        <v>-</v>
      </c>
    </row>
    <row r="10" spans="3:23" x14ac:dyDescent="0.25">
      <c r="C10">
        <f>IF($D10="","",MAX($C$9:$C9)+1)</f>
        <v>2</v>
      </c>
      <c r="D10" t="s">
        <v>20</v>
      </c>
      <c r="E10" s="1">
        <f>IF($D10="","",COUNTIFS(Database!$E:$E,Individual!$D10,Database!G:G,"1"))</f>
        <v>4</v>
      </c>
      <c r="F10" s="1" t="e">
        <f>VLOOKUP($D10,#REF!,3,FALSE)</f>
        <v>#REF!</v>
      </c>
      <c r="G10" s="1">
        <f>IF($D10="","",COUNTIFS(Database!$E:$E,Individual!$D10,Database!I:I,"1"))</f>
        <v>0</v>
      </c>
      <c r="H10" s="1">
        <f>IF($D10="","",COUNTIFS(Database!$E:$E,Individual!$D10,Database!J:J,"1"))</f>
        <v>1</v>
      </c>
      <c r="I10" s="1">
        <f>IF($D10="","",COUNTIFS(Database!$E:$E,Individual!$D10,Database!K:K,"1"))</f>
        <v>3</v>
      </c>
      <c r="J10" s="1">
        <f>IF($D10="","",COUNTIFS(Database!$E:$E,Individual!$D10,Database!L:L,"1"))</f>
        <v>1</v>
      </c>
      <c r="K10" s="1">
        <f>IF($D10="","",COUNTIFS(Database!$E:$E,Individual!$D10,Database!M:M,"1"))</f>
        <v>1</v>
      </c>
      <c r="L10" s="1">
        <f>IF($D10="","",COUNTIFS(Database!$E:$E,Individual!$D10,Database!N:N,"1"))</f>
        <v>1</v>
      </c>
      <c r="M10" s="1">
        <f>IF($D10="","",COUNTIFS(Database!$E:$E,Individual!$D10,Database!O:O,"1"))</f>
        <v>0</v>
      </c>
      <c r="N10" s="1">
        <f>IF($D10="","",COUNTIFS(Database!$E:$E,Individual!$D10,Database!P:P,"1"))</f>
        <v>1</v>
      </c>
      <c r="O10" s="1">
        <f>IF($D10="","",COUNTIFS(Database!$E:$E,Individual!$D10,Database!Q:Q,"1"))</f>
        <v>0</v>
      </c>
      <c r="P10" s="1">
        <f>IF($D10="","",COUNTIFS(Database!$E:$E,Individual!$D10,Database!R:R,"1"))</f>
        <v>0</v>
      </c>
      <c r="Q10" s="105" t="str">
        <f t="shared" ref="Q10:Q44" si="0">IFERROR(IF($D10="","",$O10/$P10),"-")</f>
        <v>-</v>
      </c>
      <c r="R10" s="1">
        <f>IF($D10="","",COUNTIFS(Database!$E:$E,Individual!$D10,Database!T:T,"1"))</f>
        <v>0</v>
      </c>
      <c r="S10" s="1">
        <f>IF($D10="","",COUNTIFS(Database!$E:$E,Individual!$D10,Database!U:U,"1"))</f>
        <v>0</v>
      </c>
      <c r="T10" s="105" t="str">
        <f t="shared" ref="T10:T44" si="1">IFERROR(IF($D10="","",$R10/$S10),"-")</f>
        <v>-</v>
      </c>
      <c r="U10" s="1">
        <f>IF($D10="","",COUNTIFS(Database!$E:$E,Individual!$D10,Database!W:W,"1"))</f>
        <v>1</v>
      </c>
      <c r="V10" s="1">
        <f>IF($D10="","",COUNTIFS(Database!$E:$E,Individual!$D10,Database!X:X,"1"))</f>
        <v>1</v>
      </c>
      <c r="W10" s="105">
        <f t="shared" ref="W10:W44" si="2">IFERROR(IF($D10="","",$U10/$V10),"-")</f>
        <v>1</v>
      </c>
    </row>
    <row r="11" spans="3:23" x14ac:dyDescent="0.25">
      <c r="C11">
        <f>IF($D11="","",MAX($C$9:$C10)+1)</f>
        <v>3</v>
      </c>
      <c r="D11" t="s">
        <v>14</v>
      </c>
      <c r="E11" s="1">
        <f>IF($D11="","",COUNTIFS(Database!$E:$E,Individual!$D11,Database!G:G,"1"))</f>
        <v>3</v>
      </c>
      <c r="F11" s="1" t="e">
        <f>VLOOKUP($D11,#REF!,3,FALSE)</f>
        <v>#REF!</v>
      </c>
      <c r="G11" s="1">
        <f>IF($D11="","",COUNTIFS(Database!$E:$E,Individual!$D11,Database!I:I,"1"))</f>
        <v>0</v>
      </c>
      <c r="H11" s="1">
        <f>IF($D11="","",COUNTIFS(Database!$E:$E,Individual!$D11,Database!J:J,"1"))</f>
        <v>0</v>
      </c>
      <c r="I11" s="1">
        <f>IF($D11="","",COUNTIFS(Database!$E:$E,Individual!$D11,Database!K:K,"1"))</f>
        <v>3</v>
      </c>
      <c r="J11" s="1">
        <f>IF($D11="","",COUNTIFS(Database!$E:$E,Individual!$D11,Database!L:L,"1"))</f>
        <v>1</v>
      </c>
      <c r="K11" s="1">
        <f>IF($D11="","",COUNTIFS(Database!$E:$E,Individual!$D11,Database!M:M,"1"))</f>
        <v>0</v>
      </c>
      <c r="L11" s="1">
        <f>IF($D11="","",COUNTIFS(Database!$E:$E,Individual!$D11,Database!N:N,"1"))</f>
        <v>1</v>
      </c>
      <c r="M11" s="1">
        <f>IF($D11="","",COUNTIFS(Database!$E:$E,Individual!$D11,Database!O:O,"1"))</f>
        <v>1</v>
      </c>
      <c r="N11" s="1">
        <f>IF($D11="","",COUNTIFS(Database!$E:$E,Individual!$D11,Database!P:P,"1"))</f>
        <v>0</v>
      </c>
      <c r="O11" s="1">
        <f>IF($D11="","",COUNTIFS(Database!$E:$E,Individual!$D11,Database!Q:Q,"1"))</f>
        <v>0</v>
      </c>
      <c r="P11" s="1">
        <f>IF($D11="","",COUNTIFS(Database!$E:$E,Individual!$D11,Database!R:R,"1"))</f>
        <v>0</v>
      </c>
      <c r="Q11" s="105" t="str">
        <f t="shared" si="0"/>
        <v>-</v>
      </c>
      <c r="R11" s="1">
        <f>IF($D11="","",COUNTIFS(Database!$E:$E,Individual!$D11,Database!T:T,"1"))</f>
        <v>0</v>
      </c>
      <c r="S11" s="1">
        <f>IF($D11="","",COUNTIFS(Database!$E:$E,Individual!$D11,Database!U:U,"1"))</f>
        <v>0</v>
      </c>
      <c r="T11" s="105" t="str">
        <f t="shared" si="1"/>
        <v>-</v>
      </c>
      <c r="U11" s="1">
        <f>IF($D11="","",COUNTIFS(Database!$E:$E,Individual!$D11,Database!W:W,"1"))</f>
        <v>1</v>
      </c>
      <c r="V11" s="1">
        <f>IF($D11="","",COUNTIFS(Database!$E:$E,Individual!$D11,Database!X:X,"1"))</f>
        <v>0</v>
      </c>
      <c r="W11" s="105" t="str">
        <f t="shared" si="2"/>
        <v>-</v>
      </c>
    </row>
    <row r="12" spans="3:23" x14ac:dyDescent="0.25">
      <c r="C12">
        <f>IF($D12="","",MAX($C$9:$C11)+1)</f>
        <v>4</v>
      </c>
      <c r="D12" t="s">
        <v>24</v>
      </c>
      <c r="E12" s="1">
        <f>IF($D12="","",COUNTIFS(Database!$E:$E,Individual!$D12,Database!G:G,"1"))</f>
        <v>10</v>
      </c>
      <c r="F12" s="1" t="e">
        <f>VLOOKUP($D12,#REF!,3,FALSE)</f>
        <v>#REF!</v>
      </c>
      <c r="G12" s="1">
        <f>IF($D12="","",COUNTIFS(Database!$E:$E,Individual!$D12,Database!I:I,"1"))</f>
        <v>0</v>
      </c>
      <c r="H12" s="1">
        <f>IF($D12="","",COUNTIFS(Database!$E:$E,Individual!$D12,Database!J:J,"1"))</f>
        <v>3</v>
      </c>
      <c r="I12" s="1">
        <f>IF($D12="","",COUNTIFS(Database!$E:$E,Individual!$D12,Database!K:K,"1"))</f>
        <v>0</v>
      </c>
      <c r="J12" s="1">
        <f>IF($D12="","",COUNTIFS(Database!$E:$E,Individual!$D12,Database!L:L,"1"))</f>
        <v>1</v>
      </c>
      <c r="K12" s="1">
        <f>IF($D12="","",COUNTIFS(Database!$E:$E,Individual!$D12,Database!M:M,"1"))</f>
        <v>3</v>
      </c>
      <c r="L12" s="1">
        <f>IF($D12="","",COUNTIFS(Database!$E:$E,Individual!$D12,Database!N:N,"1"))</f>
        <v>1</v>
      </c>
      <c r="M12" s="1">
        <f>IF($D12="","",COUNTIFS(Database!$E:$E,Individual!$D12,Database!O:O,"1"))</f>
        <v>1</v>
      </c>
      <c r="N12" s="1">
        <f>IF($D12="","",COUNTIFS(Database!$E:$E,Individual!$D12,Database!P:P,"1"))</f>
        <v>0</v>
      </c>
      <c r="O12" s="1">
        <f>IF($D12="","",COUNTIFS(Database!$E:$E,Individual!$D12,Database!Q:Q,"1"))</f>
        <v>0</v>
      </c>
      <c r="P12" s="1">
        <f>IF($D12="","",COUNTIFS(Database!$E:$E,Individual!$D12,Database!R:R,"1"))</f>
        <v>0</v>
      </c>
      <c r="Q12" s="105" t="str">
        <f t="shared" si="0"/>
        <v>-</v>
      </c>
      <c r="R12" s="1">
        <f>IF($D12="","",COUNTIFS(Database!$E:$E,Individual!$D12,Database!T:T,"1"))</f>
        <v>0</v>
      </c>
      <c r="S12" s="1">
        <f>IF($D12="","",COUNTIFS(Database!$E:$E,Individual!$D12,Database!U:U,"1"))</f>
        <v>1</v>
      </c>
      <c r="T12" s="105">
        <f t="shared" si="1"/>
        <v>0</v>
      </c>
      <c r="U12" s="1">
        <f>IF($D12="","",COUNTIFS(Database!$E:$E,Individual!$D12,Database!W:W,"1"))</f>
        <v>1</v>
      </c>
      <c r="V12" s="1">
        <f>IF($D12="","",COUNTIFS(Database!$E:$E,Individual!$D12,Database!X:X,"1"))</f>
        <v>0</v>
      </c>
      <c r="W12" s="105" t="str">
        <f t="shared" si="2"/>
        <v>-</v>
      </c>
    </row>
    <row r="13" spans="3:23" x14ac:dyDescent="0.25">
      <c r="C13">
        <f>IF($D13="","",MAX($C$9:$C12)+1)</f>
        <v>5</v>
      </c>
      <c r="D13" t="s">
        <v>26</v>
      </c>
      <c r="E13" s="1">
        <f>IF($D13="","",COUNTIFS(Database!$E:$E,Individual!$D13,Database!G:G,"1"))</f>
        <v>4</v>
      </c>
      <c r="F13" s="1" t="e">
        <f>VLOOKUP($D13,#REF!,3,FALSE)</f>
        <v>#REF!</v>
      </c>
      <c r="G13" s="1">
        <f>IF($D13="","",COUNTIFS(Database!$E:$E,Individual!$D13,Database!I:I,"1"))</f>
        <v>0</v>
      </c>
      <c r="H13" s="1">
        <f>IF($D13="","",COUNTIFS(Database!$E:$E,Individual!$D13,Database!J:J,"1"))</f>
        <v>1</v>
      </c>
      <c r="I13" s="1">
        <f>IF($D13="","",COUNTIFS(Database!$E:$E,Individual!$D13,Database!K:K,"1"))</f>
        <v>0</v>
      </c>
      <c r="J13" s="1">
        <f>IF($D13="","",COUNTIFS(Database!$E:$E,Individual!$D13,Database!L:L,"1"))</f>
        <v>0</v>
      </c>
      <c r="K13" s="1">
        <f>IF($D13="","",COUNTIFS(Database!$E:$E,Individual!$D13,Database!M:M,"1"))</f>
        <v>2</v>
      </c>
      <c r="L13" s="1">
        <f>IF($D13="","",COUNTIFS(Database!$E:$E,Individual!$D13,Database!N:N,"1"))</f>
        <v>2</v>
      </c>
      <c r="M13" s="1">
        <f>IF($D13="","",COUNTIFS(Database!$E:$E,Individual!$D13,Database!O:O,"1"))</f>
        <v>0</v>
      </c>
      <c r="N13" s="1">
        <f>IF($D13="","",COUNTIFS(Database!$E:$E,Individual!$D13,Database!P:P,"1"))</f>
        <v>0</v>
      </c>
      <c r="O13" s="1">
        <f>IF($D13="","",COUNTIFS(Database!$E:$E,Individual!$D13,Database!Q:Q,"1"))</f>
        <v>0</v>
      </c>
      <c r="P13" s="1">
        <f>IF($D13="","",COUNTIFS(Database!$E:$E,Individual!$D13,Database!R:R,"1"))</f>
        <v>0</v>
      </c>
      <c r="Q13" s="105" t="str">
        <f t="shared" si="0"/>
        <v>-</v>
      </c>
      <c r="R13" s="1">
        <f>IF($D13="","",COUNTIFS(Database!$E:$E,Individual!$D13,Database!T:T,"1"))</f>
        <v>0</v>
      </c>
      <c r="S13" s="1">
        <f>IF($D13="","",COUNTIFS(Database!$E:$E,Individual!$D13,Database!U:U,"1"))</f>
        <v>0</v>
      </c>
      <c r="T13" s="105" t="str">
        <f t="shared" si="1"/>
        <v>-</v>
      </c>
      <c r="U13" s="1">
        <f>IF($D13="","",COUNTIFS(Database!$E:$E,Individual!$D13,Database!W:W,"1"))</f>
        <v>0</v>
      </c>
      <c r="V13" s="1">
        <f>IF($D13="","",COUNTIFS(Database!$E:$E,Individual!$D13,Database!X:X,"1"))</f>
        <v>1</v>
      </c>
      <c r="W13" s="105">
        <f t="shared" si="2"/>
        <v>0</v>
      </c>
    </row>
    <row r="14" spans="3:23" x14ac:dyDescent="0.25">
      <c r="C14">
        <f>IF($D14="","",MAX($C$9:$C13)+1)</f>
        <v>6</v>
      </c>
      <c r="D14" t="s">
        <v>33</v>
      </c>
      <c r="E14" s="1">
        <f>IF($D14="","",COUNTIFS(Database!$E:$E,Individual!$D14,Database!G:G,"1"))</f>
        <v>4</v>
      </c>
      <c r="F14" s="1" t="e">
        <f>VLOOKUP($D14,#REF!,3,FALSE)</f>
        <v>#REF!</v>
      </c>
      <c r="G14" s="1">
        <f>IF($D14="","",COUNTIFS(Database!$E:$E,Individual!$D14,Database!I:I,"1"))</f>
        <v>0</v>
      </c>
      <c r="H14" s="1">
        <f>IF($D14="","",COUNTIFS(Database!$E:$E,Individual!$D14,Database!J:J,"1"))</f>
        <v>0</v>
      </c>
      <c r="I14" s="1">
        <f>IF($D14="","",COUNTIFS(Database!$E:$E,Individual!$D14,Database!K:K,"1"))</f>
        <v>0</v>
      </c>
      <c r="J14" s="1">
        <f>IF($D14="","",COUNTIFS(Database!$E:$E,Individual!$D14,Database!L:L,"1"))</f>
        <v>2</v>
      </c>
      <c r="K14" s="1">
        <f>IF($D14="","",COUNTIFS(Database!$E:$E,Individual!$D14,Database!M:M,"1"))</f>
        <v>0</v>
      </c>
      <c r="L14" s="1">
        <f>IF($D14="","",COUNTIFS(Database!$E:$E,Individual!$D14,Database!N:N,"1"))</f>
        <v>1</v>
      </c>
      <c r="M14" s="1">
        <f>IF($D14="","",COUNTIFS(Database!$E:$E,Individual!$D14,Database!O:O,"1"))</f>
        <v>0</v>
      </c>
      <c r="N14" s="1">
        <f>IF($D14="","",COUNTIFS(Database!$E:$E,Individual!$D14,Database!P:P,"1"))</f>
        <v>1</v>
      </c>
      <c r="O14" s="1">
        <f>IF($D14="","",COUNTIFS(Database!$E:$E,Individual!$D14,Database!Q:Q,"1"))</f>
        <v>0</v>
      </c>
      <c r="P14" s="1">
        <f>IF($D14="","",COUNTIFS(Database!$E:$E,Individual!$D14,Database!R:R,"1"))</f>
        <v>0</v>
      </c>
      <c r="Q14" s="105" t="str">
        <f t="shared" si="0"/>
        <v>-</v>
      </c>
      <c r="R14" s="1">
        <f>IF($D14="","",COUNTIFS(Database!$E:$E,Individual!$D14,Database!T:T,"1"))</f>
        <v>0</v>
      </c>
      <c r="S14" s="1">
        <f>IF($D14="","",COUNTIFS(Database!$E:$E,Individual!$D14,Database!U:U,"1"))</f>
        <v>0</v>
      </c>
      <c r="T14" s="105" t="str">
        <f t="shared" si="1"/>
        <v>-</v>
      </c>
      <c r="U14" s="1">
        <f>IF($D14="","",COUNTIFS(Database!$E:$E,Individual!$D14,Database!W:W,"1"))</f>
        <v>0</v>
      </c>
      <c r="V14" s="1">
        <f>IF($D14="","",COUNTIFS(Database!$E:$E,Individual!$D14,Database!X:X,"1"))</f>
        <v>0</v>
      </c>
      <c r="W14" s="105" t="str">
        <f t="shared" si="2"/>
        <v>-</v>
      </c>
    </row>
    <row r="15" spans="3:23" x14ac:dyDescent="0.25">
      <c r="C15">
        <f>IF($D15="","",MAX($C$9:$C14)+1)</f>
        <v>7</v>
      </c>
      <c r="D15" t="s">
        <v>21</v>
      </c>
      <c r="E15" s="1">
        <f>IF($D15="","",COUNTIFS(Database!$E:$E,Individual!$D15,Database!G:G,"1"))</f>
        <v>4</v>
      </c>
      <c r="F15" s="1" t="e">
        <f>VLOOKUP($D15,#REF!,3,FALSE)</f>
        <v>#REF!</v>
      </c>
      <c r="G15" s="1">
        <f>IF($D15="","",COUNTIFS(Database!$E:$E,Individual!$D15,Database!I:I,"1"))</f>
        <v>0</v>
      </c>
      <c r="H15" s="1">
        <f>IF($D15="","",COUNTIFS(Database!$E:$E,Individual!$D15,Database!J:J,"1"))</f>
        <v>2</v>
      </c>
      <c r="I15" s="1">
        <f>IF($D15="","",COUNTIFS(Database!$E:$E,Individual!$D15,Database!K:K,"1"))</f>
        <v>2</v>
      </c>
      <c r="J15" s="1">
        <f>IF($D15="","",COUNTIFS(Database!$E:$E,Individual!$D15,Database!L:L,"1"))</f>
        <v>0</v>
      </c>
      <c r="K15" s="1">
        <f>IF($D15="","",COUNTIFS(Database!$E:$E,Individual!$D15,Database!M:M,"1"))</f>
        <v>2</v>
      </c>
      <c r="L15" s="1">
        <f>IF($D15="","",COUNTIFS(Database!$E:$E,Individual!$D15,Database!N:N,"1"))</f>
        <v>0</v>
      </c>
      <c r="M15" s="1">
        <f>IF($D15="","",COUNTIFS(Database!$E:$E,Individual!$D15,Database!O:O,"1"))</f>
        <v>0</v>
      </c>
      <c r="N15" s="1">
        <f>IF($D15="","",COUNTIFS(Database!$E:$E,Individual!$D15,Database!P:P,"1"))</f>
        <v>1</v>
      </c>
      <c r="O15" s="1">
        <f>IF($D15="","",COUNTIFS(Database!$E:$E,Individual!$D15,Database!Q:Q,"1"))</f>
        <v>2</v>
      </c>
      <c r="P15" s="1">
        <f>IF($D15="","",COUNTIFS(Database!$E:$E,Individual!$D15,Database!R:R,"1"))</f>
        <v>1</v>
      </c>
      <c r="Q15" s="105">
        <f t="shared" si="0"/>
        <v>2</v>
      </c>
      <c r="R15" s="1">
        <f>IF($D15="","",COUNTIFS(Database!$E:$E,Individual!$D15,Database!T:T,"1"))</f>
        <v>0</v>
      </c>
      <c r="S15" s="1">
        <f>IF($D15="","",COUNTIFS(Database!$E:$E,Individual!$D15,Database!U:U,"1"))</f>
        <v>0</v>
      </c>
      <c r="T15" s="105" t="str">
        <f t="shared" si="1"/>
        <v>-</v>
      </c>
      <c r="U15" s="1">
        <f>IF($D15="","",COUNTIFS(Database!$E:$E,Individual!$D15,Database!W:W,"1"))</f>
        <v>0</v>
      </c>
      <c r="V15" s="1">
        <f>IF($D15="","",COUNTIFS(Database!$E:$E,Individual!$D15,Database!X:X,"1"))</f>
        <v>1</v>
      </c>
      <c r="W15" s="105">
        <f t="shared" si="2"/>
        <v>0</v>
      </c>
    </row>
    <row r="16" spans="3:23" x14ac:dyDescent="0.25">
      <c r="C16">
        <f>IF($D16="","",MAX($C$9:$C15)+1)</f>
        <v>8</v>
      </c>
      <c r="D16" t="s">
        <v>16</v>
      </c>
      <c r="E16" s="1">
        <f>IF($D16="","",COUNTIFS(Database!$E:$E,Individual!$D16,Database!G:G,"1"))</f>
        <v>7</v>
      </c>
      <c r="F16" s="1" t="e">
        <f>VLOOKUP($D16,#REF!,3,FALSE)</f>
        <v>#REF!</v>
      </c>
      <c r="G16" s="1">
        <f>IF($D16="","",COUNTIFS(Database!$E:$E,Individual!$D16,Database!I:I,"1"))</f>
        <v>0</v>
      </c>
      <c r="H16" s="1">
        <f>IF($D16="","",COUNTIFS(Database!$E:$E,Individual!$D16,Database!J:J,"1"))</f>
        <v>2</v>
      </c>
      <c r="I16" s="1">
        <f>IF($D16="","",COUNTIFS(Database!$E:$E,Individual!$D16,Database!K:K,"1"))</f>
        <v>1</v>
      </c>
      <c r="J16" s="1">
        <f>IF($D16="","",COUNTIFS(Database!$E:$E,Individual!$D16,Database!L:L,"1"))</f>
        <v>2</v>
      </c>
      <c r="K16" s="1">
        <f>IF($D16="","",COUNTIFS(Database!$E:$E,Individual!$D16,Database!M:M,"1"))</f>
        <v>3</v>
      </c>
      <c r="L16" s="1">
        <f>IF($D16="","",COUNTIFS(Database!$E:$E,Individual!$D16,Database!N:N,"1"))</f>
        <v>4</v>
      </c>
      <c r="M16" s="1">
        <f>IF($D16="","",COUNTIFS(Database!$E:$E,Individual!$D16,Database!O:O,"1"))</f>
        <v>0</v>
      </c>
      <c r="N16" s="1">
        <f>IF($D16="","",COUNTIFS(Database!$E:$E,Individual!$D16,Database!P:P,"1"))</f>
        <v>3</v>
      </c>
      <c r="O16" s="1">
        <f>IF($D16="","",COUNTIFS(Database!$E:$E,Individual!$D16,Database!Q:Q,"1"))</f>
        <v>0</v>
      </c>
      <c r="P16" s="1">
        <f>IF($D16="","",COUNTIFS(Database!$E:$E,Individual!$D16,Database!R:R,"1"))</f>
        <v>0</v>
      </c>
      <c r="Q16" s="105" t="str">
        <f t="shared" si="0"/>
        <v>-</v>
      </c>
      <c r="R16" s="1">
        <f>IF($D16="","",COUNTIFS(Database!$E:$E,Individual!$D16,Database!T:T,"1"))</f>
        <v>0</v>
      </c>
      <c r="S16" s="1">
        <f>IF($D16="","",COUNTIFS(Database!$E:$E,Individual!$D16,Database!U:U,"1"))</f>
        <v>0</v>
      </c>
      <c r="T16" s="105" t="str">
        <f t="shared" si="1"/>
        <v>-</v>
      </c>
      <c r="U16" s="1">
        <f>IF($D16="","",COUNTIFS(Database!$E:$E,Individual!$D16,Database!W:W,"1"))</f>
        <v>1</v>
      </c>
      <c r="V16" s="1">
        <f>IF($D16="","",COUNTIFS(Database!$E:$E,Individual!$D16,Database!X:X,"1"))</f>
        <v>2</v>
      </c>
      <c r="W16" s="105">
        <f t="shared" si="2"/>
        <v>0.5</v>
      </c>
    </row>
    <row r="17" spans="3:23" x14ac:dyDescent="0.25">
      <c r="C17">
        <f>IF($D17="","",MAX($C$9:$C16)+1)</f>
        <v>9</v>
      </c>
      <c r="D17" t="s">
        <v>27</v>
      </c>
      <c r="E17" s="1">
        <f>IF($D17="","",COUNTIFS(Database!$E:$E,Individual!$D17,Database!G:G,"1"))</f>
        <v>11</v>
      </c>
      <c r="F17" s="1" t="e">
        <f>VLOOKUP($D17,#REF!,3,FALSE)</f>
        <v>#REF!</v>
      </c>
      <c r="G17" s="1">
        <f>IF($D17="","",COUNTIFS(Database!$E:$E,Individual!$D17,Database!I:I,"1"))</f>
        <v>0</v>
      </c>
      <c r="H17" s="1">
        <f>IF($D17="","",COUNTIFS(Database!$E:$E,Individual!$D17,Database!J:J,"1"))</f>
        <v>4</v>
      </c>
      <c r="I17" s="1">
        <f>IF($D17="","",COUNTIFS(Database!$E:$E,Individual!$D17,Database!K:K,"1"))</f>
        <v>4</v>
      </c>
      <c r="J17" s="1">
        <f>IF($D17="","",COUNTIFS(Database!$E:$E,Individual!$D17,Database!L:L,"1"))</f>
        <v>2</v>
      </c>
      <c r="K17" s="1">
        <f>IF($D17="","",COUNTIFS(Database!$E:$E,Individual!$D17,Database!M:M,"1"))</f>
        <v>3</v>
      </c>
      <c r="L17" s="1">
        <f>IF($D17="","",COUNTIFS(Database!$E:$E,Individual!$D17,Database!N:N,"1"))</f>
        <v>2</v>
      </c>
      <c r="M17" s="1">
        <f>IF($D17="","",COUNTIFS(Database!$E:$E,Individual!$D17,Database!O:O,"1"))</f>
        <v>2</v>
      </c>
      <c r="N17" s="1">
        <f>IF($D17="","",COUNTIFS(Database!$E:$E,Individual!$D17,Database!P:P,"1"))</f>
        <v>2</v>
      </c>
      <c r="O17" s="1">
        <f>IF($D17="","",COUNTIFS(Database!$E:$E,Individual!$D17,Database!Q:Q,"1"))</f>
        <v>0</v>
      </c>
      <c r="P17" s="1">
        <f>IF($D17="","",COUNTIFS(Database!$E:$E,Individual!$D17,Database!R:R,"1"))</f>
        <v>0</v>
      </c>
      <c r="Q17" s="105" t="str">
        <f t="shared" si="0"/>
        <v>-</v>
      </c>
      <c r="R17" s="1">
        <f>IF($D17="","",COUNTIFS(Database!$E:$E,Individual!$D17,Database!T:T,"1"))</f>
        <v>0</v>
      </c>
      <c r="S17" s="1">
        <f>IF($D17="","",COUNTIFS(Database!$E:$E,Individual!$D17,Database!U:U,"1"))</f>
        <v>0</v>
      </c>
      <c r="T17" s="105" t="str">
        <f t="shared" si="1"/>
        <v>-</v>
      </c>
      <c r="U17" s="1">
        <f>IF($D17="","",COUNTIFS(Database!$E:$E,Individual!$D17,Database!W:W,"1"))</f>
        <v>0</v>
      </c>
      <c r="V17" s="1">
        <f>IF($D17="","",COUNTIFS(Database!$E:$E,Individual!$D17,Database!X:X,"1"))</f>
        <v>2</v>
      </c>
      <c r="W17" s="105">
        <f t="shared" si="2"/>
        <v>0</v>
      </c>
    </row>
    <row r="18" spans="3:23" x14ac:dyDescent="0.25">
      <c r="C18">
        <f>IF($D18="","",MAX($C$9:$C17)+1)</f>
        <v>10</v>
      </c>
      <c r="D18" t="s">
        <v>7</v>
      </c>
      <c r="E18" s="1">
        <f>IF($D18="","",COUNTIFS(Database!$E:$E,Individual!$D18,Database!G:G,"1"))</f>
        <v>10</v>
      </c>
      <c r="F18" s="1" t="e">
        <f>VLOOKUP($D18,#REF!,3,FALSE)</f>
        <v>#REF!</v>
      </c>
      <c r="G18" s="1">
        <f>IF($D18="","",COUNTIFS(Database!$E:$E,Individual!$D18,Database!I:I,"1"))</f>
        <v>2</v>
      </c>
      <c r="H18" s="1">
        <f>IF($D18="","",COUNTIFS(Database!$E:$E,Individual!$D18,Database!J:J,"1"))</f>
        <v>2</v>
      </c>
      <c r="I18" s="1">
        <f>IF($D18="","",COUNTIFS(Database!$E:$E,Individual!$D18,Database!K:K,"1"))</f>
        <v>3</v>
      </c>
      <c r="J18" s="1">
        <f>IF($D18="","",COUNTIFS(Database!$E:$E,Individual!$D18,Database!L:L,"1"))</f>
        <v>2</v>
      </c>
      <c r="K18" s="1">
        <f>IF($D18="","",COUNTIFS(Database!$E:$E,Individual!$D18,Database!M:M,"1"))</f>
        <v>1</v>
      </c>
      <c r="L18" s="1">
        <f>IF($D18="","",COUNTIFS(Database!$E:$E,Individual!$D18,Database!N:N,"1"))</f>
        <v>1</v>
      </c>
      <c r="M18" s="1">
        <f>IF($D18="","",COUNTIFS(Database!$E:$E,Individual!$D18,Database!O:O,"1"))</f>
        <v>3</v>
      </c>
      <c r="N18" s="1">
        <f>IF($D18="","",COUNTIFS(Database!$E:$E,Individual!$D18,Database!P:P,"1"))</f>
        <v>2</v>
      </c>
      <c r="O18" s="1">
        <f>IF($D18="","",COUNTIFS(Database!$E:$E,Individual!$D18,Database!Q:Q,"1"))</f>
        <v>1</v>
      </c>
      <c r="P18" s="1">
        <f>IF($D18="","",COUNTIFS(Database!$E:$E,Individual!$D18,Database!R:R,"1"))</f>
        <v>1</v>
      </c>
      <c r="Q18" s="105">
        <f t="shared" si="0"/>
        <v>1</v>
      </c>
      <c r="R18" s="1">
        <f>IF($D18="","",COUNTIFS(Database!$E:$E,Individual!$D18,Database!T:T,"1"))</f>
        <v>0</v>
      </c>
      <c r="S18" s="1">
        <f>IF($D18="","",COUNTIFS(Database!$E:$E,Individual!$D18,Database!U:U,"1"))</f>
        <v>0</v>
      </c>
      <c r="T18" s="105" t="str">
        <f t="shared" si="1"/>
        <v>-</v>
      </c>
      <c r="U18" s="1">
        <f>IF($D18="","",COUNTIFS(Database!$E:$E,Individual!$D18,Database!W:W,"1"))</f>
        <v>1</v>
      </c>
      <c r="V18" s="1">
        <f>IF($D18="","",COUNTIFS(Database!$E:$E,Individual!$D18,Database!X:X,"1"))</f>
        <v>1</v>
      </c>
      <c r="W18" s="105">
        <f t="shared" si="2"/>
        <v>1</v>
      </c>
    </row>
    <row r="19" spans="3:23" x14ac:dyDescent="0.25">
      <c r="C19">
        <f>IF($D19="","",MAX($C$9:$C18)+1)</f>
        <v>11</v>
      </c>
      <c r="D19" t="s">
        <v>4</v>
      </c>
      <c r="E19" s="1">
        <f>IF($D19="","",COUNTIFS(Database!$E:$E,Individual!$D19,Database!G:G,"1"))</f>
        <v>12</v>
      </c>
      <c r="F19" s="1" t="e">
        <f>VLOOKUP($D19,#REF!,3,FALSE)</f>
        <v>#REF!</v>
      </c>
      <c r="G19" s="1">
        <f>IF($D19="","",COUNTIFS(Database!$E:$E,Individual!$D19,Database!I:I,"1"))</f>
        <v>1</v>
      </c>
      <c r="H19" s="1">
        <f>IF($D19="","",COUNTIFS(Database!$E:$E,Individual!$D19,Database!J:J,"1"))</f>
        <v>4</v>
      </c>
      <c r="I19" s="1">
        <f>IF($D19="","",COUNTIFS(Database!$E:$E,Individual!$D19,Database!K:K,"1"))</f>
        <v>1</v>
      </c>
      <c r="J19" s="1">
        <f>IF($D19="","",COUNTIFS(Database!$E:$E,Individual!$D19,Database!L:L,"1"))</f>
        <v>1</v>
      </c>
      <c r="K19" s="1">
        <f>IF($D19="","",COUNTIFS(Database!$E:$E,Individual!$D19,Database!M:M,"1"))</f>
        <v>6</v>
      </c>
      <c r="L19" s="1">
        <f>IF($D19="","",COUNTIFS(Database!$E:$E,Individual!$D19,Database!N:N,"1"))</f>
        <v>3</v>
      </c>
      <c r="M19" s="1">
        <f>IF($D19="","",COUNTIFS(Database!$E:$E,Individual!$D19,Database!O:O,"1"))</f>
        <v>2</v>
      </c>
      <c r="N19" s="1">
        <f>IF($D19="","",COUNTIFS(Database!$E:$E,Individual!$D19,Database!P:P,"1"))</f>
        <v>4</v>
      </c>
      <c r="O19" s="1">
        <f>IF($D19="","",COUNTIFS(Database!$E:$E,Individual!$D19,Database!Q:Q,"1"))</f>
        <v>0</v>
      </c>
      <c r="P19" s="1">
        <f>IF($D19="","",COUNTIFS(Database!$E:$E,Individual!$D19,Database!R:R,"1"))</f>
        <v>0</v>
      </c>
      <c r="Q19" s="105" t="str">
        <f t="shared" si="0"/>
        <v>-</v>
      </c>
      <c r="R19" s="1">
        <f>IF($D19="","",COUNTIFS(Database!$E:$E,Individual!$D19,Database!T:T,"1"))</f>
        <v>1</v>
      </c>
      <c r="S19" s="1">
        <f>IF($D19="","",COUNTIFS(Database!$E:$E,Individual!$D19,Database!U:U,"1"))</f>
        <v>0</v>
      </c>
      <c r="T19" s="105" t="str">
        <f t="shared" si="1"/>
        <v>-</v>
      </c>
      <c r="U19" s="1">
        <f>IF($D19="","",COUNTIFS(Database!$E:$E,Individual!$D19,Database!W:W,"1"))</f>
        <v>2</v>
      </c>
      <c r="V19" s="1">
        <f>IF($D19="","",COUNTIFS(Database!$E:$E,Individual!$D19,Database!X:X,"1"))</f>
        <v>0</v>
      </c>
      <c r="W19" s="105" t="str">
        <f t="shared" si="2"/>
        <v>-</v>
      </c>
    </row>
    <row r="20" spans="3:23" x14ac:dyDescent="0.25">
      <c r="C20">
        <f>IF($D20="","",MAX($C$9:$C19)+1)</f>
        <v>12</v>
      </c>
      <c r="D20" t="s">
        <v>6</v>
      </c>
      <c r="E20" s="1">
        <f>IF($D20="","",COUNTIFS(Database!$E:$E,Individual!$D20,Database!G:G,"1"))</f>
        <v>3</v>
      </c>
      <c r="F20" s="1" t="e">
        <f>VLOOKUP($D20,#REF!,3,FALSE)</f>
        <v>#REF!</v>
      </c>
      <c r="G20" s="1">
        <f>IF($D20="","",COUNTIFS(Database!$E:$E,Individual!$D20,Database!I:I,"1"))</f>
        <v>0</v>
      </c>
      <c r="H20" s="1">
        <f>IF($D20="","",COUNTIFS(Database!$E:$E,Individual!$D20,Database!J:J,"1"))</f>
        <v>1</v>
      </c>
      <c r="I20" s="1">
        <f>IF($D20="","",COUNTIFS(Database!$E:$E,Individual!$D20,Database!K:K,"1"))</f>
        <v>1</v>
      </c>
      <c r="J20" s="1">
        <f>IF($D20="","",COUNTIFS(Database!$E:$E,Individual!$D20,Database!L:L,"1"))</f>
        <v>0</v>
      </c>
      <c r="K20" s="1">
        <f>IF($D20="","",COUNTIFS(Database!$E:$E,Individual!$D20,Database!M:M,"1"))</f>
        <v>3</v>
      </c>
      <c r="L20" s="1">
        <f>IF($D20="","",COUNTIFS(Database!$E:$E,Individual!$D20,Database!N:N,"1"))</f>
        <v>0</v>
      </c>
      <c r="M20" s="1">
        <f>IF($D20="","",COUNTIFS(Database!$E:$E,Individual!$D20,Database!O:O,"1"))</f>
        <v>0</v>
      </c>
      <c r="N20" s="1">
        <f>IF($D20="","",COUNTIFS(Database!$E:$E,Individual!$D20,Database!P:P,"1"))</f>
        <v>0</v>
      </c>
      <c r="O20" s="1">
        <f>IF($D20="","",COUNTIFS(Database!$E:$E,Individual!$D20,Database!Q:Q,"1"))</f>
        <v>1</v>
      </c>
      <c r="P20" s="1">
        <f>IF($D20="","",COUNTIFS(Database!$E:$E,Individual!$D20,Database!R:R,"1"))</f>
        <v>0</v>
      </c>
      <c r="Q20" s="105" t="str">
        <f t="shared" si="0"/>
        <v>-</v>
      </c>
      <c r="R20" s="1">
        <f>IF($D20="","",COUNTIFS(Database!$E:$E,Individual!$D20,Database!T:T,"1"))</f>
        <v>0</v>
      </c>
      <c r="S20" s="1">
        <f>IF($D20="","",COUNTIFS(Database!$E:$E,Individual!$D20,Database!U:U,"1"))</f>
        <v>0</v>
      </c>
      <c r="T20" s="105" t="str">
        <f t="shared" si="1"/>
        <v>-</v>
      </c>
      <c r="U20" s="1">
        <f>IF($D20="","",COUNTIFS(Database!$E:$E,Individual!$D20,Database!W:W,"1"))</f>
        <v>0</v>
      </c>
      <c r="V20" s="1">
        <f>IF($D20="","",COUNTIFS(Database!$E:$E,Individual!$D20,Database!X:X,"1"))</f>
        <v>0</v>
      </c>
      <c r="W20" s="105" t="str">
        <f t="shared" si="2"/>
        <v>-</v>
      </c>
    </row>
    <row r="21" spans="3:23" x14ac:dyDescent="0.25">
      <c r="C21">
        <f>IF($D21="","",MAX($C$9:$C20)+1)</f>
        <v>13</v>
      </c>
      <c r="D21" t="s">
        <v>9</v>
      </c>
      <c r="E21" s="1">
        <f>IF($D21="","",COUNTIFS(Database!$E:$E,Individual!$D21,Database!G:G,"1"))</f>
        <v>11</v>
      </c>
      <c r="F21" s="1" t="e">
        <f>VLOOKUP($D21,#REF!,3,FALSE)</f>
        <v>#REF!</v>
      </c>
      <c r="G21" s="1">
        <f>IF($D21="","",COUNTIFS(Database!$E:$E,Individual!$D21,Database!I:I,"1"))</f>
        <v>0</v>
      </c>
      <c r="H21" s="1">
        <f>IF($D21="","",COUNTIFS(Database!$E:$E,Individual!$D21,Database!J:J,"1"))</f>
        <v>4</v>
      </c>
      <c r="I21" s="1">
        <f>IF($D21="","",COUNTIFS(Database!$E:$E,Individual!$D21,Database!K:K,"1"))</f>
        <v>6</v>
      </c>
      <c r="J21" s="1">
        <f>IF($D21="","",COUNTIFS(Database!$E:$E,Individual!$D21,Database!L:L,"1"))</f>
        <v>1</v>
      </c>
      <c r="K21" s="1">
        <f>IF($D21="","",COUNTIFS(Database!$E:$E,Individual!$D21,Database!M:M,"1"))</f>
        <v>5</v>
      </c>
      <c r="L21" s="1">
        <f>IF($D21="","",COUNTIFS(Database!$E:$E,Individual!$D21,Database!N:N,"1"))</f>
        <v>5</v>
      </c>
      <c r="M21" s="1">
        <f>IF($D21="","",COUNTIFS(Database!$E:$E,Individual!$D21,Database!O:O,"1"))</f>
        <v>0</v>
      </c>
      <c r="N21" s="1">
        <f>IF($D21="","",COUNTIFS(Database!$E:$E,Individual!$D21,Database!P:P,"1"))</f>
        <v>4</v>
      </c>
      <c r="O21" s="1">
        <f>IF($D21="","",COUNTIFS(Database!$E:$E,Individual!$D21,Database!Q:Q,"1"))</f>
        <v>0</v>
      </c>
      <c r="P21" s="1">
        <f>IF($D21="","",COUNTIFS(Database!$E:$E,Individual!$D21,Database!R:R,"1"))</f>
        <v>0</v>
      </c>
      <c r="Q21" s="105" t="str">
        <f t="shared" si="0"/>
        <v>-</v>
      </c>
      <c r="R21" s="1">
        <f>IF($D21="","",COUNTIFS(Database!$E:$E,Individual!$D21,Database!T:T,"1"))</f>
        <v>0</v>
      </c>
      <c r="S21" s="1">
        <f>IF($D21="","",COUNTIFS(Database!$E:$E,Individual!$D21,Database!U:U,"1"))</f>
        <v>0</v>
      </c>
      <c r="T21" s="105" t="str">
        <f t="shared" si="1"/>
        <v>-</v>
      </c>
      <c r="U21" s="1">
        <f>IF($D21="","",COUNTIFS(Database!$E:$E,Individual!$D21,Database!W:W,"1"))</f>
        <v>1</v>
      </c>
      <c r="V21" s="1">
        <f>IF($D21="","",COUNTIFS(Database!$E:$E,Individual!$D21,Database!X:X,"1"))</f>
        <v>0</v>
      </c>
      <c r="W21" s="105" t="str">
        <f t="shared" si="2"/>
        <v>-</v>
      </c>
    </row>
    <row r="22" spans="3:23" x14ac:dyDescent="0.25">
      <c r="C22">
        <f>IF($D22="","",MAX($C$9:$C21)+1)</f>
        <v>14</v>
      </c>
      <c r="D22" t="s">
        <v>18</v>
      </c>
      <c r="E22" s="1">
        <f>IF($D22="","",COUNTIFS(Database!$E:$E,Individual!$D22,Database!G:G,"1"))</f>
        <v>11</v>
      </c>
      <c r="F22" s="1" t="e">
        <f>VLOOKUP($D22,#REF!,3,FALSE)</f>
        <v>#REF!</v>
      </c>
      <c r="G22" s="1">
        <f>IF($D22="","",COUNTIFS(Database!$E:$E,Individual!$D22,Database!I:I,"1"))</f>
        <v>0</v>
      </c>
      <c r="H22" s="1">
        <f>IF($D22="","",COUNTIFS(Database!$E:$E,Individual!$D22,Database!J:J,"1"))</f>
        <v>3</v>
      </c>
      <c r="I22" s="1">
        <f>IF($D22="","",COUNTIFS(Database!$E:$E,Individual!$D22,Database!K:K,"1"))</f>
        <v>3</v>
      </c>
      <c r="J22" s="1">
        <f>IF($D22="","",COUNTIFS(Database!$E:$E,Individual!$D22,Database!L:L,"1"))</f>
        <v>1</v>
      </c>
      <c r="K22" s="1">
        <f>IF($D22="","",COUNTIFS(Database!$E:$E,Individual!$D22,Database!M:M,"1"))</f>
        <v>4</v>
      </c>
      <c r="L22" s="1">
        <f>IF($D22="","",COUNTIFS(Database!$E:$E,Individual!$D22,Database!N:N,"1"))</f>
        <v>4</v>
      </c>
      <c r="M22" s="1">
        <f>IF($D22="","",COUNTIFS(Database!$E:$E,Individual!$D22,Database!O:O,"1"))</f>
        <v>0</v>
      </c>
      <c r="N22" s="1">
        <f>IF($D22="","",COUNTIFS(Database!$E:$E,Individual!$D22,Database!P:P,"1"))</f>
        <v>2</v>
      </c>
      <c r="O22" s="1">
        <f>IF($D22="","",COUNTIFS(Database!$E:$E,Individual!$D22,Database!Q:Q,"1"))</f>
        <v>2</v>
      </c>
      <c r="P22" s="1">
        <f>IF($D22="","",COUNTIFS(Database!$E:$E,Individual!$D22,Database!R:R,"1"))</f>
        <v>0</v>
      </c>
      <c r="Q22" s="105" t="str">
        <f t="shared" si="0"/>
        <v>-</v>
      </c>
      <c r="R22" s="1">
        <f>IF($D22="","",COUNTIFS(Database!$E:$E,Individual!$D22,Database!T:T,"1"))</f>
        <v>0</v>
      </c>
      <c r="S22" s="1">
        <f>IF($D22="","",COUNTIFS(Database!$E:$E,Individual!$D22,Database!U:U,"1"))</f>
        <v>0</v>
      </c>
      <c r="T22" s="105" t="str">
        <f t="shared" si="1"/>
        <v>-</v>
      </c>
      <c r="U22" s="1">
        <f>IF($D22="","",COUNTIFS(Database!$E:$E,Individual!$D22,Database!W:W,"1"))</f>
        <v>0</v>
      </c>
      <c r="V22" s="1">
        <f>IF($D22="","",COUNTIFS(Database!$E:$E,Individual!$D22,Database!X:X,"1"))</f>
        <v>0</v>
      </c>
      <c r="W22" s="105" t="str">
        <f t="shared" si="2"/>
        <v>-</v>
      </c>
    </row>
    <row r="23" spans="3:23" x14ac:dyDescent="0.25">
      <c r="C23">
        <f>IF($D23="","",MAX($C$9:$C22)+1)</f>
        <v>15</v>
      </c>
      <c r="D23" t="s">
        <v>30</v>
      </c>
      <c r="E23" s="1">
        <f>IF($D23="","",COUNTIFS(Database!$E:$E,Individual!$D23,Database!G:G,"1"))</f>
        <v>11</v>
      </c>
      <c r="F23" s="1" t="e">
        <f>VLOOKUP($D23,#REF!,3,FALSE)</f>
        <v>#REF!</v>
      </c>
      <c r="G23" s="1">
        <f>IF($D23="","",COUNTIFS(Database!$E:$E,Individual!$D23,Database!I:I,"1"))</f>
        <v>2</v>
      </c>
      <c r="H23" s="1">
        <f>IF($D23="","",COUNTIFS(Database!$E:$E,Individual!$D23,Database!J:J,"1"))</f>
        <v>4</v>
      </c>
      <c r="I23" s="1">
        <f>IF($D23="","",COUNTIFS(Database!$E:$E,Individual!$D23,Database!K:K,"1"))</f>
        <v>3</v>
      </c>
      <c r="J23" s="1">
        <f>IF($D23="","",COUNTIFS(Database!$E:$E,Individual!$D23,Database!L:L,"1"))</f>
        <v>1</v>
      </c>
      <c r="K23" s="1">
        <f>IF($D23="","",COUNTIFS(Database!$E:$E,Individual!$D23,Database!M:M,"1"))</f>
        <v>5</v>
      </c>
      <c r="L23" s="1">
        <f>IF($D23="","",COUNTIFS(Database!$E:$E,Individual!$D23,Database!N:N,"1"))</f>
        <v>4</v>
      </c>
      <c r="M23" s="1">
        <f>IF($D23="","",COUNTIFS(Database!$E:$E,Individual!$D23,Database!O:O,"1"))</f>
        <v>4</v>
      </c>
      <c r="N23" s="1">
        <f>IF($D23="","",COUNTIFS(Database!$E:$E,Individual!$D23,Database!P:P,"1"))</f>
        <v>4</v>
      </c>
      <c r="O23" s="1">
        <f>IF($D23="","",COUNTIFS(Database!$E:$E,Individual!$D23,Database!Q:Q,"1"))</f>
        <v>1</v>
      </c>
      <c r="P23" s="1">
        <f>IF($D23="","",COUNTIFS(Database!$E:$E,Individual!$D23,Database!R:R,"1"))</f>
        <v>0</v>
      </c>
      <c r="Q23" s="105" t="str">
        <f t="shared" si="0"/>
        <v>-</v>
      </c>
      <c r="R23" s="1">
        <f>IF($D23="","",COUNTIFS(Database!$E:$E,Individual!$D23,Database!T:T,"1"))</f>
        <v>0</v>
      </c>
      <c r="S23" s="1">
        <f>IF($D23="","",COUNTIFS(Database!$E:$E,Individual!$D23,Database!U:U,"1"))</f>
        <v>0</v>
      </c>
      <c r="T23" s="105" t="str">
        <f t="shared" si="1"/>
        <v>-</v>
      </c>
      <c r="U23" s="1">
        <f>IF($D23="","",COUNTIFS(Database!$E:$E,Individual!$D23,Database!W:W,"1"))</f>
        <v>0</v>
      </c>
      <c r="V23" s="1">
        <f>IF($D23="","",COUNTIFS(Database!$E:$E,Individual!$D23,Database!X:X,"1"))</f>
        <v>0</v>
      </c>
      <c r="W23" s="105" t="str">
        <f t="shared" si="2"/>
        <v>-</v>
      </c>
    </row>
    <row r="24" spans="3:23" x14ac:dyDescent="0.25">
      <c r="C24">
        <f>IF($D24="","",MAX($C$9:$C23)+1)</f>
        <v>16</v>
      </c>
      <c r="D24" t="s">
        <v>10</v>
      </c>
      <c r="E24" s="1">
        <f>IF($D24="","",COUNTIFS(Database!$E:$E,Individual!$D24,Database!G:G,"1"))</f>
        <v>4</v>
      </c>
      <c r="F24" s="1" t="e">
        <f>VLOOKUP($D24,#REF!,3,FALSE)</f>
        <v>#REF!</v>
      </c>
      <c r="G24" s="1">
        <f>IF($D24="","",COUNTIFS(Database!$E:$E,Individual!$D24,Database!I:I,"1"))</f>
        <v>1</v>
      </c>
      <c r="H24" s="1">
        <f>IF($D24="","",COUNTIFS(Database!$E:$E,Individual!$D24,Database!J:J,"1"))</f>
        <v>2</v>
      </c>
      <c r="I24" s="1">
        <f>IF($D24="","",COUNTIFS(Database!$E:$E,Individual!$D24,Database!K:K,"1"))</f>
        <v>3</v>
      </c>
      <c r="J24" s="1">
        <f>IF($D24="","",COUNTIFS(Database!$E:$E,Individual!$D24,Database!L:L,"1"))</f>
        <v>0</v>
      </c>
      <c r="K24" s="1">
        <f>IF($D24="","",COUNTIFS(Database!$E:$E,Individual!$D24,Database!M:M,"1"))</f>
        <v>2</v>
      </c>
      <c r="L24" s="1">
        <f>IF($D24="","",COUNTIFS(Database!$E:$E,Individual!$D24,Database!N:N,"1"))</f>
        <v>1</v>
      </c>
      <c r="M24" s="1">
        <f>IF($D24="","",COUNTIFS(Database!$E:$E,Individual!$D24,Database!O:O,"1"))</f>
        <v>0</v>
      </c>
      <c r="N24" s="1">
        <f>IF($D24="","",COUNTIFS(Database!$E:$E,Individual!$D24,Database!P:P,"1"))</f>
        <v>1</v>
      </c>
      <c r="O24" s="1">
        <f>IF($D24="","",COUNTIFS(Database!$E:$E,Individual!$D24,Database!Q:Q,"1"))</f>
        <v>1</v>
      </c>
      <c r="P24" s="1">
        <f>IF($D24="","",COUNTIFS(Database!$E:$E,Individual!$D24,Database!R:R,"1"))</f>
        <v>0</v>
      </c>
      <c r="Q24" s="105" t="str">
        <f t="shared" si="0"/>
        <v>-</v>
      </c>
      <c r="R24" s="1">
        <f>IF($D24="","",COUNTIFS(Database!$E:$E,Individual!$D24,Database!T:T,"1"))</f>
        <v>0</v>
      </c>
      <c r="S24" s="1">
        <f>IF($D24="","",COUNTIFS(Database!$E:$E,Individual!$D24,Database!U:U,"1"))</f>
        <v>0</v>
      </c>
      <c r="T24" s="105" t="str">
        <f t="shared" si="1"/>
        <v>-</v>
      </c>
      <c r="U24" s="1">
        <f>IF($D24="","",COUNTIFS(Database!$E:$E,Individual!$D24,Database!W:W,"1"))</f>
        <v>0</v>
      </c>
      <c r="V24" s="1">
        <f>IF($D24="","",COUNTIFS(Database!$E:$E,Individual!$D24,Database!X:X,"1"))</f>
        <v>0</v>
      </c>
      <c r="W24" s="105" t="str">
        <f t="shared" si="2"/>
        <v>-</v>
      </c>
    </row>
    <row r="25" spans="3:23" x14ac:dyDescent="0.25">
      <c r="C25">
        <f>IF($D25="","",MAX($C$9:$C24)+1)</f>
        <v>17</v>
      </c>
      <c r="D25" t="s">
        <v>8</v>
      </c>
      <c r="E25" s="1">
        <f>IF($D25="","",COUNTIFS(Database!$E:$E,Individual!$D25,Database!G:G,"1"))</f>
        <v>4</v>
      </c>
      <c r="F25" s="1" t="e">
        <f>VLOOKUP($D25,#REF!,3,FALSE)</f>
        <v>#REF!</v>
      </c>
      <c r="G25" s="1">
        <f>IF($D25="","",COUNTIFS(Database!$E:$E,Individual!$D25,Database!I:I,"1"))</f>
        <v>0</v>
      </c>
      <c r="H25" s="1">
        <f>IF($D25="","",COUNTIFS(Database!$E:$E,Individual!$D25,Database!J:J,"1"))</f>
        <v>0</v>
      </c>
      <c r="I25" s="1">
        <f>IF($D25="","",COUNTIFS(Database!$E:$E,Individual!$D25,Database!K:K,"1"))</f>
        <v>0</v>
      </c>
      <c r="J25" s="1">
        <f>IF($D25="","",COUNTIFS(Database!$E:$E,Individual!$D25,Database!L:L,"1"))</f>
        <v>0</v>
      </c>
      <c r="K25" s="1">
        <f>IF($D25="","",COUNTIFS(Database!$E:$E,Individual!$D25,Database!M:M,"1"))</f>
        <v>0</v>
      </c>
      <c r="L25" s="1">
        <f>IF($D25="","",COUNTIFS(Database!$E:$E,Individual!$D25,Database!N:N,"1"))</f>
        <v>0</v>
      </c>
      <c r="M25" s="1">
        <f>IF($D25="","",COUNTIFS(Database!$E:$E,Individual!$D25,Database!O:O,"1"))</f>
        <v>0</v>
      </c>
      <c r="N25" s="1">
        <f>IF($D25="","",COUNTIFS(Database!$E:$E,Individual!$D25,Database!P:P,"1"))</f>
        <v>1</v>
      </c>
      <c r="O25" s="1">
        <f>IF($D25="","",COUNTIFS(Database!$E:$E,Individual!$D25,Database!Q:Q,"1"))</f>
        <v>0</v>
      </c>
      <c r="P25" s="1">
        <f>IF($D25="","",COUNTIFS(Database!$E:$E,Individual!$D25,Database!R:R,"1"))</f>
        <v>0</v>
      </c>
      <c r="Q25" s="105" t="str">
        <f t="shared" si="0"/>
        <v>-</v>
      </c>
      <c r="R25" s="1">
        <f>IF($D25="","",COUNTIFS(Database!$E:$E,Individual!$D25,Database!T:T,"1"))</f>
        <v>0</v>
      </c>
      <c r="S25" s="1">
        <f>IF($D25="","",COUNTIFS(Database!$E:$E,Individual!$D25,Database!U:U,"1"))</f>
        <v>0</v>
      </c>
      <c r="T25" s="105" t="str">
        <f t="shared" si="1"/>
        <v>-</v>
      </c>
      <c r="U25" s="1">
        <f>IF($D25="","",COUNTIFS(Database!$E:$E,Individual!$D25,Database!W:W,"1"))</f>
        <v>0</v>
      </c>
      <c r="V25" s="1">
        <f>IF($D25="","",COUNTIFS(Database!$E:$E,Individual!$D25,Database!X:X,"1"))</f>
        <v>0</v>
      </c>
      <c r="W25" s="105" t="str">
        <f t="shared" si="2"/>
        <v>-</v>
      </c>
    </row>
    <row r="26" spans="3:23" x14ac:dyDescent="0.25">
      <c r="C26">
        <f>IF($D26="","",MAX($C$9:$C25)+1)</f>
        <v>18</v>
      </c>
      <c r="D26" t="s">
        <v>31</v>
      </c>
      <c r="E26" s="1">
        <f>IF($D26="","",COUNTIFS(Database!$E:$E,Individual!$D26,Database!G:G,"1"))</f>
        <v>11</v>
      </c>
      <c r="F26" s="1" t="e">
        <f>VLOOKUP($D26,#REF!,3,FALSE)</f>
        <v>#REF!</v>
      </c>
      <c r="G26" s="1">
        <f>IF($D26="","",COUNTIFS(Database!$E:$E,Individual!$D26,Database!I:I,"1"))</f>
        <v>0</v>
      </c>
      <c r="H26" s="1">
        <f>IF($D26="","",COUNTIFS(Database!$E:$E,Individual!$D26,Database!J:J,"1"))</f>
        <v>4</v>
      </c>
      <c r="I26" s="1">
        <f>IF($D26="","",COUNTIFS(Database!$E:$E,Individual!$D26,Database!K:K,"1"))</f>
        <v>5</v>
      </c>
      <c r="J26" s="1">
        <f>IF($D26="","",COUNTIFS(Database!$E:$E,Individual!$D26,Database!L:L,"1"))</f>
        <v>4</v>
      </c>
      <c r="K26" s="1">
        <f>IF($D26="","",COUNTIFS(Database!$E:$E,Individual!$D26,Database!M:M,"1"))</f>
        <v>0</v>
      </c>
      <c r="L26" s="1">
        <f>IF($D26="","",COUNTIFS(Database!$E:$E,Individual!$D26,Database!N:N,"1"))</f>
        <v>4</v>
      </c>
      <c r="M26" s="1">
        <f>IF($D26="","",COUNTIFS(Database!$E:$E,Individual!$D26,Database!O:O,"1"))</f>
        <v>1</v>
      </c>
      <c r="N26" s="1">
        <f>IF($D26="","",COUNTIFS(Database!$E:$E,Individual!$D26,Database!P:P,"1"))</f>
        <v>3</v>
      </c>
      <c r="O26" s="1">
        <f>IF($D26="","",COUNTIFS(Database!$E:$E,Individual!$D26,Database!Q:Q,"1"))</f>
        <v>0</v>
      </c>
      <c r="P26" s="1">
        <f>IF($D26="","",COUNTIFS(Database!$E:$E,Individual!$D26,Database!R:R,"1"))</f>
        <v>0</v>
      </c>
      <c r="Q26" s="105" t="str">
        <f t="shared" si="0"/>
        <v>-</v>
      </c>
      <c r="R26" s="1">
        <f>IF($D26="","",COUNTIFS(Database!$E:$E,Individual!$D26,Database!T:T,"1"))</f>
        <v>0</v>
      </c>
      <c r="S26" s="1">
        <f>IF($D26="","",COUNTIFS(Database!$E:$E,Individual!$D26,Database!U:U,"1"))</f>
        <v>0</v>
      </c>
      <c r="T26" s="105" t="str">
        <f t="shared" si="1"/>
        <v>-</v>
      </c>
      <c r="U26" s="1">
        <f>IF($D26="","",COUNTIFS(Database!$E:$E,Individual!$D26,Database!W:W,"1"))</f>
        <v>1</v>
      </c>
      <c r="V26" s="1">
        <f>IF($D26="","",COUNTIFS(Database!$E:$E,Individual!$D26,Database!X:X,"1"))</f>
        <v>2</v>
      </c>
      <c r="W26" s="105">
        <f t="shared" si="2"/>
        <v>0.5</v>
      </c>
    </row>
    <row r="27" spans="3:23" x14ac:dyDescent="0.25">
      <c r="C27">
        <f>IF($D27="","",MAX($C$9:$C26)+1)</f>
        <v>19</v>
      </c>
      <c r="D27" t="s">
        <v>19</v>
      </c>
      <c r="E27" s="1">
        <f>IF($D27="","",COUNTIFS(Database!$E:$E,Individual!$D27,Database!G:G,"1"))</f>
        <v>12</v>
      </c>
      <c r="F27" s="1" t="e">
        <f>VLOOKUP($D27,#REF!,3,FALSE)</f>
        <v>#REF!</v>
      </c>
      <c r="G27" s="1">
        <f>IF($D27="","",COUNTIFS(Database!$E:$E,Individual!$D27,Database!I:I,"1"))</f>
        <v>0</v>
      </c>
      <c r="H27" s="1">
        <f>IF($D27="","",COUNTIFS(Database!$E:$E,Individual!$D27,Database!J:J,"1"))</f>
        <v>2</v>
      </c>
      <c r="I27" s="1">
        <f>IF($D27="","",COUNTIFS(Database!$E:$E,Individual!$D27,Database!K:K,"1"))</f>
        <v>2</v>
      </c>
      <c r="J27" s="1">
        <f>IF($D27="","",COUNTIFS(Database!$E:$E,Individual!$D27,Database!L:L,"1"))</f>
        <v>3</v>
      </c>
      <c r="K27" s="1">
        <f>IF($D27="","",COUNTIFS(Database!$E:$E,Individual!$D27,Database!M:M,"1"))</f>
        <v>0</v>
      </c>
      <c r="L27" s="1">
        <f>IF($D27="","",COUNTIFS(Database!$E:$E,Individual!$D27,Database!N:N,"1"))</f>
        <v>2</v>
      </c>
      <c r="M27" s="1">
        <f>IF($D27="","",COUNTIFS(Database!$E:$E,Individual!$D27,Database!O:O,"1"))</f>
        <v>1</v>
      </c>
      <c r="N27" s="1">
        <f>IF($D27="","",COUNTIFS(Database!$E:$E,Individual!$D27,Database!P:P,"1"))</f>
        <v>7</v>
      </c>
      <c r="O27" s="1">
        <f>IF($D27="","",COUNTIFS(Database!$E:$E,Individual!$D27,Database!Q:Q,"1"))</f>
        <v>0</v>
      </c>
      <c r="P27" s="1">
        <f>IF($D27="","",COUNTIFS(Database!$E:$E,Individual!$D27,Database!R:R,"1"))</f>
        <v>0</v>
      </c>
      <c r="Q27" s="105" t="str">
        <f t="shared" si="0"/>
        <v>-</v>
      </c>
      <c r="R27" s="1">
        <f>IF($D27="","",COUNTIFS(Database!$E:$E,Individual!$D27,Database!T:T,"1"))</f>
        <v>0</v>
      </c>
      <c r="S27" s="1">
        <f>IF($D27="","",COUNTIFS(Database!$E:$E,Individual!$D27,Database!U:U,"1"))</f>
        <v>0</v>
      </c>
      <c r="T27" s="105" t="str">
        <f t="shared" si="1"/>
        <v>-</v>
      </c>
      <c r="U27" s="1">
        <f>IF($D27="","",COUNTIFS(Database!$E:$E,Individual!$D27,Database!W:W,"1"))</f>
        <v>0</v>
      </c>
      <c r="V27" s="1">
        <f>IF($D27="","",COUNTIFS(Database!$E:$E,Individual!$D27,Database!X:X,"1"))</f>
        <v>2</v>
      </c>
      <c r="W27" s="105">
        <f t="shared" si="2"/>
        <v>0</v>
      </c>
    </row>
    <row r="28" spans="3:23" x14ac:dyDescent="0.25">
      <c r="C28">
        <f>IF($D28="","",MAX($C$9:$C27)+1)</f>
        <v>20</v>
      </c>
      <c r="D28" t="s">
        <v>32</v>
      </c>
      <c r="E28" s="1">
        <f>IF($D28="","",COUNTIFS(Database!$E:$E,Individual!$D28,Database!G:G,"1"))</f>
        <v>11</v>
      </c>
      <c r="F28" s="1" t="e">
        <f>VLOOKUP($D28,#REF!,3,FALSE)</f>
        <v>#REF!</v>
      </c>
      <c r="G28" s="1">
        <f>IF($D28="","",COUNTIFS(Database!$E:$E,Individual!$D28,Database!I:I,"1"))</f>
        <v>0</v>
      </c>
      <c r="H28" s="1">
        <f>IF($D28="","",COUNTIFS(Database!$E:$E,Individual!$D28,Database!J:J,"1"))</f>
        <v>0</v>
      </c>
      <c r="I28" s="1">
        <f>IF($D28="","",COUNTIFS(Database!$E:$E,Individual!$D28,Database!K:K,"1"))</f>
        <v>4</v>
      </c>
      <c r="J28" s="1">
        <f>IF($D28="","",COUNTIFS(Database!$E:$E,Individual!$D28,Database!L:L,"1"))</f>
        <v>5</v>
      </c>
      <c r="K28" s="1">
        <f>IF($D28="","",COUNTIFS(Database!$E:$E,Individual!$D28,Database!M:M,"1"))</f>
        <v>7</v>
      </c>
      <c r="L28" s="1">
        <f>IF($D28="","",COUNTIFS(Database!$E:$E,Individual!$D28,Database!N:N,"1"))</f>
        <v>1</v>
      </c>
      <c r="M28" s="1">
        <f>IF($D28="","",COUNTIFS(Database!$E:$E,Individual!$D28,Database!O:O,"1"))</f>
        <v>0</v>
      </c>
      <c r="N28" s="1">
        <f>IF($D28="","",COUNTIFS(Database!$E:$E,Individual!$D28,Database!P:P,"1"))</f>
        <v>5</v>
      </c>
      <c r="O28" s="1">
        <f>IF($D28="","",COUNTIFS(Database!$E:$E,Individual!$D28,Database!Q:Q,"1"))</f>
        <v>1</v>
      </c>
      <c r="P28" s="1">
        <f>IF($D28="","",COUNTIFS(Database!$E:$E,Individual!$D28,Database!R:R,"1"))</f>
        <v>0</v>
      </c>
      <c r="Q28" s="105" t="str">
        <f t="shared" si="0"/>
        <v>-</v>
      </c>
      <c r="R28" s="1">
        <f>IF($D28="","",COUNTIFS(Database!$E:$E,Individual!$D28,Database!T:T,"1"))</f>
        <v>0</v>
      </c>
      <c r="S28" s="1">
        <f>IF($D28="","",COUNTIFS(Database!$E:$E,Individual!$D28,Database!U:U,"1"))</f>
        <v>0</v>
      </c>
      <c r="T28" s="105" t="str">
        <f t="shared" si="1"/>
        <v>-</v>
      </c>
      <c r="U28" s="1">
        <f>IF($D28="","",COUNTIFS(Database!$E:$E,Individual!$D28,Database!W:W,"1"))</f>
        <v>1</v>
      </c>
      <c r="V28" s="1">
        <f>IF($D28="","",COUNTIFS(Database!$E:$E,Individual!$D28,Database!X:X,"1"))</f>
        <v>1</v>
      </c>
      <c r="W28" s="105">
        <f t="shared" si="2"/>
        <v>1</v>
      </c>
    </row>
    <row r="29" spans="3:23" x14ac:dyDescent="0.25">
      <c r="C29">
        <f>IF($D29="","",MAX($C$9:$C28)+1)</f>
        <v>21</v>
      </c>
      <c r="D29" t="s">
        <v>2</v>
      </c>
      <c r="E29" s="1">
        <f>IF($D29="","",COUNTIFS(Database!$E:$E,Individual!$D29,Database!G:G,"1"))</f>
        <v>11</v>
      </c>
      <c r="F29" s="1" t="e">
        <f>VLOOKUP($D29,#REF!,3,FALSE)</f>
        <v>#REF!</v>
      </c>
      <c r="G29" s="1">
        <f>IF($D29="","",COUNTIFS(Database!$E:$E,Individual!$D29,Database!I:I,"1"))</f>
        <v>0</v>
      </c>
      <c r="H29" s="1">
        <f>IF($D29="","",COUNTIFS(Database!$E:$E,Individual!$D29,Database!J:J,"1"))</f>
        <v>1</v>
      </c>
      <c r="I29" s="1">
        <f>IF($D29="","",COUNTIFS(Database!$E:$E,Individual!$D29,Database!K:K,"1"))</f>
        <v>2</v>
      </c>
      <c r="J29" s="1">
        <f>IF($D29="","",COUNTIFS(Database!$E:$E,Individual!$D29,Database!L:L,"1"))</f>
        <v>2</v>
      </c>
      <c r="K29" s="1">
        <f>IF($D29="","",COUNTIFS(Database!$E:$E,Individual!$D29,Database!M:M,"1"))</f>
        <v>1</v>
      </c>
      <c r="L29" s="1">
        <f>IF($D29="","",COUNTIFS(Database!$E:$E,Individual!$D29,Database!N:N,"1"))</f>
        <v>3</v>
      </c>
      <c r="M29" s="1">
        <f>IF($D29="","",COUNTIFS(Database!$E:$E,Individual!$D29,Database!O:O,"1"))</f>
        <v>0</v>
      </c>
      <c r="N29" s="1">
        <f>IF($D29="","",COUNTIFS(Database!$E:$E,Individual!$D29,Database!P:P,"1"))</f>
        <v>3</v>
      </c>
      <c r="O29" s="1">
        <f>IF($D29="","",COUNTIFS(Database!$E:$E,Individual!$D29,Database!Q:Q,"1"))</f>
        <v>0</v>
      </c>
      <c r="P29" s="1">
        <f>IF($D29="","",COUNTIFS(Database!$E:$E,Individual!$D29,Database!R:R,"1"))</f>
        <v>0</v>
      </c>
      <c r="Q29" s="105" t="str">
        <f t="shared" si="0"/>
        <v>-</v>
      </c>
      <c r="R29" s="1">
        <f>IF($D29="","",COUNTIFS(Database!$E:$E,Individual!$D29,Database!T:T,"1"))</f>
        <v>0</v>
      </c>
      <c r="S29" s="1">
        <f>IF($D29="","",COUNTIFS(Database!$E:$E,Individual!$D29,Database!U:U,"1"))</f>
        <v>0</v>
      </c>
      <c r="T29" s="105" t="str">
        <f t="shared" si="1"/>
        <v>-</v>
      </c>
      <c r="U29" s="1">
        <f>IF($D29="","",COUNTIFS(Database!$E:$E,Individual!$D29,Database!W:W,"1"))</f>
        <v>0</v>
      </c>
      <c r="V29" s="1">
        <f>IF($D29="","",COUNTIFS(Database!$E:$E,Individual!$D29,Database!X:X,"1"))</f>
        <v>3</v>
      </c>
      <c r="W29" s="105">
        <f t="shared" si="2"/>
        <v>0</v>
      </c>
    </row>
    <row r="30" spans="3:23" x14ac:dyDescent="0.25">
      <c r="C30">
        <f>IF($D30="","",MAX($C$9:$C29)+1)</f>
        <v>22</v>
      </c>
      <c r="D30" t="s">
        <v>1</v>
      </c>
      <c r="E30" s="1">
        <f>IF($D30="","",COUNTIFS(Database!$E:$E,Individual!$D30,Database!G:G,"1"))</f>
        <v>11</v>
      </c>
      <c r="F30" s="1" t="e">
        <f>VLOOKUP($D30,#REF!,3,FALSE)</f>
        <v>#REF!</v>
      </c>
      <c r="G30" s="1">
        <f>IF($D30="","",COUNTIFS(Database!$E:$E,Individual!$D30,Database!I:I,"1"))</f>
        <v>0</v>
      </c>
      <c r="H30" s="1">
        <f>IF($D30="","",COUNTIFS(Database!$E:$E,Individual!$D30,Database!J:J,"1"))</f>
        <v>0</v>
      </c>
      <c r="I30" s="1">
        <f>IF($D30="","",COUNTIFS(Database!$E:$E,Individual!$D30,Database!K:K,"1"))</f>
        <v>2</v>
      </c>
      <c r="J30" s="1">
        <f>IF($D30="","",COUNTIFS(Database!$E:$E,Individual!$D30,Database!L:L,"1"))</f>
        <v>5</v>
      </c>
      <c r="K30" s="1">
        <f>IF($D30="","",COUNTIFS(Database!$E:$E,Individual!$D30,Database!M:M,"1"))</f>
        <v>2</v>
      </c>
      <c r="L30" s="1">
        <f>IF($D30="","",COUNTIFS(Database!$E:$E,Individual!$D30,Database!N:N,"1"))</f>
        <v>1</v>
      </c>
      <c r="M30" s="1">
        <f>IF($D30="","",COUNTIFS(Database!$E:$E,Individual!$D30,Database!O:O,"1"))</f>
        <v>1</v>
      </c>
      <c r="N30" s="1">
        <f>IF($D30="","",COUNTIFS(Database!$E:$E,Individual!$D30,Database!P:P,"1"))</f>
        <v>2</v>
      </c>
      <c r="O30" s="1">
        <f>IF($D30="","",COUNTIFS(Database!$E:$E,Individual!$D30,Database!Q:Q,"1"))</f>
        <v>0</v>
      </c>
      <c r="P30" s="1">
        <f>IF($D30="","",COUNTIFS(Database!$E:$E,Individual!$D30,Database!R:R,"1"))</f>
        <v>0</v>
      </c>
      <c r="Q30" s="105" t="str">
        <f t="shared" si="0"/>
        <v>-</v>
      </c>
      <c r="R30" s="1">
        <f>IF($D30="","",COUNTIFS(Database!$E:$E,Individual!$D30,Database!T:T,"1"))</f>
        <v>0</v>
      </c>
      <c r="S30" s="1">
        <f>IF($D30="","",COUNTIFS(Database!$E:$E,Individual!$D30,Database!U:U,"1"))</f>
        <v>0</v>
      </c>
      <c r="T30" s="105" t="str">
        <f t="shared" si="1"/>
        <v>-</v>
      </c>
      <c r="U30" s="1">
        <f>IF($D30="","",COUNTIFS(Database!$E:$E,Individual!$D30,Database!W:W,"1"))</f>
        <v>0</v>
      </c>
      <c r="V30" s="1">
        <f>IF($D30="","",COUNTIFS(Database!$E:$E,Individual!$D30,Database!X:X,"1"))</f>
        <v>2</v>
      </c>
      <c r="W30" s="105">
        <f t="shared" si="2"/>
        <v>0</v>
      </c>
    </row>
    <row r="31" spans="3:23" x14ac:dyDescent="0.25">
      <c r="C31">
        <f>IF($D31="","",MAX($C$9:$C30)+1)</f>
        <v>23</v>
      </c>
      <c r="D31" t="s">
        <v>35</v>
      </c>
      <c r="E31" s="1">
        <f>IF($D31="","",COUNTIFS(Database!$E:$E,Individual!$D31,Database!G:G,"1"))</f>
        <v>11</v>
      </c>
      <c r="F31" s="1" t="e">
        <f>VLOOKUP($D31,#REF!,3,FALSE)</f>
        <v>#REF!</v>
      </c>
      <c r="G31" s="1">
        <f>IF($D31="","",COUNTIFS(Database!$E:$E,Individual!$D31,Database!I:I,"1"))</f>
        <v>0</v>
      </c>
      <c r="H31" s="1">
        <f>IF($D31="","",COUNTIFS(Database!$E:$E,Individual!$D31,Database!J:J,"1"))</f>
        <v>5</v>
      </c>
      <c r="I31" s="1">
        <f>IF($D31="","",COUNTIFS(Database!$E:$E,Individual!$D31,Database!K:K,"1"))</f>
        <v>4</v>
      </c>
      <c r="J31" s="1">
        <f>IF($D31="","",COUNTIFS(Database!$E:$E,Individual!$D31,Database!L:L,"1"))</f>
        <v>2</v>
      </c>
      <c r="K31" s="1">
        <f>IF($D31="","",COUNTIFS(Database!$E:$E,Individual!$D31,Database!M:M,"1"))</f>
        <v>4</v>
      </c>
      <c r="L31" s="1">
        <f>IF($D31="","",COUNTIFS(Database!$E:$E,Individual!$D31,Database!N:N,"1"))</f>
        <v>3</v>
      </c>
      <c r="M31" s="1">
        <f>IF($D31="","",COUNTIFS(Database!$E:$E,Individual!$D31,Database!O:O,"1"))</f>
        <v>0</v>
      </c>
      <c r="N31" s="1">
        <f>IF($D31="","",COUNTIFS(Database!$E:$E,Individual!$D31,Database!P:P,"1"))</f>
        <v>4</v>
      </c>
      <c r="O31" s="1">
        <f>IF($D31="","",COUNTIFS(Database!$E:$E,Individual!$D31,Database!Q:Q,"1"))</f>
        <v>0</v>
      </c>
      <c r="P31" s="1">
        <f>IF($D31="","",COUNTIFS(Database!$E:$E,Individual!$D31,Database!R:R,"1"))</f>
        <v>1</v>
      </c>
      <c r="Q31" s="105">
        <f t="shared" si="0"/>
        <v>0</v>
      </c>
      <c r="R31" s="1">
        <f>IF($D31="","",COUNTIFS(Database!$E:$E,Individual!$D31,Database!T:T,"1"))</f>
        <v>0</v>
      </c>
      <c r="S31" s="1">
        <f>IF($D31="","",COUNTIFS(Database!$E:$E,Individual!$D31,Database!U:U,"1"))</f>
        <v>1</v>
      </c>
      <c r="T31" s="105">
        <f t="shared" si="1"/>
        <v>0</v>
      </c>
      <c r="U31" s="1">
        <f>IF($D31="","",COUNTIFS(Database!$E:$E,Individual!$D31,Database!W:W,"1"))</f>
        <v>1</v>
      </c>
      <c r="V31" s="1">
        <f>IF($D31="","",COUNTIFS(Database!$E:$E,Individual!$D31,Database!X:X,"1"))</f>
        <v>1</v>
      </c>
      <c r="W31" s="105">
        <f t="shared" si="2"/>
        <v>1</v>
      </c>
    </row>
    <row r="32" spans="3:23" x14ac:dyDescent="0.25">
      <c r="C32">
        <f>IF($D32="","",MAX($C$9:$C31)+1)</f>
        <v>24</v>
      </c>
      <c r="D32" t="s">
        <v>23</v>
      </c>
      <c r="E32" s="1">
        <f>IF($D32="","",COUNTIFS(Database!$E:$E,Individual!$D32,Database!G:G,"1"))</f>
        <v>4</v>
      </c>
      <c r="F32" s="1" t="e">
        <f>VLOOKUP($D32,#REF!,3,FALSE)</f>
        <v>#REF!</v>
      </c>
      <c r="G32" s="1">
        <f>IF($D32="","",COUNTIFS(Database!$E:$E,Individual!$D32,Database!I:I,"1"))</f>
        <v>0</v>
      </c>
      <c r="H32" s="1">
        <f>IF($D32="","",COUNTIFS(Database!$E:$E,Individual!$D32,Database!J:J,"1"))</f>
        <v>1</v>
      </c>
      <c r="I32" s="1">
        <f>IF($D32="","",COUNTIFS(Database!$E:$E,Individual!$D32,Database!K:K,"1"))</f>
        <v>1</v>
      </c>
      <c r="J32" s="1">
        <f>IF($D32="","",COUNTIFS(Database!$E:$E,Individual!$D32,Database!L:L,"1"))</f>
        <v>0</v>
      </c>
      <c r="K32" s="1">
        <f>IF($D32="","",COUNTIFS(Database!$E:$E,Individual!$D32,Database!M:M,"1"))</f>
        <v>1</v>
      </c>
      <c r="L32" s="1">
        <f>IF($D32="","",COUNTIFS(Database!$E:$E,Individual!$D32,Database!N:N,"1"))</f>
        <v>2</v>
      </c>
      <c r="M32" s="1">
        <f>IF($D32="","",COUNTIFS(Database!$E:$E,Individual!$D32,Database!O:O,"1"))</f>
        <v>0</v>
      </c>
      <c r="N32" s="1">
        <f>IF($D32="","",COUNTIFS(Database!$E:$E,Individual!$D32,Database!P:P,"1"))</f>
        <v>0</v>
      </c>
      <c r="O32" s="1">
        <f>IF($D32="","",COUNTIFS(Database!$E:$E,Individual!$D32,Database!Q:Q,"1"))</f>
        <v>0</v>
      </c>
      <c r="P32" s="1">
        <f>IF($D32="","",COUNTIFS(Database!$E:$E,Individual!$D32,Database!R:R,"1"))</f>
        <v>0</v>
      </c>
      <c r="Q32" s="105" t="str">
        <f t="shared" si="0"/>
        <v>-</v>
      </c>
      <c r="R32" s="1">
        <f>IF($D32="","",COUNTIFS(Database!$E:$E,Individual!$D32,Database!T:T,"1"))</f>
        <v>0</v>
      </c>
      <c r="S32" s="1">
        <f>IF($D32="","",COUNTIFS(Database!$E:$E,Individual!$D32,Database!U:U,"1"))</f>
        <v>0</v>
      </c>
      <c r="T32" s="105" t="str">
        <f t="shared" si="1"/>
        <v>-</v>
      </c>
      <c r="U32" s="1">
        <f>IF($D32="","",COUNTIFS(Database!$E:$E,Individual!$D32,Database!W:W,"1"))</f>
        <v>0</v>
      </c>
      <c r="V32" s="1">
        <f>IF($D32="","",COUNTIFS(Database!$E:$E,Individual!$D32,Database!X:X,"1"))</f>
        <v>0</v>
      </c>
      <c r="W32" s="105" t="str">
        <f t="shared" si="2"/>
        <v>-</v>
      </c>
    </row>
    <row r="33" spans="3:23" x14ac:dyDescent="0.25">
      <c r="C33">
        <f>IF($D33="","",MAX($C$9:$C32)+1)</f>
        <v>25</v>
      </c>
      <c r="D33" t="s">
        <v>3</v>
      </c>
      <c r="E33" s="1">
        <f>IF($D33="","",COUNTIFS(Database!$E:$E,Individual!$D33,Database!G:G,"1"))</f>
        <v>3</v>
      </c>
      <c r="F33" s="1" t="e">
        <f>VLOOKUP($D33,#REF!,3,FALSE)</f>
        <v>#REF!</v>
      </c>
      <c r="G33" s="1">
        <f>IF($D33="","",COUNTIFS(Database!$E:$E,Individual!$D33,Database!I:I,"1"))</f>
        <v>0</v>
      </c>
      <c r="H33" s="1">
        <f>IF($D33="","",COUNTIFS(Database!$E:$E,Individual!$D33,Database!J:J,"1"))</f>
        <v>1</v>
      </c>
      <c r="I33" s="1">
        <f>IF($D33="","",COUNTIFS(Database!$E:$E,Individual!$D33,Database!K:K,"1"))</f>
        <v>1</v>
      </c>
      <c r="J33" s="1">
        <f>IF($D33="","",COUNTIFS(Database!$E:$E,Individual!$D33,Database!L:L,"1"))</f>
        <v>1</v>
      </c>
      <c r="K33" s="1">
        <f>IF($D33="","",COUNTIFS(Database!$E:$E,Individual!$D33,Database!M:M,"1"))</f>
        <v>0</v>
      </c>
      <c r="L33" s="1">
        <f>IF($D33="","",COUNTIFS(Database!$E:$E,Individual!$D33,Database!N:N,"1"))</f>
        <v>1</v>
      </c>
      <c r="M33" s="1">
        <f>IF($D33="","",COUNTIFS(Database!$E:$E,Individual!$D33,Database!O:O,"1"))</f>
        <v>0</v>
      </c>
      <c r="N33" s="1">
        <f>IF($D33="","",COUNTIFS(Database!$E:$E,Individual!$D33,Database!P:P,"1"))</f>
        <v>1</v>
      </c>
      <c r="O33" s="1">
        <f>IF($D33="","",COUNTIFS(Database!$E:$E,Individual!$D33,Database!Q:Q,"1"))</f>
        <v>0</v>
      </c>
      <c r="P33" s="1">
        <f>IF($D33="","",COUNTIFS(Database!$E:$E,Individual!$D33,Database!R:R,"1"))</f>
        <v>0</v>
      </c>
      <c r="Q33" s="105" t="str">
        <f t="shared" si="0"/>
        <v>-</v>
      </c>
      <c r="R33" s="1">
        <f>IF($D33="","",COUNTIFS(Database!$E:$E,Individual!$D33,Database!T:T,"1"))</f>
        <v>0</v>
      </c>
      <c r="S33" s="1">
        <f>IF($D33="","",COUNTIFS(Database!$E:$E,Individual!$D33,Database!U:U,"1"))</f>
        <v>0</v>
      </c>
      <c r="T33" s="105" t="str">
        <f t="shared" si="1"/>
        <v>-</v>
      </c>
      <c r="U33" s="1">
        <f>IF($D33="","",COUNTIFS(Database!$E:$E,Individual!$D33,Database!W:W,"1"))</f>
        <v>0</v>
      </c>
      <c r="V33" s="1">
        <f>IF($D33="","",COUNTIFS(Database!$E:$E,Individual!$D33,Database!X:X,"1"))</f>
        <v>0</v>
      </c>
      <c r="W33" s="105" t="str">
        <f t="shared" si="2"/>
        <v>-</v>
      </c>
    </row>
    <row r="34" spans="3:23" x14ac:dyDescent="0.25">
      <c r="C34">
        <f>IF($D34="","",MAX($C$9:$C33)+1)</f>
        <v>26</v>
      </c>
      <c r="D34" t="s">
        <v>25</v>
      </c>
      <c r="E34" s="1">
        <f>IF($D34="","",COUNTIFS(Database!$E:$E,Individual!$D34,Database!G:G,"1"))</f>
        <v>11</v>
      </c>
      <c r="F34" s="1" t="e">
        <f>VLOOKUP($D34,#REF!,3,FALSE)</f>
        <v>#REF!</v>
      </c>
      <c r="G34" s="1">
        <f>IF($D34="","",COUNTIFS(Database!$E:$E,Individual!$D34,Database!I:I,"1"))</f>
        <v>0</v>
      </c>
      <c r="H34" s="1">
        <f>IF($D34="","",COUNTIFS(Database!$E:$E,Individual!$D34,Database!J:J,"1"))</f>
        <v>3</v>
      </c>
      <c r="I34" s="1">
        <f>IF($D34="","",COUNTIFS(Database!$E:$E,Individual!$D34,Database!K:K,"1"))</f>
        <v>2</v>
      </c>
      <c r="J34" s="1">
        <f>IF($D34="","",COUNTIFS(Database!$E:$E,Individual!$D34,Database!L:L,"1"))</f>
        <v>1</v>
      </c>
      <c r="K34" s="1">
        <f>IF($D34="","",COUNTIFS(Database!$E:$E,Individual!$D34,Database!M:M,"1"))</f>
        <v>6</v>
      </c>
      <c r="L34" s="1">
        <f>IF($D34="","",COUNTIFS(Database!$E:$E,Individual!$D34,Database!N:N,"1"))</f>
        <v>3</v>
      </c>
      <c r="M34" s="1">
        <f>IF($D34="","",COUNTIFS(Database!$E:$E,Individual!$D34,Database!O:O,"1"))</f>
        <v>0</v>
      </c>
      <c r="N34" s="1">
        <f>IF($D34="","",COUNTIFS(Database!$E:$E,Individual!$D34,Database!P:P,"1"))</f>
        <v>1</v>
      </c>
      <c r="O34" s="1">
        <f>IF($D34="","",COUNTIFS(Database!$E:$E,Individual!$D34,Database!Q:Q,"1"))</f>
        <v>2</v>
      </c>
      <c r="P34" s="1">
        <f>IF($D34="","",COUNTIFS(Database!$E:$E,Individual!$D34,Database!R:R,"1"))</f>
        <v>1</v>
      </c>
      <c r="Q34" s="105">
        <f t="shared" si="0"/>
        <v>2</v>
      </c>
      <c r="R34" s="1">
        <f>IF($D34="","",COUNTIFS(Database!$E:$E,Individual!$D34,Database!T:T,"1"))</f>
        <v>0</v>
      </c>
      <c r="S34" s="1">
        <f>IF($D34="","",COUNTIFS(Database!$E:$E,Individual!$D34,Database!U:U,"1"))</f>
        <v>0</v>
      </c>
      <c r="T34" s="105" t="str">
        <f t="shared" si="1"/>
        <v>-</v>
      </c>
      <c r="U34" s="1">
        <f>IF($D34="","",COUNTIFS(Database!$E:$E,Individual!$D34,Database!W:W,"1"))</f>
        <v>2</v>
      </c>
      <c r="V34" s="1">
        <f>IF($D34="","",COUNTIFS(Database!$E:$E,Individual!$D34,Database!X:X,"1"))</f>
        <v>1</v>
      </c>
      <c r="W34" s="105">
        <f t="shared" si="2"/>
        <v>2</v>
      </c>
    </row>
    <row r="35" spans="3:23" x14ac:dyDescent="0.25">
      <c r="C35">
        <f>IF($D35="","",MAX($C$9:$C34)+1)</f>
        <v>27</v>
      </c>
      <c r="D35" t="s">
        <v>29</v>
      </c>
      <c r="E35" s="1">
        <f>IF($D35="","",COUNTIFS(Database!$E:$E,Individual!$D35,Database!G:G,"1"))</f>
        <v>3</v>
      </c>
      <c r="F35" s="1" t="e">
        <f>VLOOKUP($D35,#REF!,3,FALSE)</f>
        <v>#REF!</v>
      </c>
      <c r="G35" s="1">
        <f>IF($D35="","",COUNTIFS(Database!$E:$E,Individual!$D35,Database!I:I,"1"))</f>
        <v>0</v>
      </c>
      <c r="H35" s="1">
        <f>IF($D35="","",COUNTIFS(Database!$E:$E,Individual!$D35,Database!J:J,"1"))</f>
        <v>0</v>
      </c>
      <c r="I35" s="1">
        <f>IF($D35="","",COUNTIFS(Database!$E:$E,Individual!$D35,Database!K:K,"1"))</f>
        <v>2</v>
      </c>
      <c r="J35" s="1">
        <f>IF($D35="","",COUNTIFS(Database!$E:$E,Individual!$D35,Database!L:L,"1"))</f>
        <v>1</v>
      </c>
      <c r="K35" s="1">
        <f>IF($D35="","",COUNTIFS(Database!$E:$E,Individual!$D35,Database!M:M,"1"))</f>
        <v>0</v>
      </c>
      <c r="L35" s="1">
        <f>IF($D35="","",COUNTIFS(Database!$E:$E,Individual!$D35,Database!N:N,"1"))</f>
        <v>0</v>
      </c>
      <c r="M35" s="1">
        <f>IF($D35="","",COUNTIFS(Database!$E:$E,Individual!$D35,Database!O:O,"1"))</f>
        <v>0</v>
      </c>
      <c r="N35" s="1">
        <f>IF($D35="","",COUNTIFS(Database!$E:$E,Individual!$D35,Database!P:P,"1"))</f>
        <v>1</v>
      </c>
      <c r="O35" s="1">
        <f>IF($D35="","",COUNTIFS(Database!$E:$E,Individual!$D35,Database!Q:Q,"1"))</f>
        <v>1</v>
      </c>
      <c r="P35" s="1">
        <f>IF($D35="","",COUNTIFS(Database!$E:$E,Individual!$D35,Database!R:R,"1"))</f>
        <v>0</v>
      </c>
      <c r="Q35" s="105" t="str">
        <f t="shared" si="0"/>
        <v>-</v>
      </c>
      <c r="R35" s="1">
        <f>IF($D35="","",COUNTIFS(Database!$E:$E,Individual!$D35,Database!T:T,"1"))</f>
        <v>0</v>
      </c>
      <c r="S35" s="1">
        <f>IF($D35="","",COUNTIFS(Database!$E:$E,Individual!$D35,Database!U:U,"1"))</f>
        <v>0</v>
      </c>
      <c r="T35" s="105" t="str">
        <f t="shared" si="1"/>
        <v>-</v>
      </c>
      <c r="U35" s="1">
        <f>IF($D35="","",COUNTIFS(Database!$E:$E,Individual!$D35,Database!W:W,"1"))</f>
        <v>0</v>
      </c>
      <c r="V35" s="1">
        <f>IF($D35="","",COUNTIFS(Database!$E:$E,Individual!$D35,Database!X:X,"1"))</f>
        <v>0</v>
      </c>
      <c r="W35" s="105" t="str">
        <f t="shared" si="2"/>
        <v>-</v>
      </c>
    </row>
    <row r="36" spans="3:23" x14ac:dyDescent="0.25">
      <c r="C36">
        <f>IF($D36="","",MAX($C$9:$C35)+1)</f>
        <v>28</v>
      </c>
      <c r="D36" t="s">
        <v>28</v>
      </c>
      <c r="E36" s="1">
        <f>IF($D36="","",COUNTIFS(Database!$E:$E,Individual!$D36,Database!G:G,"1"))</f>
        <v>11</v>
      </c>
      <c r="F36" s="1" t="e">
        <f>VLOOKUP($D36,#REF!,3,FALSE)</f>
        <v>#REF!</v>
      </c>
      <c r="G36" s="1">
        <f>IF($D36="","",COUNTIFS(Database!$E:$E,Individual!$D36,Database!I:I,"1"))</f>
        <v>1</v>
      </c>
      <c r="H36" s="1">
        <f>IF($D36="","",COUNTIFS(Database!$E:$E,Individual!$D36,Database!J:J,"1"))</f>
        <v>4</v>
      </c>
      <c r="I36" s="1">
        <f>IF($D36="","",COUNTIFS(Database!$E:$E,Individual!$D36,Database!K:K,"1"))</f>
        <v>1</v>
      </c>
      <c r="J36" s="1">
        <f>IF($D36="","",COUNTIFS(Database!$E:$E,Individual!$D36,Database!L:L,"1"))</f>
        <v>1</v>
      </c>
      <c r="K36" s="1">
        <f>IF($D36="","",COUNTIFS(Database!$E:$E,Individual!$D36,Database!M:M,"1"))</f>
        <v>1</v>
      </c>
      <c r="L36" s="1">
        <f>IF($D36="","",COUNTIFS(Database!$E:$E,Individual!$D36,Database!N:N,"1"))</f>
        <v>2</v>
      </c>
      <c r="M36" s="1">
        <f>IF($D36="","",COUNTIFS(Database!$E:$E,Individual!$D36,Database!O:O,"1"))</f>
        <v>2</v>
      </c>
      <c r="N36" s="1">
        <f>IF($D36="","",COUNTIFS(Database!$E:$E,Individual!$D36,Database!P:P,"1"))</f>
        <v>4</v>
      </c>
      <c r="O36" s="1">
        <f>IF($D36="","",COUNTIFS(Database!$E:$E,Individual!$D36,Database!Q:Q,"1"))</f>
        <v>0</v>
      </c>
      <c r="P36" s="1">
        <f>IF($D36="","",COUNTIFS(Database!$E:$E,Individual!$D36,Database!R:R,"1"))</f>
        <v>0</v>
      </c>
      <c r="Q36" s="105" t="str">
        <f t="shared" si="0"/>
        <v>-</v>
      </c>
      <c r="R36" s="1">
        <f>IF($D36="","",COUNTIFS(Database!$E:$E,Individual!$D36,Database!T:T,"1"))</f>
        <v>0</v>
      </c>
      <c r="S36" s="1">
        <f>IF($D36="","",COUNTIFS(Database!$E:$E,Individual!$D36,Database!U:U,"1"))</f>
        <v>0</v>
      </c>
      <c r="T36" s="105" t="str">
        <f t="shared" si="1"/>
        <v>-</v>
      </c>
      <c r="U36" s="1">
        <f>IF($D36="","",COUNTIFS(Database!$E:$E,Individual!$D36,Database!W:W,"1"))</f>
        <v>1</v>
      </c>
      <c r="V36" s="1">
        <f>IF($D36="","",COUNTIFS(Database!$E:$E,Individual!$D36,Database!X:X,"1"))</f>
        <v>0</v>
      </c>
      <c r="W36" s="105" t="str">
        <f t="shared" si="2"/>
        <v>-</v>
      </c>
    </row>
    <row r="37" spans="3:23" x14ac:dyDescent="0.25">
      <c r="C37">
        <f>IF($D37="","",MAX($C$9:$C36)+1)</f>
        <v>29</v>
      </c>
      <c r="D37" t="s">
        <v>34</v>
      </c>
      <c r="E37" s="1">
        <f>IF($D37="","",COUNTIFS(Database!$E:$E,Individual!$D37,Database!G:G,"1"))</f>
        <v>3</v>
      </c>
      <c r="F37" s="1" t="e">
        <f>VLOOKUP($D37,#REF!,3,FALSE)</f>
        <v>#REF!</v>
      </c>
      <c r="G37" s="1">
        <f>IF($D37="","",COUNTIFS(Database!$E:$E,Individual!$D37,Database!I:I,"1"))</f>
        <v>0</v>
      </c>
      <c r="H37" s="1">
        <f>IF($D37="","",COUNTIFS(Database!$E:$E,Individual!$D37,Database!J:J,"1"))</f>
        <v>0</v>
      </c>
      <c r="I37" s="1">
        <f>IF($D37="","",COUNTIFS(Database!$E:$E,Individual!$D37,Database!K:K,"1"))</f>
        <v>0</v>
      </c>
      <c r="J37" s="1">
        <f>IF($D37="","",COUNTIFS(Database!$E:$E,Individual!$D37,Database!L:L,"1"))</f>
        <v>0</v>
      </c>
      <c r="K37" s="1">
        <f>IF($D37="","",COUNTIFS(Database!$E:$E,Individual!$D37,Database!M:M,"1"))</f>
        <v>0</v>
      </c>
      <c r="L37" s="1">
        <f>IF($D37="","",COUNTIFS(Database!$E:$E,Individual!$D37,Database!N:N,"1"))</f>
        <v>0</v>
      </c>
      <c r="M37" s="1">
        <f>IF($D37="","",COUNTIFS(Database!$E:$E,Individual!$D37,Database!O:O,"1"))</f>
        <v>0</v>
      </c>
      <c r="N37" s="1">
        <f>IF($D37="","",COUNTIFS(Database!$E:$E,Individual!$D37,Database!P:P,"1"))</f>
        <v>0</v>
      </c>
      <c r="O37" s="1">
        <f>IF($D37="","",COUNTIFS(Database!$E:$E,Individual!$D37,Database!Q:Q,"1"))</f>
        <v>1</v>
      </c>
      <c r="P37" s="1">
        <f>IF($D37="","",COUNTIFS(Database!$E:$E,Individual!$D37,Database!R:R,"1"))</f>
        <v>0</v>
      </c>
      <c r="Q37" s="105" t="str">
        <f t="shared" si="0"/>
        <v>-</v>
      </c>
      <c r="R37" s="1">
        <f>IF($D37="","",COUNTIFS(Database!$E:$E,Individual!$D37,Database!T:T,"1"))</f>
        <v>0</v>
      </c>
      <c r="S37" s="1">
        <f>IF($D37="","",COUNTIFS(Database!$E:$E,Individual!$D37,Database!U:U,"1"))</f>
        <v>0</v>
      </c>
      <c r="T37" s="105" t="str">
        <f t="shared" si="1"/>
        <v>-</v>
      </c>
      <c r="U37" s="1">
        <f>IF($D37="","",COUNTIFS(Database!$E:$E,Individual!$D37,Database!W:W,"1"))</f>
        <v>1</v>
      </c>
      <c r="V37" s="1">
        <f>IF($D37="","",COUNTIFS(Database!$E:$E,Individual!$D37,Database!X:X,"1"))</f>
        <v>1</v>
      </c>
      <c r="W37" s="105">
        <f t="shared" si="2"/>
        <v>1</v>
      </c>
    </row>
    <row r="38" spans="3:23" x14ac:dyDescent="0.25">
      <c r="C38">
        <f>IF($D38="","",MAX($C$9:$C37)+1)</f>
        <v>30</v>
      </c>
      <c r="D38" t="s">
        <v>15</v>
      </c>
      <c r="E38" s="1">
        <f>IF($D38="","",COUNTIFS(Database!$E:$E,Individual!$D38,Database!G:G,"1"))</f>
        <v>12</v>
      </c>
      <c r="F38" s="1" t="e">
        <f>VLOOKUP($D38,#REF!,3,FALSE)</f>
        <v>#REF!</v>
      </c>
      <c r="G38" s="1">
        <f>IF($D38="","",COUNTIFS(Database!$E:$E,Individual!$D38,Database!I:I,"1"))</f>
        <v>0</v>
      </c>
      <c r="H38" s="1">
        <f>IF($D38="","",COUNTIFS(Database!$E:$E,Individual!$D38,Database!J:J,"1"))</f>
        <v>3</v>
      </c>
      <c r="I38" s="1">
        <f>IF($D38="","",COUNTIFS(Database!$E:$E,Individual!$D38,Database!K:K,"1"))</f>
        <v>4</v>
      </c>
      <c r="J38" s="1">
        <f>IF($D38="","",COUNTIFS(Database!$E:$E,Individual!$D38,Database!L:L,"1"))</f>
        <v>2</v>
      </c>
      <c r="K38" s="1">
        <f>IF($D38="","",COUNTIFS(Database!$E:$E,Individual!$D38,Database!M:M,"1"))</f>
        <v>3</v>
      </c>
      <c r="L38" s="1">
        <f>IF($D38="","",COUNTIFS(Database!$E:$E,Individual!$D38,Database!N:N,"1"))</f>
        <v>5</v>
      </c>
      <c r="M38" s="1">
        <f>IF($D38="","",COUNTIFS(Database!$E:$E,Individual!$D38,Database!O:O,"1"))</f>
        <v>2</v>
      </c>
      <c r="N38" s="1">
        <f>IF($D38="","",COUNTIFS(Database!$E:$E,Individual!$D38,Database!P:P,"1"))</f>
        <v>5</v>
      </c>
      <c r="O38" s="1">
        <f>IF($D38="","",COUNTIFS(Database!$E:$E,Individual!$D38,Database!Q:Q,"1"))</f>
        <v>0</v>
      </c>
      <c r="P38" s="1">
        <f>IF($D38="","",COUNTIFS(Database!$E:$E,Individual!$D38,Database!R:R,"1"))</f>
        <v>0</v>
      </c>
      <c r="Q38" s="105" t="str">
        <f t="shared" si="0"/>
        <v>-</v>
      </c>
      <c r="R38" s="1">
        <f>IF($D38="","",COUNTIFS(Database!$E:$E,Individual!$D38,Database!T:T,"1"))</f>
        <v>0</v>
      </c>
      <c r="S38" s="1">
        <f>IF($D38="","",COUNTIFS(Database!$E:$E,Individual!$D38,Database!U:U,"1"))</f>
        <v>0</v>
      </c>
      <c r="T38" s="105" t="str">
        <f t="shared" si="1"/>
        <v>-</v>
      </c>
      <c r="U38" s="1">
        <f>IF($D38="","",COUNTIFS(Database!$E:$E,Individual!$D38,Database!W:W,"1"))</f>
        <v>2</v>
      </c>
      <c r="V38" s="1">
        <f>IF($D38="","",COUNTIFS(Database!$E:$E,Individual!$D38,Database!X:X,"1"))</f>
        <v>2</v>
      </c>
      <c r="W38" s="105">
        <f t="shared" si="2"/>
        <v>1</v>
      </c>
    </row>
    <row r="39" spans="3:23" x14ac:dyDescent="0.25">
      <c r="C39">
        <f>IF($D39="","",MAX($C$9:$C38)+1)</f>
        <v>31</v>
      </c>
      <c r="D39" t="s">
        <v>13</v>
      </c>
      <c r="E39" s="1">
        <f>IF($D39="","",COUNTIFS(Database!$E:$E,Individual!$D39,Database!G:G,"1"))</f>
        <v>12</v>
      </c>
      <c r="F39" s="1" t="e">
        <f>VLOOKUP($D39,#REF!,3,FALSE)</f>
        <v>#REF!</v>
      </c>
      <c r="G39" s="1">
        <f>IF($D39="","",COUNTIFS(Database!$E:$E,Individual!$D39,Database!I:I,"1"))</f>
        <v>1</v>
      </c>
      <c r="H39" s="1">
        <f>IF($D39="","",COUNTIFS(Database!$E:$E,Individual!$D39,Database!J:J,"1"))</f>
        <v>2</v>
      </c>
      <c r="I39" s="1">
        <f>IF($D39="","",COUNTIFS(Database!$E:$E,Individual!$D39,Database!K:K,"1"))</f>
        <v>4</v>
      </c>
      <c r="J39" s="1">
        <f>IF($D39="","",COUNTIFS(Database!$E:$E,Individual!$D39,Database!L:L,"1"))</f>
        <v>0</v>
      </c>
      <c r="K39" s="1">
        <f>IF($D39="","",COUNTIFS(Database!$E:$E,Individual!$D39,Database!M:M,"1"))</f>
        <v>3</v>
      </c>
      <c r="L39" s="1">
        <f>IF($D39="","",COUNTIFS(Database!$E:$E,Individual!$D39,Database!N:N,"1"))</f>
        <v>6</v>
      </c>
      <c r="M39" s="1">
        <f>IF($D39="","",COUNTIFS(Database!$E:$E,Individual!$D39,Database!O:O,"1"))</f>
        <v>0</v>
      </c>
      <c r="N39" s="1">
        <f>IF($D39="","",COUNTIFS(Database!$E:$E,Individual!$D39,Database!P:P,"1"))</f>
        <v>6</v>
      </c>
      <c r="O39" s="1">
        <f>IF($D39="","",COUNTIFS(Database!$E:$E,Individual!$D39,Database!Q:Q,"1"))</f>
        <v>1</v>
      </c>
      <c r="P39" s="1">
        <f>IF($D39="","",COUNTIFS(Database!$E:$E,Individual!$D39,Database!R:R,"1"))</f>
        <v>1</v>
      </c>
      <c r="Q39" s="105">
        <f t="shared" si="0"/>
        <v>1</v>
      </c>
      <c r="R39" s="1">
        <f>IF($D39="","",COUNTIFS(Database!$E:$E,Individual!$D39,Database!T:T,"1"))</f>
        <v>0</v>
      </c>
      <c r="S39" s="1">
        <f>IF($D39="","",COUNTIFS(Database!$E:$E,Individual!$D39,Database!U:U,"1"))</f>
        <v>0</v>
      </c>
      <c r="T39" s="105" t="str">
        <f t="shared" si="1"/>
        <v>-</v>
      </c>
      <c r="U39" s="1">
        <f>IF($D39="","",COUNTIFS(Database!$E:$E,Individual!$D39,Database!W:W,"1"))</f>
        <v>0</v>
      </c>
      <c r="V39" s="1">
        <f>IF($D39="","",COUNTIFS(Database!$E:$E,Individual!$D39,Database!X:X,"1"))</f>
        <v>1</v>
      </c>
      <c r="W39" s="105">
        <f t="shared" si="2"/>
        <v>0</v>
      </c>
    </row>
    <row r="40" spans="3:23" x14ac:dyDescent="0.25">
      <c r="C40">
        <f>IF($D40="","",MAX($C$9:$C39)+1)</f>
        <v>32</v>
      </c>
      <c r="D40" t="s">
        <v>36</v>
      </c>
      <c r="E40" s="1">
        <f>IF($D40="","",COUNTIFS(Database!$E:$E,Individual!$D40,Database!G:G,"1"))</f>
        <v>11</v>
      </c>
      <c r="F40" s="1" t="e">
        <f>VLOOKUP($D40,#REF!,3,FALSE)</f>
        <v>#REF!</v>
      </c>
      <c r="G40" s="1">
        <f>IF($D40="","",COUNTIFS(Database!$E:$E,Individual!$D40,Database!I:I,"1"))</f>
        <v>1</v>
      </c>
      <c r="H40" s="1">
        <f>IF($D40="","",COUNTIFS(Database!$E:$E,Individual!$D40,Database!J:J,"1"))</f>
        <v>4</v>
      </c>
      <c r="I40" s="1">
        <f>IF($D40="","",COUNTIFS(Database!$E:$E,Individual!$D40,Database!K:K,"1"))</f>
        <v>2</v>
      </c>
      <c r="J40" s="1">
        <f>IF($D40="","",COUNTIFS(Database!$E:$E,Individual!$D40,Database!L:L,"1"))</f>
        <v>1</v>
      </c>
      <c r="K40" s="1">
        <f>IF($D40="","",COUNTIFS(Database!$E:$E,Individual!$D40,Database!M:M,"1"))</f>
        <v>3</v>
      </c>
      <c r="L40" s="1">
        <f>IF($D40="","",COUNTIFS(Database!$E:$E,Individual!$D40,Database!N:N,"1"))</f>
        <v>2</v>
      </c>
      <c r="M40" s="1">
        <f>IF($D40="","",COUNTIFS(Database!$E:$E,Individual!$D40,Database!O:O,"1"))</f>
        <v>3</v>
      </c>
      <c r="N40" s="1">
        <f>IF($D40="","",COUNTIFS(Database!$E:$E,Individual!$D40,Database!P:P,"1"))</f>
        <v>1</v>
      </c>
      <c r="O40" s="1">
        <f>IF($D40="","",COUNTIFS(Database!$E:$E,Individual!$D40,Database!Q:Q,"1"))</f>
        <v>3</v>
      </c>
      <c r="P40" s="1">
        <f>IF($D40="","",COUNTIFS(Database!$E:$E,Individual!$D40,Database!R:R,"1"))</f>
        <v>0</v>
      </c>
      <c r="Q40" s="105" t="str">
        <f t="shared" si="0"/>
        <v>-</v>
      </c>
      <c r="R40" s="1">
        <f>IF($D40="","",COUNTIFS(Database!$E:$E,Individual!$D40,Database!T:T,"1"))</f>
        <v>2</v>
      </c>
      <c r="S40" s="1">
        <f>IF($D40="","",COUNTIFS(Database!$E:$E,Individual!$D40,Database!U:U,"1"))</f>
        <v>0</v>
      </c>
      <c r="T40" s="105" t="str">
        <f t="shared" si="1"/>
        <v>-</v>
      </c>
      <c r="U40" s="1">
        <f>IF($D40="","",COUNTIFS(Database!$E:$E,Individual!$D40,Database!W:W,"1"))</f>
        <v>0</v>
      </c>
      <c r="V40" s="1">
        <f>IF($D40="","",COUNTIFS(Database!$E:$E,Individual!$D40,Database!X:X,"1"))</f>
        <v>0</v>
      </c>
      <c r="W40" s="105" t="str">
        <f t="shared" si="2"/>
        <v>-</v>
      </c>
    </row>
    <row r="41" spans="3:23" x14ac:dyDescent="0.25">
      <c r="C41">
        <f>IF($D41="","",MAX($C$9:$C40)+1)</f>
        <v>33</v>
      </c>
      <c r="D41" t="s">
        <v>12</v>
      </c>
      <c r="E41" s="1">
        <f>IF($D41="","",COUNTIFS(Database!$E:$E,Individual!$D41,Database!G:G,"1"))</f>
        <v>10</v>
      </c>
      <c r="F41" s="1" t="e">
        <f>VLOOKUP($D41,#REF!,3,FALSE)</f>
        <v>#REF!</v>
      </c>
      <c r="G41" s="1">
        <f>IF($D41="","",COUNTIFS(Database!$E:$E,Individual!$D41,Database!I:I,"1"))</f>
        <v>1</v>
      </c>
      <c r="H41" s="1">
        <f>IF($D41="","",COUNTIFS(Database!$E:$E,Individual!$D41,Database!J:J,"1"))</f>
        <v>4</v>
      </c>
      <c r="I41" s="1">
        <f>IF($D41="","",COUNTIFS(Database!$E:$E,Individual!$D41,Database!K:K,"1"))</f>
        <v>1</v>
      </c>
      <c r="J41" s="1">
        <f>IF($D41="","",COUNTIFS(Database!$E:$E,Individual!$D41,Database!L:L,"1"))</f>
        <v>2</v>
      </c>
      <c r="K41" s="1">
        <f>IF($D41="","",COUNTIFS(Database!$E:$E,Individual!$D41,Database!M:M,"1"))</f>
        <v>2</v>
      </c>
      <c r="L41" s="1">
        <f>IF($D41="","",COUNTIFS(Database!$E:$E,Individual!$D41,Database!N:N,"1"))</f>
        <v>4</v>
      </c>
      <c r="M41" s="1">
        <f>IF($D41="","",COUNTIFS(Database!$E:$E,Individual!$D41,Database!O:O,"1"))</f>
        <v>3</v>
      </c>
      <c r="N41" s="1">
        <f>IF($D41="","",COUNTIFS(Database!$E:$E,Individual!$D41,Database!P:P,"1"))</f>
        <v>1</v>
      </c>
      <c r="O41" s="1">
        <f>IF($D41="","",COUNTIFS(Database!$E:$E,Individual!$D41,Database!Q:Q,"1"))</f>
        <v>1</v>
      </c>
      <c r="P41" s="1">
        <f>IF($D41="","",COUNTIFS(Database!$E:$E,Individual!$D41,Database!R:R,"1"))</f>
        <v>0</v>
      </c>
      <c r="Q41" s="105" t="str">
        <f t="shared" si="0"/>
        <v>-</v>
      </c>
      <c r="R41" s="1">
        <f>IF($D41="","",COUNTIFS(Database!$E:$E,Individual!$D41,Database!T:T,"1"))</f>
        <v>2</v>
      </c>
      <c r="S41" s="1">
        <f>IF($D41="","",COUNTIFS(Database!$E:$E,Individual!$D41,Database!U:U,"1"))</f>
        <v>0</v>
      </c>
      <c r="T41" s="105" t="str">
        <f t="shared" si="1"/>
        <v>-</v>
      </c>
      <c r="U41" s="1">
        <f>IF($D41="","",COUNTIFS(Database!$E:$E,Individual!$D41,Database!W:W,"1"))</f>
        <v>0</v>
      </c>
      <c r="V41" s="1">
        <f>IF($D41="","",COUNTIFS(Database!$E:$E,Individual!$D41,Database!X:X,"1"))</f>
        <v>1</v>
      </c>
      <c r="W41" s="105">
        <f t="shared" si="2"/>
        <v>0</v>
      </c>
    </row>
    <row r="42" spans="3:23" x14ac:dyDescent="0.25">
      <c r="C42">
        <f>IF($D42="","",MAX($C$9:$C41)+1)</f>
        <v>34</v>
      </c>
      <c r="D42" t="s">
        <v>5</v>
      </c>
      <c r="E42" s="1">
        <f>IF($D42="","",COUNTIFS(Database!$E:$E,Individual!$D42,Database!G:G,"1"))</f>
        <v>4</v>
      </c>
      <c r="F42" s="1" t="e">
        <f>VLOOKUP($D42,#REF!,3,FALSE)</f>
        <v>#REF!</v>
      </c>
      <c r="G42" s="1">
        <f>IF($D42="","",COUNTIFS(Database!$E:$E,Individual!$D42,Database!I:I,"1"))</f>
        <v>0</v>
      </c>
      <c r="H42" s="1">
        <f>IF($D42="","",COUNTIFS(Database!$E:$E,Individual!$D42,Database!J:J,"1"))</f>
        <v>0</v>
      </c>
      <c r="I42" s="1">
        <f>IF($D42="","",COUNTIFS(Database!$E:$E,Individual!$D42,Database!K:K,"1"))</f>
        <v>2</v>
      </c>
      <c r="J42" s="1">
        <f>IF($D42="","",COUNTIFS(Database!$E:$E,Individual!$D42,Database!L:L,"1"))</f>
        <v>3</v>
      </c>
      <c r="K42" s="1">
        <f>IF($D42="","",COUNTIFS(Database!$E:$E,Individual!$D42,Database!M:M,"1"))</f>
        <v>0</v>
      </c>
      <c r="L42" s="1">
        <f>IF($D42="","",COUNTIFS(Database!$E:$E,Individual!$D42,Database!N:N,"1"))</f>
        <v>1</v>
      </c>
      <c r="M42" s="1">
        <f>IF($D42="","",COUNTIFS(Database!$E:$E,Individual!$D42,Database!O:O,"1"))</f>
        <v>0</v>
      </c>
      <c r="N42" s="1">
        <f>IF($D42="","",COUNTIFS(Database!$E:$E,Individual!$D42,Database!P:P,"1"))</f>
        <v>0</v>
      </c>
      <c r="O42" s="1">
        <f>IF($D42="","",COUNTIFS(Database!$E:$E,Individual!$D42,Database!Q:Q,"1"))</f>
        <v>1</v>
      </c>
      <c r="P42" s="1">
        <f>IF($D42="","",COUNTIFS(Database!$E:$E,Individual!$D42,Database!R:R,"1"))</f>
        <v>0</v>
      </c>
      <c r="Q42" s="105" t="str">
        <f t="shared" si="0"/>
        <v>-</v>
      </c>
      <c r="R42" s="1">
        <f>IF($D42="","",COUNTIFS(Database!$E:$E,Individual!$D42,Database!T:T,"1"))</f>
        <v>0</v>
      </c>
      <c r="S42" s="1">
        <f>IF($D42="","",COUNTIFS(Database!$E:$E,Individual!$D42,Database!U:U,"1"))</f>
        <v>0</v>
      </c>
      <c r="T42" s="105" t="str">
        <f t="shared" si="1"/>
        <v>-</v>
      </c>
      <c r="U42" s="1">
        <f>IF($D42="","",COUNTIFS(Database!$E:$E,Individual!$D42,Database!W:W,"1"))</f>
        <v>1</v>
      </c>
      <c r="V42" s="1">
        <f>IF($D42="","",COUNTIFS(Database!$E:$E,Individual!$D42,Database!X:X,"1"))</f>
        <v>2</v>
      </c>
      <c r="W42" s="105">
        <f t="shared" si="2"/>
        <v>0.5</v>
      </c>
    </row>
    <row r="43" spans="3:23" x14ac:dyDescent="0.25">
      <c r="C43">
        <f>IF($D43="","",MAX($C$9:$C42)+1)</f>
        <v>35</v>
      </c>
      <c r="D43" t="s">
        <v>22</v>
      </c>
      <c r="E43" s="1">
        <f>IF($D43="","",COUNTIFS(Database!$E:$E,Individual!$D43,Database!G:G,"1"))</f>
        <v>2</v>
      </c>
      <c r="F43" s="1" t="e">
        <f>VLOOKUP($D43,#REF!,3,FALSE)</f>
        <v>#REF!</v>
      </c>
      <c r="G43" s="1">
        <f>IF($D43="","",COUNTIFS(Database!$E:$E,Individual!$D43,Database!I:I,"1"))</f>
        <v>0</v>
      </c>
      <c r="H43" s="1">
        <f>IF($D43="","",COUNTIFS(Database!$E:$E,Individual!$D43,Database!J:J,"1"))</f>
        <v>1</v>
      </c>
      <c r="I43" s="1">
        <f>IF($D43="","",COUNTIFS(Database!$E:$E,Individual!$D43,Database!K:K,"1"))</f>
        <v>0</v>
      </c>
      <c r="J43" s="1">
        <f>IF($D43="","",COUNTIFS(Database!$E:$E,Individual!$D43,Database!L:L,"1"))</f>
        <v>0</v>
      </c>
      <c r="K43" s="1">
        <f>IF($D43="","",COUNTIFS(Database!$E:$E,Individual!$D43,Database!M:M,"1"))</f>
        <v>0</v>
      </c>
      <c r="L43" s="1">
        <f>IF($D43="","",COUNTIFS(Database!$E:$E,Individual!$D43,Database!N:N,"1"))</f>
        <v>2</v>
      </c>
      <c r="M43" s="1">
        <f>IF($D43="","",COUNTIFS(Database!$E:$E,Individual!$D43,Database!O:O,"1"))</f>
        <v>0</v>
      </c>
      <c r="N43" s="1">
        <f>IF($D43="","",COUNTIFS(Database!$E:$E,Individual!$D43,Database!P:P,"1"))</f>
        <v>0</v>
      </c>
      <c r="O43" s="1">
        <f>IF($D43="","",COUNTIFS(Database!$E:$E,Individual!$D43,Database!Q:Q,"1"))</f>
        <v>0</v>
      </c>
      <c r="P43" s="1">
        <f>IF($D43="","",COUNTIFS(Database!$E:$E,Individual!$D43,Database!R:R,"1"))</f>
        <v>0</v>
      </c>
      <c r="Q43" s="105" t="str">
        <f t="shared" si="0"/>
        <v>-</v>
      </c>
      <c r="R43" s="1">
        <f>IF($D43="","",COUNTIFS(Database!$E:$E,Individual!$D43,Database!T:T,"1"))</f>
        <v>0</v>
      </c>
      <c r="S43" s="1">
        <f>IF($D43="","",COUNTIFS(Database!$E:$E,Individual!$D43,Database!U:U,"1"))</f>
        <v>0</v>
      </c>
      <c r="T43" s="105" t="str">
        <f t="shared" si="1"/>
        <v>-</v>
      </c>
      <c r="U43" s="1">
        <f>IF($D43="","",COUNTIFS(Database!$E:$E,Individual!$D43,Database!W:W,"1"))</f>
        <v>0</v>
      </c>
      <c r="V43" s="1">
        <f>IF($D43="","",COUNTIFS(Database!$E:$E,Individual!$D43,Database!X:X,"1"))</f>
        <v>0</v>
      </c>
      <c r="W43" s="105" t="str">
        <f t="shared" si="2"/>
        <v>-</v>
      </c>
    </row>
    <row r="44" spans="3:23" x14ac:dyDescent="0.25">
      <c r="C44">
        <f>IF($D44="","",MAX($C$9:$C43)+1)</f>
        <v>36</v>
      </c>
      <c r="D44" t="s">
        <v>11</v>
      </c>
      <c r="E44" s="1">
        <f>IF($D44="","",COUNTIFS(Database!$E:$E,Individual!$D44,Database!G:G,"1"))</f>
        <v>10</v>
      </c>
      <c r="F44" s="1" t="e">
        <f>VLOOKUP($D44,#REF!,3,FALSE)</f>
        <v>#REF!</v>
      </c>
      <c r="G44" s="1">
        <f>IF($D44="","",COUNTIFS(Database!$E:$E,Individual!$D44,Database!I:I,"1"))</f>
        <v>0</v>
      </c>
      <c r="H44" s="1">
        <f>IF($D44="","",COUNTIFS(Database!$E:$E,Individual!$D44,Database!J:J,"1"))</f>
        <v>5</v>
      </c>
      <c r="I44" s="1">
        <f>IF($D44="","",COUNTIFS(Database!$E:$E,Individual!$D44,Database!K:K,"1"))</f>
        <v>4</v>
      </c>
      <c r="J44" s="1">
        <f>IF($D44="","",COUNTIFS(Database!$E:$E,Individual!$D44,Database!L:L,"1"))</f>
        <v>3</v>
      </c>
      <c r="K44" s="1">
        <f>IF($D44="","",COUNTIFS(Database!$E:$E,Individual!$D44,Database!M:M,"1"))</f>
        <v>4</v>
      </c>
      <c r="L44" s="1">
        <f>IF($D44="","",COUNTIFS(Database!$E:$E,Individual!$D44,Database!N:N,"1"))</f>
        <v>5</v>
      </c>
      <c r="M44" s="1">
        <f>IF($D44="","",COUNTIFS(Database!$E:$E,Individual!$D44,Database!O:O,"1"))</f>
        <v>0</v>
      </c>
      <c r="N44" s="1">
        <f>IF($D44="","",COUNTIFS(Database!$E:$E,Individual!$D44,Database!P:P,"1"))</f>
        <v>3</v>
      </c>
      <c r="O44" s="1">
        <f>IF($D44="","",COUNTIFS(Database!$E:$E,Individual!$D44,Database!Q:Q,"1"))</f>
        <v>1</v>
      </c>
      <c r="P44" s="1">
        <f>IF($D44="","",COUNTIFS(Database!$E:$E,Individual!$D44,Database!R:R,"1"))</f>
        <v>0</v>
      </c>
      <c r="Q44" s="105" t="str">
        <f t="shared" si="0"/>
        <v>-</v>
      </c>
      <c r="R44" s="1">
        <f>IF($D44="","",COUNTIFS(Database!$E:$E,Individual!$D44,Database!T:T,"1"))</f>
        <v>1</v>
      </c>
      <c r="S44" s="1">
        <f>IF($D44="","",COUNTIFS(Database!$E:$E,Individual!$D44,Database!U:U,"1"))</f>
        <v>1</v>
      </c>
      <c r="T44" s="105">
        <f t="shared" si="1"/>
        <v>1</v>
      </c>
      <c r="U44" s="1">
        <f>IF($D44="","",COUNTIFS(Database!$E:$E,Individual!$D44,Database!W:W,"1"))</f>
        <v>0</v>
      </c>
      <c r="V44" s="1">
        <f>IF($D44="","",COUNTIFS(Database!$E:$E,Individual!$D44,Database!X:X,"1"))</f>
        <v>0</v>
      </c>
      <c r="W44" s="105" t="str">
        <f t="shared" si="2"/>
        <v>-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92D050"/>
  </sheetPr>
  <dimension ref="A1:AD81"/>
  <sheetViews>
    <sheetView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D4" sqref="D4"/>
    </sheetView>
  </sheetViews>
  <sheetFormatPr defaultColWidth="8.85546875" defaultRowHeight="15" x14ac:dyDescent="0.25"/>
  <cols>
    <col min="1" max="2" width="2.85546875" customWidth="1"/>
    <col min="3" max="3" width="19.42578125" bestFit="1" customWidth="1"/>
    <col min="4" max="4" width="13.7109375" style="1" bestFit="1" customWidth="1"/>
    <col min="5" max="8" width="7.85546875" style="1" customWidth="1"/>
  </cols>
  <sheetData>
    <row r="1" spans="1:30" ht="60" customHeight="1" x14ac:dyDescent="0.4">
      <c r="A1" s="187"/>
      <c r="B1" s="187"/>
      <c r="C1" s="191" t="str">
        <f>Lists!$E$5</f>
        <v>Season 2</v>
      </c>
      <c r="D1" s="189"/>
      <c r="E1" s="189"/>
      <c r="F1" s="189"/>
      <c r="G1" s="189"/>
      <c r="H1" s="189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</row>
    <row r="2" spans="1:30" x14ac:dyDescent="0.25">
      <c r="A2" s="187"/>
      <c r="B2" s="187"/>
      <c r="C2" s="187"/>
      <c r="D2" s="189"/>
      <c r="E2" s="189"/>
      <c r="F2" s="189"/>
      <c r="G2" s="189"/>
      <c r="H2" s="189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</row>
    <row r="3" spans="1:30" s="178" customFormat="1" ht="16.5" thickBot="1" x14ac:dyDescent="0.3">
      <c r="A3" s="188"/>
      <c r="B3" s="188"/>
      <c r="C3" s="180" t="s">
        <v>132</v>
      </c>
      <c r="D3" s="180" t="s">
        <v>107</v>
      </c>
      <c r="E3" s="180" t="s">
        <v>130</v>
      </c>
      <c r="F3" s="180" t="s">
        <v>131</v>
      </c>
      <c r="G3" s="180" t="s">
        <v>133</v>
      </c>
      <c r="H3" s="180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</row>
    <row r="4" spans="1:30" x14ac:dyDescent="0.25">
      <c r="A4" s="187"/>
      <c r="B4" s="187"/>
      <c r="C4" s="185" t="s">
        <v>72</v>
      </c>
      <c r="D4" s="185" t="e">
        <f>INDEX(Database!$H$3:$H$10000,MATCH($F4,Database!E:E,0),1)</f>
        <v>#N/A</v>
      </c>
      <c r="E4" s="185" t="e">
        <f>INDEX($F$4:$F$80,MATCH($F4,Database!$A$3:$BW$10000,0))</f>
        <v>#N/A</v>
      </c>
      <c r="F4" s="185">
        <f>MAX(Database!$H:$H)</f>
        <v>49</v>
      </c>
      <c r="G4" s="185"/>
      <c r="H4" s="185">
        <f>IFERROR(IF($C4="","",SUMIFS(Database!AJ:AJ,Database!$AD:$AD,$C4)),"")</f>
        <v>0</v>
      </c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</row>
    <row r="5" spans="1:30" x14ac:dyDescent="0.25">
      <c r="A5" s="187"/>
      <c r="B5" s="187"/>
      <c r="C5" s="185" t="s">
        <v>73</v>
      </c>
      <c r="D5" s="185" t="e">
        <f>IF($C5="","",INDEX(Lists!$C$5:$C$80,_xlfn.AGGREGATE(15,6,(ROW(#REF!)-ROW(#REF!)+1)/(Individuals!$E$4:$E$80=$E5),COUNTIF($C5:$C5,$C5))))</f>
        <v>#NUM!</v>
      </c>
      <c r="E5" s="185"/>
      <c r="F5" s="185">
        <f>MAX(Database!$I:$I)</f>
        <v>28</v>
      </c>
      <c r="G5" s="185">
        <f>IFERROR(IF($C5="","",SUMIFS(Database!AI:AI,Database!$AD:$AD,$C5)),"")</f>
        <v>0</v>
      </c>
      <c r="H5" s="185">
        <f>IFERROR(IF($C5="","",SUMIFS(Database!AJ:AJ,Database!$AD:$AD,$C5)),"")</f>
        <v>0</v>
      </c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</row>
    <row r="6" spans="1:30" x14ac:dyDescent="0.25">
      <c r="A6" s="187"/>
      <c r="B6" s="187"/>
      <c r="C6" s="185" t="s">
        <v>74</v>
      </c>
      <c r="D6" s="185" t="e">
        <f>IF($C6="","",INDEX(Lists!$C$5:$C$80,_xlfn.AGGREGATE(15,6,(ROW(#REF!)-ROW(#REF!)+1)/(Individuals!$E$4:$E$80=$E6),COUNTIF($C6:$C6,$C6))))</f>
        <v>#NUM!</v>
      </c>
      <c r="E6" s="185"/>
      <c r="F6" s="185">
        <f>MAX(Database!$J:$J)</f>
        <v>11</v>
      </c>
      <c r="G6" s="185">
        <f>IFERROR(IF($C6="","",SUMIFS(Database!AI:AI,Database!$AD:$AD,$C6)),"")</f>
        <v>0</v>
      </c>
      <c r="H6" s="185">
        <f>IFERROR(IF($C6="","",SUMIFS(Database!AJ:AJ,Database!$AD:$AD,$C6)),"")</f>
        <v>0</v>
      </c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</row>
    <row r="7" spans="1:30" x14ac:dyDescent="0.25">
      <c r="A7" s="187"/>
      <c r="B7" s="187"/>
      <c r="C7" s="185" t="s">
        <v>75</v>
      </c>
      <c r="D7" s="185" t="e">
        <f>IF($C7="","",INDEX(Lists!$C$5:$C$80,_xlfn.AGGREGATE(15,6,(ROW(#REF!)-ROW(#REF!)+1)/(Individuals!$E$4:$E$80=$E7),COUNTIF($C7:$C7,$C7))))</f>
        <v>#NUM!</v>
      </c>
      <c r="E7" s="185"/>
      <c r="F7" s="185">
        <f>MAX(Database!$K:$K)</f>
        <v>9</v>
      </c>
      <c r="G7" s="185">
        <f>IFERROR(IF($C7="","",SUMIFS(Database!AI:AI,Database!$AD:$AD,$C7)),"")</f>
        <v>0</v>
      </c>
      <c r="H7" s="185">
        <f>IFERROR(IF($C7="","",SUMIFS(Database!AJ:AJ,Database!$AD:$AD,$C7)),"")</f>
        <v>0</v>
      </c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</row>
    <row r="8" spans="1:30" x14ac:dyDescent="0.25">
      <c r="A8" s="187"/>
      <c r="B8" s="187"/>
      <c r="C8" s="185" t="s">
        <v>76</v>
      </c>
      <c r="D8" s="185" t="e">
        <f>IF($C8="","",INDEX(Lists!$C$5:$C$80,_xlfn.AGGREGATE(15,6,(ROW(#REF!)-ROW(#REF!)+1)/(Individuals!$E$4:$E$80=$E8),COUNTIF($C8:$C8,$C8))))</f>
        <v>#NUM!</v>
      </c>
      <c r="E8" s="185"/>
      <c r="F8" s="185">
        <f>MAX(Database!$L:$L)</f>
        <v>5</v>
      </c>
      <c r="G8" s="185">
        <f>IFERROR(IF($C8="","",SUMIFS(Database!AI:AI,Database!$AD:$AD,$C8)),"")</f>
        <v>0</v>
      </c>
      <c r="H8" s="185">
        <f>IFERROR(IF($C8="","",SUMIFS(Database!AJ:AJ,Database!$AD:$AD,$C8)),"")</f>
        <v>0</v>
      </c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</row>
    <row r="9" spans="1:30" x14ac:dyDescent="0.25">
      <c r="A9" s="187"/>
      <c r="B9" s="187"/>
      <c r="C9" s="185" t="s">
        <v>77</v>
      </c>
      <c r="D9" s="185" t="e">
        <f>IF($C9="","",INDEX(Lists!$C$5:$C$80,_xlfn.AGGREGATE(15,6,(ROW(#REF!)-ROW(#REF!)+1)/(Individuals!$E$4:$E$80=$E9),COUNTIF($C9:$C9,$C9))))</f>
        <v>#NUM!</v>
      </c>
      <c r="E9" s="185"/>
      <c r="F9" s="185">
        <f>MAX(Database!$M:$M)</f>
        <v>9</v>
      </c>
      <c r="G9" s="185">
        <f>IFERROR(IF($C9="","",SUMIFS(Database!AI:AI,Database!$AD:$AD,$C9)),"")</f>
        <v>0</v>
      </c>
      <c r="H9" s="185">
        <f>IFERROR(IF($C9="","",SUMIFS(Database!AJ:AJ,Database!$AD:$AD,$C9)),"")</f>
        <v>0</v>
      </c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</row>
    <row r="10" spans="1:30" x14ac:dyDescent="0.25">
      <c r="A10" s="187"/>
      <c r="B10" s="187"/>
      <c r="C10" s="185" t="s">
        <v>78</v>
      </c>
      <c r="D10" s="185" t="e">
        <f>IF($C10="","",INDEX(Lists!$C$5:$C$80,_xlfn.AGGREGATE(15,6,(ROW(#REF!)-ROW(#REF!)+1)/(Individuals!$E$4:$E$80=$E10),COUNTIF($C10:$C10,$C10))))</f>
        <v>#NUM!</v>
      </c>
      <c r="E10" s="185"/>
      <c r="F10" s="185">
        <f>MAX(Database!$N:$N)</f>
        <v>11</v>
      </c>
      <c r="G10" s="185">
        <f>IFERROR(IF($C10="","",SUMIFS(Database!AI:AI,Database!$AD:$AD,$C10)),"")</f>
        <v>0</v>
      </c>
      <c r="H10" s="185">
        <f>IFERROR(IF($C10="","",SUMIFS(Database!AJ:AJ,Database!$AD:$AD,$C10)),"")</f>
        <v>0</v>
      </c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</row>
    <row r="11" spans="1:30" x14ac:dyDescent="0.25">
      <c r="A11" s="187"/>
      <c r="B11" s="187"/>
      <c r="C11" s="185" t="s">
        <v>79</v>
      </c>
      <c r="D11" s="185" t="e">
        <f>IF($C11="","",INDEX(Lists!$C$5:$C$80,_xlfn.AGGREGATE(15,6,(ROW(#REF!)-ROW(#REF!)+1)/(Individuals!$E$4:$E$80=$E11),COUNTIF($C11:$C11,$C11))))</f>
        <v>#NUM!</v>
      </c>
      <c r="E11" s="185"/>
      <c r="F11" s="185">
        <f>MAX(Database!$O:$O)</f>
        <v>20</v>
      </c>
      <c r="G11" s="185">
        <f>IFERROR(IF($C11="","",SUMIFS(Database!AI:AI,Database!$AD:$AD,$C11)),"")</f>
        <v>0</v>
      </c>
      <c r="H11" s="185">
        <f>IFERROR(IF($C11="","",SUMIFS(Database!AJ:AJ,Database!$AD:$AD,$C11)),"")</f>
        <v>0</v>
      </c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</row>
    <row r="12" spans="1:30" x14ac:dyDescent="0.25">
      <c r="A12" s="187"/>
      <c r="B12" s="187"/>
      <c r="C12" s="185" t="s">
        <v>80</v>
      </c>
      <c r="D12" s="185" t="e">
        <f>IF($C12="","",INDEX(Lists!$C$5:$C$80,_xlfn.AGGREGATE(15,6,(ROW(#REF!)-ROW(#REF!)+1)/(Individuals!$E$4:$E$80=$E12),COUNTIF($C12:$C12,$C12))))</f>
        <v>#NUM!</v>
      </c>
      <c r="E12" s="185"/>
      <c r="F12" s="185">
        <f>MAX(Database!$P:$P)</f>
        <v>11</v>
      </c>
      <c r="G12" s="185">
        <f>IFERROR(IF($C12="","",SUMIFS(Database!AI:AI,Database!$AD:$AD,$C12)),"")</f>
        <v>0</v>
      </c>
      <c r="H12" s="185">
        <f>IFERROR(IF($C12="","",SUMIFS(Database!AJ:AJ,Database!$AD:$AD,$C12)),"")</f>
        <v>0</v>
      </c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</row>
    <row r="13" spans="1:30" x14ac:dyDescent="0.25">
      <c r="A13" s="187"/>
      <c r="B13" s="187"/>
      <c r="C13" s="185" t="s">
        <v>124</v>
      </c>
      <c r="D13" s="185" t="e">
        <f>IF($C13="","",INDEX(Lists!$C$5:$C$80,_xlfn.AGGREGATE(15,6,(ROW(#REF!)-ROW(#REF!)+1)/(Individuals!$E$4:$E$80=$E13),COUNTIF($C13:$C13,$C13))))</f>
        <v>#NUM!</v>
      </c>
      <c r="E13" s="185"/>
      <c r="F13" s="185">
        <f>MAX(Database!$Q:$Q)</f>
        <v>18</v>
      </c>
      <c r="G13" s="185">
        <f>IFERROR(IF($C13="","",SUMIFS(Database!AI:AI,Database!$AD:$AD,$C13)),"")</f>
        <v>0</v>
      </c>
      <c r="H13" s="185">
        <f>IFERROR(IF($C13="","",SUMIFS(Database!AJ:AJ,Database!$AD:$AD,$C13)),"")</f>
        <v>0</v>
      </c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</row>
    <row r="14" spans="1:30" x14ac:dyDescent="0.25">
      <c r="A14" s="187"/>
      <c r="B14" s="187"/>
      <c r="C14" s="185" t="s">
        <v>82</v>
      </c>
      <c r="D14" s="185" t="e">
        <f>IF($C14="","",INDEX(Lists!$C$5:$C$80,_xlfn.AGGREGATE(15,6,(ROW(#REF!)-ROW(#REF!)+1)/(Individuals!$E$4:$E$80=$E14),COUNTIF($C14:$C14,$C14))))</f>
        <v>#NUM!</v>
      </c>
      <c r="E14" s="185"/>
      <c r="F14" s="186">
        <f>MAX(Database!$R:$R)</f>
        <v>1</v>
      </c>
      <c r="G14" s="185">
        <f>IFERROR(IF($C14="","",SUMIFS(Database!AI:AI,Database!$AD:$AD,$C14)),"")</f>
        <v>0</v>
      </c>
      <c r="H14" s="185">
        <f>IFERROR(IF($C14="","",SUMIFS(Database!AJ:AJ,Database!$AD:$AD,$C14)),"")</f>
        <v>0</v>
      </c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</row>
    <row r="15" spans="1:30" x14ac:dyDescent="0.25">
      <c r="A15" s="187"/>
      <c r="B15" s="187"/>
      <c r="C15" s="185" t="s">
        <v>125</v>
      </c>
      <c r="D15" s="185" t="e">
        <f>IF($C15="","",INDEX(Lists!$C$5:$C$80,_xlfn.AGGREGATE(15,6,(ROW(#REF!)-ROW(#REF!)+1)/(Individuals!$E$4:$E$80=$E15),COUNTIF($C15:$C15,$C15))))</f>
        <v>#NUM!</v>
      </c>
      <c r="E15" s="185"/>
      <c r="F15" s="185">
        <f>MAX(Database!$S:$S)</f>
        <v>19</v>
      </c>
      <c r="G15" s="185">
        <f>IFERROR(IF($C15="","",SUMIFS(Database!AI:AI,Database!$AD:$AD,$C15)),"")</f>
        <v>0</v>
      </c>
      <c r="H15" s="185">
        <f>IFERROR(IF($C15="","",SUMIFS(Database!AJ:AJ,Database!$AD:$AD,$C15)),"")</f>
        <v>0</v>
      </c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</row>
    <row r="16" spans="1:30" x14ac:dyDescent="0.25">
      <c r="A16" s="187"/>
      <c r="B16" s="187"/>
      <c r="C16" s="185" t="s">
        <v>126</v>
      </c>
      <c r="D16" s="185" t="e">
        <f>IF($C16="","",INDEX(Lists!$C$5:$C$80,_xlfn.AGGREGATE(15,6,(ROW(#REF!)-ROW(#REF!)+1)/(Individuals!$E$4:$E$80=$E16),COUNTIF($C16:$C16,$C16))))</f>
        <v>#NUM!</v>
      </c>
      <c r="E16" s="185"/>
      <c r="F16" s="185">
        <f>MAX(Database!$T:$T)</f>
        <v>42</v>
      </c>
      <c r="G16" s="185">
        <f>IFERROR(IF($C16="","",SUMIFS(Database!AI:AI,Database!$AD:$AD,$C16)),"")</f>
        <v>0</v>
      </c>
      <c r="H16" s="185">
        <f>IFERROR(IF($C16="","",SUMIFS(Database!AJ:AJ,Database!$AD:$AD,$C16)),"")</f>
        <v>0</v>
      </c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</row>
    <row r="17" spans="1:30" x14ac:dyDescent="0.25">
      <c r="A17" s="187"/>
      <c r="B17" s="187"/>
      <c r="C17" s="185" t="s">
        <v>85</v>
      </c>
      <c r="D17" s="185" t="e">
        <f>IF($C17="","",INDEX(Lists!$C$5:$C$80,_xlfn.AGGREGATE(15,6,(ROW(#REF!)-ROW(#REF!)+1)/(Individuals!$E$4:$E$80=$E17),COUNTIF($C17:$C17,$C17))))</f>
        <v>#NUM!</v>
      </c>
      <c r="E17" s="185"/>
      <c r="F17" s="186">
        <f>MAX(Database!$U:$U)</f>
        <v>1</v>
      </c>
      <c r="G17" s="185">
        <f>IFERROR(IF($C17="","",SUMIFS(Database!AI:AI,Database!$AD:$AD,$C17)),"")</f>
        <v>0</v>
      </c>
      <c r="H17" s="185">
        <f>IFERROR(IF($C17="","",SUMIFS(Database!AJ:AJ,Database!$AD:$AD,$C17)),"")</f>
        <v>0</v>
      </c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</row>
    <row r="18" spans="1:30" x14ac:dyDescent="0.25">
      <c r="A18" s="187"/>
      <c r="B18" s="187"/>
      <c r="C18" s="185" t="s">
        <v>127</v>
      </c>
      <c r="D18" s="185" t="e">
        <f>IF($C18="","",INDEX(Lists!$C$5:$C$80,_xlfn.AGGREGATE(15,6,(ROW(#REF!)-ROW(#REF!)+1)/(Individuals!$E$4:$E$80=$E18),COUNTIF($C18:$C18,$C18))))</f>
        <v>#NUM!</v>
      </c>
      <c r="E18" s="185"/>
      <c r="F18" s="185">
        <f>MAX(Database!$V:$V)</f>
        <v>7</v>
      </c>
      <c r="G18" s="185">
        <f>IFERROR(IF($C18="","",SUMIFS(Database!AI:AI,Database!$AD:$AD,$C18)),"")</f>
        <v>0</v>
      </c>
      <c r="H18" s="185">
        <f>IFERROR(IF($C18="","",SUMIFS(Database!AJ:AJ,Database!$AD:$AD,$C18)),"")</f>
        <v>0</v>
      </c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</row>
    <row r="19" spans="1:30" x14ac:dyDescent="0.25">
      <c r="A19" s="187"/>
      <c r="B19" s="187"/>
      <c r="C19" s="185" t="s">
        <v>128</v>
      </c>
      <c r="D19" s="185" t="e">
        <f>IF($C19="","",INDEX(Lists!$C$5:$C$80,_xlfn.AGGREGATE(15,6,(ROW(#REF!)-ROW(#REF!)+1)/(Individuals!$E$4:$E$80=$E19),COUNTIF($C19:$C19,$C19))))</f>
        <v>#NUM!</v>
      </c>
      <c r="E19" s="185"/>
      <c r="F19" s="185">
        <f>MAX(Database!$W:$W)</f>
        <v>12</v>
      </c>
      <c r="G19" s="185">
        <f>IFERROR(IF($C19="","",SUMIFS(Database!AI:AI,Database!$AD:$AD,$C19)),"")</f>
        <v>0</v>
      </c>
      <c r="H19" s="185">
        <f>IFERROR(IF($C19="","",SUMIFS(Database!AJ:AJ,Database!$AD:$AD,$C19)),"")</f>
        <v>0</v>
      </c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</row>
    <row r="20" spans="1:30" x14ac:dyDescent="0.25">
      <c r="A20" s="187"/>
      <c r="B20" s="187"/>
      <c r="C20" s="185" t="s">
        <v>88</v>
      </c>
      <c r="D20" s="185" t="e">
        <f>IF($C20="","",INDEX(Lists!$C$5:$C$80,_xlfn.AGGREGATE(15,6,(ROW(#REF!)-ROW(#REF!)+1)/(Individuals!$E$4:$E$80=$E20),COUNTIF($C20:$C20,$C20))))</f>
        <v>#NUM!</v>
      </c>
      <c r="E20" s="185"/>
      <c r="F20" s="186">
        <f>MAX(Database!$X:$X)</f>
        <v>1</v>
      </c>
      <c r="G20" s="185">
        <f>IFERROR(IF($C20="","",SUMIFS(Database!AI:AI,Database!$AD:$AD,$C20)),"")</f>
        <v>0</v>
      </c>
      <c r="H20" s="185">
        <f>IFERROR(IF($C20="","",SUMIFS(Database!AJ:AJ,Database!$AD:$AD,$C20)),"")</f>
        <v>0</v>
      </c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87"/>
      <c r="AD20" s="187"/>
    </row>
    <row r="21" spans="1:30" x14ac:dyDescent="0.25">
      <c r="A21" s="187"/>
      <c r="B21" s="187"/>
      <c r="C21" s="145"/>
      <c r="D21" s="185" t="str">
        <f>IF($C21="","",INDEX(Lists!$C$5:$C$80,_xlfn.AGGREGATE(15,6,(ROW(#REF!)-ROW(#REF!)+1)/(Individuals!$E$4:$E$80=$E21),COUNTIF($C21:$C21,$C21))))</f>
        <v/>
      </c>
      <c r="E21" s="185"/>
      <c r="F21" s="185">
        <f>MAX(Individuals!$E$4:$E$80)</f>
        <v>4</v>
      </c>
      <c r="G21" s="185" t="str">
        <f>IFERROR(IF($C21="","",SUMIFS(Database!AI:AI,Database!$AD:$AD,$C21)),"")</f>
        <v/>
      </c>
      <c r="H21" s="185" t="str">
        <f>IFERROR(IF($C21="","",SUMIFS(Database!AJ:AJ,Database!$AD:$AD,$C21)),"")</f>
        <v/>
      </c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  <c r="AB21" s="187"/>
      <c r="AC21" s="187"/>
      <c r="AD21" s="187"/>
    </row>
    <row r="22" spans="1:30" x14ac:dyDescent="0.25">
      <c r="A22" s="187"/>
      <c r="B22" s="187"/>
      <c r="C22" s="145"/>
      <c r="D22" s="185" t="str">
        <f>IF($C22="","",INDEX(Lists!$C$5:$C$80,_xlfn.AGGREGATE(15,6,(ROW(#REF!)-ROW(#REF!)+1)/(Individuals!$E$4:$E$80=$E22),COUNTIF($C22:$C22,$C22))))</f>
        <v/>
      </c>
      <c r="E22" s="185"/>
      <c r="F22" s="185">
        <f>MAX(Individuals!$E$4:$E$80)</f>
        <v>4</v>
      </c>
      <c r="G22" s="185" t="str">
        <f>IFERROR(IF($C22="","",SUMIFS(Database!AI:AI,Database!$AD:$AD,$C22)),"")</f>
        <v/>
      </c>
      <c r="H22" s="185" t="str">
        <f>IFERROR(IF($C22="","",SUMIFS(Database!AJ:AJ,Database!$AD:$AD,$C22)),"")</f>
        <v/>
      </c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87"/>
      <c r="AC22" s="187"/>
      <c r="AD22" s="187"/>
    </row>
    <row r="23" spans="1:30" x14ac:dyDescent="0.25">
      <c r="A23" s="187"/>
      <c r="B23" s="187"/>
      <c r="C23" s="145"/>
      <c r="D23" s="185" t="str">
        <f>IF($C23="","",INDEX(Lists!$C$5:$C$80,_xlfn.AGGREGATE(15,6,(ROW(#REF!)-ROW(#REF!)+1)/(Individuals!$E$4:$E$80=$E23),COUNTIF($C23:$C23,$C23))))</f>
        <v/>
      </c>
      <c r="E23" s="185"/>
      <c r="F23" s="185">
        <f>MAX(Individuals!$E$4:$E$80)</f>
        <v>4</v>
      </c>
      <c r="G23" s="185" t="str">
        <f>IFERROR(IF($C23="","",SUMIFS(Database!AI:AI,Database!$AD:$AD,$C23)),"")</f>
        <v/>
      </c>
      <c r="H23" s="185" t="str">
        <f>IFERROR(IF($C23="","",SUMIFS(Database!AJ:AJ,Database!$AD:$AD,$C23)),"")</f>
        <v/>
      </c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</row>
    <row r="24" spans="1:30" x14ac:dyDescent="0.25">
      <c r="A24" s="187"/>
      <c r="B24" s="187"/>
      <c r="C24" s="145"/>
      <c r="D24" s="185" t="str">
        <f>IF($C24="","",INDEX(Lists!$C$5:$C$80,_xlfn.AGGREGATE(15,6,(ROW(#REF!)-ROW(#REF!)+1)/(Individuals!$E$4:$E$80=$E24),COUNTIF($C24:$C24,$C24))))</f>
        <v/>
      </c>
      <c r="E24" s="185"/>
      <c r="F24" s="185">
        <f>MAX(Individuals!$E$4:$E$80)</f>
        <v>4</v>
      </c>
      <c r="G24" s="185" t="str">
        <f>IFERROR(IF($C24="","",SUMIFS(Database!AI:AI,Database!$AD:$AD,$C24)),"")</f>
        <v/>
      </c>
      <c r="H24" s="185" t="str">
        <f>IFERROR(IF($C24="","",SUMIFS(Database!AJ:AJ,Database!$AD:$AD,$C24)),"")</f>
        <v/>
      </c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</row>
    <row r="25" spans="1:30" x14ac:dyDescent="0.25">
      <c r="A25" s="187"/>
      <c r="B25" s="187"/>
      <c r="C25" s="145"/>
      <c r="D25" s="185" t="str">
        <f>IF($C25="","",INDEX(Lists!$C$5:$C$80,_xlfn.AGGREGATE(15,6,(ROW(#REF!)-ROW(#REF!)+1)/(Individuals!$E$4:$E$80=$E25),COUNTIF($C25:$C25,$C25))))</f>
        <v/>
      </c>
      <c r="E25" s="185"/>
      <c r="F25" s="185">
        <f>MAX(Individuals!$E$4:$E$80)</f>
        <v>4</v>
      </c>
      <c r="G25" s="185" t="str">
        <f>IFERROR(IF($C25="","",SUMIFS(Database!AI:AI,Database!$AD:$AD,$C25)),"")</f>
        <v/>
      </c>
      <c r="H25" s="185" t="str">
        <f>IFERROR(IF($C25="","",SUMIFS(Database!AJ:AJ,Database!$AD:$AD,$C25)),"")</f>
        <v/>
      </c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  <c r="AB25" s="187"/>
      <c r="AC25" s="187"/>
      <c r="AD25" s="187"/>
    </row>
    <row r="26" spans="1:30" x14ac:dyDescent="0.25">
      <c r="A26" s="187"/>
      <c r="B26" s="187"/>
      <c r="C26" s="145"/>
      <c r="D26" s="185" t="str">
        <f>IF($C26="","",INDEX(Lists!$C$5:$C$80,_xlfn.AGGREGATE(15,6,(ROW(#REF!)-ROW(#REF!)+1)/(Individuals!$E$4:$E$80=$E26),COUNTIF($C26:$C26,$C26))))</f>
        <v/>
      </c>
      <c r="E26" s="185"/>
      <c r="F26" s="185">
        <f>MAX(Individuals!$E$4:$E$80)</f>
        <v>4</v>
      </c>
      <c r="G26" s="185" t="str">
        <f>IFERROR(IF($C26="","",SUMIFS(Database!AI:AI,Database!$AD:$AD,$C26)),"")</f>
        <v/>
      </c>
      <c r="H26" s="185" t="str">
        <f>IFERROR(IF($C26="","",SUMIFS(Database!AJ:AJ,Database!$AD:$AD,$C26)),"")</f>
        <v/>
      </c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7"/>
    </row>
    <row r="27" spans="1:30" x14ac:dyDescent="0.25">
      <c r="A27" s="187"/>
      <c r="B27" s="187"/>
      <c r="C27" s="145"/>
      <c r="D27" s="185" t="str">
        <f>IF($C27="","",INDEX(Lists!$C$5:$C$80,_xlfn.AGGREGATE(15,6,(ROW(#REF!)-ROW(#REF!)+1)/(Individuals!$E$4:$E$80=$E27),COUNTIF($C27:$C27,$C27))))</f>
        <v/>
      </c>
      <c r="E27" s="185"/>
      <c r="F27" s="185">
        <f>MAX(Individuals!$E$4:$E$80)</f>
        <v>4</v>
      </c>
      <c r="G27" s="185" t="str">
        <f>IFERROR(IF($C27="","",SUMIFS(Database!AI:AI,Database!$AD:$AD,$C27)),"")</f>
        <v/>
      </c>
      <c r="H27" s="185" t="str">
        <f>IFERROR(IF($C27="","",SUMIFS(Database!AJ:AJ,Database!$AD:$AD,$C27)),"")</f>
        <v/>
      </c>
      <c r="I27" s="187"/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7"/>
    </row>
    <row r="28" spans="1:30" x14ac:dyDescent="0.25">
      <c r="A28" s="187"/>
      <c r="B28" s="187"/>
      <c r="C28" s="145"/>
      <c r="D28" s="185" t="str">
        <f>IF($C28="","",INDEX(Lists!$C$5:$C$80,_xlfn.AGGREGATE(15,6,(ROW(#REF!)-ROW(#REF!)+1)/(Individuals!$E$4:$E$80=$E28),COUNTIF($C28:$C28,$C28))))</f>
        <v/>
      </c>
      <c r="E28" s="185"/>
      <c r="F28" s="185">
        <f>MAX(Individuals!$E$4:$E$80)</f>
        <v>4</v>
      </c>
      <c r="G28" s="185" t="str">
        <f>IFERROR(IF($C28="","",SUMIFS(Database!AI:AI,Database!$AD:$AD,$C28)),"")</f>
        <v/>
      </c>
      <c r="H28" s="185" t="str">
        <f>IFERROR(IF($C28="","",SUMIFS(Database!AJ:AJ,Database!$AD:$AD,$C28)),"")</f>
        <v/>
      </c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</row>
    <row r="29" spans="1:30" x14ac:dyDescent="0.25">
      <c r="A29" s="187"/>
      <c r="B29" s="187"/>
      <c r="C29" s="145"/>
      <c r="D29" s="185" t="str">
        <f>IF($C29="","",INDEX(Lists!$C$5:$C$80,_xlfn.AGGREGATE(15,6,(ROW(#REF!)-ROW(#REF!)+1)/(Individuals!$E$4:$E$80=$E29),COUNTIF($C29:$C29,$C29))))</f>
        <v/>
      </c>
      <c r="E29" s="185"/>
      <c r="F29" s="185">
        <f>MAX(Individuals!$E$4:$E$80)</f>
        <v>4</v>
      </c>
      <c r="G29" s="185" t="str">
        <f>IFERROR(IF($C29="","",SUMIFS(Database!AI:AI,Database!$AD:$AD,$C29)),"")</f>
        <v/>
      </c>
      <c r="H29" s="185" t="str">
        <f>IFERROR(IF($C29="","",SUMIFS(Database!AJ:AJ,Database!$AD:$AD,$C29)),"")</f>
        <v/>
      </c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</row>
    <row r="30" spans="1:30" x14ac:dyDescent="0.25">
      <c r="A30" s="187"/>
      <c r="B30" s="187"/>
      <c r="C30" s="145"/>
      <c r="D30" s="185" t="str">
        <f>IF($C30="","",INDEX(Lists!$C$5:$C$80,_xlfn.AGGREGATE(15,6,(ROW(#REF!)-ROW(#REF!)+1)/(Individuals!$E$4:$E$80=$E30),COUNTIF($C30:$C30,$C30))))</f>
        <v/>
      </c>
      <c r="E30" s="185"/>
      <c r="F30" s="185">
        <f>MAX(Individuals!$E$4:$E$80)</f>
        <v>4</v>
      </c>
      <c r="G30" s="185" t="str">
        <f>IFERROR(IF($C30="","",SUMIFS(Database!AI:AI,Database!$AD:$AD,$C30)),"")</f>
        <v/>
      </c>
      <c r="H30" s="185" t="str">
        <f>IFERROR(IF($C30="","",SUMIFS(Database!AJ:AJ,Database!$AD:$AD,$C30)),"")</f>
        <v/>
      </c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  <c r="AB30" s="187"/>
      <c r="AC30" s="187"/>
      <c r="AD30" s="187"/>
    </row>
    <row r="31" spans="1:30" x14ac:dyDescent="0.25">
      <c r="A31" s="187"/>
      <c r="B31" s="187"/>
      <c r="C31" s="145"/>
      <c r="D31" s="185" t="str">
        <f>IF($C31="","",INDEX(Lists!$C$5:$C$80,_xlfn.AGGREGATE(15,6,(ROW(#REF!)-ROW(#REF!)+1)/(Individuals!$E$4:$E$80=$E31),COUNTIF($C31:$C31,$C31))))</f>
        <v/>
      </c>
      <c r="E31" s="185"/>
      <c r="F31" s="185">
        <f>MAX(Individuals!$E$4:$E$80)</f>
        <v>4</v>
      </c>
      <c r="G31" s="185" t="str">
        <f>IFERROR(IF($C31="","",SUMIFS(Database!AI:AI,Database!$AD:$AD,$C31)),"")</f>
        <v/>
      </c>
      <c r="H31" s="185" t="str">
        <f>IFERROR(IF($C31="","",SUMIFS(Database!AJ:AJ,Database!$AD:$AD,$C31)),"")</f>
        <v/>
      </c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</row>
    <row r="32" spans="1:30" x14ac:dyDescent="0.25">
      <c r="A32" s="187"/>
      <c r="B32" s="187"/>
      <c r="C32" s="145"/>
      <c r="D32" s="185" t="str">
        <f>IF($C32="","",INDEX(Lists!$C$5:$C$80,_xlfn.AGGREGATE(15,6,(ROW(#REF!)-ROW(#REF!)+1)/(Individuals!$E$4:$E$80=$E32),COUNTIF($C32:$C32,$C32))))</f>
        <v/>
      </c>
      <c r="E32" s="185"/>
      <c r="F32" s="185">
        <f>MAX(Individuals!$E$4:$E$80)</f>
        <v>4</v>
      </c>
      <c r="G32" s="185" t="str">
        <f>IFERROR(IF($C32="","",SUMIFS(Database!AI:AI,Database!$AD:$AD,$C32)),"")</f>
        <v/>
      </c>
      <c r="H32" s="185" t="str">
        <f>IFERROR(IF($C32="","",SUMIFS(Database!AJ:AJ,Database!$AD:$AD,$C32)),"")</f>
        <v/>
      </c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187"/>
      <c r="AA32" s="187"/>
      <c r="AB32" s="187"/>
      <c r="AC32" s="187"/>
      <c r="AD32" s="187"/>
    </row>
    <row r="33" spans="1:30" x14ac:dyDescent="0.25">
      <c r="A33" s="187"/>
      <c r="B33" s="187"/>
      <c r="C33" s="145"/>
      <c r="D33" s="185" t="str">
        <f>IF($C33="","",INDEX(Lists!$C$5:$C$80,_xlfn.AGGREGATE(15,6,(ROW(#REF!)-ROW(#REF!)+1)/(Individuals!$E$4:$E$80=$E33),COUNTIF($C33:$C33,$C33))))</f>
        <v/>
      </c>
      <c r="E33" s="185"/>
      <c r="F33" s="185">
        <f>MAX(Individuals!$E$4:$E$80)</f>
        <v>4</v>
      </c>
      <c r="G33" s="185" t="str">
        <f>IFERROR(IF($C33="","",SUMIFS(Database!AI:AI,Database!$AD:$AD,$C33)),"")</f>
        <v/>
      </c>
      <c r="H33" s="185" t="str">
        <f>IFERROR(IF($C33="","",SUMIFS(Database!AJ:AJ,Database!$AD:$AD,$C33)),"")</f>
        <v/>
      </c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  <c r="AB33" s="187"/>
      <c r="AC33" s="187"/>
      <c r="AD33" s="187"/>
    </row>
    <row r="34" spans="1:30" x14ac:dyDescent="0.25">
      <c r="A34" s="187"/>
      <c r="B34" s="187"/>
      <c r="C34" s="145"/>
      <c r="D34" s="185" t="str">
        <f>IF($C34="","",INDEX(Lists!$C$5:$C$80,_xlfn.AGGREGATE(15,6,(ROW(#REF!)-ROW(#REF!)+1)/(Individuals!$E$4:$E$80=$E34),COUNTIF($C34:$C34,$C34))))</f>
        <v/>
      </c>
      <c r="E34" s="185"/>
      <c r="F34" s="185">
        <f>MAX(Individuals!$E$4:$E$80)</f>
        <v>4</v>
      </c>
      <c r="G34" s="185" t="str">
        <f>IFERROR(IF($C34="","",SUMIFS(Database!AI:AI,Database!$AD:$AD,$C34)),"")</f>
        <v/>
      </c>
      <c r="H34" s="185" t="str">
        <f>IFERROR(IF($C34="","",SUMIFS(Database!AJ:AJ,Database!$AD:$AD,$C34)),"")</f>
        <v/>
      </c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  <c r="X34" s="187"/>
      <c r="Y34" s="187"/>
      <c r="Z34" s="187"/>
      <c r="AA34" s="187"/>
      <c r="AB34" s="187"/>
      <c r="AC34" s="187"/>
      <c r="AD34" s="187"/>
    </row>
    <row r="35" spans="1:30" x14ac:dyDescent="0.25">
      <c r="A35" s="187"/>
      <c r="B35" s="187"/>
      <c r="C35" s="145"/>
      <c r="D35" s="185" t="str">
        <f>IF($C35="","",INDEX(Lists!$C$5:$C$80,_xlfn.AGGREGATE(15,6,(ROW(#REF!)-ROW(#REF!)+1)/(Individuals!$E$4:$E$80=$E35),COUNTIF($C35:$C35,$C35))))</f>
        <v/>
      </c>
      <c r="E35" s="185"/>
      <c r="F35" s="185">
        <f>MAX(Individuals!$E$4:$E$80)</f>
        <v>4</v>
      </c>
      <c r="G35" s="185" t="str">
        <f>IFERROR(IF($C35="","",SUMIFS(Database!AI:AI,Database!$AD:$AD,$C35)),"")</f>
        <v/>
      </c>
      <c r="H35" s="185" t="str">
        <f>IFERROR(IF($C35="","",SUMIFS(Database!AJ:AJ,Database!$AD:$AD,$C35)),"")</f>
        <v/>
      </c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  <c r="X35" s="187"/>
      <c r="Y35" s="187"/>
      <c r="Z35" s="187"/>
      <c r="AA35" s="187"/>
      <c r="AB35" s="187"/>
      <c r="AC35" s="187"/>
      <c r="AD35" s="187"/>
    </row>
    <row r="36" spans="1:30" x14ac:dyDescent="0.25">
      <c r="A36" s="187"/>
      <c r="B36" s="187"/>
      <c r="C36" s="145"/>
      <c r="D36" s="185" t="str">
        <f>IF($C36="","",INDEX(Lists!$C$5:$C$80,_xlfn.AGGREGATE(15,6,(ROW(#REF!)-ROW(#REF!)+1)/(Individuals!$E$4:$E$80=$E36),COUNTIF($C36:$C36,$C36))))</f>
        <v/>
      </c>
      <c r="E36" s="185"/>
      <c r="F36" s="185">
        <f>MAX(Individuals!$E$4:$E$80)</f>
        <v>4</v>
      </c>
      <c r="G36" s="185" t="str">
        <f>IFERROR(IF($C36="","",SUMIFS(Database!AI:AI,Database!$AD:$AD,$C36)),"")</f>
        <v/>
      </c>
      <c r="H36" s="185" t="str">
        <f>IFERROR(IF($C36="","",SUMIFS(Database!AJ:AJ,Database!$AD:$AD,$C36)),"")</f>
        <v/>
      </c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7"/>
      <c r="Z36" s="187"/>
      <c r="AA36" s="187"/>
      <c r="AB36" s="187"/>
      <c r="AC36" s="187"/>
      <c r="AD36" s="187"/>
    </row>
    <row r="37" spans="1:30" x14ac:dyDescent="0.25">
      <c r="A37" s="187"/>
      <c r="B37" s="187"/>
      <c r="C37" s="145"/>
      <c r="D37" s="185" t="str">
        <f>IF($C37="","",INDEX(Lists!$C$5:$C$80,_xlfn.AGGREGATE(15,6,(ROW(#REF!)-ROW(#REF!)+1)/(Individuals!$E$4:$E$80=$E37),COUNTIF($C37:$C37,$C37))))</f>
        <v/>
      </c>
      <c r="E37" s="185"/>
      <c r="F37" s="185">
        <f>MAX(Individuals!$E$4:$E$80)</f>
        <v>4</v>
      </c>
      <c r="G37" s="185" t="str">
        <f>IFERROR(IF($C37="","",SUMIFS(Database!AI:AI,Database!$AD:$AD,$C37)),"")</f>
        <v/>
      </c>
      <c r="H37" s="185" t="str">
        <f>IFERROR(IF($C37="","",SUMIFS(Database!AJ:AJ,Database!$AD:$AD,$C37)),"")</f>
        <v/>
      </c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</row>
    <row r="38" spans="1:30" x14ac:dyDescent="0.25">
      <c r="A38" s="187"/>
      <c r="B38" s="187"/>
      <c r="C38" s="145"/>
      <c r="D38" s="185" t="str">
        <f>IF($C38="","",INDEX(Lists!$C$5:$C$80,_xlfn.AGGREGATE(15,6,(ROW(#REF!)-ROW(#REF!)+1)/(Individuals!$E$4:$E$80=$E38),COUNTIF($C38:$C38,$C38))))</f>
        <v/>
      </c>
      <c r="E38" s="185"/>
      <c r="F38" s="185">
        <f>MAX(Individuals!$E$4:$E$80)</f>
        <v>4</v>
      </c>
      <c r="G38" s="185" t="str">
        <f>IFERROR(IF($C38="","",SUMIFS(Database!AI:AI,Database!$AD:$AD,$C38)),"")</f>
        <v/>
      </c>
      <c r="H38" s="185" t="str">
        <f>IFERROR(IF($C38="","",SUMIFS(Database!AJ:AJ,Database!$AD:$AD,$C38)),"")</f>
        <v/>
      </c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</row>
    <row r="39" spans="1:30" x14ac:dyDescent="0.25">
      <c r="A39" s="187"/>
      <c r="B39" s="187"/>
      <c r="C39" s="145"/>
      <c r="D39" s="185" t="str">
        <f>IF($C39="","",INDEX(Lists!$C$5:$C$80,_xlfn.AGGREGATE(15,6,(ROW(#REF!)-ROW(#REF!)+1)/(Individuals!$E$4:$E$80=$E39),COUNTIF($C39:$C39,$C39))))</f>
        <v/>
      </c>
      <c r="E39" s="185"/>
      <c r="F39" s="185">
        <f>MAX(Individuals!$E$4:$E$80)</f>
        <v>4</v>
      </c>
      <c r="G39" s="185" t="str">
        <f>IFERROR(IF($C39="","",SUMIFS(Database!AI:AI,Database!$AD:$AD,$C39)),"")</f>
        <v/>
      </c>
      <c r="H39" s="185" t="str">
        <f>IFERROR(IF($C39="","",SUMIFS(Database!AJ:AJ,Database!$AD:$AD,$C39)),"")</f>
        <v/>
      </c>
      <c r="I39" s="187"/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  <c r="X39" s="187"/>
      <c r="Y39" s="187"/>
      <c r="Z39" s="187"/>
      <c r="AA39" s="187"/>
      <c r="AB39" s="187"/>
      <c r="AC39" s="187"/>
      <c r="AD39" s="187"/>
    </row>
    <row r="40" spans="1:30" x14ac:dyDescent="0.25">
      <c r="A40" s="187"/>
      <c r="B40" s="187"/>
      <c r="C40" s="145"/>
      <c r="D40" s="185" t="str">
        <f>IF($C40="","",INDEX(Lists!$C$5:$C$80,_xlfn.AGGREGATE(15,6,(ROW(#REF!)-ROW(#REF!)+1)/(Individuals!$E$4:$E$80=$E40),COUNTIF($C40:$C40,$C40))))</f>
        <v/>
      </c>
      <c r="E40" s="185"/>
      <c r="F40" s="185">
        <f>MAX(Individuals!$E$4:$E$80)</f>
        <v>4</v>
      </c>
      <c r="G40" s="185" t="str">
        <f>IFERROR(IF($C40="","",SUMIFS(Database!AI:AI,Database!$AD:$AD,$C40)),"")</f>
        <v/>
      </c>
      <c r="H40" s="185" t="str">
        <f>IFERROR(IF($C40="","",SUMIFS(Database!AJ:AJ,Database!$AD:$AD,$C40)),"")</f>
        <v/>
      </c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  <c r="X40" s="187"/>
      <c r="Y40" s="187"/>
      <c r="Z40" s="187"/>
      <c r="AA40" s="187"/>
      <c r="AB40" s="187"/>
      <c r="AC40" s="187"/>
      <c r="AD40" s="187"/>
    </row>
    <row r="41" spans="1:30" x14ac:dyDescent="0.25">
      <c r="A41" s="187"/>
      <c r="B41" s="187"/>
      <c r="C41" s="145"/>
      <c r="D41" s="185" t="str">
        <f>IF($C41="","",INDEX(Lists!$C$5:$C$80,_xlfn.AGGREGATE(15,6,(ROW(#REF!)-ROW(#REF!)+1)/(Individuals!$E$4:$E$80=$E41),COUNTIF($C41:$C41,$C41))))</f>
        <v/>
      </c>
      <c r="E41" s="185"/>
      <c r="F41" s="185">
        <f>MAX(Individuals!$E$4:$E$80)</f>
        <v>4</v>
      </c>
      <c r="G41" s="185" t="str">
        <f>IFERROR(IF($C41="","",SUMIFS(Database!AI:AI,Database!$AD:$AD,$C41)),"")</f>
        <v/>
      </c>
      <c r="H41" s="185" t="str">
        <f>IFERROR(IF($C41="","",SUMIFS(Database!AJ:AJ,Database!$AD:$AD,$C41)),"")</f>
        <v/>
      </c>
      <c r="I41" s="187"/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187"/>
      <c r="Z41" s="187"/>
      <c r="AA41" s="187"/>
      <c r="AB41" s="187"/>
      <c r="AC41" s="187"/>
      <c r="AD41" s="187"/>
    </row>
    <row r="42" spans="1:30" x14ac:dyDescent="0.25">
      <c r="A42" s="187"/>
      <c r="B42" s="187"/>
      <c r="C42" s="145"/>
      <c r="D42" s="185" t="str">
        <f>IF($C42="","",INDEX(Lists!$C$5:$C$80,_xlfn.AGGREGATE(15,6,(ROW(#REF!)-ROW(#REF!)+1)/(Individuals!$E$4:$E$80=$E42),COUNTIF($C42:$C42,$C42))))</f>
        <v/>
      </c>
      <c r="E42" s="185"/>
      <c r="F42" s="185">
        <f>MAX(Individuals!$E$4:$E$80)</f>
        <v>4</v>
      </c>
      <c r="G42" s="185" t="str">
        <f>IFERROR(IF($C42="","",SUMIFS(Database!AI:AI,Database!$AD:$AD,$C42)),"")</f>
        <v/>
      </c>
      <c r="H42" s="185" t="str">
        <f>IFERROR(IF($C42="","",SUMIFS(Database!AJ:AJ,Database!$AD:$AD,$C42)),"")</f>
        <v/>
      </c>
      <c r="I42" s="187"/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187"/>
      <c r="Z42" s="187"/>
      <c r="AA42" s="187"/>
      <c r="AB42" s="187"/>
      <c r="AC42" s="187"/>
      <c r="AD42" s="187"/>
    </row>
    <row r="43" spans="1:30" x14ac:dyDescent="0.25">
      <c r="A43" s="187"/>
      <c r="B43" s="187"/>
      <c r="C43" s="145"/>
      <c r="D43" s="185" t="str">
        <f>IF($C43="","",INDEX(Lists!$C$5:$C$80,_xlfn.AGGREGATE(15,6,(ROW(#REF!)-ROW(#REF!)+1)/(Individuals!$E$4:$E$80=$E43),COUNTIF($C43:$C43,$C43))))</f>
        <v/>
      </c>
      <c r="E43" s="185"/>
      <c r="F43" s="185">
        <f>MAX(Individuals!$E$4:$E$80)</f>
        <v>4</v>
      </c>
      <c r="G43" s="185" t="str">
        <f>IFERROR(IF($C43="","",SUMIFS(Database!AI:AI,Database!$AD:$AD,$C43)),"")</f>
        <v/>
      </c>
      <c r="H43" s="185" t="str">
        <f>IFERROR(IF($C43="","",SUMIFS(Database!AJ:AJ,Database!$AD:$AD,$C43)),"")</f>
        <v/>
      </c>
      <c r="I43" s="187"/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87"/>
      <c r="W43" s="187"/>
      <c r="X43" s="187"/>
      <c r="Y43" s="187"/>
      <c r="Z43" s="187"/>
      <c r="AA43" s="187"/>
      <c r="AB43" s="187"/>
      <c r="AC43" s="187"/>
      <c r="AD43" s="187"/>
    </row>
    <row r="44" spans="1:30" x14ac:dyDescent="0.25">
      <c r="A44" s="187"/>
      <c r="B44" s="187"/>
      <c r="C44" s="145"/>
      <c r="D44" s="185" t="str">
        <f>IF($C44="","",INDEX(Lists!$C$5:$C$80,_xlfn.AGGREGATE(15,6,(ROW(#REF!)-ROW(#REF!)+1)/(Individuals!$E$4:$E$80=$E44),COUNTIF($C44:$C44,$C44))))</f>
        <v/>
      </c>
      <c r="E44" s="185"/>
      <c r="F44" s="185">
        <f>MAX(Individuals!$E$4:$E$80)</f>
        <v>4</v>
      </c>
      <c r="G44" s="185" t="str">
        <f>IFERROR(IF($C44="","",SUMIFS(Database!AI:AI,Database!$AD:$AD,$C44)),"")</f>
        <v/>
      </c>
      <c r="H44" s="185" t="str">
        <f>IFERROR(IF($C44="","",SUMIFS(Database!AJ:AJ,Database!$AD:$AD,$C44)),"")</f>
        <v/>
      </c>
      <c r="I44" s="187"/>
      <c r="J44" s="187"/>
      <c r="K44" s="187"/>
      <c r="L44" s="187"/>
      <c r="M44" s="187"/>
      <c r="N44" s="187"/>
      <c r="O44" s="187"/>
      <c r="P44" s="187"/>
      <c r="Q44" s="187"/>
      <c r="R44" s="187"/>
      <c r="S44" s="187"/>
      <c r="T44" s="187"/>
      <c r="U44" s="187"/>
      <c r="V44" s="187"/>
      <c r="W44" s="187"/>
      <c r="X44" s="187"/>
      <c r="Y44" s="187"/>
      <c r="Z44" s="187"/>
      <c r="AA44" s="187"/>
      <c r="AB44" s="187"/>
      <c r="AC44" s="187"/>
      <c r="AD44" s="187"/>
    </row>
    <row r="45" spans="1:30" x14ac:dyDescent="0.25">
      <c r="A45" s="187"/>
      <c r="B45" s="187"/>
      <c r="C45" s="145"/>
      <c r="D45" s="185" t="str">
        <f>IF($C45="","",INDEX(Lists!$C$5:$C$80,_xlfn.AGGREGATE(15,6,(ROW(#REF!)-ROW(#REF!)+1)/(Individuals!$E$4:$E$80=$E45),COUNTIF($C45:$C45,$C45))))</f>
        <v/>
      </c>
      <c r="E45" s="185"/>
      <c r="F45" s="185">
        <f>MAX(Individuals!$E$4:$E$80)</f>
        <v>4</v>
      </c>
      <c r="G45" s="185" t="str">
        <f>IFERROR(IF($C45="","",SUMIFS(Database!AI:AI,Database!$AD:$AD,$C45)),"")</f>
        <v/>
      </c>
      <c r="H45" s="185" t="str">
        <f>IFERROR(IF($C45="","",SUMIFS(Database!AJ:AJ,Database!$AD:$AD,$C45)),"")</f>
        <v/>
      </c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</row>
    <row r="46" spans="1:30" x14ac:dyDescent="0.25">
      <c r="A46" s="187"/>
      <c r="B46" s="187"/>
      <c r="C46" s="145"/>
      <c r="D46" s="185" t="str">
        <f>IF($C46="","",INDEX(Lists!$C$5:$C$80,_xlfn.AGGREGATE(15,6,(ROW(#REF!)-ROW(#REF!)+1)/(Individuals!$E$4:$E$80=$E46),COUNTIF($C46:$C46,$C46))))</f>
        <v/>
      </c>
      <c r="E46" s="185"/>
      <c r="F46" s="185">
        <f>MAX(Individuals!$E$4:$E$80)</f>
        <v>4</v>
      </c>
      <c r="G46" s="185" t="str">
        <f>IFERROR(IF($C46="","",SUMIFS(Database!AI:AI,Database!$AD:$AD,$C46)),"")</f>
        <v/>
      </c>
      <c r="H46" s="185" t="str">
        <f>IFERROR(IF($C46="","",SUMIFS(Database!AJ:AJ,Database!$AD:$AD,$C46)),"")</f>
        <v/>
      </c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7"/>
      <c r="AC46" s="187"/>
      <c r="AD46" s="187"/>
    </row>
    <row r="47" spans="1:30" x14ac:dyDescent="0.25">
      <c r="A47" s="187"/>
      <c r="B47" s="187"/>
      <c r="C47" s="145"/>
      <c r="D47" s="185" t="str">
        <f>IF($C47="","",INDEX(Lists!$C$5:$C$80,_xlfn.AGGREGATE(15,6,(ROW(#REF!)-ROW(#REF!)+1)/(Individuals!$E$4:$E$80=$E47),COUNTIF($C47:$C47,$C47))))</f>
        <v/>
      </c>
      <c r="E47" s="185"/>
      <c r="F47" s="185">
        <f>MAX(Individuals!$E$4:$E$80)</f>
        <v>4</v>
      </c>
      <c r="G47" s="185" t="str">
        <f>IFERROR(IF($C47="","",SUMIFS(Database!AI:AI,Database!$AD:$AD,$C47)),"")</f>
        <v/>
      </c>
      <c r="H47" s="185" t="str">
        <f>IFERROR(IF($C47="","",SUMIFS(Database!AJ:AJ,Database!$AD:$AD,$C47)),"")</f>
        <v/>
      </c>
      <c r="I47" s="187"/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187"/>
      <c r="AA47" s="187"/>
      <c r="AB47" s="187"/>
      <c r="AC47" s="187"/>
      <c r="AD47" s="187"/>
    </row>
    <row r="48" spans="1:30" x14ac:dyDescent="0.25">
      <c r="A48" s="187"/>
      <c r="B48" s="187"/>
      <c r="C48" s="145"/>
      <c r="D48" s="185" t="str">
        <f>IF($C48="","",INDEX(Lists!$C$5:$C$80,_xlfn.AGGREGATE(15,6,(ROW(#REF!)-ROW(#REF!)+1)/(Individuals!$E$4:$E$80=$E48),COUNTIF($C48:$C48,$C48))))</f>
        <v/>
      </c>
      <c r="E48" s="185"/>
      <c r="F48" s="185">
        <f>MAX(Individuals!$E$4:$E$80)</f>
        <v>4</v>
      </c>
      <c r="G48" s="185" t="str">
        <f>IFERROR(IF($C48="","",SUMIFS(Database!AI:AI,Database!$AD:$AD,$C48)),"")</f>
        <v/>
      </c>
      <c r="H48" s="185" t="str">
        <f>IFERROR(IF($C48="","",SUMIFS(Database!AJ:AJ,Database!$AD:$AD,$C48)),"")</f>
        <v/>
      </c>
      <c r="I48" s="187"/>
      <c r="J48" s="187"/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87"/>
      <c r="W48" s="187"/>
      <c r="X48" s="187"/>
      <c r="Y48" s="187"/>
      <c r="Z48" s="187"/>
      <c r="AA48" s="187"/>
      <c r="AB48" s="187"/>
      <c r="AC48" s="187"/>
      <c r="AD48" s="187"/>
    </row>
    <row r="49" spans="1:30" x14ac:dyDescent="0.25">
      <c r="A49" s="187"/>
      <c r="B49" s="187"/>
      <c r="C49" s="145"/>
      <c r="D49" s="185" t="str">
        <f>IF($C49="","",INDEX(Lists!$C$5:$C$80,_xlfn.AGGREGATE(15,6,(ROW(#REF!)-ROW(#REF!)+1)/(Individuals!$E$4:$E$80=$E49),COUNTIF($C49:$C49,$C49))))</f>
        <v/>
      </c>
      <c r="E49" s="185"/>
      <c r="F49" s="185">
        <f>MAX(Individuals!$E$4:$E$80)</f>
        <v>4</v>
      </c>
      <c r="G49" s="185" t="str">
        <f>IFERROR(IF($C49="","",SUMIFS(Database!AI:AI,Database!$AD:$AD,$C49)),"")</f>
        <v/>
      </c>
      <c r="H49" s="185" t="str">
        <f>IFERROR(IF($C49="","",SUMIFS(Database!AJ:AJ,Database!$AD:$AD,$C49)),"")</f>
        <v/>
      </c>
      <c r="I49" s="187"/>
      <c r="J49" s="187"/>
      <c r="K49" s="187"/>
      <c r="L49" s="187"/>
      <c r="M49" s="187"/>
      <c r="N49" s="187"/>
      <c r="O49" s="187"/>
      <c r="P49" s="187"/>
      <c r="Q49" s="187"/>
      <c r="R49" s="187"/>
      <c r="S49" s="187"/>
      <c r="T49" s="187"/>
      <c r="U49" s="187"/>
      <c r="V49" s="187"/>
      <c r="W49" s="187"/>
      <c r="X49" s="187"/>
      <c r="Y49" s="187"/>
      <c r="Z49" s="187"/>
      <c r="AA49" s="187"/>
      <c r="AB49" s="187"/>
      <c r="AC49" s="187"/>
      <c r="AD49" s="187"/>
    </row>
    <row r="50" spans="1:30" x14ac:dyDescent="0.25">
      <c r="A50" s="187"/>
      <c r="B50" s="187"/>
      <c r="C50" s="145"/>
      <c r="D50" s="185" t="str">
        <f>IF($C50="","",INDEX(Lists!$C$5:$C$80,_xlfn.AGGREGATE(15,6,(ROW(#REF!)-ROW(#REF!)+1)/(Individuals!$E$4:$E$80=$E50),COUNTIF($C50:$C50,$C50))))</f>
        <v/>
      </c>
      <c r="E50" s="185"/>
      <c r="F50" s="185">
        <f>MAX(Individuals!$E$4:$E$80)</f>
        <v>4</v>
      </c>
      <c r="G50" s="185" t="str">
        <f>IFERROR(IF($C50="","",SUMIFS(Database!AI:AI,Database!$AD:$AD,$C50)),"")</f>
        <v/>
      </c>
      <c r="H50" s="185" t="str">
        <f>IFERROR(IF($C50="","",SUMIFS(Database!AJ:AJ,Database!$AD:$AD,$C50)),"")</f>
        <v/>
      </c>
      <c r="I50" s="187"/>
      <c r="J50" s="187"/>
      <c r="K50" s="187"/>
      <c r="L50" s="187"/>
      <c r="M50" s="187"/>
      <c r="N50" s="187"/>
      <c r="O50" s="187"/>
      <c r="P50" s="187"/>
      <c r="Q50" s="187"/>
      <c r="R50" s="187"/>
      <c r="S50" s="187"/>
      <c r="T50" s="187"/>
      <c r="U50" s="187"/>
      <c r="V50" s="187"/>
      <c r="W50" s="187"/>
      <c r="X50" s="187"/>
      <c r="Y50" s="187"/>
      <c r="Z50" s="187"/>
      <c r="AA50" s="187"/>
      <c r="AB50" s="187"/>
      <c r="AC50" s="187"/>
      <c r="AD50" s="187"/>
    </row>
    <row r="51" spans="1:30" x14ac:dyDescent="0.25">
      <c r="A51" s="187"/>
      <c r="B51" s="187"/>
      <c r="C51" s="145"/>
      <c r="D51" s="185" t="str">
        <f>IF($C51="","",INDEX(Lists!$C$5:$C$80,_xlfn.AGGREGATE(15,6,(ROW(#REF!)-ROW(#REF!)+1)/(Individuals!$E$4:$E$80=$E51),COUNTIF($C51:$C51,$C51))))</f>
        <v/>
      </c>
      <c r="E51" s="185"/>
      <c r="F51" s="185">
        <f>MAX(Individuals!$E$4:$E$80)</f>
        <v>4</v>
      </c>
      <c r="G51" s="185" t="str">
        <f>IFERROR(IF($C51="","",SUMIFS(Database!AI:AI,Database!$AD:$AD,$C51)),"")</f>
        <v/>
      </c>
      <c r="H51" s="185" t="str">
        <f>IFERROR(IF($C51="","",SUMIFS(Database!AJ:AJ,Database!$AD:$AD,$C51)),"")</f>
        <v/>
      </c>
      <c r="I51" s="187"/>
      <c r="J51" s="187"/>
      <c r="K51" s="187"/>
      <c r="L51" s="187"/>
      <c r="M51" s="187"/>
      <c r="N51" s="187"/>
      <c r="O51" s="187"/>
      <c r="P51" s="187"/>
      <c r="Q51" s="187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</row>
    <row r="52" spans="1:30" x14ac:dyDescent="0.25">
      <c r="A52" s="187"/>
      <c r="B52" s="187"/>
      <c r="C52" s="145"/>
      <c r="D52" s="185" t="str">
        <f>IF($C52="","",INDEX(Lists!$C$5:$C$80,_xlfn.AGGREGATE(15,6,(ROW(#REF!)-ROW(#REF!)+1)/(Individuals!$E$4:$E$80=$E52),COUNTIF($C52:$C52,$C52))))</f>
        <v/>
      </c>
      <c r="E52" s="185"/>
      <c r="F52" s="185">
        <f>MAX(Individuals!$E$4:$E$80)</f>
        <v>4</v>
      </c>
      <c r="G52" s="185" t="str">
        <f>IFERROR(IF($C52="","",SUMIFS(Database!AI:AI,Database!$AD:$AD,$C52)),"")</f>
        <v/>
      </c>
      <c r="H52" s="185" t="str">
        <f>IFERROR(IF($C52="","",SUMIFS(Database!AJ:AJ,Database!$AD:$AD,$C52)),"")</f>
        <v/>
      </c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</row>
    <row r="53" spans="1:30" x14ac:dyDescent="0.25">
      <c r="A53" s="187"/>
      <c r="B53" s="187"/>
      <c r="C53" s="145"/>
      <c r="D53" s="185" t="str">
        <f>IF($C53="","",INDEX(Lists!$C$5:$C$80,_xlfn.AGGREGATE(15,6,(ROW(#REF!)-ROW(#REF!)+1)/(Individuals!$E$4:$E$80=$E53),COUNTIF($C53:$C53,$C53))))</f>
        <v/>
      </c>
      <c r="E53" s="185"/>
      <c r="F53" s="185">
        <f>MAX(Individuals!$E$4:$E$80)</f>
        <v>4</v>
      </c>
      <c r="G53" s="185" t="str">
        <f>IFERROR(IF($C53="","",SUMIFS(Database!AI:AI,Database!$AD:$AD,$C53)),"")</f>
        <v/>
      </c>
      <c r="H53" s="185" t="str">
        <f>IFERROR(IF($C53="","",SUMIFS(Database!AJ:AJ,Database!$AD:$AD,$C53)),"")</f>
        <v/>
      </c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187"/>
      <c r="Z53" s="187"/>
      <c r="AA53" s="187"/>
      <c r="AB53" s="187"/>
      <c r="AC53" s="187"/>
      <c r="AD53" s="187"/>
    </row>
    <row r="54" spans="1:30" x14ac:dyDescent="0.25">
      <c r="A54" s="187"/>
      <c r="B54" s="187"/>
      <c r="C54" s="145"/>
      <c r="D54" s="185" t="str">
        <f>IF($C54="","",INDEX(Lists!$C$5:$C$80,_xlfn.AGGREGATE(15,6,(ROW(#REF!)-ROW(#REF!)+1)/(Individuals!$E$4:$E$80=$E54),COUNTIF($C54:$C54,$C54))))</f>
        <v/>
      </c>
      <c r="E54" s="185"/>
      <c r="F54" s="185">
        <f>MAX(Individuals!$E$4:$E$80)</f>
        <v>4</v>
      </c>
      <c r="G54" s="185" t="str">
        <f>IFERROR(IF($C54="","",SUMIFS(Database!AI:AI,Database!$AD:$AD,$C54)),"")</f>
        <v/>
      </c>
      <c r="H54" s="185" t="str">
        <f>IFERROR(IF($C54="","",SUMIFS(Database!AJ:AJ,Database!$AD:$AD,$C54)),"")</f>
        <v/>
      </c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87"/>
      <c r="X54" s="187"/>
      <c r="Y54" s="187"/>
      <c r="Z54" s="187"/>
      <c r="AA54" s="187"/>
      <c r="AB54" s="187"/>
      <c r="AC54" s="187"/>
      <c r="AD54" s="187"/>
    </row>
    <row r="55" spans="1:30" x14ac:dyDescent="0.25">
      <c r="A55" s="187"/>
      <c r="B55" s="187"/>
      <c r="C55" s="145"/>
      <c r="D55" s="185" t="str">
        <f>IF($C55="","",INDEX(Lists!$C$5:$C$80,_xlfn.AGGREGATE(15,6,(ROW(#REF!)-ROW(#REF!)+1)/(Individuals!$E$4:$E$80=$E55),COUNTIF($C55:$C55,$C55))))</f>
        <v/>
      </c>
      <c r="E55" s="185"/>
      <c r="F55" s="185">
        <f>MAX(Individuals!$E$4:$E$80)</f>
        <v>4</v>
      </c>
      <c r="G55" s="185" t="str">
        <f>IFERROR(IF($C55="","",SUMIFS(Database!AI:AI,Database!$AD:$AD,$C55)),"")</f>
        <v/>
      </c>
      <c r="H55" s="185" t="str">
        <f>IFERROR(IF($C55="","",SUMIFS(Database!AJ:AJ,Database!$AD:$AD,$C55)),"")</f>
        <v/>
      </c>
      <c r="I55" s="187"/>
      <c r="J55" s="187"/>
      <c r="K55" s="187"/>
      <c r="L55" s="187"/>
      <c r="M55" s="187"/>
      <c r="N55" s="187"/>
      <c r="O55" s="187"/>
      <c r="P55" s="187"/>
      <c r="Q55" s="187"/>
      <c r="R55" s="187"/>
      <c r="S55" s="187"/>
      <c r="T55" s="187"/>
      <c r="U55" s="187"/>
      <c r="V55" s="187"/>
      <c r="W55" s="187"/>
      <c r="X55" s="187"/>
      <c r="Y55" s="187"/>
      <c r="Z55" s="187"/>
      <c r="AA55" s="187"/>
      <c r="AB55" s="187"/>
      <c r="AC55" s="187"/>
      <c r="AD55" s="187"/>
    </row>
    <row r="56" spans="1:30" x14ac:dyDescent="0.25">
      <c r="A56" s="187"/>
      <c r="B56" s="187"/>
      <c r="C56" s="145"/>
      <c r="D56" s="185" t="str">
        <f>IF($C56="","",INDEX(Lists!$C$5:$C$80,_xlfn.AGGREGATE(15,6,(ROW(#REF!)-ROW(#REF!)+1)/(Individuals!$E$4:$E$80=$E56),COUNTIF($C56:$C56,$C56))))</f>
        <v/>
      </c>
      <c r="E56" s="185"/>
      <c r="F56" s="185">
        <f>MAX(Individuals!$E$4:$E$80)</f>
        <v>4</v>
      </c>
      <c r="G56" s="185" t="str">
        <f>IFERROR(IF($C56="","",SUMIFS(Database!AI:AI,Database!$AD:$AD,$C56)),"")</f>
        <v/>
      </c>
      <c r="H56" s="185" t="str">
        <f>IFERROR(IF($C56="","",SUMIFS(Database!AJ:AJ,Database!$AD:$AD,$C56)),"")</f>
        <v/>
      </c>
      <c r="I56" s="187"/>
      <c r="J56" s="187"/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  <c r="X56" s="187"/>
      <c r="Y56" s="187"/>
      <c r="Z56" s="187"/>
      <c r="AA56" s="187"/>
      <c r="AB56" s="187"/>
      <c r="AC56" s="187"/>
      <c r="AD56" s="187"/>
    </row>
    <row r="57" spans="1:30" x14ac:dyDescent="0.25">
      <c r="A57" s="187"/>
      <c r="B57" s="187"/>
      <c r="C57" s="145"/>
      <c r="D57" s="185" t="str">
        <f>IF($C57="","",INDEX(Lists!$C$5:$C$80,_xlfn.AGGREGATE(15,6,(ROW(#REF!)-ROW(#REF!)+1)/(Individuals!$E$4:$E$80=$E57),COUNTIF($C57:$C57,$C57))))</f>
        <v/>
      </c>
      <c r="E57" s="185"/>
      <c r="F57" s="185">
        <f>MAX(Individuals!$E$4:$E$80)</f>
        <v>4</v>
      </c>
      <c r="G57" s="185" t="str">
        <f>IFERROR(IF($C57="","",SUMIFS(Database!AI:AI,Database!$AD:$AD,$C57)),"")</f>
        <v/>
      </c>
      <c r="H57" s="185" t="str">
        <f>IFERROR(IF($C57="","",SUMIFS(Database!AJ:AJ,Database!$AD:$AD,$C57)),"")</f>
        <v/>
      </c>
      <c r="I57" s="187"/>
      <c r="J57" s="187"/>
      <c r="K57" s="187"/>
      <c r="L57" s="187"/>
      <c r="M57" s="187"/>
      <c r="N57" s="187"/>
      <c r="O57" s="187"/>
      <c r="P57" s="187"/>
      <c r="Q57" s="187"/>
      <c r="R57" s="187"/>
      <c r="S57" s="187"/>
      <c r="T57" s="187"/>
      <c r="U57" s="187"/>
      <c r="V57" s="187"/>
      <c r="W57" s="187"/>
      <c r="X57" s="187"/>
      <c r="Y57" s="187"/>
      <c r="Z57" s="187"/>
      <c r="AA57" s="187"/>
      <c r="AB57" s="187"/>
      <c r="AC57" s="187"/>
      <c r="AD57" s="187"/>
    </row>
    <row r="58" spans="1:30" x14ac:dyDescent="0.25">
      <c r="A58" s="187"/>
      <c r="B58" s="187"/>
      <c r="C58" s="145"/>
      <c r="D58" s="185" t="str">
        <f>IF($C58="","",INDEX(Lists!$C$5:$C$80,_xlfn.AGGREGATE(15,6,(ROW(#REF!)-ROW(#REF!)+1)/(Individuals!$E$4:$E$80=$E58),COUNTIF($C58:$C58,$C58))))</f>
        <v/>
      </c>
      <c r="E58" s="185"/>
      <c r="F58" s="185">
        <f>MAX(Individuals!$E$4:$E$80)</f>
        <v>4</v>
      </c>
      <c r="G58" s="185" t="str">
        <f>IFERROR(IF($C58="","",SUMIFS(Database!AI:AI,Database!$AD:$AD,$C58)),"")</f>
        <v/>
      </c>
      <c r="H58" s="185" t="str">
        <f>IFERROR(IF($C58="","",SUMIFS(Database!AJ:AJ,Database!$AD:$AD,$C58)),"")</f>
        <v/>
      </c>
      <c r="I58" s="187"/>
      <c r="J58" s="187"/>
      <c r="K58" s="187"/>
      <c r="L58" s="187"/>
      <c r="M58" s="187"/>
      <c r="N58" s="187"/>
      <c r="O58" s="187"/>
      <c r="P58" s="187"/>
      <c r="Q58" s="187"/>
      <c r="R58" s="187"/>
      <c r="S58" s="187"/>
      <c r="T58" s="187"/>
      <c r="U58" s="187"/>
      <c r="V58" s="187"/>
      <c r="W58" s="187"/>
      <c r="X58" s="187"/>
      <c r="Y58" s="187"/>
      <c r="Z58" s="187"/>
      <c r="AA58" s="187"/>
      <c r="AB58" s="187"/>
      <c r="AC58" s="187"/>
      <c r="AD58" s="187"/>
    </row>
    <row r="59" spans="1:30" x14ac:dyDescent="0.25">
      <c r="A59" s="187"/>
      <c r="B59" s="187"/>
      <c r="C59" s="145"/>
      <c r="D59" s="185" t="str">
        <f>IF($C59="","",INDEX(Lists!$C$5:$C$80,_xlfn.AGGREGATE(15,6,(ROW(#REF!)-ROW(#REF!)+1)/(Individuals!$E$4:$E$80=$E59),COUNTIF($C59:$C59,$C59))))</f>
        <v/>
      </c>
      <c r="E59" s="185"/>
      <c r="F59" s="185">
        <f>MAX(Individuals!$E$4:$E$80)</f>
        <v>4</v>
      </c>
      <c r="G59" s="185" t="str">
        <f>IFERROR(IF($C59="","",SUMIFS(Database!AI:AI,Database!$AD:$AD,$C59)),"")</f>
        <v/>
      </c>
      <c r="H59" s="185" t="str">
        <f>IFERROR(IF($C59="","",SUMIFS(Database!AJ:AJ,Database!$AD:$AD,$C59)),"")</f>
        <v/>
      </c>
      <c r="I59" s="187"/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  <c r="X59" s="187"/>
      <c r="Y59" s="187"/>
      <c r="Z59" s="187"/>
      <c r="AA59" s="187"/>
      <c r="AB59" s="187"/>
      <c r="AC59" s="187"/>
      <c r="AD59" s="187"/>
    </row>
    <row r="60" spans="1:30" x14ac:dyDescent="0.25">
      <c r="A60" s="187"/>
      <c r="B60" s="187"/>
      <c r="C60" s="145"/>
      <c r="D60" s="185" t="str">
        <f>IF($C60="","",INDEX(Lists!$C$5:$C$80,_xlfn.AGGREGATE(15,6,(ROW(#REF!)-ROW(#REF!)+1)/(Individuals!$E$4:$E$80=$E60),COUNTIF($C60:$C60,$C60))))</f>
        <v/>
      </c>
      <c r="E60" s="185"/>
      <c r="F60" s="185">
        <f>MAX(Individuals!$E$4:$E$80)</f>
        <v>4</v>
      </c>
      <c r="G60" s="185" t="str">
        <f>IFERROR(IF($C60="","",SUMIFS(Database!AI:AI,Database!$AD:$AD,$C60)),"")</f>
        <v/>
      </c>
      <c r="H60" s="185" t="str">
        <f>IFERROR(IF($C60="","",SUMIFS(Database!AJ:AJ,Database!$AD:$AD,$C60)),"")</f>
        <v/>
      </c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  <c r="X60" s="187"/>
      <c r="Y60" s="187"/>
      <c r="Z60" s="187"/>
      <c r="AA60" s="187"/>
      <c r="AB60" s="187"/>
      <c r="AC60" s="187"/>
      <c r="AD60" s="187"/>
    </row>
    <row r="61" spans="1:30" x14ac:dyDescent="0.25">
      <c r="A61" s="187"/>
      <c r="B61" s="187"/>
      <c r="C61" s="145"/>
      <c r="D61" s="185" t="str">
        <f>IF($C61="","",INDEX(Lists!$C$5:$C$80,_xlfn.AGGREGATE(15,6,(ROW(#REF!)-ROW(#REF!)+1)/(Individuals!$E$4:$E$80=$E61),COUNTIF($C61:$C61,$C61))))</f>
        <v/>
      </c>
      <c r="E61" s="185"/>
      <c r="F61" s="185">
        <f>MAX(Individuals!$E$4:$E$80)</f>
        <v>4</v>
      </c>
      <c r="G61" s="185" t="str">
        <f>IFERROR(IF($C61="","",SUMIFS(Database!AI:AI,Database!$AD:$AD,$C61)),"")</f>
        <v/>
      </c>
      <c r="H61" s="185" t="str">
        <f>IFERROR(IF($C61="","",SUMIFS(Database!AJ:AJ,Database!$AD:$AD,$C61)),"")</f>
        <v/>
      </c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  <c r="AB61" s="187"/>
      <c r="AC61" s="187"/>
      <c r="AD61" s="187"/>
    </row>
    <row r="62" spans="1:30" x14ac:dyDescent="0.25">
      <c r="A62" s="187"/>
      <c r="B62" s="187"/>
      <c r="C62" s="145"/>
      <c r="D62" s="185" t="str">
        <f>IF($C62="","",INDEX(Lists!$C$5:$C$80,_xlfn.AGGREGATE(15,6,(ROW(#REF!)-ROW(#REF!)+1)/(Individuals!$E$4:$E$80=$E62),COUNTIF($C62:$C62,$C62))))</f>
        <v/>
      </c>
      <c r="E62" s="185"/>
      <c r="F62" s="185">
        <f>MAX(Individuals!$E$4:$E$80)</f>
        <v>4</v>
      </c>
      <c r="G62" s="185" t="str">
        <f>IFERROR(IF($C62="","",SUMIFS(Database!AI:AI,Database!$AD:$AD,$C62)),"")</f>
        <v/>
      </c>
      <c r="H62" s="185" t="str">
        <f>IFERROR(IF($C62="","",SUMIFS(Database!AJ:AJ,Database!$AD:$AD,$C62)),"")</f>
        <v/>
      </c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187"/>
      <c r="T62" s="187"/>
      <c r="U62" s="187"/>
      <c r="V62" s="187"/>
      <c r="W62" s="187"/>
      <c r="X62" s="187"/>
      <c r="Y62" s="187"/>
      <c r="Z62" s="187"/>
      <c r="AA62" s="187"/>
      <c r="AB62" s="187"/>
      <c r="AC62" s="187"/>
      <c r="AD62" s="187"/>
    </row>
    <row r="63" spans="1:30" x14ac:dyDescent="0.25">
      <c r="A63" s="187"/>
      <c r="B63" s="187"/>
      <c r="C63" s="145"/>
      <c r="D63" s="185" t="str">
        <f>IF($C63="","",INDEX(Lists!$C$5:$C$80,_xlfn.AGGREGATE(15,6,(ROW(#REF!)-ROW(#REF!)+1)/(Individuals!$E$4:$E$80=$E63),COUNTIF($C63:$C63,$C63))))</f>
        <v/>
      </c>
      <c r="E63" s="185"/>
      <c r="F63" s="185">
        <f>MAX(Individuals!$E$4:$E$80)</f>
        <v>4</v>
      </c>
      <c r="G63" s="185" t="str">
        <f>IFERROR(IF($C63="","",SUMIFS(Database!AI:AI,Database!$AD:$AD,$C63)),"")</f>
        <v/>
      </c>
      <c r="H63" s="185" t="str">
        <f>IFERROR(IF($C63="","",SUMIFS(Database!AJ:AJ,Database!$AD:$AD,$C63)),"")</f>
        <v/>
      </c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  <c r="AB63" s="187"/>
      <c r="AC63" s="187"/>
      <c r="AD63" s="187"/>
    </row>
    <row r="64" spans="1:30" x14ac:dyDescent="0.25">
      <c r="A64" s="187"/>
      <c r="B64" s="187"/>
      <c r="C64" s="145"/>
      <c r="D64" s="185" t="str">
        <f>IF($C64="","",INDEX(Lists!$C$5:$C$80,_xlfn.AGGREGATE(15,6,(ROW(#REF!)-ROW(#REF!)+1)/(Individuals!$E$4:$E$80=$E64),COUNTIF($C64:$C64,$C64))))</f>
        <v/>
      </c>
      <c r="E64" s="185"/>
      <c r="F64" s="185">
        <f>MAX(Individuals!$E$4:$E$80)</f>
        <v>4</v>
      </c>
      <c r="G64" s="185" t="str">
        <f>IFERROR(IF($C64="","",SUMIFS(Database!AI:AI,Database!$AD:$AD,$C64)),"")</f>
        <v/>
      </c>
      <c r="H64" s="185" t="str">
        <f>IFERROR(IF($C64="","",SUMIFS(Database!AJ:AJ,Database!$AD:$AD,$C64)),"")</f>
        <v/>
      </c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</row>
    <row r="65" spans="1:30" x14ac:dyDescent="0.25">
      <c r="A65" s="187"/>
      <c r="B65" s="187"/>
      <c r="C65" s="145"/>
      <c r="D65" s="185" t="str">
        <f>IF($C65="","",INDEX(Lists!$C$5:$C$80,_xlfn.AGGREGATE(15,6,(ROW(#REF!)-ROW(#REF!)+1)/(Individuals!$E$4:$E$80=$E65),COUNTIF($C65:$C65,$C65))))</f>
        <v/>
      </c>
      <c r="E65" s="185"/>
      <c r="F65" s="185">
        <f>MAX(Individuals!$E$4:$E$80)</f>
        <v>4</v>
      </c>
      <c r="G65" s="185" t="str">
        <f>IFERROR(IF($C65="","",SUMIFS(Database!AI:AI,Database!$AD:$AD,$C65)),"")</f>
        <v/>
      </c>
      <c r="H65" s="185" t="str">
        <f>IFERROR(IF($C65="","",SUMIFS(Database!AJ:AJ,Database!$AD:$AD,$C65)),"")</f>
        <v/>
      </c>
      <c r="I65" s="187"/>
      <c r="J65" s="187"/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7"/>
      <c r="V65" s="187"/>
      <c r="W65" s="187"/>
      <c r="X65" s="187"/>
      <c r="Y65" s="187"/>
      <c r="Z65" s="187"/>
      <c r="AA65" s="187"/>
      <c r="AB65" s="187"/>
      <c r="AC65" s="187"/>
      <c r="AD65" s="187"/>
    </row>
    <row r="66" spans="1:30" x14ac:dyDescent="0.25">
      <c r="A66" s="187"/>
      <c r="B66" s="187"/>
      <c r="C66" s="145"/>
      <c r="D66" s="185" t="str">
        <f>IF($C66="","",INDEX(Lists!$C$5:$C$80,_xlfn.AGGREGATE(15,6,(ROW(#REF!)-ROW(#REF!)+1)/(Individuals!$E$4:$E$80=$E66),COUNTIF($C66:$C66,$C66))))</f>
        <v/>
      </c>
      <c r="E66" s="185"/>
      <c r="F66" s="185">
        <f>MAX(Individuals!$E$4:$E$80)</f>
        <v>4</v>
      </c>
      <c r="G66" s="185" t="str">
        <f>IFERROR(IF($C66="","",SUMIFS(Database!AI:AI,Database!$AD:$AD,$C66)),"")</f>
        <v/>
      </c>
      <c r="H66" s="185" t="str">
        <f>IFERROR(IF($C66="","",SUMIFS(Database!AJ:AJ,Database!$AD:$AD,$C66)),"")</f>
        <v/>
      </c>
      <c r="I66" s="187"/>
      <c r="J66" s="187"/>
      <c r="K66" s="187"/>
      <c r="L66" s="187"/>
      <c r="M66" s="187"/>
      <c r="N66" s="187"/>
      <c r="O66" s="187"/>
      <c r="P66" s="187"/>
      <c r="Q66" s="187"/>
      <c r="R66" s="187"/>
      <c r="S66" s="187"/>
      <c r="T66" s="187"/>
      <c r="U66" s="187"/>
      <c r="V66" s="187"/>
      <c r="W66" s="187"/>
      <c r="X66" s="187"/>
      <c r="Y66" s="187"/>
      <c r="Z66" s="187"/>
      <c r="AA66" s="187"/>
      <c r="AB66" s="187"/>
      <c r="AC66" s="187"/>
      <c r="AD66" s="187"/>
    </row>
    <row r="67" spans="1:30" x14ac:dyDescent="0.25">
      <c r="A67" s="187"/>
      <c r="B67" s="187"/>
      <c r="C67" s="145"/>
      <c r="D67" s="185" t="str">
        <f>IF($C67="","",INDEX(Lists!$C$5:$C$80,_xlfn.AGGREGATE(15,6,(ROW(#REF!)-ROW(#REF!)+1)/(Individuals!$E$4:$E$80=$E67),COUNTIF($C67:$C67,$C67))))</f>
        <v/>
      </c>
      <c r="E67" s="185"/>
      <c r="F67" s="185">
        <f>MAX(Individuals!$E$4:$E$80)</f>
        <v>4</v>
      </c>
      <c r="G67" s="185" t="str">
        <f>IFERROR(IF($C67="","",SUMIFS(Database!AI:AI,Database!$AD:$AD,$C67)),"")</f>
        <v/>
      </c>
      <c r="H67" s="185" t="str">
        <f>IFERROR(IF($C67="","",SUMIFS(Database!AJ:AJ,Database!$AD:$AD,$C67)),"")</f>
        <v/>
      </c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187"/>
      <c r="AA67" s="187"/>
      <c r="AB67" s="187"/>
      <c r="AC67" s="187"/>
      <c r="AD67" s="187"/>
    </row>
    <row r="68" spans="1:30" x14ac:dyDescent="0.25">
      <c r="A68" s="187"/>
      <c r="B68" s="187"/>
      <c r="C68" s="145"/>
      <c r="D68" s="185" t="str">
        <f>IF($C68="","",INDEX(Lists!$C$5:$C$80,_xlfn.AGGREGATE(15,6,(ROW(#REF!)-ROW(#REF!)+1)/(Individuals!$E$4:$E$80=$E68),COUNTIF($C68:$C68,$C68))))</f>
        <v/>
      </c>
      <c r="E68" s="185"/>
      <c r="F68" s="185">
        <f>MAX(Individuals!$E$4:$E$80)</f>
        <v>4</v>
      </c>
      <c r="G68" s="185" t="str">
        <f>IFERROR(IF($C68="","",SUMIFS(Database!AI:AI,Database!$AD:$AD,$C68)),"")</f>
        <v/>
      </c>
      <c r="H68" s="185" t="str">
        <f>IFERROR(IF($C68="","",SUMIFS(Database!AJ:AJ,Database!$AD:$AD,$C68)),"")</f>
        <v/>
      </c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187"/>
      <c r="AA68" s="187"/>
      <c r="AB68" s="187"/>
      <c r="AC68" s="187"/>
      <c r="AD68" s="187"/>
    </row>
    <row r="69" spans="1:30" x14ac:dyDescent="0.25">
      <c r="A69" s="187"/>
      <c r="B69" s="187"/>
      <c r="C69" s="145"/>
      <c r="D69" s="185" t="str">
        <f>IF($C69="","",INDEX(Lists!$C$5:$C$80,_xlfn.AGGREGATE(15,6,(ROW(#REF!)-ROW(#REF!)+1)/(Individuals!$E$4:$E$80=$E69),COUNTIF($C69:$C69,$C69))))</f>
        <v/>
      </c>
      <c r="E69" s="185"/>
      <c r="F69" s="185">
        <f>MAX(Individuals!$E$4:$E$80)</f>
        <v>4</v>
      </c>
      <c r="G69" s="185" t="str">
        <f>IFERROR(IF($C69="","",SUMIFS(Database!AI:AI,Database!$AD:$AD,$C69)),"")</f>
        <v/>
      </c>
      <c r="H69" s="185" t="str">
        <f>IFERROR(IF($C69="","",SUMIFS(Database!AJ:AJ,Database!$AD:$AD,$C69)),"")</f>
        <v/>
      </c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187"/>
      <c r="AA69" s="187"/>
      <c r="AB69" s="187"/>
      <c r="AC69" s="187"/>
      <c r="AD69" s="187"/>
    </row>
    <row r="70" spans="1:30" x14ac:dyDescent="0.25">
      <c r="A70" s="187"/>
      <c r="B70" s="187"/>
      <c r="C70" s="145"/>
      <c r="D70" s="185" t="str">
        <f>IF($C70="","",INDEX(Lists!$C$5:$C$80,_xlfn.AGGREGATE(15,6,(ROW(#REF!)-ROW(#REF!)+1)/(Individuals!$E$4:$E$80=$E70),COUNTIF($C70:$C70,$C70))))</f>
        <v/>
      </c>
      <c r="E70" s="185"/>
      <c r="F70" s="185">
        <f>MAX(Individuals!$E$4:$E$80)</f>
        <v>4</v>
      </c>
      <c r="G70" s="185" t="str">
        <f>IFERROR(IF($C70="","",SUMIFS(Database!AI:AI,Database!$AD:$AD,$C70)),"")</f>
        <v/>
      </c>
      <c r="H70" s="185" t="str">
        <f>IFERROR(IF($C70="","",SUMIFS(Database!AJ:AJ,Database!$AD:$AD,$C70)),"")</f>
        <v/>
      </c>
      <c r="I70" s="187"/>
      <c r="J70" s="187"/>
      <c r="K70" s="187"/>
      <c r="L70" s="187"/>
      <c r="M70" s="187"/>
      <c r="N70" s="187"/>
      <c r="O70" s="187"/>
      <c r="P70" s="187"/>
      <c r="Q70" s="187"/>
      <c r="R70" s="187"/>
      <c r="S70" s="187"/>
      <c r="T70" s="187"/>
      <c r="U70" s="187"/>
      <c r="V70" s="187"/>
      <c r="W70" s="187"/>
      <c r="X70" s="187"/>
      <c r="Y70" s="187"/>
      <c r="Z70" s="187"/>
      <c r="AA70" s="187"/>
      <c r="AB70" s="187"/>
      <c r="AC70" s="187"/>
      <c r="AD70" s="187"/>
    </row>
    <row r="71" spans="1:30" x14ac:dyDescent="0.25">
      <c r="A71" s="187"/>
      <c r="B71" s="187"/>
      <c r="C71" s="145"/>
      <c r="D71" s="185" t="str">
        <f>IF($C71="","",INDEX(Lists!$C$5:$C$80,_xlfn.AGGREGATE(15,6,(ROW(#REF!)-ROW(#REF!)+1)/(Individuals!$E$4:$E$80=$E71),COUNTIF($C71:$C71,$C71))))</f>
        <v/>
      </c>
      <c r="E71" s="185"/>
      <c r="F71" s="185">
        <f>MAX(Individuals!$E$4:$E$80)</f>
        <v>4</v>
      </c>
      <c r="G71" s="185" t="str">
        <f>IFERROR(IF($C71="","",SUMIFS(Database!AI:AI,Database!$AD:$AD,$C71)),"")</f>
        <v/>
      </c>
      <c r="H71" s="185" t="str">
        <f>IFERROR(IF($C71="","",SUMIFS(Database!AJ:AJ,Database!$AD:$AD,$C71)),"")</f>
        <v/>
      </c>
      <c r="I71" s="187"/>
      <c r="J71" s="187"/>
      <c r="K71" s="187"/>
      <c r="L71" s="187"/>
      <c r="M71" s="187"/>
      <c r="N71" s="187"/>
      <c r="O71" s="187"/>
      <c r="P71" s="187"/>
      <c r="Q71" s="187"/>
      <c r="R71" s="187"/>
      <c r="S71" s="187"/>
      <c r="T71" s="187"/>
      <c r="U71" s="187"/>
      <c r="V71" s="187"/>
      <c r="W71" s="187"/>
      <c r="X71" s="187"/>
      <c r="Y71" s="187"/>
      <c r="Z71" s="187"/>
      <c r="AA71" s="187"/>
      <c r="AB71" s="187"/>
      <c r="AC71" s="187"/>
      <c r="AD71" s="187"/>
    </row>
    <row r="72" spans="1:30" x14ac:dyDescent="0.25">
      <c r="A72" s="187"/>
      <c r="B72" s="187"/>
      <c r="C72" s="145"/>
      <c r="D72" s="185" t="str">
        <f>IF($C72="","",INDEX(Lists!$C$5:$C$80,_xlfn.AGGREGATE(15,6,(ROW(#REF!)-ROW(#REF!)+1)/(Individuals!$E$4:$E$80=$E72),COUNTIF($C72:$C72,$C72))))</f>
        <v/>
      </c>
      <c r="E72" s="185"/>
      <c r="F72" s="185">
        <f>MAX(Individuals!$E$4:$E$80)</f>
        <v>4</v>
      </c>
      <c r="G72" s="185" t="str">
        <f>IFERROR(IF($C72="","",SUMIFS(Database!AI:AI,Database!$AD:$AD,$C72)),"")</f>
        <v/>
      </c>
      <c r="H72" s="185" t="str">
        <f>IFERROR(IF($C72="","",SUMIFS(Database!AJ:AJ,Database!$AD:$AD,$C72)),"")</f>
        <v/>
      </c>
      <c r="I72" s="187"/>
      <c r="J72" s="187"/>
      <c r="K72" s="187"/>
      <c r="L72" s="187"/>
      <c r="M72" s="187"/>
      <c r="N72" s="187"/>
      <c r="O72" s="187"/>
      <c r="P72" s="187"/>
      <c r="Q72" s="187"/>
      <c r="R72" s="187"/>
      <c r="S72" s="187"/>
      <c r="T72" s="187"/>
      <c r="U72" s="187"/>
      <c r="V72" s="187"/>
      <c r="W72" s="187"/>
      <c r="X72" s="187"/>
      <c r="Y72" s="187"/>
      <c r="Z72" s="187"/>
      <c r="AA72" s="187"/>
      <c r="AB72" s="187"/>
      <c r="AC72" s="187"/>
      <c r="AD72" s="187"/>
    </row>
    <row r="73" spans="1:30" x14ac:dyDescent="0.25">
      <c r="A73" s="187"/>
      <c r="B73" s="187"/>
      <c r="C73" s="145"/>
      <c r="D73" s="185" t="str">
        <f>IF($C73="","",INDEX(Lists!$C$5:$C$80,_xlfn.AGGREGATE(15,6,(ROW(#REF!)-ROW(#REF!)+1)/(Individuals!$E$4:$E$80=$E73),COUNTIF($C73:$C73,$C73))))</f>
        <v/>
      </c>
      <c r="E73" s="185"/>
      <c r="F73" s="185">
        <f>MAX(Individuals!$E$4:$E$80)</f>
        <v>4</v>
      </c>
      <c r="G73" s="185" t="str">
        <f>IFERROR(IF($C73="","",SUMIFS(Database!AI:AI,Database!$AD:$AD,$C73)),"")</f>
        <v/>
      </c>
      <c r="H73" s="185" t="str">
        <f>IFERROR(IF($C73="","",SUMIFS(Database!AJ:AJ,Database!$AD:$AD,$C73)),"")</f>
        <v/>
      </c>
      <c r="I73" s="187"/>
      <c r="J73" s="187"/>
      <c r="K73" s="187"/>
      <c r="L73" s="187"/>
      <c r="M73" s="187"/>
      <c r="N73" s="187"/>
      <c r="O73" s="187"/>
      <c r="P73" s="187"/>
      <c r="Q73" s="187"/>
      <c r="R73" s="187"/>
      <c r="S73" s="187"/>
      <c r="T73" s="187"/>
      <c r="U73" s="187"/>
      <c r="V73" s="187"/>
      <c r="W73" s="187"/>
      <c r="X73" s="187"/>
      <c r="Y73" s="187"/>
      <c r="Z73" s="187"/>
      <c r="AA73" s="187"/>
      <c r="AB73" s="187"/>
      <c r="AC73" s="187"/>
      <c r="AD73" s="187"/>
    </row>
    <row r="74" spans="1:30" x14ac:dyDescent="0.25">
      <c r="A74" s="187"/>
      <c r="B74" s="187"/>
      <c r="C74" s="145"/>
      <c r="D74" s="185" t="str">
        <f>IF($C74="","",INDEX(Lists!$C$5:$C$80,_xlfn.AGGREGATE(15,6,(ROW(#REF!)-ROW(#REF!)+1)/(Individuals!$E$4:$E$80=$E74),COUNTIF($C74:$C74,$C74))))</f>
        <v/>
      </c>
      <c r="E74" s="185"/>
      <c r="F74" s="185">
        <f>MAX(Individuals!$E$4:$E$80)</f>
        <v>4</v>
      </c>
      <c r="G74" s="185" t="str">
        <f>IFERROR(IF($C74="","",SUMIFS(Database!AI:AI,Database!$AD:$AD,$C74)),"")</f>
        <v/>
      </c>
      <c r="H74" s="185" t="str">
        <f>IFERROR(IF($C74="","",SUMIFS(Database!AJ:AJ,Database!$AD:$AD,$C74)),"")</f>
        <v/>
      </c>
      <c r="I74" s="187"/>
      <c r="J74" s="187"/>
      <c r="K74" s="187"/>
      <c r="L74" s="187"/>
      <c r="M74" s="187"/>
      <c r="N74" s="187"/>
      <c r="O74" s="187"/>
      <c r="P74" s="187"/>
      <c r="Q74" s="187"/>
      <c r="R74" s="187"/>
      <c r="S74" s="187"/>
      <c r="T74" s="187"/>
      <c r="U74" s="187"/>
      <c r="V74" s="187"/>
      <c r="W74" s="187"/>
      <c r="X74" s="187"/>
      <c r="Y74" s="187"/>
      <c r="Z74" s="187"/>
      <c r="AA74" s="187"/>
      <c r="AB74" s="187"/>
      <c r="AC74" s="187"/>
      <c r="AD74" s="187"/>
    </row>
    <row r="75" spans="1:30" x14ac:dyDescent="0.25">
      <c r="A75" s="187"/>
      <c r="B75" s="187"/>
      <c r="C75" s="145"/>
      <c r="D75" s="185" t="str">
        <f>IF($C75="","",INDEX(Lists!$C$5:$C$80,_xlfn.AGGREGATE(15,6,(ROW(#REF!)-ROW(#REF!)+1)/(Individuals!$E$4:$E$80=$E75),COUNTIF($C75:$C75,$C75))))</f>
        <v/>
      </c>
      <c r="E75" s="185"/>
      <c r="F75" s="185">
        <f>MAX(Individuals!$E$4:$E$80)</f>
        <v>4</v>
      </c>
      <c r="G75" s="185" t="str">
        <f>IFERROR(IF($C75="","",SUMIFS(Database!AI:AI,Database!$AD:$AD,$C75)),"")</f>
        <v/>
      </c>
      <c r="H75" s="185" t="str">
        <f>IFERROR(IF($C75="","",SUMIFS(Database!AJ:AJ,Database!$AD:$AD,$C75)),"")</f>
        <v/>
      </c>
      <c r="I75" s="187"/>
      <c r="J75" s="187"/>
      <c r="K75" s="187"/>
      <c r="L75" s="187"/>
      <c r="M75" s="187"/>
      <c r="N75" s="187"/>
      <c r="O75" s="187"/>
      <c r="P75" s="187"/>
      <c r="Q75" s="187"/>
      <c r="R75" s="187"/>
      <c r="S75" s="187"/>
      <c r="T75" s="187"/>
      <c r="U75" s="187"/>
      <c r="V75" s="187"/>
      <c r="W75" s="187"/>
      <c r="X75" s="187"/>
      <c r="Y75" s="187"/>
      <c r="Z75" s="187"/>
      <c r="AA75" s="187"/>
      <c r="AB75" s="187"/>
      <c r="AC75" s="187"/>
      <c r="AD75" s="187"/>
    </row>
    <row r="76" spans="1:30" x14ac:dyDescent="0.25">
      <c r="A76" s="187"/>
      <c r="B76" s="187"/>
      <c r="C76" s="145"/>
      <c r="D76" s="185" t="str">
        <f>IF($C76="","",INDEX(Lists!$C$5:$C$80,_xlfn.AGGREGATE(15,6,(ROW(#REF!)-ROW(#REF!)+1)/(Individuals!$E$4:$E$80=$E76),COUNTIF($C76:$C76,$C76))))</f>
        <v/>
      </c>
      <c r="E76" s="185"/>
      <c r="F76" s="185">
        <f>MAX(Individuals!$E$4:$E$80)</f>
        <v>4</v>
      </c>
      <c r="G76" s="185" t="str">
        <f>IFERROR(IF($C76="","",SUMIFS(Database!AI:AI,Database!$AD:$AD,$C76)),"")</f>
        <v/>
      </c>
      <c r="H76" s="185" t="str">
        <f>IFERROR(IF($C76="","",SUMIFS(Database!AJ:AJ,Database!$AD:$AD,$C76)),"")</f>
        <v/>
      </c>
      <c r="I76" s="187"/>
      <c r="J76" s="187"/>
      <c r="K76" s="187"/>
      <c r="L76" s="187"/>
      <c r="M76" s="187"/>
      <c r="N76" s="187"/>
      <c r="O76" s="187"/>
      <c r="P76" s="187"/>
      <c r="Q76" s="187"/>
      <c r="R76" s="187"/>
      <c r="S76" s="187"/>
      <c r="T76" s="187"/>
      <c r="U76" s="187"/>
      <c r="V76" s="187"/>
      <c r="W76" s="187"/>
      <c r="X76" s="187"/>
      <c r="Y76" s="187"/>
      <c r="Z76" s="187"/>
      <c r="AA76" s="187"/>
      <c r="AB76" s="187"/>
      <c r="AC76" s="187"/>
      <c r="AD76" s="187"/>
    </row>
    <row r="77" spans="1:30" x14ac:dyDescent="0.25">
      <c r="A77" s="187"/>
      <c r="B77" s="187"/>
      <c r="C77" s="145"/>
      <c r="D77" s="185" t="str">
        <f>IF($C77="","",INDEX(Lists!$C$5:$C$80,_xlfn.AGGREGATE(15,6,(ROW(#REF!)-ROW(#REF!)+1)/(Individuals!$E$4:$E$80=$E77),COUNTIF($C77:$C77,$C77))))</f>
        <v/>
      </c>
      <c r="E77" s="185"/>
      <c r="F77" s="185">
        <f>MAX(Individuals!$E$4:$E$80)</f>
        <v>4</v>
      </c>
      <c r="G77" s="185" t="str">
        <f>IFERROR(IF($C77="","",SUMIFS(Database!AI:AI,Database!$AD:$AD,$C77)),"")</f>
        <v/>
      </c>
      <c r="H77" s="185" t="str">
        <f>IFERROR(IF($C77="","",SUMIFS(Database!AJ:AJ,Database!$AD:$AD,$C77)),"")</f>
        <v/>
      </c>
      <c r="I77" s="187"/>
      <c r="J77" s="187"/>
      <c r="K77" s="187"/>
      <c r="L77" s="187"/>
      <c r="M77" s="187"/>
      <c r="N77" s="187"/>
      <c r="O77" s="187"/>
      <c r="P77" s="187"/>
      <c r="Q77" s="187"/>
      <c r="R77" s="187"/>
      <c r="S77" s="187"/>
      <c r="T77" s="187"/>
      <c r="U77" s="187"/>
      <c r="V77" s="187"/>
      <c r="W77" s="187"/>
      <c r="X77" s="187"/>
      <c r="Y77" s="187"/>
      <c r="Z77" s="187"/>
      <c r="AA77" s="187"/>
      <c r="AB77" s="187"/>
      <c r="AC77" s="187"/>
      <c r="AD77" s="187"/>
    </row>
    <row r="78" spans="1:30" x14ac:dyDescent="0.25">
      <c r="A78" s="187"/>
      <c r="B78" s="187"/>
      <c r="C78" s="145"/>
      <c r="D78" s="185" t="str">
        <f>IF($C78="","",INDEX(Lists!$C$5:$C$80,_xlfn.AGGREGATE(15,6,(ROW(#REF!)-ROW(#REF!)+1)/(Individuals!$E$4:$E$80=$E78),COUNTIF($C78:$C78,$C78))))</f>
        <v/>
      </c>
      <c r="E78" s="185"/>
      <c r="F78" s="185">
        <f>MAX(Individuals!$E$4:$E$80)</f>
        <v>4</v>
      </c>
      <c r="G78" s="185" t="str">
        <f>IFERROR(IF($C78="","",SUMIFS(Database!AI:AI,Database!$AD:$AD,$C78)),"")</f>
        <v/>
      </c>
      <c r="H78" s="185" t="str">
        <f>IFERROR(IF($C78="","",SUMIFS(Database!AJ:AJ,Database!$AD:$AD,$C78)),"")</f>
        <v/>
      </c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187"/>
      <c r="Z78" s="187"/>
      <c r="AA78" s="187"/>
      <c r="AB78" s="187"/>
      <c r="AC78" s="187"/>
      <c r="AD78" s="187"/>
    </row>
    <row r="79" spans="1:30" x14ac:dyDescent="0.25">
      <c r="A79" s="187"/>
      <c r="B79" s="187"/>
      <c r="C79" s="145"/>
      <c r="D79" s="185" t="str">
        <f>IF($C79="","",INDEX(Lists!$C$5:$C$80,_xlfn.AGGREGATE(15,6,(ROW(#REF!)-ROW(#REF!)+1)/(Individuals!$E$4:$E$80=$E79),COUNTIF($C79:$C79,$C79))))</f>
        <v/>
      </c>
      <c r="E79" s="185"/>
      <c r="F79" s="185">
        <f>MAX(Individuals!$E$4:$E$80)</f>
        <v>4</v>
      </c>
      <c r="G79" s="185" t="str">
        <f>IFERROR(IF($C79="","",SUMIFS(Database!AI:AI,Database!$AD:$AD,$C79)),"")</f>
        <v/>
      </c>
      <c r="H79" s="185" t="str">
        <f>IFERROR(IF($C79="","",SUMIFS(Database!AJ:AJ,Database!$AD:$AD,$C79)),"")</f>
        <v/>
      </c>
      <c r="I79" s="187"/>
      <c r="J79" s="187"/>
      <c r="K79" s="187"/>
      <c r="L79" s="187"/>
      <c r="M79" s="187"/>
      <c r="N79" s="187"/>
      <c r="O79" s="187"/>
      <c r="P79" s="187"/>
      <c r="Q79" s="187"/>
      <c r="R79" s="187"/>
      <c r="S79" s="187"/>
      <c r="T79" s="187"/>
      <c r="U79" s="187"/>
      <c r="V79" s="187"/>
      <c r="W79" s="187"/>
      <c r="X79" s="187"/>
      <c r="Y79" s="187"/>
      <c r="Z79" s="187"/>
      <c r="AA79" s="187"/>
      <c r="AB79" s="187"/>
      <c r="AC79" s="187"/>
      <c r="AD79" s="187"/>
    </row>
    <row r="80" spans="1:30" x14ac:dyDescent="0.25">
      <c r="A80" s="187"/>
      <c r="B80" s="187"/>
      <c r="C80" s="187"/>
      <c r="D80" s="189"/>
      <c r="E80" s="189"/>
      <c r="F80" s="189"/>
      <c r="G80" s="189"/>
      <c r="H80" s="189"/>
      <c r="I80" s="187"/>
      <c r="J80" s="187"/>
      <c r="K80" s="187"/>
      <c r="L80" s="187"/>
      <c r="M80" s="187"/>
      <c r="N80" s="187"/>
      <c r="O80" s="187"/>
      <c r="P80" s="187"/>
      <c r="Q80" s="187"/>
      <c r="R80" s="187"/>
      <c r="S80" s="187"/>
      <c r="T80" s="187"/>
      <c r="U80" s="187"/>
      <c r="V80" s="187"/>
      <c r="W80" s="187"/>
      <c r="X80" s="187"/>
      <c r="Y80" s="187"/>
      <c r="Z80" s="187"/>
      <c r="AA80" s="187"/>
      <c r="AB80" s="187"/>
      <c r="AC80" s="187"/>
      <c r="AD80" s="187"/>
    </row>
    <row r="81" spans="1:30" x14ac:dyDescent="0.25">
      <c r="A81" s="187"/>
      <c r="B81" s="187"/>
      <c r="C81" s="187"/>
      <c r="D81" s="189"/>
      <c r="E81" s="189"/>
      <c r="F81" s="189"/>
      <c r="G81" s="189"/>
      <c r="H81" s="189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187"/>
      <c r="U81" s="187"/>
      <c r="V81" s="187"/>
      <c r="W81" s="187"/>
      <c r="X81" s="187"/>
      <c r="Y81" s="187"/>
      <c r="Z81" s="187"/>
      <c r="AA81" s="187"/>
      <c r="AB81" s="187"/>
      <c r="AC81" s="187"/>
      <c r="AD81" s="187"/>
    </row>
  </sheetData>
  <sheetProtection selectLockedCells="1"/>
  <pageMargins left="0.7" right="0.7" top="0.75" bottom="0.75" header="0.3" footer="0.3"/>
  <pageSetup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rgb="FF00B0F0"/>
  </sheetPr>
  <dimension ref="A1:AF48"/>
  <sheetViews>
    <sheetView showGridLines="0" showRowColHeaders="0" workbookViewId="0">
      <pane xSplit="3" ySplit="3" topLeftCell="D4" activePane="bottomRight" state="frozen"/>
      <selection activeCell="D4" sqref="D4"/>
      <selection pane="topRight" activeCell="D4" sqref="D4"/>
      <selection pane="bottomLeft" activeCell="D4" sqref="D4"/>
      <selection pane="bottomRight"/>
    </sheetView>
  </sheetViews>
  <sheetFormatPr defaultColWidth="8.85546875" defaultRowHeight="15" x14ac:dyDescent="0.25"/>
  <cols>
    <col min="1" max="2" width="2.85546875" customWidth="1"/>
    <col min="3" max="3" width="20" style="142" bestFit="1" customWidth="1"/>
    <col min="4" max="4" width="7.85546875" style="1" customWidth="1"/>
    <col min="5" max="14" width="18.42578125" style="1" customWidth="1"/>
    <col min="15" max="15" width="18.42578125" style="105" customWidth="1"/>
    <col min="16" max="16" width="18.42578125" style="1" customWidth="1"/>
    <col min="17" max="18" width="18.42578125" style="105" customWidth="1"/>
    <col min="19" max="20" width="18.42578125" style="1" customWidth="1"/>
    <col min="21" max="21" width="18.42578125" style="105" customWidth="1"/>
  </cols>
  <sheetData>
    <row r="1" spans="1:32" ht="60" customHeight="1" x14ac:dyDescent="0.4">
      <c r="A1" s="187"/>
      <c r="B1" s="187"/>
      <c r="C1" s="238" t="str">
        <f>Lists!$E$5</f>
        <v>Season 2</v>
      </c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  <c r="P1" s="189"/>
      <c r="Q1" s="190"/>
      <c r="R1" s="190"/>
      <c r="S1" s="189"/>
      <c r="T1" s="189"/>
      <c r="U1" s="190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</row>
    <row r="2" spans="1:32" x14ac:dyDescent="0.25">
      <c r="A2" s="187"/>
      <c r="B2" s="187"/>
      <c r="C2" s="23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90"/>
      <c r="P2" s="189"/>
      <c r="Q2" s="190"/>
      <c r="R2" s="190"/>
      <c r="S2" s="189"/>
      <c r="T2" s="189"/>
      <c r="U2" s="190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</row>
    <row r="3" spans="1:32" s="178" customFormat="1" ht="32.25" thickBot="1" x14ac:dyDescent="0.3">
      <c r="A3" s="188"/>
      <c r="B3" s="188"/>
      <c r="C3" s="240" t="s">
        <v>70</v>
      </c>
      <c r="D3" s="180" t="s">
        <v>71</v>
      </c>
      <c r="E3" s="180" t="s">
        <v>72</v>
      </c>
      <c r="F3" s="180" t="s">
        <v>73</v>
      </c>
      <c r="G3" s="180" t="s">
        <v>74</v>
      </c>
      <c r="H3" s="180" t="s">
        <v>75</v>
      </c>
      <c r="I3" s="180" t="s">
        <v>76</v>
      </c>
      <c r="J3" s="180" t="s">
        <v>77</v>
      </c>
      <c r="K3" s="180" t="s">
        <v>78</v>
      </c>
      <c r="L3" s="180" t="s">
        <v>79</v>
      </c>
      <c r="M3" s="180" t="s">
        <v>80</v>
      </c>
      <c r="N3" s="180" t="s">
        <v>124</v>
      </c>
      <c r="O3" s="181" t="s">
        <v>82</v>
      </c>
      <c r="P3" s="180" t="s">
        <v>125</v>
      </c>
      <c r="Q3" s="181" t="s">
        <v>126</v>
      </c>
      <c r="R3" s="181" t="s">
        <v>85</v>
      </c>
      <c r="S3" s="180" t="s">
        <v>127</v>
      </c>
      <c r="T3" s="180" t="s">
        <v>128</v>
      </c>
      <c r="U3" s="182" t="s">
        <v>88</v>
      </c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</row>
    <row r="4" spans="1:32" x14ac:dyDescent="0.25">
      <c r="A4" s="187"/>
      <c r="B4" s="187"/>
      <c r="C4" s="241" t="s">
        <v>138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6"/>
      <c r="P4" s="185"/>
      <c r="Q4" s="186"/>
      <c r="R4" s="186"/>
      <c r="S4" s="185"/>
      <c r="T4" s="185"/>
      <c r="U4" s="186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</row>
    <row r="5" spans="1:32" x14ac:dyDescent="0.25">
      <c r="A5" s="187"/>
      <c r="B5" s="187"/>
      <c r="C5" s="242" t="s">
        <v>141</v>
      </c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6"/>
      <c r="P5" s="185"/>
      <c r="Q5" s="186"/>
      <c r="R5" s="186"/>
      <c r="S5" s="185"/>
      <c r="T5" s="185"/>
      <c r="U5" s="186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</row>
    <row r="6" spans="1:32" x14ac:dyDescent="0.25">
      <c r="A6" s="187"/>
      <c r="B6" s="187"/>
      <c r="C6" s="243" t="s">
        <v>131</v>
      </c>
      <c r="D6" s="185" t="s">
        <v>120</v>
      </c>
      <c r="E6" s="185">
        <f>MAX(Database!H:H)</f>
        <v>49</v>
      </c>
      <c r="F6" s="185">
        <f>MAX(Database!I:I)</f>
        <v>28</v>
      </c>
      <c r="G6" s="185">
        <f>MAX(Database!J:J)</f>
        <v>11</v>
      </c>
      <c r="H6" s="185">
        <f>MAX(Database!K:K)</f>
        <v>9</v>
      </c>
      <c r="I6" s="185">
        <f>MAX(Database!L:L)</f>
        <v>5</v>
      </c>
      <c r="J6" s="217">
        <f>MAX(Database!M:M)</f>
        <v>9</v>
      </c>
      <c r="K6" s="217">
        <f>MAX(Database!N:N)</f>
        <v>11</v>
      </c>
      <c r="L6" s="217">
        <f>MAX(Database!O:O)</f>
        <v>20</v>
      </c>
      <c r="M6" s="217">
        <f>MAX(Database!P:P)</f>
        <v>11</v>
      </c>
      <c r="N6" s="217">
        <f>MAX(Database!Q:Q)</f>
        <v>18</v>
      </c>
      <c r="O6" s="218">
        <f t="array" ref="O6">MAX(IF(Database!Q:Q&gt;=5,Database!R:R,"Minimum of 5"))</f>
        <v>0.8</v>
      </c>
      <c r="P6" s="217">
        <f>MAX(Database!S:S)</f>
        <v>19</v>
      </c>
      <c r="Q6" s="217">
        <f>MAX(Database!T:T)</f>
        <v>42</v>
      </c>
      <c r="R6" s="218">
        <f t="array" ref="R6">MAX(IF(Database!T:T&gt;=10,Database!U:U,"Minimum of 10"))</f>
        <v>0.7</v>
      </c>
      <c r="S6" s="217">
        <f>MAX(Database!V:V)</f>
        <v>7</v>
      </c>
      <c r="T6" s="217">
        <f>MAX(Database!W:W)</f>
        <v>12</v>
      </c>
      <c r="U6" s="218">
        <f t="array" ref="U6">MAX(IF(Database!W:W&gt;=8,Database!X:X,"Minimum of 8"))</f>
        <v>0.75</v>
      </c>
      <c r="V6" s="187"/>
      <c r="W6" s="187"/>
      <c r="X6" s="187"/>
      <c r="Y6" s="187"/>
      <c r="Z6" s="187"/>
      <c r="AA6" s="187"/>
      <c r="AB6" s="187"/>
      <c r="AC6" s="187"/>
      <c r="AD6" s="187"/>
      <c r="AE6" s="187"/>
      <c r="AF6" s="187"/>
    </row>
    <row r="7" spans="1:32" s="210" customFormat="1" ht="15" customHeight="1" x14ac:dyDescent="0.2">
      <c r="A7" s="208"/>
      <c r="B7" s="208"/>
      <c r="C7" s="243" t="s">
        <v>140</v>
      </c>
      <c r="D7" s="209" t="s">
        <v>120</v>
      </c>
      <c r="E7" s="215" t="str">
        <f>INDEX(Database!$A$3:$X$10000,MATCH(Records!E$6,Database!H$3:H$10000,0),5)</f>
        <v>Josh Williams</v>
      </c>
      <c r="F7" s="215" t="str">
        <f>INDEX(Database!$A$3:$X$10000,MATCH(Records!F$6,Database!I$3:I$10000,0),5)</f>
        <v>JP Celis</v>
      </c>
      <c r="G7" s="215" t="str">
        <f>INDEX(Database!$A$3:$X$10000,MATCH(Records!G$6,Database!J$3:J$10000,0),5)</f>
        <v>JP Celis</v>
      </c>
      <c r="H7" s="215" t="str">
        <f>INDEX(Database!$A$3:$X$10000,MATCH(Records!H$6,Database!K$3:K$10000,0),5)</f>
        <v>Brett Fitzwater</v>
      </c>
      <c r="I7" s="215" t="str">
        <f>INDEX(Database!$A$3:$X$10000,MATCH(Records!I$6,Database!L$3:L$10000,0),5)</f>
        <v>Jalen Myers</v>
      </c>
      <c r="J7" s="215" t="str">
        <f>INDEX(Database!$A$3:$X$10000,MATCH(Records!J$6,Database!M$3:M$10000,0),5)</f>
        <v>JP Celis</v>
      </c>
      <c r="K7" s="215" t="str">
        <f>INDEX(Database!$A$3:$X$10000,MATCH(Records!K$6,Database!N$3:N$10000,0),5)</f>
        <v>JP Celis</v>
      </c>
      <c r="L7" s="215" t="str">
        <f>INDEX(Database!$A$3:$X$10000,MATCH(Records!L$6,Database!O$3:O$10000,0),5)</f>
        <v>JP Celis</v>
      </c>
      <c r="M7" s="215" t="str">
        <f>INDEX(Database!$A$3:$X$10000,MATCH(Records!M$6,Database!P$3:P$10000,0),5)</f>
        <v>Josh Williams</v>
      </c>
      <c r="N7" s="215" t="str">
        <f>INDEX(Database!$A$3:$X$10000,MATCH(Records!N$6,Database!Q$3:Q$10000,0),5)</f>
        <v>Josh Williams</v>
      </c>
      <c r="O7" s="216" t="str">
        <f>INDEX(Database!$A$3:$X$10000,MATCH(Records!O$6,Database!R$3:R$10000,0),5)</f>
        <v>Josh Williams</v>
      </c>
      <c r="P7" s="215" t="str">
        <f>INDEX(Database!$A$3:$X$10000,MATCH(Records!P$6,Database!S$3:S$10000,0),5)</f>
        <v>Josh Williams</v>
      </c>
      <c r="Q7" s="216" t="str">
        <f>INDEX(Database!$A$3:$X$10000,MATCH(Records!Q$6,Database!T$3:T$10000,0),5)</f>
        <v>JP Celis</v>
      </c>
      <c r="R7" s="216" t="str">
        <f>INDEX(Database!$A$3:$X$10000,MATCH(Records!R$6,Database!U$3:U$10000,0),5)</f>
        <v>Austin Rohleder</v>
      </c>
      <c r="S7" s="215" t="str">
        <f>INDEX(Database!$A$3:$X$10000,MATCH(Records!S$6,Database!V$3:V$10000,0),5)</f>
        <v>Jalen Myers</v>
      </c>
      <c r="T7" s="215" t="str">
        <f>INDEX(Database!$A$3:$X$10000,MATCH(Records!T$6,Database!W$3:W$10000,0),5)</f>
        <v>Jalen Myers</v>
      </c>
      <c r="U7" s="216" t="str">
        <f>INDEX(Database!$A$3:$X$10000,MATCH(Records!U$6,Database!X$3:X$10000,0),5)</f>
        <v>Jarid Schwiefert</v>
      </c>
      <c r="V7" s="208"/>
      <c r="W7" s="208"/>
      <c r="X7" s="208"/>
      <c r="Y7" s="208"/>
      <c r="Z7" s="208"/>
      <c r="AA7" s="208"/>
      <c r="AB7" s="208"/>
      <c r="AC7" s="208"/>
      <c r="AD7" s="208"/>
      <c r="AE7" s="208"/>
      <c r="AF7" s="208"/>
    </row>
    <row r="8" spans="1:32" s="210" customFormat="1" ht="15" customHeight="1" x14ac:dyDescent="0.2">
      <c r="A8" s="208"/>
      <c r="B8" s="208"/>
      <c r="C8" s="243" t="s">
        <v>130</v>
      </c>
      <c r="D8" s="209" t="s">
        <v>120</v>
      </c>
      <c r="E8" s="215" t="str">
        <f>INDEX(Database!$A$3:$X$10000,MATCH(Records!E$6,Database!H$3:H$10000,0),6)</f>
        <v>Mustangs</v>
      </c>
      <c r="F8" s="215" t="str">
        <f>INDEX(Database!$A$3:$X$10000,MATCH(Records!F$6,Database!I$3:I$10000,0),6)</f>
        <v>Pippen Ain't Easy</v>
      </c>
      <c r="G8" s="215" t="str">
        <f>INDEX(Database!$A$3:$X$10000,MATCH(Records!G$6,Database!J$3:J$10000,0),6)</f>
        <v>Pippen Ain't Easy</v>
      </c>
      <c r="H8" s="215" t="str">
        <f>INDEX(Database!$A$3:$X$10000,MATCH(Records!H$6,Database!K$3:K$10000,0),6)</f>
        <v>Vandals</v>
      </c>
      <c r="I8" s="215" t="str">
        <f>INDEX(Database!$A$3:$X$10000,MATCH(Records!I$6,Database!L$3:L$10000,0),6)</f>
        <v>Lightning</v>
      </c>
      <c r="J8" s="215" t="str">
        <f>INDEX(Database!$A$3:$X$10000,MATCH(Records!J$6,Database!M$3:M$10000,0),6)</f>
        <v>Pippen Ain't Easy</v>
      </c>
      <c r="K8" s="215" t="str">
        <f>INDEX(Database!$A$3:$X$10000,MATCH(Records!K$6,Database!N$3:N$10000,0),6)</f>
        <v>Mustangs</v>
      </c>
      <c r="L8" s="215" t="str">
        <f>INDEX(Database!$A$3:$X$10000,MATCH(Records!L$6,Database!O$3:O$10000,0),6)</f>
        <v>Pippen Ain't Easy</v>
      </c>
      <c r="M8" s="215" t="str">
        <f>INDEX(Database!$A$3:$X$10000,MATCH(Records!M$6,Database!P$3:P$10000,0),6)</f>
        <v>Mustangs</v>
      </c>
      <c r="N8" s="215" t="str">
        <f>INDEX(Database!$A$3:$X$10000,MATCH(Records!N$6,Database!Q$3:Q$10000,0),6)</f>
        <v>Mustangs</v>
      </c>
      <c r="O8" s="216" t="str">
        <f>INDEX(Database!$A$3:$X$10000,MATCH(Records!O$6,Database!R$3:R$10000,0),6)</f>
        <v>All Pistons Are Firing</v>
      </c>
      <c r="P8" s="215" t="str">
        <f>INDEX(Database!$A$3:$X$10000,MATCH(Records!P$6,Database!S$3:S$10000,0),6)</f>
        <v>Mustangs</v>
      </c>
      <c r="Q8" s="216" t="str">
        <f>INDEX(Database!$A$3:$X$10000,MATCH(Records!Q$6,Database!T$3:T$10000,0),6)</f>
        <v>Pippen Ain't Easy</v>
      </c>
      <c r="R8" s="216" t="str">
        <f>INDEX(Database!$A$3:$X$10000,MATCH(Records!R$6,Database!U$3:U$10000,0),6)</f>
        <v>Pippen Ain't Easy</v>
      </c>
      <c r="S8" s="215" t="str">
        <f>INDEX(Database!$A$3:$X$10000,MATCH(Records!S$6,Database!V$3:V$10000,0),6)</f>
        <v>Lightning</v>
      </c>
      <c r="T8" s="215" t="str">
        <f>INDEX(Database!$A$3:$X$10000,MATCH(Records!T$6,Database!W$3:W$10000,0),6)</f>
        <v>Lightning</v>
      </c>
      <c r="U8" s="216" t="str">
        <f>INDEX(Database!$A$3:$X$10000,MATCH(Records!U$6,Database!X$3:X$10000,0),6)</f>
        <v>All Pistons Are Firing</v>
      </c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</row>
    <row r="9" spans="1:32" s="210" customFormat="1" ht="15" customHeight="1" x14ac:dyDescent="0.2">
      <c r="A9" s="208"/>
      <c r="B9" s="208"/>
      <c r="C9" s="243" t="s">
        <v>44</v>
      </c>
      <c r="D9" s="209" t="s">
        <v>120</v>
      </c>
      <c r="E9" s="215" t="str">
        <f>INDEX(Database!$A$3:$X$10000,MATCH(Records!E$6,Database!H$3:H$10000,0),1)</f>
        <v>Season 2</v>
      </c>
      <c r="F9" s="215" t="str">
        <f>INDEX(Database!$A$3:$X$10000,MATCH(Records!F$6,Database!I$3:I$10000,0),1)</f>
        <v>Season 1</v>
      </c>
      <c r="G9" s="215" t="str">
        <f>INDEX(Database!$A$3:$X$10000,MATCH(Records!G$6,Database!J$3:J$10000,0),1)</f>
        <v>Season 1</v>
      </c>
      <c r="H9" s="215" t="str">
        <f>INDEX(Database!$A$3:$X$10000,MATCH(Records!H$6,Database!K$3:K$10000,0),1)</f>
        <v>Season 2</v>
      </c>
      <c r="I9" s="215" t="str">
        <f>INDEX(Database!$A$3:$X$10000,MATCH(Records!I$6,Database!L$3:L$10000,0),1)</f>
        <v>Season 2</v>
      </c>
      <c r="J9" s="215" t="str">
        <f>INDEX(Database!$A$3:$X$10000,MATCH(Records!J$6,Database!M$3:M$10000,0),1)</f>
        <v>Season 1</v>
      </c>
      <c r="K9" s="215" t="str">
        <f>INDEX(Database!$A$3:$X$10000,MATCH(Records!K$6,Database!N$3:N$10000,0),1)</f>
        <v>Season 2</v>
      </c>
      <c r="L9" s="215" t="str">
        <f>INDEX(Database!$A$3:$X$10000,MATCH(Records!L$6,Database!O$3:O$10000,0),1)</f>
        <v>Season 1</v>
      </c>
      <c r="M9" s="215" t="str">
        <f>INDEX(Database!$A$3:$X$10000,MATCH(Records!M$6,Database!P$3:P$10000,0),1)</f>
        <v>Season 2</v>
      </c>
      <c r="N9" s="215" t="str">
        <f>INDEX(Database!$A$3:$X$10000,MATCH(Records!N$6,Database!Q$3:Q$10000,0),1)</f>
        <v>Season 2</v>
      </c>
      <c r="O9" s="216" t="str">
        <f>INDEX(Database!$A$3:$X$10000,MATCH(Records!O$6,Database!R$3:R$10000,0),1)</f>
        <v>Season 1</v>
      </c>
      <c r="P9" s="215" t="str">
        <f>INDEX(Database!$A$3:$X$10000,MATCH(Records!P$6,Database!S$3:S$10000,0),1)</f>
        <v>Season 2</v>
      </c>
      <c r="Q9" s="216" t="str">
        <f>INDEX(Database!$A$3:$X$10000,MATCH(Records!Q$6,Database!T$3:T$10000,0),1)</f>
        <v>Season 1</v>
      </c>
      <c r="R9" s="216" t="str">
        <f>INDEX(Database!$A$3:$X$10000,MATCH(Records!R$6,Database!U$3:U$10000,0),1)</f>
        <v>Season 1</v>
      </c>
      <c r="S9" s="215" t="str">
        <f>INDEX(Database!$A$3:$X$10000,MATCH(Records!S$6,Database!V$3:V$10000,0),1)</f>
        <v>Season 1</v>
      </c>
      <c r="T9" s="215" t="str">
        <f>INDEX(Database!$A$3:$X$10000,MATCH(Records!T$6,Database!W$3:W$10000,0),1)</f>
        <v>Season 2</v>
      </c>
      <c r="U9" s="216" t="str">
        <f>INDEX(Database!$A$3:$X$10000,MATCH(Records!U$6,Database!X$3:X$10000,0),1)</f>
        <v>Season 1</v>
      </c>
      <c r="V9" s="208"/>
      <c r="W9" s="208"/>
      <c r="X9" s="208"/>
      <c r="Y9" s="208"/>
      <c r="Z9" s="208"/>
      <c r="AA9" s="208"/>
      <c r="AB9" s="208"/>
      <c r="AC9" s="208"/>
      <c r="AD9" s="208"/>
      <c r="AE9" s="208"/>
      <c r="AF9" s="208"/>
    </row>
    <row r="10" spans="1:32" s="210" customFormat="1" ht="15" customHeight="1" x14ac:dyDescent="0.2">
      <c r="A10" s="208"/>
      <c r="B10" s="208"/>
      <c r="C10" s="243" t="s">
        <v>55</v>
      </c>
      <c r="D10" s="209" t="s">
        <v>120</v>
      </c>
      <c r="E10" s="215" t="str">
        <f>INDEX(Database!$A$3:$X$10000,MATCH(Records!E$6,Database!H$3:H$10000,0),2)</f>
        <v>Week 4</v>
      </c>
      <c r="F10" s="215" t="str">
        <f>INDEX(Database!$A$3:$X$10000,MATCH(Records!F$6,Database!I$3:I$10000,0),2)</f>
        <v>Week 4</v>
      </c>
      <c r="G10" s="215" t="str">
        <f>INDEX(Database!$A$3:$X$10000,MATCH(Records!G$6,Database!J$3:J$10000,0),2)</f>
        <v>Week 2</v>
      </c>
      <c r="H10" s="215" t="str">
        <f>INDEX(Database!$A$3:$X$10000,MATCH(Records!H$6,Database!K$3:K$10000,0),2)</f>
        <v>Week 3</v>
      </c>
      <c r="I10" s="215" t="str">
        <f>INDEX(Database!$A$3:$X$10000,MATCH(Records!I$6,Database!L$3:L$10000,0),2)</f>
        <v>Week 1</v>
      </c>
      <c r="J10" s="215" t="str">
        <f>INDEX(Database!$A$3:$X$10000,MATCH(Records!J$6,Database!M$3:M$10000,0),2)</f>
        <v>Week 3</v>
      </c>
      <c r="K10" s="215" t="str">
        <f>INDEX(Database!$A$3:$X$10000,MATCH(Records!K$6,Database!N$3:N$10000,0),2)</f>
        <v>Week 4</v>
      </c>
      <c r="L10" s="215" t="str">
        <f>INDEX(Database!$A$3:$X$10000,MATCH(Records!L$6,Database!O$3:O$10000,0),2)</f>
        <v>Week 4</v>
      </c>
      <c r="M10" s="215" t="str">
        <f>INDEX(Database!$A$3:$X$10000,MATCH(Records!M$6,Database!P$3:P$10000,0),2)</f>
        <v>Week 4</v>
      </c>
      <c r="N10" s="215" t="str">
        <f>INDEX(Database!$A$3:$X$10000,MATCH(Records!N$6,Database!Q$3:Q$10000,0),2)</f>
        <v>Week 4</v>
      </c>
      <c r="O10" s="216" t="str">
        <f>INDEX(Database!$A$3:$X$10000,MATCH(Records!O$6,Database!R$3:R$10000,0),2)</f>
        <v>Week 1</v>
      </c>
      <c r="P10" s="215" t="str">
        <f>INDEX(Database!$A$3:$X$10000,MATCH(Records!P$6,Database!S$3:S$10000,0),2)</f>
        <v>Week 4</v>
      </c>
      <c r="Q10" s="216" t="str">
        <f>INDEX(Database!$A$3:$X$10000,MATCH(Records!Q$6,Database!T$3:T$10000,0),2)</f>
        <v>Week 4</v>
      </c>
      <c r="R10" s="216" t="str">
        <f>INDEX(Database!$A$3:$X$10000,MATCH(Records!R$6,Database!U$3:U$10000,0),2)</f>
        <v>Week 2</v>
      </c>
      <c r="S10" s="215" t="str">
        <f>INDEX(Database!$A$3:$X$10000,MATCH(Records!S$6,Database!V$3:V$10000,0),2)</f>
        <v>Week 3</v>
      </c>
      <c r="T10" s="215" t="str">
        <f>INDEX(Database!$A$3:$X$10000,MATCH(Records!T$6,Database!W$3:W$10000,0),2)</f>
        <v>Week 1</v>
      </c>
      <c r="U10" s="216" t="str">
        <f>INDEX(Database!$A$3:$X$10000,MATCH(Records!U$6,Database!X$3:X$10000,0),2)</f>
        <v>Week 1</v>
      </c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</row>
    <row r="11" spans="1:32" s="210" customFormat="1" ht="15" customHeight="1" x14ac:dyDescent="0.2">
      <c r="A11" s="208"/>
      <c r="B11" s="208"/>
      <c r="C11" s="243" t="s">
        <v>137</v>
      </c>
      <c r="D11" s="209" t="s">
        <v>120</v>
      </c>
      <c r="E11" s="215" t="str">
        <f>INDEX(Database!$A$3:$X$10000,MATCH(Records!E$6,Database!H$3:H$10000,0),4)</f>
        <v>Regular Season</v>
      </c>
      <c r="F11" s="215" t="str">
        <f>INDEX(Database!$A$3:$X$10000,MATCH(Records!F$6,Database!I$3:I$10000,0),4)</f>
        <v>Regular Season</v>
      </c>
      <c r="G11" s="215" t="str">
        <f>INDEX(Database!$A$3:$X$10000,MATCH(Records!G$6,Database!J$3:J$10000,0),4)</f>
        <v>Regular Season</v>
      </c>
      <c r="H11" s="215" t="str">
        <f>INDEX(Database!$A$3:$X$10000,MATCH(Records!H$6,Database!K$3:K$10000,0),4)</f>
        <v>Regular Season</v>
      </c>
      <c r="I11" s="215" t="str">
        <f>INDEX(Database!$A$3:$X$10000,MATCH(Records!I$6,Database!L$3:L$10000,0),4)</f>
        <v>Regular Season</v>
      </c>
      <c r="J11" s="215" t="str">
        <f>INDEX(Database!$A$3:$X$10000,MATCH(Records!J$6,Database!M$3:M$10000,0),4)</f>
        <v>Regular Season</v>
      </c>
      <c r="K11" s="215" t="str">
        <f>INDEX(Database!$A$3:$X$10000,MATCH(Records!K$6,Database!N$3:N$10000,0),4)</f>
        <v>Regular Season</v>
      </c>
      <c r="L11" s="215" t="str">
        <f>INDEX(Database!$A$3:$X$10000,MATCH(Records!L$6,Database!O$3:O$10000,0),4)</f>
        <v>Regular Season</v>
      </c>
      <c r="M11" s="215" t="str">
        <f>INDEX(Database!$A$3:$X$10000,MATCH(Records!M$6,Database!P$3:P$10000,0),4)</f>
        <v>Regular Season</v>
      </c>
      <c r="N11" s="215" t="str">
        <f>INDEX(Database!$A$3:$X$10000,MATCH(Records!N$6,Database!Q$3:Q$10000,0),4)</f>
        <v>Regular Season</v>
      </c>
      <c r="O11" s="216" t="str">
        <f>INDEX(Database!$A$3:$X$10000,MATCH(Records!O$6,Database!R$3:R$10000,0),4)</f>
        <v>Regular Season</v>
      </c>
      <c r="P11" s="215" t="str">
        <f>INDEX(Database!$A$3:$X$10000,MATCH(Records!P$6,Database!S$3:S$10000,0),4)</f>
        <v>Regular Season</v>
      </c>
      <c r="Q11" s="216" t="str">
        <f>INDEX(Database!$A$3:$X$10000,MATCH(Records!Q$6,Database!T$3:T$10000,0),4)</f>
        <v>Regular Season</v>
      </c>
      <c r="R11" s="216" t="str">
        <f>INDEX(Database!$A$3:$X$10000,MATCH(Records!R$6,Database!U$3:U$10000,0),4)</f>
        <v>Regular Season</v>
      </c>
      <c r="S11" s="215" t="str">
        <f>INDEX(Database!$A$3:$X$10000,MATCH(Records!S$6,Database!V$3:V$10000,0),4)</f>
        <v>Regular Season</v>
      </c>
      <c r="T11" s="215" t="str">
        <f>INDEX(Database!$A$3:$X$10000,MATCH(Records!T$6,Database!W$3:W$10000,0),4)</f>
        <v>Regular Season</v>
      </c>
      <c r="U11" s="216" t="str">
        <f>INDEX(Database!$A$3:$X$10000,MATCH(Records!U$6,Database!X$3:X$10000,0),4)</f>
        <v>Regular Season</v>
      </c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</row>
    <row r="12" spans="1:32" x14ac:dyDescent="0.25">
      <c r="A12" s="187"/>
      <c r="B12" s="187"/>
      <c r="C12" s="145"/>
      <c r="D12" s="185"/>
      <c r="E12" s="211">
        <f>IFERROR(IF($C12="",-0.00001,SUMIFS(Database!AG:AG,Database!$AD:$AD,$C12)),-0.00001)</f>
        <v>-1.0000000000000001E-5</v>
      </c>
      <c r="F12" s="211">
        <f>IFERROR(IF($C12="",-0.00001,SUMIFS(Database!AH:AH,Database!$AD:$AD,$C12)),-0.00001)</f>
        <v>-1.0000000000000001E-5</v>
      </c>
      <c r="G12" s="211">
        <f>IFERROR(IF($C12="",-0.00001,SUMIFS(Database!AI:AI,Database!$AD:$AD,$C12)),-0.00001)</f>
        <v>-1.0000000000000001E-5</v>
      </c>
      <c r="H12" s="211">
        <f>IFERROR(IF($C12="",-0.00001,SUMIFS(Database!AJ:AJ,Database!$AD:$AD,$C12)),-0.00001)</f>
        <v>-1.0000000000000001E-5</v>
      </c>
      <c r="I12" s="211">
        <f>IFERROR(IF($C12="",-0.00001,SUMIFS(Database!AK:AK,Database!$AD:$AD,$C12)),-0.00001)</f>
        <v>-1.0000000000000001E-5</v>
      </c>
      <c r="J12" s="211">
        <f>IFERROR(IF($C12="",-0.00001,SUMIFS(Database!AL:AL,Database!$AD:$AD,$C12)),-0.00001)</f>
        <v>-1.0000000000000001E-5</v>
      </c>
      <c r="K12" s="211">
        <f>IFERROR(IF($C12="",-0.00001,SUMIFS(Database!AM:AM,Database!$AD:$AD,$C12)),-0.00001)</f>
        <v>-1.0000000000000001E-5</v>
      </c>
      <c r="L12" s="211">
        <f>IFERROR(IF($C12="",-0.00001,SUMIFS(Database!AN:AN,Database!$AD:$AD,$C12)),-0.00001)</f>
        <v>-1.0000000000000001E-5</v>
      </c>
      <c r="M12" s="211">
        <f>IFERROR(IF($C12="",-0.00001,SUMIFS(Database!AO:AO,Database!$AD:$AD,$C12)),-0.00001)</f>
        <v>-1.0000000000000001E-5</v>
      </c>
      <c r="N12" s="211">
        <f>IFERROR(IF($C12="",-0.00001,SUMIFS(Database!AP:AP,Database!$AD:$AD,$C12)),-0.00001)</f>
        <v>-1.0000000000000001E-5</v>
      </c>
      <c r="O12" s="212">
        <f>IFERROR(IF($C12="",-0.00001,$M12/$N12),-0.00001)</f>
        <v>-1.0000000000000001E-5</v>
      </c>
      <c r="P12" s="211">
        <f>IFERROR(IF($C12="",-0.00001,SUMIFS(Database!AR:AR,Database!$AD:$AD,$C12)),-0.00001)</f>
        <v>-1.0000000000000001E-5</v>
      </c>
      <c r="Q12" s="212">
        <f>IFERROR(IF($C12="",-0.00001,SUMIFS(Database!AS:AS,Database!$AD:$AD,$C12)),-0.00001)</f>
        <v>-1.0000000000000001E-5</v>
      </c>
      <c r="R12" s="212">
        <f>IFERROR(IF($C12="",-0.00001,$P12/$Q12),-0.00001)</f>
        <v>-1.0000000000000001E-5</v>
      </c>
      <c r="S12" s="211">
        <f>IFERROR(IF($C12="",-0.00001,SUMIFS(Database!AU:AU,Database!$AD:$AD,$C12)),-0.00001)</f>
        <v>-1.0000000000000001E-5</v>
      </c>
      <c r="T12" s="211">
        <f>IFERROR(IF($C12="",-0.00001,SUMIFS(Database!AV:AV,Database!$AD:$AD,$C12)),-0.00001)</f>
        <v>-1.0000000000000001E-5</v>
      </c>
      <c r="U12" s="212">
        <f>IFERROR(IF($C12="",-0.00001,$S12/$T12),-0.00001)</f>
        <v>-1.0000000000000001E-5</v>
      </c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</row>
    <row r="13" spans="1:32" x14ac:dyDescent="0.25">
      <c r="A13" s="187"/>
      <c r="B13" s="187"/>
      <c r="C13" s="242" t="s">
        <v>70</v>
      </c>
      <c r="D13" s="185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P13" s="211"/>
      <c r="Q13" s="212"/>
      <c r="R13" s="212"/>
      <c r="S13" s="211"/>
      <c r="T13" s="211"/>
      <c r="U13" s="212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</row>
    <row r="14" spans="1:32" x14ac:dyDescent="0.25">
      <c r="A14" s="187"/>
      <c r="B14" s="187"/>
      <c r="C14" s="243" t="s">
        <v>131</v>
      </c>
      <c r="D14" s="185" t="s">
        <v>120</v>
      </c>
      <c r="E14" s="185">
        <f>MAX(Database!AG:AG)</f>
        <v>113</v>
      </c>
      <c r="F14" s="185">
        <f>MAX(Database!AH:AH)</f>
        <v>58</v>
      </c>
      <c r="G14" s="185">
        <f>MAX(Database!AI:AI)</f>
        <v>22</v>
      </c>
      <c r="H14" s="185">
        <f>MAX(Database!AJ:AJ)</f>
        <v>14</v>
      </c>
      <c r="I14" s="185">
        <f>MAX(Database!AK:AK)</f>
        <v>9</v>
      </c>
      <c r="J14" s="217">
        <f>MAX(Database!AL:AL)</f>
        <v>22</v>
      </c>
      <c r="K14" s="217">
        <f>MAX(Database!AM:AM)</f>
        <v>22</v>
      </c>
      <c r="L14" s="217">
        <f>MAX(Database!AN:AN)</f>
        <v>38</v>
      </c>
      <c r="M14" s="217">
        <f>MAX(Database!AO:AO)</f>
        <v>21</v>
      </c>
      <c r="N14" s="217">
        <f>MAX(Database!AP:AP)</f>
        <v>44</v>
      </c>
      <c r="O14" s="218">
        <f t="array" ref="O14">MAX(IF(Database!AP:AP&gt;=10,Database!AQ:AQ,"Minimum of 10"))</f>
        <v>0.47727272727272729</v>
      </c>
      <c r="P14" s="217">
        <f>MAX(Database!AR:AR)</f>
        <v>44</v>
      </c>
      <c r="Q14" s="217">
        <f>MAX(Database!AS:AS)</f>
        <v>84</v>
      </c>
      <c r="R14" s="218">
        <f t="array" ref="R14">MAX(IF(Database!AS:AS&gt;=20,Database!AT:AT,"Minimum of 20"))</f>
        <v>0.5714285714285714</v>
      </c>
      <c r="S14" s="217">
        <f>MAX(Database!AU:AU)</f>
        <v>12</v>
      </c>
      <c r="T14" s="217">
        <f>MAX(Database!AV:AV)</f>
        <v>19</v>
      </c>
      <c r="U14" s="218">
        <f t="array" ref="U14">MAX(IF(Database!AV:AV&gt;=10,Database!AW:AW,"Minimum of 10"))</f>
        <v>0.90909090909090906</v>
      </c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</row>
    <row r="15" spans="1:32" x14ac:dyDescent="0.25">
      <c r="A15" s="187"/>
      <c r="B15" s="187"/>
      <c r="C15" s="243" t="s">
        <v>142</v>
      </c>
      <c r="D15" s="185" t="s">
        <v>120</v>
      </c>
      <c r="E15" s="215" t="str">
        <f>INDEX(Database!$Z$3:$AW$10000,MATCH(Records!E$14,Database!AG$3:AG$10000,0),5)</f>
        <v>Mustangs</v>
      </c>
      <c r="F15" s="215" t="str">
        <f>INDEX(Database!$Z$3:$AW$10000,MATCH(Records!F$14,Database!AH$3:AH$10000,0),5)</f>
        <v>Pistons</v>
      </c>
      <c r="G15" s="215" t="str">
        <f>INDEX(Database!$Z$3:$AW$10000,MATCH(Records!G$14,Database!AI$3:AI$10000,0),5)</f>
        <v>Mustangs</v>
      </c>
      <c r="H15" s="215" t="str">
        <f>INDEX(Database!$Z$3:$AW$10000,MATCH(Records!H$14,Database!AJ$3:AJ$10000,0),5)</f>
        <v>Vandals</v>
      </c>
      <c r="I15" s="215" t="str">
        <f>INDEX(Database!$Z$3:$AW$10000,MATCH(Records!I$14,Database!AK$3:AK$10000,0),5)</f>
        <v>Lightning</v>
      </c>
      <c r="J15" s="215" t="str">
        <f>INDEX(Database!$Z$3:$AW$10000,MATCH(Records!J$14,Database!AL$3:AL$10000,0),5)</f>
        <v>Mustangs</v>
      </c>
      <c r="K15" s="215" t="str">
        <f>INDEX(Database!$Z$3:$AW$10000,MATCH(Records!K$14,Database!AM$3:AM$10000,0),5)</f>
        <v>Mustangs</v>
      </c>
      <c r="L15" s="215" t="str">
        <f>INDEX(Database!$Z$3:$AW$10000,MATCH(Records!L$14,Database!AN$3:AN$10000,0),5)</f>
        <v>Pippen Ain't Easy</v>
      </c>
      <c r="M15" s="215" t="str">
        <f>INDEX(Database!$Z$3:$AW$10000,MATCH(Records!M$14,Database!AO$3:AO$10000,0),5)</f>
        <v>Mustangs</v>
      </c>
      <c r="N15" s="215" t="str">
        <f>INDEX(Database!$Z$3:$AW$10000,MATCH(Records!N$14,Database!AP$3:AP$10000,0),5)</f>
        <v>Mustangs</v>
      </c>
      <c r="O15" s="216" t="str">
        <f>INDEX(Database!$Z$3:$AW$10000,MATCH(Records!O$14,Database!AQ$3:AQ$10000,0),5)</f>
        <v>Mustangs</v>
      </c>
      <c r="P15" s="215" t="str">
        <f>INDEX(Database!$Z$3:$AW$10000,MATCH(Records!P$14,Database!AR$3:AR$10000,0),5)</f>
        <v>Mustangs</v>
      </c>
      <c r="Q15" s="215" t="str">
        <f>INDEX(Database!$Z$3:$AW$10000,MATCH(Records!Q$14,Database!AS$3:AS$10000,0),5)</f>
        <v>Wombats</v>
      </c>
      <c r="R15" s="216" t="str">
        <f>INDEX(Database!$Z$3:$AW$10000,MATCH(Records!R$14,Database!AT$3:AT$10000,0),5)</f>
        <v>Mustangs</v>
      </c>
      <c r="S15" s="215" t="str">
        <f>INDEX(Database!$Z$3:$AW$10000,MATCH(Records!S$14,Database!AU$3:AU$10000,0),5)</f>
        <v>Lightning</v>
      </c>
      <c r="T15" s="215" t="str">
        <f>INDEX(Database!$Z$3:$AW$10000,MATCH(Records!T$14,Database!AV$3:AV$10000,0),5)</f>
        <v>Lightning</v>
      </c>
      <c r="U15" s="216" t="str">
        <f>INDEX(Database!$Z$3:$AW$10000,MATCH(Records!U$14,Database!AW$3:AW$10000,0),5)</f>
        <v>Vandals</v>
      </c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</row>
    <row r="16" spans="1:32" x14ac:dyDescent="0.25">
      <c r="A16" s="187"/>
      <c r="B16" s="187"/>
      <c r="C16" s="243" t="s">
        <v>44</v>
      </c>
      <c r="D16" s="185" t="s">
        <v>120</v>
      </c>
      <c r="E16" s="215" t="str">
        <f>INDEX(Database!$Z$3:$AW$10000,MATCH(Records!E$14,Database!AG$3:AG$10000,0),1)</f>
        <v>Season 2</v>
      </c>
      <c r="F16" s="215" t="str">
        <f>INDEX(Database!$Z$3:$AW$10000,MATCH(Records!F$14,Database!AH$3:AH$10000,0),1)</f>
        <v>Season 2</v>
      </c>
      <c r="G16" s="215" t="str">
        <f>INDEX(Database!$Z$3:$AW$10000,MATCH(Records!G$14,Database!AI$3:AI$10000,0),1)</f>
        <v>Season 2</v>
      </c>
      <c r="H16" s="215" t="str">
        <f>INDEX(Database!$Z$3:$AW$10000,MATCH(Records!H$14,Database!AJ$3:AJ$10000,0),1)</f>
        <v>Season 2</v>
      </c>
      <c r="I16" s="215" t="str">
        <f>INDEX(Database!$Z$3:$AW$10000,MATCH(Records!I$14,Database!AK$3:AK$10000,0),1)</f>
        <v>Season 2</v>
      </c>
      <c r="J16" s="215" t="str">
        <f>INDEX(Database!$Z$3:$AW$10000,MATCH(Records!J$14,Database!AL$3:AL$10000,0),1)</f>
        <v>Season 2</v>
      </c>
      <c r="K16" s="215" t="str">
        <f>INDEX(Database!$Z$3:$AW$10000,MATCH(Records!K$14,Database!AM$3:AM$10000,0),1)</f>
        <v>Season 2</v>
      </c>
      <c r="L16" s="215" t="str">
        <f>INDEX(Database!$Z$3:$AW$10000,MATCH(Records!L$14,Database!AN$3:AN$10000,0),1)</f>
        <v>Season 1</v>
      </c>
      <c r="M16" s="215" t="str">
        <f>INDEX(Database!$Z$3:$AW$10000,MATCH(Records!M$14,Database!AO$3:AO$10000,0),1)</f>
        <v>Season 2</v>
      </c>
      <c r="N16" s="215" t="str">
        <f>INDEX(Database!$Z$3:$AW$10000,MATCH(Records!N$14,Database!AP$3:AP$10000,0),1)</f>
        <v>Season 2</v>
      </c>
      <c r="O16" s="216" t="str">
        <f>INDEX(Database!$Z$3:$AW$10000,MATCH(Records!O$14,Database!AQ$3:AQ$10000,0),1)</f>
        <v>Season 2</v>
      </c>
      <c r="P16" s="215" t="str">
        <f>INDEX(Database!$Z$3:$AW$10000,MATCH(Records!P$14,Database!AR$3:AR$10000,0),1)</f>
        <v>Season 2</v>
      </c>
      <c r="Q16" s="215" t="str">
        <f>INDEX(Database!$Z$3:$AW$10000,MATCH(Records!Q$14,Database!AS$3:AS$10000,0),1)</f>
        <v>Season 1</v>
      </c>
      <c r="R16" s="216" t="str">
        <f>INDEX(Database!$Z$3:$AW$10000,MATCH(Records!R$14,Database!AT$3:AT$10000,0),1)</f>
        <v>Season 2</v>
      </c>
      <c r="S16" s="215" t="str">
        <f>INDEX(Database!$Z$3:$AW$10000,MATCH(Records!S$14,Database!AU$3:AU$10000,0),1)</f>
        <v>Season 1</v>
      </c>
      <c r="T16" s="215" t="str">
        <f>INDEX(Database!$Z$3:$AW$10000,MATCH(Records!T$14,Database!AV$3:AV$10000,0),1)</f>
        <v>Season 1</v>
      </c>
      <c r="U16" s="216" t="str">
        <f>INDEX(Database!$Z$3:$AW$10000,MATCH(Records!U$14,Database!AW$3:AW$10000,0),1)</f>
        <v>Season 2</v>
      </c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</row>
    <row r="17" spans="1:32" x14ac:dyDescent="0.25">
      <c r="A17" s="187"/>
      <c r="B17" s="187"/>
      <c r="C17" s="243" t="s">
        <v>55</v>
      </c>
      <c r="D17" s="185" t="s">
        <v>120</v>
      </c>
      <c r="E17" s="215" t="str">
        <f>INDEX(Database!$Z$3:$AW$10000,MATCH(Records!E$14,Database!AG$3:AG$10000,0),2)</f>
        <v>Week 4</v>
      </c>
      <c r="F17" s="215" t="str">
        <f>INDEX(Database!$Z$3:$AW$10000,MATCH(Records!F$14,Database!AH$3:AH$10000,0),2)</f>
        <v>Week 4</v>
      </c>
      <c r="G17" s="215" t="str">
        <f>INDEX(Database!$Z$3:$AW$10000,MATCH(Records!G$14,Database!AI$3:AI$10000,0),2)</f>
        <v>Week 4</v>
      </c>
      <c r="H17" s="215" t="str">
        <f>INDEX(Database!$Z$3:$AW$10000,MATCH(Records!H$14,Database!AJ$3:AJ$10000,0),2)</f>
        <v>Week 3</v>
      </c>
      <c r="I17" s="215" t="str">
        <f>INDEX(Database!$Z$3:$AW$10000,MATCH(Records!I$14,Database!AK$3:AK$10000,0),2)</f>
        <v>Week 1</v>
      </c>
      <c r="J17" s="215" t="str">
        <f>INDEX(Database!$Z$3:$AW$10000,MATCH(Records!J$14,Database!AL$3:AL$10000,0),2)</f>
        <v>Week 3</v>
      </c>
      <c r="K17" s="215" t="str">
        <f>INDEX(Database!$Z$3:$AW$10000,MATCH(Records!K$14,Database!AM$3:AM$10000,0),2)</f>
        <v>Week 4</v>
      </c>
      <c r="L17" s="215" t="str">
        <f>INDEX(Database!$Z$3:$AW$10000,MATCH(Records!L$14,Database!AN$3:AN$10000,0),2)</f>
        <v>Week 4</v>
      </c>
      <c r="M17" s="215" t="str">
        <f>INDEX(Database!$Z$3:$AW$10000,MATCH(Records!M$14,Database!AO$3:AO$10000,0),2)</f>
        <v>Week 4</v>
      </c>
      <c r="N17" s="215" t="str">
        <f>INDEX(Database!$Z$3:$AW$10000,MATCH(Records!N$14,Database!AP$3:AP$10000,0),2)</f>
        <v>Week 4</v>
      </c>
      <c r="O17" s="216" t="str">
        <f>INDEX(Database!$Z$3:$AW$10000,MATCH(Records!O$14,Database!AQ$3:AQ$10000,0),2)</f>
        <v>Week 4</v>
      </c>
      <c r="P17" s="215" t="str">
        <f>INDEX(Database!$Z$3:$AW$10000,MATCH(Records!P$14,Database!AR$3:AR$10000,0),2)</f>
        <v>Week 4</v>
      </c>
      <c r="Q17" s="215" t="str">
        <f>INDEX(Database!$Z$3:$AW$10000,MATCH(Records!Q$14,Database!AS$3:AS$10000,0),2)</f>
        <v>Week 4</v>
      </c>
      <c r="R17" s="216" t="str">
        <f>INDEX(Database!$Z$3:$AW$10000,MATCH(Records!R$14,Database!AT$3:AT$10000,0),2)</f>
        <v>Week 4</v>
      </c>
      <c r="S17" s="215" t="str">
        <f>INDEX(Database!$Z$3:$AW$10000,MATCH(Records!S$14,Database!AU$3:AU$10000,0),2)</f>
        <v>Week 2</v>
      </c>
      <c r="T17" s="215" t="str">
        <f>INDEX(Database!$Z$3:$AW$10000,MATCH(Records!T$14,Database!AV$3:AV$10000,0),2)</f>
        <v>Week 2</v>
      </c>
      <c r="U17" s="216" t="str">
        <f>INDEX(Database!$Z$3:$AW$10000,MATCH(Records!U$14,Database!AW$3:AW$10000,0),2)</f>
        <v>Week 3</v>
      </c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</row>
    <row r="18" spans="1:32" x14ac:dyDescent="0.25">
      <c r="A18" s="187"/>
      <c r="B18" s="187"/>
      <c r="C18" s="243" t="s">
        <v>137</v>
      </c>
      <c r="D18" s="185" t="s">
        <v>120</v>
      </c>
      <c r="E18" s="215" t="str">
        <f>INDEX(Database!$Z$3:$AW$10000,MATCH(Records!E$14,Database!AG$3:AG$10000,0),4)</f>
        <v>Regular Season</v>
      </c>
      <c r="F18" s="215" t="str">
        <f>INDEX(Database!$Z$3:$AW$10000,MATCH(Records!F$14,Database!AH$3:AH$10000,0),4)</f>
        <v>Regular Season</v>
      </c>
      <c r="G18" s="215" t="str">
        <f>INDEX(Database!$Z$3:$AW$10000,MATCH(Records!G$14,Database!AI$3:AI$10000,0),4)</f>
        <v>Regular Season</v>
      </c>
      <c r="H18" s="215" t="str">
        <f>INDEX(Database!$Z$3:$AW$10000,MATCH(Records!H$14,Database!AJ$3:AJ$10000,0),4)</f>
        <v>Regular Season</v>
      </c>
      <c r="I18" s="215" t="str">
        <f>INDEX(Database!$Z$3:$AW$10000,MATCH(Records!I$14,Database!AK$3:AK$10000,0),4)</f>
        <v>Regular Season</v>
      </c>
      <c r="J18" s="215" t="str">
        <f>INDEX(Database!$Z$3:$AW$10000,MATCH(Records!J$14,Database!AL$3:AL$10000,0),4)</f>
        <v>Regular Season</v>
      </c>
      <c r="K18" s="215" t="str">
        <f>INDEX(Database!$Z$3:$AW$10000,MATCH(Records!K$14,Database!AM$3:AM$10000,0),4)</f>
        <v>Regular Season</v>
      </c>
      <c r="L18" s="215" t="str">
        <f>INDEX(Database!$Z$3:$AW$10000,MATCH(Records!L$14,Database!AN$3:AN$10000,0),4)</f>
        <v>Regular Season</v>
      </c>
      <c r="M18" s="215" t="str">
        <f>INDEX(Database!$Z$3:$AW$10000,MATCH(Records!M$14,Database!AO$3:AO$10000,0),4)</f>
        <v>Regular Season</v>
      </c>
      <c r="N18" s="215" t="str">
        <f>INDEX(Database!$Z$3:$AW$10000,MATCH(Records!N$14,Database!AP$3:AP$10000,0),4)</f>
        <v>Regular Season</v>
      </c>
      <c r="O18" s="216" t="str">
        <f>INDEX(Database!$Z$3:$AW$10000,MATCH(Records!O$14,Database!AQ$3:AQ$10000,0),4)</f>
        <v>Regular Season</v>
      </c>
      <c r="P18" s="215" t="str">
        <f>INDEX(Database!$Z$3:$AW$10000,MATCH(Records!P$14,Database!AR$3:AR$10000,0),4)</f>
        <v>Regular Season</v>
      </c>
      <c r="Q18" s="215" t="str">
        <f>INDEX(Database!$Z$3:$AW$10000,MATCH(Records!Q$14,Database!AS$3:AS$10000,0),4)</f>
        <v>Regular Season</v>
      </c>
      <c r="R18" s="216" t="str">
        <f>INDEX(Database!$Z$3:$AW$10000,MATCH(Records!R$14,Database!AT$3:AT$10000,0),4)</f>
        <v>Regular Season</v>
      </c>
      <c r="S18" s="215" t="str">
        <f>INDEX(Database!$Z$3:$AW$10000,MATCH(Records!S$14,Database!AU$3:AU$10000,0),4)</f>
        <v>Regular Season</v>
      </c>
      <c r="T18" s="215" t="str">
        <f>INDEX(Database!$Z$3:$AW$10000,MATCH(Records!T$14,Database!AV$3:AV$10000,0),4)</f>
        <v>Regular Season</v>
      </c>
      <c r="U18" s="216" t="str">
        <f>INDEX(Database!$Z$3:$AW$10000,MATCH(Records!U$14,Database!AW$3:AW$10000,0),4)</f>
        <v>Regular Season</v>
      </c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</row>
    <row r="19" spans="1:32" x14ac:dyDescent="0.25">
      <c r="A19" s="187"/>
      <c r="B19" s="187"/>
      <c r="C19" s="244"/>
      <c r="D19" s="185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2"/>
      <c r="P19" s="211"/>
      <c r="Q19" s="212"/>
      <c r="R19" s="212"/>
      <c r="S19" s="211"/>
      <c r="T19" s="211"/>
      <c r="U19" s="212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</row>
    <row r="20" spans="1:32" x14ac:dyDescent="0.25">
      <c r="A20" s="187"/>
      <c r="B20" s="187"/>
      <c r="C20" s="242" t="s">
        <v>143</v>
      </c>
      <c r="D20" s="185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2"/>
      <c r="P20" s="211"/>
      <c r="Q20" s="212"/>
      <c r="R20" s="212"/>
      <c r="S20" s="211"/>
      <c r="T20" s="211"/>
      <c r="U20" s="212"/>
      <c r="V20" s="187"/>
      <c r="W20" s="187"/>
      <c r="X20" s="187"/>
      <c r="Y20" s="187"/>
      <c r="Z20" s="187"/>
      <c r="AA20" s="187"/>
      <c r="AB20" s="187"/>
      <c r="AC20" s="187"/>
      <c r="AD20" s="187"/>
      <c r="AE20" s="187"/>
      <c r="AF20" s="187"/>
    </row>
    <row r="21" spans="1:32" x14ac:dyDescent="0.25">
      <c r="A21" s="187"/>
      <c r="B21" s="187"/>
      <c r="C21" s="243" t="s">
        <v>131</v>
      </c>
      <c r="D21" s="185" t="s">
        <v>120</v>
      </c>
      <c r="E21" s="185">
        <f>MAX(Database!BF:BF)</f>
        <v>185</v>
      </c>
      <c r="F21" s="185">
        <f>MAX(Database!BG:BG)</f>
        <v>96</v>
      </c>
      <c r="G21" s="185">
        <f>MAX(Database!BH:BH)</f>
        <v>34</v>
      </c>
      <c r="H21" s="185">
        <f>MAX(Database!BI:BI)</f>
        <v>27</v>
      </c>
      <c r="I21" s="185">
        <f>MAX(Database!BJ:BJ)</f>
        <v>11</v>
      </c>
      <c r="J21" s="185">
        <f>MAX(Database!BK:BK)</f>
        <v>41</v>
      </c>
      <c r="K21" s="185">
        <f>MAX(Database!BL:BL)</f>
        <v>31</v>
      </c>
      <c r="L21" s="185">
        <f>MAX(Database!BM:BM)</f>
        <v>66</v>
      </c>
      <c r="M21" s="185">
        <f>MAX(Database!BN:BN)</f>
        <v>35</v>
      </c>
      <c r="N21" s="185">
        <f>MAX(Database!BO:BO)</f>
        <v>79</v>
      </c>
      <c r="O21" s="186">
        <f t="array" ref="O21">MAX(IF(Database!BO:BO&gt;=15,Database!BP:BP,"Minimum of 15"))</f>
        <v>0.44303797468354428</v>
      </c>
      <c r="P21" s="185">
        <f>MAX(Database!BQ:BQ)</f>
        <v>70</v>
      </c>
      <c r="Q21" s="185">
        <f>MAX(Database!BR:BR)</f>
        <v>165</v>
      </c>
      <c r="R21" s="186">
        <f t="array" ref="R21">MAX(IF(Database!BR:BR&gt;=25,Database!BS:BS,"Minimum of 25"))</f>
        <v>0.5</v>
      </c>
      <c r="S21" s="185">
        <f>MAX(Database!BT:BT)</f>
        <v>19</v>
      </c>
      <c r="T21" s="185">
        <f>MAX(Database!BU:BU)</f>
        <v>30</v>
      </c>
      <c r="U21" s="186">
        <f t="array" ref="U21">MAX(IF(Database!BU:BU&gt;=10,Database!BV:BV,"Minimum of 10"))</f>
        <v>0.9285714285714286</v>
      </c>
      <c r="V21" s="187"/>
      <c r="W21" s="187"/>
      <c r="X21" s="187"/>
      <c r="Y21" s="187"/>
      <c r="Z21" s="187"/>
      <c r="AA21" s="187"/>
      <c r="AB21" s="187"/>
      <c r="AC21" s="187"/>
      <c r="AD21" s="187"/>
      <c r="AE21" s="187"/>
      <c r="AF21" s="187"/>
    </row>
    <row r="22" spans="1:32" x14ac:dyDescent="0.25">
      <c r="A22" s="187"/>
      <c r="B22" s="187"/>
      <c r="C22" s="243" t="s">
        <v>44</v>
      </c>
      <c r="D22" s="185" t="s">
        <v>120</v>
      </c>
      <c r="E22" s="215" t="str">
        <f>INDEX(Database!$AY$3:$BW$10000,MATCH(Records!E$21,Database!BF$3:BF$10000,0),1)</f>
        <v>Season 2</v>
      </c>
      <c r="F22" s="215" t="str">
        <f>INDEX(Database!$AY$3:$BW$10000,MATCH(Records!F$21,Database!BG$3:BG$10000,0),1)</f>
        <v>Season 1</v>
      </c>
      <c r="G22" s="215" t="str">
        <f>INDEX(Database!$AY$3:$BW$10000,MATCH(Records!G$21,Database!BH$3:BH$10000,0),1)</f>
        <v>Season 2</v>
      </c>
      <c r="H22" s="215" t="str">
        <f>INDEX(Database!$AY$3:$BW$10000,MATCH(Records!H$21,Database!BI$3:BI$10000,0),1)</f>
        <v>Season 2</v>
      </c>
      <c r="I22" s="215" t="str">
        <f>INDEX(Database!$AY$3:$BW$10000,MATCH(Records!I$21,Database!BJ$3:BJ$10000,0),1)</f>
        <v>Season 1</v>
      </c>
      <c r="J22" s="215" t="str">
        <f>INDEX(Database!$AY$3:$BW$10000,MATCH(Records!J$21,Database!BK$3:BK$10000,0),1)</f>
        <v>Season 2</v>
      </c>
      <c r="K22" s="215" t="str">
        <f>INDEX(Database!$AY$3:$BW$10000,MATCH(Records!K$21,Database!BL$3:BL$10000,0),1)</f>
        <v>Season 2</v>
      </c>
      <c r="L22" s="215" t="str">
        <f>INDEX(Database!$AY$3:$BW$10000,MATCH(Records!L$21,Database!BM$3:BM$10000,0),1)</f>
        <v>Season 1</v>
      </c>
      <c r="M22" s="215" t="str">
        <f>INDEX(Database!$AY$3:$BW$10000,MATCH(Records!M$21,Database!BN$3:BN$10000,0),1)</f>
        <v>Season 2</v>
      </c>
      <c r="N22" s="215" t="str">
        <f>INDEX(Database!$AY$3:$BW$10000,MATCH(Records!N$21,Database!BO$3:BO$10000,0),1)</f>
        <v>Season 2</v>
      </c>
      <c r="O22" s="215" t="str">
        <f>INDEX(Database!$AY$3:$BW$10000,MATCH(Records!O$21,Database!BP$3:BP$10000,0),1)</f>
        <v>Season 2</v>
      </c>
      <c r="P22" s="215" t="str">
        <f>INDEX(Database!$AY$3:$BW$10000,MATCH(Records!P$21,Database!BQ$3:BQ$10000,0),1)</f>
        <v>Season 2</v>
      </c>
      <c r="Q22" s="215" t="str">
        <f>INDEX(Database!$AY$3:$BW$10000,MATCH(Records!Q$21,Database!BR$3:BR$10000,0),1)</f>
        <v>Season 1</v>
      </c>
      <c r="R22" s="215" t="str">
        <f>INDEX(Database!$AY$3:$BW$10000,MATCH(Records!R$21,Database!BS$3:BS$10000,0),1)</f>
        <v>Season 2</v>
      </c>
      <c r="S22" s="215" t="str">
        <f>INDEX(Database!$AY$3:$BW$10000,MATCH(Records!S$21,Database!BT$3:BT$10000,0),1)</f>
        <v>Season 1</v>
      </c>
      <c r="T22" s="215" t="str">
        <f>INDEX(Database!$AY$3:$BW$10000,MATCH(Records!T$21,Database!BU$3:BU$10000,0),1)</f>
        <v>Season 1</v>
      </c>
      <c r="U22" s="215" t="str">
        <f>INDEX(Database!$AY$3:$BW$10000,MATCH(Records!U$21,Database!BV$3:BV$10000,0),1)</f>
        <v>Season 2</v>
      </c>
      <c r="V22" s="187"/>
      <c r="W22" s="187"/>
      <c r="X22" s="187"/>
      <c r="Y22" s="187"/>
      <c r="Z22" s="187"/>
      <c r="AA22" s="187"/>
      <c r="AB22" s="187"/>
      <c r="AC22" s="187"/>
      <c r="AD22" s="187"/>
      <c r="AE22" s="187"/>
      <c r="AF22" s="187"/>
    </row>
    <row r="23" spans="1:32" x14ac:dyDescent="0.25">
      <c r="A23" s="187"/>
      <c r="B23" s="187"/>
      <c r="C23" s="243" t="s">
        <v>55</v>
      </c>
      <c r="D23" s="185" t="s">
        <v>120</v>
      </c>
      <c r="E23" s="215" t="str">
        <f>INDEX(Database!$AY$3:$BW$10000,MATCH(Records!E$21,Database!BF$3:BF$10000,0),2)</f>
        <v>Week 4</v>
      </c>
      <c r="F23" s="215" t="str">
        <f>INDEX(Database!$AY$3:$BW$10000,MATCH(Records!F$21,Database!BG$3:BG$10000,0),2)</f>
        <v>Week 4</v>
      </c>
      <c r="G23" s="215" t="str">
        <f>INDEX(Database!$AY$3:$BW$10000,MATCH(Records!G$21,Database!BH$3:BH$10000,0),2)</f>
        <v>Week 4</v>
      </c>
      <c r="H23" s="215" t="str">
        <f>INDEX(Database!$AY$3:$BW$10000,MATCH(Records!H$21,Database!BI$3:BI$10000,0),2)</f>
        <v>Week 3</v>
      </c>
      <c r="I23" s="215" t="str">
        <f>INDEX(Database!$AY$3:$BW$10000,MATCH(Records!I$21,Database!BJ$3:BJ$10000,0),2)</f>
        <v>Week 1</v>
      </c>
      <c r="J23" s="215" t="str">
        <f>INDEX(Database!$AY$3:$BW$10000,MATCH(Records!J$21,Database!BK$3:BK$10000,0),2)</f>
        <v>Week 3</v>
      </c>
      <c r="K23" s="215" t="str">
        <f>INDEX(Database!$AY$3:$BW$10000,MATCH(Records!K$21,Database!BL$3:BL$10000,0),2)</f>
        <v>Week 3</v>
      </c>
      <c r="L23" s="215" t="str">
        <f>INDEX(Database!$AY$3:$BW$10000,MATCH(Records!L$21,Database!BM$3:BM$10000,0),2)</f>
        <v>Week 4</v>
      </c>
      <c r="M23" s="215" t="str">
        <f>INDEX(Database!$AY$3:$BW$10000,MATCH(Records!M$21,Database!BN$3:BN$10000,0),2)</f>
        <v>Week 4</v>
      </c>
      <c r="N23" s="215" t="str">
        <f>INDEX(Database!$AY$3:$BW$10000,MATCH(Records!N$21,Database!BO$3:BO$10000,0),2)</f>
        <v>Week 4</v>
      </c>
      <c r="O23" s="215" t="str">
        <f>INDEX(Database!$AY$3:$BW$10000,MATCH(Records!O$21,Database!BP$3:BP$10000,0),2)</f>
        <v>Week 4</v>
      </c>
      <c r="P23" s="215" t="str">
        <f>INDEX(Database!$AY$3:$BW$10000,MATCH(Records!P$21,Database!BQ$3:BQ$10000,0),2)</f>
        <v>Week 4</v>
      </c>
      <c r="Q23" s="215" t="str">
        <f>INDEX(Database!$AY$3:$BW$10000,MATCH(Records!Q$21,Database!BR$3:BR$10000,0),2)</f>
        <v>Week 4</v>
      </c>
      <c r="R23" s="215" t="str">
        <f>INDEX(Database!$AY$3:$BW$10000,MATCH(Records!R$21,Database!BS$3:BS$10000,0),2)</f>
        <v>Week 4</v>
      </c>
      <c r="S23" s="215" t="str">
        <f>INDEX(Database!$AY$3:$BW$10000,MATCH(Records!S$21,Database!BT$3:BT$10000,0),2)</f>
        <v>Week 2</v>
      </c>
      <c r="T23" s="215" t="str">
        <f>INDEX(Database!$AY$3:$BW$10000,MATCH(Records!T$21,Database!BU$3:BU$10000,0),2)</f>
        <v>Week 2</v>
      </c>
      <c r="U23" s="215" t="str">
        <f>INDEX(Database!$AY$3:$BW$10000,MATCH(Records!U$21,Database!BV$3:BV$10000,0),2)</f>
        <v>Week 3</v>
      </c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</row>
    <row r="24" spans="1:32" x14ac:dyDescent="0.25">
      <c r="A24" s="187"/>
      <c r="B24" s="187"/>
      <c r="C24" s="243" t="s">
        <v>62</v>
      </c>
      <c r="D24" s="185" t="s">
        <v>120</v>
      </c>
      <c r="E24" s="219">
        <f>INDEX(Database!$AY$3:$BW$10000,MATCH(Records!E$21,Database!BF$3:BF$10000,0),3)</f>
        <v>1830.8541666666699</v>
      </c>
      <c r="F24" s="219">
        <f>INDEX(Database!$AY$3:$BW$10000,MATCH(Records!F$21,Database!BG$3:BG$10000,0),3)</f>
        <v>1830.8541666666699</v>
      </c>
      <c r="G24" s="219">
        <f>INDEX(Database!$AY$3:$BW$10000,MATCH(Records!G$21,Database!BH$3:BH$10000,0),3)</f>
        <v>1830.8541666666699</v>
      </c>
      <c r="H24" s="219">
        <f>INDEX(Database!$AY$3:$BW$10000,MATCH(Records!H$21,Database!BI$3:BI$10000,0),3)</f>
        <v>1830.8541666666699</v>
      </c>
      <c r="I24" s="219">
        <f>INDEX(Database!$AY$3:$BW$10000,MATCH(Records!I$21,Database!BJ$3:BJ$10000,0),3)</f>
        <v>1830.7708333333333</v>
      </c>
      <c r="J24" s="219">
        <f>INDEX(Database!$AY$3:$BW$10000,MATCH(Records!J$21,Database!BK$3:BK$10000,0),3)</f>
        <v>1830.8541666666699</v>
      </c>
      <c r="K24" s="219">
        <f>INDEX(Database!$AY$3:$BW$10000,MATCH(Records!K$21,Database!BL$3:BL$10000,0),3)</f>
        <v>1830.8125</v>
      </c>
      <c r="L24" s="219">
        <f>INDEX(Database!$AY$3:$BW$10000,MATCH(Records!L$21,Database!BM$3:BM$10000,0),3)</f>
        <v>1830.8541666666699</v>
      </c>
      <c r="M24" s="219">
        <f>INDEX(Database!$AY$3:$BW$10000,MATCH(Records!M$21,Database!BN$3:BN$10000,0),3)</f>
        <v>1830.8541666666699</v>
      </c>
      <c r="N24" s="219">
        <f>INDEX(Database!$AY$3:$BW$10000,MATCH(Records!N$21,Database!BO$3:BO$10000,0),3)</f>
        <v>1830.8541666666699</v>
      </c>
      <c r="O24" s="219">
        <f>INDEX(Database!$AY$3:$BW$10000,MATCH(Records!O$21,Database!BP$3:BP$10000,0),3)</f>
        <v>1830.8541666666699</v>
      </c>
      <c r="P24" s="219">
        <f>INDEX(Database!$AY$3:$BW$10000,MATCH(Records!P$21,Database!BQ$3:BQ$10000,0),3)</f>
        <v>1830.8541666666699</v>
      </c>
      <c r="Q24" s="219">
        <f>INDEX(Database!$AY$3:$BW$10000,MATCH(Records!Q$21,Database!BR$3:BR$10000,0),3)</f>
        <v>1830.8541666666699</v>
      </c>
      <c r="R24" s="219">
        <f>INDEX(Database!$AY$3:$BW$10000,MATCH(Records!R$21,Database!BS$3:BS$10000,0),3)</f>
        <v>1830.8541666666699</v>
      </c>
      <c r="S24" s="219">
        <f>INDEX(Database!$AY$3:$BW$10000,MATCH(Records!S$21,Database!BT$3:BT$10000,0),3)</f>
        <v>1830.7708333333333</v>
      </c>
      <c r="T24" s="219">
        <f>INDEX(Database!$AY$3:$BW$10000,MATCH(Records!T$21,Database!BU$3:BU$10000,0),3)</f>
        <v>1830.7708333333333</v>
      </c>
      <c r="U24" s="219">
        <f>INDEX(Database!$AY$3:$BW$10000,MATCH(Records!U$21,Database!BV$3:BV$10000,0),3)</f>
        <v>1830.8541666666699</v>
      </c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</row>
    <row r="25" spans="1:32" x14ac:dyDescent="0.25">
      <c r="A25" s="187"/>
      <c r="B25" s="187"/>
      <c r="C25" s="243" t="s">
        <v>137</v>
      </c>
      <c r="D25" s="185" t="s">
        <v>120</v>
      </c>
      <c r="E25" s="215" t="str">
        <f>INDEX(Database!$AY$3:$BW$10000,MATCH(Records!E$21,Database!BF$3:BF$10000,0),4)</f>
        <v>Regular Season</v>
      </c>
      <c r="F25" s="215" t="str">
        <f>INDEX(Database!$AY$3:$BW$10000,MATCH(Records!F$21,Database!BG$3:BG$10000,0),4)</f>
        <v>Regular Season</v>
      </c>
      <c r="G25" s="215" t="str">
        <f>INDEX(Database!$AY$3:$BW$10000,MATCH(Records!G$21,Database!BH$3:BH$10000,0),4)</f>
        <v>Regular Season</v>
      </c>
      <c r="H25" s="215" t="str">
        <f>INDEX(Database!$AY$3:$BW$10000,MATCH(Records!H$21,Database!BI$3:BI$10000,0),4)</f>
        <v>Regular Season</v>
      </c>
      <c r="I25" s="215" t="str">
        <f>INDEX(Database!$AY$3:$BW$10000,MATCH(Records!I$21,Database!BJ$3:BJ$10000,0),4)</f>
        <v>Regular Season</v>
      </c>
      <c r="J25" s="215" t="str">
        <f>INDEX(Database!$AY$3:$BW$10000,MATCH(Records!J$21,Database!BK$3:BK$10000,0),4)</f>
        <v>Regular Season</v>
      </c>
      <c r="K25" s="215" t="str">
        <f>INDEX(Database!$AY$3:$BW$10000,MATCH(Records!K$21,Database!BL$3:BL$10000,0),4)</f>
        <v>Regular Season</v>
      </c>
      <c r="L25" s="215" t="str">
        <f>INDEX(Database!$AY$3:$BW$10000,MATCH(Records!L$21,Database!BM$3:BM$10000,0),4)</f>
        <v>Regular Season</v>
      </c>
      <c r="M25" s="215" t="str">
        <f>INDEX(Database!$AY$3:$BW$10000,MATCH(Records!M$21,Database!BN$3:BN$10000,0),4)</f>
        <v>Regular Season</v>
      </c>
      <c r="N25" s="215" t="str">
        <f>INDEX(Database!$AY$3:$BW$10000,MATCH(Records!N$21,Database!BO$3:BO$10000,0),4)</f>
        <v>Regular Season</v>
      </c>
      <c r="O25" s="215" t="str">
        <f>INDEX(Database!$AY$3:$BW$10000,MATCH(Records!O$21,Database!BP$3:BP$10000,0),4)</f>
        <v>Regular Season</v>
      </c>
      <c r="P25" s="215" t="str">
        <f>INDEX(Database!$AY$3:$BW$10000,MATCH(Records!P$21,Database!BQ$3:BQ$10000,0),4)</f>
        <v>Regular Season</v>
      </c>
      <c r="Q25" s="215" t="str">
        <f>INDEX(Database!$AY$3:$BW$10000,MATCH(Records!Q$21,Database!BR$3:BR$10000,0),4)</f>
        <v>Regular Season</v>
      </c>
      <c r="R25" s="215" t="str">
        <f>INDEX(Database!$AY$3:$BW$10000,MATCH(Records!R$21,Database!BS$3:BS$10000,0),4)</f>
        <v>Regular Season</v>
      </c>
      <c r="S25" s="215" t="str">
        <f>INDEX(Database!$AY$3:$BW$10000,MATCH(Records!S$21,Database!BT$3:BT$10000,0),4)</f>
        <v>Regular Season</v>
      </c>
      <c r="T25" s="215" t="str">
        <f>INDEX(Database!$AY$3:$BW$10000,MATCH(Records!T$21,Database!BU$3:BU$10000,0),4)</f>
        <v>Regular Season</v>
      </c>
      <c r="U25" s="215" t="str">
        <f>INDEX(Database!$AY$3:$BW$10000,MATCH(Records!U$21,Database!BV$3:BV$10000,0),4)</f>
        <v>Regular Season</v>
      </c>
      <c r="V25" s="187"/>
      <c r="W25" s="187"/>
      <c r="X25" s="187"/>
      <c r="Y25" s="187"/>
      <c r="Z25" s="187"/>
      <c r="AA25" s="187"/>
      <c r="AB25" s="187"/>
      <c r="AC25" s="187"/>
      <c r="AD25" s="187"/>
      <c r="AE25" s="187"/>
      <c r="AF25" s="187"/>
    </row>
    <row r="26" spans="1:32" x14ac:dyDescent="0.25">
      <c r="A26" s="187"/>
      <c r="B26" s="187"/>
      <c r="C26" s="245"/>
      <c r="D26" s="220"/>
      <c r="E26" s="221"/>
      <c r="F26" s="221"/>
      <c r="G26" s="221"/>
      <c r="H26" s="221"/>
      <c r="I26" s="221"/>
      <c r="J26" s="221"/>
      <c r="K26" s="221"/>
      <c r="L26" s="221"/>
      <c r="M26" s="221"/>
      <c r="N26" s="221"/>
      <c r="O26" s="222"/>
      <c r="P26" s="221"/>
      <c r="Q26" s="221"/>
      <c r="R26" s="222"/>
      <c r="S26" s="221"/>
      <c r="T26" s="221"/>
      <c r="U26" s="222"/>
      <c r="V26" s="187"/>
      <c r="W26" s="187"/>
      <c r="X26" s="187"/>
      <c r="Y26" s="187"/>
      <c r="Z26" s="187"/>
      <c r="AA26" s="187"/>
      <c r="AB26" s="187"/>
      <c r="AC26" s="187"/>
      <c r="AD26" s="187"/>
      <c r="AE26" s="187"/>
      <c r="AF26" s="187"/>
    </row>
    <row r="27" spans="1:32" x14ac:dyDescent="0.25">
      <c r="A27" s="187"/>
      <c r="B27" s="187"/>
      <c r="C27" s="145"/>
      <c r="D27" s="185">
        <f>IF($C27="",-0.00001,COUNTIF(Database!AD:AD,$C27))</f>
        <v>-1.0000000000000001E-5</v>
      </c>
      <c r="E27" s="211">
        <f>IFERROR(IF($C27="",-0.00001,SUMIFS(Database!AG:AG,Database!$AD:$AD,$C27)),-0.00001)</f>
        <v>-1.0000000000000001E-5</v>
      </c>
      <c r="F27" s="211">
        <f>IFERROR(IF($C27="",-0.00001,SUMIFS(Database!AH:AH,Database!$AD:$AD,$C27)),-0.00001)</f>
        <v>-1.0000000000000001E-5</v>
      </c>
      <c r="G27" s="211">
        <f>IFERROR(IF($C27="",-0.00001,SUMIFS(Database!AI:AI,Database!$AD:$AD,$C27)),-0.00001)</f>
        <v>-1.0000000000000001E-5</v>
      </c>
      <c r="H27" s="211">
        <f>IFERROR(IF($C27="",-0.00001,SUMIFS(Database!AJ:AJ,Database!$AD:$AD,$C27)),-0.00001)</f>
        <v>-1.0000000000000001E-5</v>
      </c>
      <c r="I27" s="211">
        <f>IFERROR(IF($C27="",-0.00001,SUMIFS(Database!AK:AK,Database!$AD:$AD,$C27)),-0.00001)</f>
        <v>-1.0000000000000001E-5</v>
      </c>
      <c r="J27" s="211">
        <f>IFERROR(IF($C27="",-0.00001,SUMIFS(Database!AL:AL,Database!$AD:$AD,$C27)),-0.00001)</f>
        <v>-1.0000000000000001E-5</v>
      </c>
      <c r="K27" s="211">
        <f>IFERROR(IF($C27="",-0.00001,SUMIFS(Database!AM:AM,Database!$AD:$AD,$C27)),-0.00001)</f>
        <v>-1.0000000000000001E-5</v>
      </c>
      <c r="L27" s="211">
        <f>IFERROR(IF($C27="",-0.00001,SUMIFS(Database!AN:AN,Database!$AD:$AD,$C27)),-0.00001)</f>
        <v>-1.0000000000000001E-5</v>
      </c>
      <c r="M27" s="211">
        <f>IFERROR(IF($C27="",-0.00001,SUMIFS(Database!AO:AO,Database!$AD:$AD,$C27)),-0.00001)</f>
        <v>-1.0000000000000001E-5</v>
      </c>
      <c r="N27" s="211">
        <f>IFERROR(IF($C27="",-0.00001,SUMIFS(Database!AP:AP,Database!$AD:$AD,$C27)),-0.00001)</f>
        <v>-1.0000000000000001E-5</v>
      </c>
      <c r="O27" s="212">
        <f t="shared" ref="O27:O46" si="0">IFERROR(IF($C27="",-0.00001,$M27/$N27),-0.00001)</f>
        <v>-1.0000000000000001E-5</v>
      </c>
      <c r="P27" s="211">
        <f>IFERROR(IF($C27="",-0.00001,SUMIFS(Database!AR:AR,Database!$AD:$AD,$C27)),-0.00001)</f>
        <v>-1.0000000000000001E-5</v>
      </c>
      <c r="Q27" s="212">
        <f>IFERROR(IF($C27="",-0.00001,SUMIFS(Database!AS:AS,Database!$AD:$AD,$C27)),-0.00001)</f>
        <v>-1.0000000000000001E-5</v>
      </c>
      <c r="R27" s="212">
        <f t="shared" ref="R27:R46" si="1">IFERROR(IF($C27="",-0.00001,$P27/$Q27),-0.00001)</f>
        <v>-1.0000000000000001E-5</v>
      </c>
      <c r="S27" s="211">
        <f>IFERROR(IF($C27="",-0.00001,SUMIFS(Database!AU:AU,Database!$AD:$AD,$C27)),-0.00001)</f>
        <v>-1.0000000000000001E-5</v>
      </c>
      <c r="T27" s="211">
        <f>IFERROR(IF($C27="",-0.00001,SUMIFS(Database!AV:AV,Database!$AD:$AD,$C27)),-0.00001)</f>
        <v>-1.0000000000000001E-5</v>
      </c>
      <c r="U27" s="212">
        <f t="shared" ref="U27:U46" si="2">IFERROR(IF($C27="",-0.00001,$S27/$T27),-0.00001)</f>
        <v>-1.0000000000000001E-5</v>
      </c>
      <c r="V27" s="187"/>
      <c r="W27" s="187"/>
      <c r="X27" s="187"/>
      <c r="Y27" s="187"/>
      <c r="Z27" s="187"/>
      <c r="AA27" s="187"/>
      <c r="AB27" s="187"/>
      <c r="AC27" s="187"/>
      <c r="AD27" s="187"/>
      <c r="AE27" s="187"/>
      <c r="AF27" s="187"/>
    </row>
    <row r="28" spans="1:32" x14ac:dyDescent="0.25">
      <c r="A28" s="187"/>
      <c r="B28" s="187" t="str">
        <f>IF($C28="","",MAX($B$4:$B27)+1)</f>
        <v/>
      </c>
      <c r="C28" s="145"/>
      <c r="D28" s="185">
        <f>IF($C28="",-0.00001,COUNTIF(Database!AD:AD,$C28))</f>
        <v>-1.0000000000000001E-5</v>
      </c>
      <c r="E28" s="211">
        <f>IFERROR(IF($C28="",-0.00001,SUMIFS(Database!AG:AG,Database!$AD:$AD,$C28)),-0.00001)</f>
        <v>-1.0000000000000001E-5</v>
      </c>
      <c r="F28" s="211">
        <f>IFERROR(IF($C28="",-0.00001,SUMIFS(Database!AH:AH,Database!$AD:$AD,$C28)),-0.00001)</f>
        <v>-1.0000000000000001E-5</v>
      </c>
      <c r="G28" s="211">
        <f>IFERROR(IF($C28="",-0.00001,SUMIFS(Database!AI:AI,Database!$AD:$AD,$C28)),-0.00001)</f>
        <v>-1.0000000000000001E-5</v>
      </c>
      <c r="H28" s="211">
        <f>IFERROR(IF($C28="",-0.00001,SUMIFS(Database!AJ:AJ,Database!$AD:$AD,$C28)),-0.00001)</f>
        <v>-1.0000000000000001E-5</v>
      </c>
      <c r="I28" s="211">
        <f>IFERROR(IF($C28="",-0.00001,SUMIFS(Database!AK:AK,Database!$AD:$AD,$C28)),-0.00001)</f>
        <v>-1.0000000000000001E-5</v>
      </c>
      <c r="J28" s="211">
        <f>IFERROR(IF($C28="",-0.00001,SUMIFS(Database!AL:AL,Database!$AD:$AD,$C28)),-0.00001)</f>
        <v>-1.0000000000000001E-5</v>
      </c>
      <c r="K28" s="211">
        <f>IFERROR(IF($C28="",-0.00001,SUMIFS(Database!AM:AM,Database!$AD:$AD,$C28)),-0.00001)</f>
        <v>-1.0000000000000001E-5</v>
      </c>
      <c r="L28" s="211">
        <f>IFERROR(IF($C28="",-0.00001,SUMIFS(Database!AN:AN,Database!$AD:$AD,$C28)),-0.00001)</f>
        <v>-1.0000000000000001E-5</v>
      </c>
      <c r="M28" s="211">
        <f>IFERROR(IF($C28="",-0.00001,SUMIFS(Database!AO:AO,Database!$AD:$AD,$C28)),-0.00001)</f>
        <v>-1.0000000000000001E-5</v>
      </c>
      <c r="N28" s="211">
        <f>IFERROR(IF($C28="",-0.00001,SUMIFS(Database!AP:AP,Database!$AD:$AD,$C28)),-0.00001)</f>
        <v>-1.0000000000000001E-5</v>
      </c>
      <c r="O28" s="212">
        <f t="shared" si="0"/>
        <v>-1.0000000000000001E-5</v>
      </c>
      <c r="P28" s="211">
        <f>IFERROR(IF($C28="",-0.00001,SUMIFS(Database!AR:AR,Database!$AD:$AD,$C28)),-0.00001)</f>
        <v>-1.0000000000000001E-5</v>
      </c>
      <c r="Q28" s="212">
        <f>IFERROR(IF($C28="",-0.00001,SUMIFS(Database!AS:AS,Database!$AD:$AD,$C28)),-0.00001)</f>
        <v>-1.0000000000000001E-5</v>
      </c>
      <c r="R28" s="212">
        <f t="shared" si="1"/>
        <v>-1.0000000000000001E-5</v>
      </c>
      <c r="S28" s="211">
        <f>IFERROR(IF($C28="",-0.00001,SUMIFS(Database!AU:AU,Database!$AD:$AD,$C28)),-0.00001)</f>
        <v>-1.0000000000000001E-5</v>
      </c>
      <c r="T28" s="211">
        <f>IFERROR(IF($C28="",-0.00001,SUMIFS(Database!AV:AV,Database!$AD:$AD,$C28)),-0.00001)</f>
        <v>-1.0000000000000001E-5</v>
      </c>
      <c r="U28" s="212">
        <f t="shared" si="2"/>
        <v>-1.0000000000000001E-5</v>
      </c>
      <c r="V28" s="187"/>
      <c r="W28" s="187"/>
      <c r="X28" s="187"/>
      <c r="Y28" s="187"/>
      <c r="Z28" s="187"/>
      <c r="AA28" s="187"/>
      <c r="AB28" s="187"/>
      <c r="AC28" s="187"/>
      <c r="AD28" s="187"/>
      <c r="AE28" s="187"/>
      <c r="AF28" s="187"/>
    </row>
    <row r="29" spans="1:32" x14ac:dyDescent="0.25">
      <c r="A29" s="187"/>
      <c r="B29" s="187" t="str">
        <f>IF($C29="","",MAX($B$4:$B28)+1)</f>
        <v/>
      </c>
      <c r="C29" s="145"/>
      <c r="D29" s="185">
        <f>IF($C29="",-0.00001,COUNTIF(Database!AD:AD,$C29))</f>
        <v>-1.0000000000000001E-5</v>
      </c>
      <c r="E29" s="211">
        <f>IFERROR(IF($C29="",-0.00001,SUMIFS(Database!AG:AG,Database!$AD:$AD,$C29)),-0.00001)</f>
        <v>-1.0000000000000001E-5</v>
      </c>
      <c r="F29" s="211">
        <f>IFERROR(IF($C29="",-0.00001,SUMIFS(Database!AH:AH,Database!$AD:$AD,$C29)),-0.00001)</f>
        <v>-1.0000000000000001E-5</v>
      </c>
      <c r="G29" s="211">
        <f>IFERROR(IF($C29="",-0.00001,SUMIFS(Database!AI:AI,Database!$AD:$AD,$C29)),-0.00001)</f>
        <v>-1.0000000000000001E-5</v>
      </c>
      <c r="H29" s="211">
        <f>IFERROR(IF($C29="",-0.00001,SUMIFS(Database!AJ:AJ,Database!$AD:$AD,$C29)),-0.00001)</f>
        <v>-1.0000000000000001E-5</v>
      </c>
      <c r="I29" s="211">
        <f>IFERROR(IF($C29="",-0.00001,SUMIFS(Database!AK:AK,Database!$AD:$AD,$C29)),-0.00001)</f>
        <v>-1.0000000000000001E-5</v>
      </c>
      <c r="J29" s="211">
        <f>IFERROR(IF($C29="",-0.00001,SUMIFS(Database!AL:AL,Database!$AD:$AD,$C29)),-0.00001)</f>
        <v>-1.0000000000000001E-5</v>
      </c>
      <c r="K29" s="211">
        <f>IFERROR(IF($C29="",-0.00001,SUMIFS(Database!AM:AM,Database!$AD:$AD,$C29)),-0.00001)</f>
        <v>-1.0000000000000001E-5</v>
      </c>
      <c r="L29" s="211">
        <f>IFERROR(IF($C29="",-0.00001,SUMIFS(Database!AN:AN,Database!$AD:$AD,$C29)),-0.00001)</f>
        <v>-1.0000000000000001E-5</v>
      </c>
      <c r="M29" s="211">
        <f>IFERROR(IF($C29="",-0.00001,SUMIFS(Database!AO:AO,Database!$AD:$AD,$C29)),-0.00001)</f>
        <v>-1.0000000000000001E-5</v>
      </c>
      <c r="N29" s="211">
        <f>IFERROR(IF($C29="",-0.00001,SUMIFS(Database!AP:AP,Database!$AD:$AD,$C29)),-0.00001)</f>
        <v>-1.0000000000000001E-5</v>
      </c>
      <c r="O29" s="212">
        <f t="shared" si="0"/>
        <v>-1.0000000000000001E-5</v>
      </c>
      <c r="P29" s="211">
        <f>IFERROR(IF($C29="",-0.00001,SUMIFS(Database!AR:AR,Database!$AD:$AD,$C29)),-0.00001)</f>
        <v>-1.0000000000000001E-5</v>
      </c>
      <c r="Q29" s="212">
        <f>IFERROR(IF($C29="",-0.00001,SUMIFS(Database!AS:AS,Database!$AD:$AD,$C29)),-0.00001)</f>
        <v>-1.0000000000000001E-5</v>
      </c>
      <c r="R29" s="212">
        <f t="shared" si="1"/>
        <v>-1.0000000000000001E-5</v>
      </c>
      <c r="S29" s="211">
        <f>IFERROR(IF($C29="",-0.00001,SUMIFS(Database!AU:AU,Database!$AD:$AD,$C29)),-0.00001)</f>
        <v>-1.0000000000000001E-5</v>
      </c>
      <c r="T29" s="211">
        <f>IFERROR(IF($C29="",-0.00001,SUMIFS(Database!AV:AV,Database!$AD:$AD,$C29)),-0.00001)</f>
        <v>-1.0000000000000001E-5</v>
      </c>
      <c r="U29" s="212">
        <f t="shared" si="2"/>
        <v>-1.0000000000000001E-5</v>
      </c>
      <c r="V29" s="187"/>
      <c r="W29" s="187"/>
      <c r="X29" s="187"/>
      <c r="Y29" s="187"/>
      <c r="Z29" s="187"/>
      <c r="AA29" s="187"/>
      <c r="AB29" s="187"/>
      <c r="AC29" s="187"/>
      <c r="AD29" s="187"/>
      <c r="AE29" s="187"/>
      <c r="AF29" s="187"/>
    </row>
    <row r="30" spans="1:32" x14ac:dyDescent="0.25">
      <c r="A30" s="187"/>
      <c r="B30" s="187" t="str">
        <f>IF($C30="","",MAX($B$4:$B29)+1)</f>
        <v/>
      </c>
      <c r="C30" s="145"/>
      <c r="D30" s="185">
        <f>IF($C30="",-0.00001,COUNTIF(Database!AD:AD,$C30))</f>
        <v>-1.0000000000000001E-5</v>
      </c>
      <c r="E30" s="211">
        <f>IFERROR(IF($C30="",-0.00001,SUMIFS(Database!AG:AG,Database!$AD:$AD,$C30)),-0.00001)</f>
        <v>-1.0000000000000001E-5</v>
      </c>
      <c r="F30" s="211">
        <f>IFERROR(IF($C30="",-0.00001,SUMIFS(Database!AH:AH,Database!$AD:$AD,$C30)),-0.00001)</f>
        <v>-1.0000000000000001E-5</v>
      </c>
      <c r="G30" s="211">
        <f>IFERROR(IF($C30="",-0.00001,SUMIFS(Database!AI:AI,Database!$AD:$AD,$C30)),-0.00001)</f>
        <v>-1.0000000000000001E-5</v>
      </c>
      <c r="H30" s="211">
        <f>IFERROR(IF($C30="",-0.00001,SUMIFS(Database!AJ:AJ,Database!$AD:$AD,$C30)),-0.00001)</f>
        <v>-1.0000000000000001E-5</v>
      </c>
      <c r="I30" s="211">
        <f>IFERROR(IF($C30="",-0.00001,SUMIFS(Database!AK:AK,Database!$AD:$AD,$C30)),-0.00001)</f>
        <v>-1.0000000000000001E-5</v>
      </c>
      <c r="J30" s="211">
        <f>IFERROR(IF($C30="",-0.00001,SUMIFS(Database!AL:AL,Database!$AD:$AD,$C30)),-0.00001)</f>
        <v>-1.0000000000000001E-5</v>
      </c>
      <c r="K30" s="211">
        <f>IFERROR(IF($C30="",-0.00001,SUMIFS(Database!AM:AM,Database!$AD:$AD,$C30)),-0.00001)</f>
        <v>-1.0000000000000001E-5</v>
      </c>
      <c r="L30" s="211">
        <f>IFERROR(IF($C30="",-0.00001,SUMIFS(Database!AN:AN,Database!$AD:$AD,$C30)),-0.00001)</f>
        <v>-1.0000000000000001E-5</v>
      </c>
      <c r="M30" s="211">
        <f>IFERROR(IF($C30="",-0.00001,SUMIFS(Database!AO:AO,Database!$AD:$AD,$C30)),-0.00001)</f>
        <v>-1.0000000000000001E-5</v>
      </c>
      <c r="N30" s="211">
        <f>IFERROR(IF($C30="",-0.00001,SUMIFS(Database!AP:AP,Database!$AD:$AD,$C30)),-0.00001)</f>
        <v>-1.0000000000000001E-5</v>
      </c>
      <c r="O30" s="212">
        <f t="shared" si="0"/>
        <v>-1.0000000000000001E-5</v>
      </c>
      <c r="P30" s="211">
        <f>IFERROR(IF($C30="",-0.00001,SUMIFS(Database!AR:AR,Database!$AD:$AD,$C30)),-0.00001)</f>
        <v>-1.0000000000000001E-5</v>
      </c>
      <c r="Q30" s="212">
        <f>IFERROR(IF($C30="",-0.00001,SUMIFS(Database!AS:AS,Database!$AD:$AD,$C30)),-0.00001)</f>
        <v>-1.0000000000000001E-5</v>
      </c>
      <c r="R30" s="212">
        <f t="shared" si="1"/>
        <v>-1.0000000000000001E-5</v>
      </c>
      <c r="S30" s="211">
        <f>IFERROR(IF($C30="",-0.00001,SUMIFS(Database!AU:AU,Database!$AD:$AD,$C30)),-0.00001)</f>
        <v>-1.0000000000000001E-5</v>
      </c>
      <c r="T30" s="211">
        <f>IFERROR(IF($C30="",-0.00001,SUMIFS(Database!AV:AV,Database!$AD:$AD,$C30)),-0.00001)</f>
        <v>-1.0000000000000001E-5</v>
      </c>
      <c r="U30" s="212">
        <f t="shared" si="2"/>
        <v>-1.0000000000000001E-5</v>
      </c>
      <c r="V30" s="187"/>
      <c r="W30" s="187"/>
      <c r="X30" s="187"/>
      <c r="Y30" s="187"/>
      <c r="Z30" s="187"/>
      <c r="AA30" s="187"/>
      <c r="AB30" s="187"/>
      <c r="AC30" s="187"/>
      <c r="AD30" s="187"/>
      <c r="AE30" s="187"/>
      <c r="AF30" s="187"/>
    </row>
    <row r="31" spans="1:32" x14ac:dyDescent="0.25">
      <c r="A31" s="187"/>
      <c r="B31" s="187" t="str">
        <f>IF($C31="","",MAX($B$4:$B30)+1)</f>
        <v/>
      </c>
      <c r="C31" s="145"/>
      <c r="D31" s="185">
        <f>IF($C31="",-0.00001,COUNTIF(Database!AD:AD,$C31))</f>
        <v>-1.0000000000000001E-5</v>
      </c>
      <c r="E31" s="211">
        <f>IFERROR(IF($C31="",-0.00001,SUMIFS(Database!AG:AG,Database!$AD:$AD,$C31)),-0.00001)</f>
        <v>-1.0000000000000001E-5</v>
      </c>
      <c r="F31" s="211">
        <f>IFERROR(IF($C31="",-0.00001,SUMIFS(Database!AH:AH,Database!$AD:$AD,$C31)),-0.00001)</f>
        <v>-1.0000000000000001E-5</v>
      </c>
      <c r="G31" s="211">
        <f>IFERROR(IF($C31="",-0.00001,SUMIFS(Database!AI:AI,Database!$AD:$AD,$C31)),-0.00001)</f>
        <v>-1.0000000000000001E-5</v>
      </c>
      <c r="H31" s="211">
        <f>IFERROR(IF($C31="",-0.00001,SUMIFS(Database!AJ:AJ,Database!$AD:$AD,$C31)),-0.00001)</f>
        <v>-1.0000000000000001E-5</v>
      </c>
      <c r="I31" s="211">
        <f>IFERROR(IF($C31="",-0.00001,SUMIFS(Database!AK:AK,Database!$AD:$AD,$C31)),-0.00001)</f>
        <v>-1.0000000000000001E-5</v>
      </c>
      <c r="J31" s="211">
        <f>IFERROR(IF($C31="",-0.00001,SUMIFS(Database!AL:AL,Database!$AD:$AD,$C31)),-0.00001)</f>
        <v>-1.0000000000000001E-5</v>
      </c>
      <c r="K31" s="211">
        <f>IFERROR(IF($C31="",-0.00001,SUMIFS(Database!AM:AM,Database!$AD:$AD,$C31)),-0.00001)</f>
        <v>-1.0000000000000001E-5</v>
      </c>
      <c r="L31" s="211">
        <f>IFERROR(IF($C31="",-0.00001,SUMIFS(Database!AN:AN,Database!$AD:$AD,$C31)),-0.00001)</f>
        <v>-1.0000000000000001E-5</v>
      </c>
      <c r="M31" s="211">
        <f>IFERROR(IF($C31="",-0.00001,SUMIFS(Database!AO:AO,Database!$AD:$AD,$C31)),-0.00001)</f>
        <v>-1.0000000000000001E-5</v>
      </c>
      <c r="N31" s="211">
        <f>IFERROR(IF($C31="",-0.00001,SUMIFS(Database!AP:AP,Database!$AD:$AD,$C31)),-0.00001)</f>
        <v>-1.0000000000000001E-5</v>
      </c>
      <c r="O31" s="212">
        <f t="shared" si="0"/>
        <v>-1.0000000000000001E-5</v>
      </c>
      <c r="P31" s="211">
        <f>IFERROR(IF($C31="",-0.00001,SUMIFS(Database!AR:AR,Database!$AD:$AD,$C31)),-0.00001)</f>
        <v>-1.0000000000000001E-5</v>
      </c>
      <c r="Q31" s="212">
        <f>IFERROR(IF($C31="",-0.00001,SUMIFS(Database!AS:AS,Database!$AD:$AD,$C31)),-0.00001)</f>
        <v>-1.0000000000000001E-5</v>
      </c>
      <c r="R31" s="212">
        <f t="shared" si="1"/>
        <v>-1.0000000000000001E-5</v>
      </c>
      <c r="S31" s="211">
        <f>IFERROR(IF($C31="",-0.00001,SUMIFS(Database!AU:AU,Database!$AD:$AD,$C31)),-0.00001)</f>
        <v>-1.0000000000000001E-5</v>
      </c>
      <c r="T31" s="211">
        <f>IFERROR(IF($C31="",-0.00001,SUMIFS(Database!AV:AV,Database!$AD:$AD,$C31)),-0.00001)</f>
        <v>-1.0000000000000001E-5</v>
      </c>
      <c r="U31" s="212">
        <f t="shared" si="2"/>
        <v>-1.0000000000000001E-5</v>
      </c>
      <c r="V31" s="187"/>
      <c r="W31" s="187"/>
      <c r="X31" s="187"/>
      <c r="Y31" s="187"/>
      <c r="Z31" s="187"/>
      <c r="AA31" s="187"/>
      <c r="AB31" s="187"/>
      <c r="AC31" s="187"/>
      <c r="AD31" s="187"/>
      <c r="AE31" s="187"/>
      <c r="AF31" s="187"/>
    </row>
    <row r="32" spans="1:32" x14ac:dyDescent="0.25">
      <c r="A32" s="187"/>
      <c r="B32" s="187" t="str">
        <f>IF($C32="","",MAX($B$4:$B31)+1)</f>
        <v/>
      </c>
      <c r="C32" s="145"/>
      <c r="D32" s="185">
        <f>IF($C32="",-0.00001,COUNTIF(Database!AD:AD,$C32))</f>
        <v>-1.0000000000000001E-5</v>
      </c>
      <c r="E32" s="211">
        <f>IFERROR(IF($C32="",-0.00001,SUMIFS(Database!AG:AG,Database!$AD:$AD,$C32)),-0.00001)</f>
        <v>-1.0000000000000001E-5</v>
      </c>
      <c r="F32" s="211">
        <f>IFERROR(IF($C32="",-0.00001,SUMIFS(Database!AH:AH,Database!$AD:$AD,$C32)),-0.00001)</f>
        <v>-1.0000000000000001E-5</v>
      </c>
      <c r="G32" s="211">
        <f>IFERROR(IF($C32="",-0.00001,SUMIFS(Database!AI:AI,Database!$AD:$AD,$C32)),-0.00001)</f>
        <v>-1.0000000000000001E-5</v>
      </c>
      <c r="H32" s="211">
        <f>IFERROR(IF($C32="",-0.00001,SUMIFS(Database!AJ:AJ,Database!$AD:$AD,$C32)),-0.00001)</f>
        <v>-1.0000000000000001E-5</v>
      </c>
      <c r="I32" s="211">
        <f>IFERROR(IF($C32="",-0.00001,SUMIFS(Database!AK:AK,Database!$AD:$AD,$C32)),-0.00001)</f>
        <v>-1.0000000000000001E-5</v>
      </c>
      <c r="J32" s="211">
        <f>IFERROR(IF($C32="",-0.00001,SUMIFS(Database!AL:AL,Database!$AD:$AD,$C32)),-0.00001)</f>
        <v>-1.0000000000000001E-5</v>
      </c>
      <c r="K32" s="211">
        <f>IFERROR(IF($C32="",-0.00001,SUMIFS(Database!AM:AM,Database!$AD:$AD,$C32)),-0.00001)</f>
        <v>-1.0000000000000001E-5</v>
      </c>
      <c r="L32" s="211">
        <f>IFERROR(IF($C32="",-0.00001,SUMIFS(Database!AN:AN,Database!$AD:$AD,$C32)),-0.00001)</f>
        <v>-1.0000000000000001E-5</v>
      </c>
      <c r="M32" s="211">
        <f>IFERROR(IF($C32="",-0.00001,SUMIFS(Database!AO:AO,Database!$AD:$AD,$C32)),-0.00001)</f>
        <v>-1.0000000000000001E-5</v>
      </c>
      <c r="N32" s="211">
        <f>IFERROR(IF($C32="",-0.00001,SUMIFS(Database!AP:AP,Database!$AD:$AD,$C32)),-0.00001)</f>
        <v>-1.0000000000000001E-5</v>
      </c>
      <c r="O32" s="212">
        <f t="shared" si="0"/>
        <v>-1.0000000000000001E-5</v>
      </c>
      <c r="P32" s="211">
        <f>IFERROR(IF($C32="",-0.00001,SUMIFS(Database!AR:AR,Database!$AD:$AD,$C32)),-0.00001)</f>
        <v>-1.0000000000000001E-5</v>
      </c>
      <c r="Q32" s="212">
        <f>IFERROR(IF($C32="",-0.00001,SUMIFS(Database!AS:AS,Database!$AD:$AD,$C32)),-0.00001)</f>
        <v>-1.0000000000000001E-5</v>
      </c>
      <c r="R32" s="212">
        <f t="shared" si="1"/>
        <v>-1.0000000000000001E-5</v>
      </c>
      <c r="S32" s="211">
        <f>IFERROR(IF($C32="",-0.00001,SUMIFS(Database!AU:AU,Database!$AD:$AD,$C32)),-0.00001)</f>
        <v>-1.0000000000000001E-5</v>
      </c>
      <c r="T32" s="211">
        <f>IFERROR(IF($C32="",-0.00001,SUMIFS(Database!AV:AV,Database!$AD:$AD,$C32)),-0.00001)</f>
        <v>-1.0000000000000001E-5</v>
      </c>
      <c r="U32" s="212">
        <f t="shared" si="2"/>
        <v>-1.0000000000000001E-5</v>
      </c>
      <c r="V32" s="187"/>
      <c r="W32" s="187"/>
      <c r="X32" s="187"/>
      <c r="Y32" s="187"/>
      <c r="Z32" s="187"/>
      <c r="AA32" s="187"/>
      <c r="AB32" s="187"/>
      <c r="AC32" s="187"/>
      <c r="AD32" s="187"/>
      <c r="AE32" s="187"/>
      <c r="AF32" s="187"/>
    </row>
    <row r="33" spans="1:32" x14ac:dyDescent="0.25">
      <c r="A33" s="187"/>
      <c r="B33" s="187" t="str">
        <f>IF($C33="","",MAX($B$4:$B32)+1)</f>
        <v/>
      </c>
      <c r="C33" s="145"/>
      <c r="D33" s="185">
        <f>IF($C33="",-0.00001,COUNTIF(Database!AD:AD,$C33))</f>
        <v>-1.0000000000000001E-5</v>
      </c>
      <c r="E33" s="211">
        <f>IFERROR(IF($C33="",-0.00001,SUMIFS(Database!AG:AG,Database!$AD:$AD,$C33)),-0.00001)</f>
        <v>-1.0000000000000001E-5</v>
      </c>
      <c r="F33" s="211">
        <f>IFERROR(IF($C33="",-0.00001,SUMIFS(Database!AH:AH,Database!$AD:$AD,$C33)),-0.00001)</f>
        <v>-1.0000000000000001E-5</v>
      </c>
      <c r="G33" s="211">
        <f>IFERROR(IF($C33="",-0.00001,SUMIFS(Database!AI:AI,Database!$AD:$AD,$C33)),-0.00001)</f>
        <v>-1.0000000000000001E-5</v>
      </c>
      <c r="H33" s="211">
        <f>IFERROR(IF($C33="",-0.00001,SUMIFS(Database!AJ:AJ,Database!$AD:$AD,$C33)),-0.00001)</f>
        <v>-1.0000000000000001E-5</v>
      </c>
      <c r="I33" s="211">
        <f>IFERROR(IF($C33="",-0.00001,SUMIFS(Database!AK:AK,Database!$AD:$AD,$C33)),-0.00001)</f>
        <v>-1.0000000000000001E-5</v>
      </c>
      <c r="J33" s="211">
        <f>IFERROR(IF($C33="",-0.00001,SUMIFS(Database!AL:AL,Database!$AD:$AD,$C33)),-0.00001)</f>
        <v>-1.0000000000000001E-5</v>
      </c>
      <c r="K33" s="211">
        <f>IFERROR(IF($C33="",-0.00001,SUMIFS(Database!AM:AM,Database!$AD:$AD,$C33)),-0.00001)</f>
        <v>-1.0000000000000001E-5</v>
      </c>
      <c r="L33" s="211">
        <f>IFERROR(IF($C33="",-0.00001,SUMIFS(Database!AN:AN,Database!$AD:$AD,$C33)),-0.00001)</f>
        <v>-1.0000000000000001E-5</v>
      </c>
      <c r="M33" s="211">
        <f>IFERROR(IF($C33="",-0.00001,SUMIFS(Database!AO:AO,Database!$AD:$AD,$C33)),-0.00001)</f>
        <v>-1.0000000000000001E-5</v>
      </c>
      <c r="N33" s="211">
        <f>IFERROR(IF($C33="",-0.00001,SUMIFS(Database!AP:AP,Database!$AD:$AD,$C33)),-0.00001)</f>
        <v>-1.0000000000000001E-5</v>
      </c>
      <c r="O33" s="212">
        <f t="shared" si="0"/>
        <v>-1.0000000000000001E-5</v>
      </c>
      <c r="P33" s="211">
        <f>IFERROR(IF($C33="",-0.00001,SUMIFS(Database!AR:AR,Database!$AD:$AD,$C33)),-0.00001)</f>
        <v>-1.0000000000000001E-5</v>
      </c>
      <c r="Q33" s="212">
        <f>IFERROR(IF($C33="",-0.00001,SUMIFS(Database!AS:AS,Database!$AD:$AD,$C33)),-0.00001)</f>
        <v>-1.0000000000000001E-5</v>
      </c>
      <c r="R33" s="212">
        <f t="shared" si="1"/>
        <v>-1.0000000000000001E-5</v>
      </c>
      <c r="S33" s="211">
        <f>IFERROR(IF($C33="",-0.00001,SUMIFS(Database!AU:AU,Database!$AD:$AD,$C33)),-0.00001)</f>
        <v>-1.0000000000000001E-5</v>
      </c>
      <c r="T33" s="211">
        <f>IFERROR(IF($C33="",-0.00001,SUMIFS(Database!AV:AV,Database!$AD:$AD,$C33)),-0.00001)</f>
        <v>-1.0000000000000001E-5</v>
      </c>
      <c r="U33" s="212">
        <f t="shared" si="2"/>
        <v>-1.0000000000000001E-5</v>
      </c>
      <c r="V33" s="187"/>
      <c r="W33" s="187"/>
      <c r="X33" s="187"/>
      <c r="Y33" s="187"/>
      <c r="Z33" s="187"/>
      <c r="AA33" s="187"/>
      <c r="AB33" s="187"/>
      <c r="AC33" s="187"/>
      <c r="AD33" s="187"/>
      <c r="AE33" s="187"/>
      <c r="AF33" s="187"/>
    </row>
    <row r="34" spans="1:32" x14ac:dyDescent="0.25">
      <c r="A34" s="187"/>
      <c r="B34" s="187" t="str">
        <f>IF($C34="","",MAX($B$4:$B33)+1)</f>
        <v/>
      </c>
      <c r="C34" s="145"/>
      <c r="D34" s="185">
        <f>IF($C34="",-0.00001,COUNTIF(Database!AD:AD,$C34))</f>
        <v>-1.0000000000000001E-5</v>
      </c>
      <c r="E34" s="211">
        <f>IFERROR(IF($C34="",-0.00001,SUMIFS(Database!AG:AG,Database!$AD:$AD,$C34)),-0.00001)</f>
        <v>-1.0000000000000001E-5</v>
      </c>
      <c r="F34" s="211">
        <f>IFERROR(IF($C34="",-0.00001,SUMIFS(Database!AH:AH,Database!$AD:$AD,$C34)),-0.00001)</f>
        <v>-1.0000000000000001E-5</v>
      </c>
      <c r="G34" s="211">
        <f>IFERROR(IF($C34="",-0.00001,SUMIFS(Database!AI:AI,Database!$AD:$AD,$C34)),-0.00001)</f>
        <v>-1.0000000000000001E-5</v>
      </c>
      <c r="H34" s="211">
        <f>IFERROR(IF($C34="",-0.00001,SUMIFS(Database!AJ:AJ,Database!$AD:$AD,$C34)),-0.00001)</f>
        <v>-1.0000000000000001E-5</v>
      </c>
      <c r="I34" s="211">
        <f>IFERROR(IF($C34="",-0.00001,SUMIFS(Database!AK:AK,Database!$AD:$AD,$C34)),-0.00001)</f>
        <v>-1.0000000000000001E-5</v>
      </c>
      <c r="J34" s="211">
        <f>IFERROR(IF($C34="",-0.00001,SUMIFS(Database!AL:AL,Database!$AD:$AD,$C34)),-0.00001)</f>
        <v>-1.0000000000000001E-5</v>
      </c>
      <c r="K34" s="211">
        <f>IFERROR(IF($C34="",-0.00001,SUMIFS(Database!AM:AM,Database!$AD:$AD,$C34)),-0.00001)</f>
        <v>-1.0000000000000001E-5</v>
      </c>
      <c r="L34" s="211">
        <f>IFERROR(IF($C34="",-0.00001,SUMIFS(Database!AN:AN,Database!$AD:$AD,$C34)),-0.00001)</f>
        <v>-1.0000000000000001E-5</v>
      </c>
      <c r="M34" s="211">
        <f>IFERROR(IF($C34="",-0.00001,SUMIFS(Database!AO:AO,Database!$AD:$AD,$C34)),-0.00001)</f>
        <v>-1.0000000000000001E-5</v>
      </c>
      <c r="N34" s="211">
        <f>IFERROR(IF($C34="",-0.00001,SUMIFS(Database!AP:AP,Database!$AD:$AD,$C34)),-0.00001)</f>
        <v>-1.0000000000000001E-5</v>
      </c>
      <c r="O34" s="212">
        <f t="shared" si="0"/>
        <v>-1.0000000000000001E-5</v>
      </c>
      <c r="P34" s="211">
        <f>IFERROR(IF($C34="",-0.00001,SUMIFS(Database!AR:AR,Database!$AD:$AD,$C34)),-0.00001)</f>
        <v>-1.0000000000000001E-5</v>
      </c>
      <c r="Q34" s="212">
        <f>IFERROR(IF($C34="",-0.00001,SUMIFS(Database!AS:AS,Database!$AD:$AD,$C34)),-0.00001)</f>
        <v>-1.0000000000000001E-5</v>
      </c>
      <c r="R34" s="212">
        <f t="shared" si="1"/>
        <v>-1.0000000000000001E-5</v>
      </c>
      <c r="S34" s="211">
        <f>IFERROR(IF($C34="",-0.00001,SUMIFS(Database!AU:AU,Database!$AD:$AD,$C34)),-0.00001)</f>
        <v>-1.0000000000000001E-5</v>
      </c>
      <c r="T34" s="211">
        <f>IFERROR(IF($C34="",-0.00001,SUMIFS(Database!AV:AV,Database!$AD:$AD,$C34)),-0.00001)</f>
        <v>-1.0000000000000001E-5</v>
      </c>
      <c r="U34" s="212">
        <f t="shared" si="2"/>
        <v>-1.0000000000000001E-5</v>
      </c>
      <c r="V34" s="187"/>
      <c r="W34" s="187"/>
      <c r="X34" s="187"/>
      <c r="Y34" s="187"/>
      <c r="Z34" s="187"/>
      <c r="AA34" s="187"/>
      <c r="AB34" s="187"/>
      <c r="AC34" s="187"/>
      <c r="AD34" s="187"/>
      <c r="AE34" s="187"/>
      <c r="AF34" s="187"/>
    </row>
    <row r="35" spans="1:32" x14ac:dyDescent="0.25">
      <c r="A35" s="187"/>
      <c r="B35" s="187" t="str">
        <f>IF($C35="","",MAX($B$4:$B34)+1)</f>
        <v/>
      </c>
      <c r="C35" s="145"/>
      <c r="D35" s="185">
        <f>IF($C35="",-0.00001,COUNTIF(Database!AD:AD,$C35))</f>
        <v>-1.0000000000000001E-5</v>
      </c>
      <c r="E35" s="211">
        <f>IFERROR(IF($C35="",-0.00001,SUMIFS(Database!AG:AG,Database!$AD:$AD,$C35)),-0.00001)</f>
        <v>-1.0000000000000001E-5</v>
      </c>
      <c r="F35" s="211">
        <f>IFERROR(IF($C35="",-0.00001,SUMIFS(Database!AH:AH,Database!$AD:$AD,$C35)),-0.00001)</f>
        <v>-1.0000000000000001E-5</v>
      </c>
      <c r="G35" s="211">
        <f>IFERROR(IF($C35="",-0.00001,SUMIFS(Database!AI:AI,Database!$AD:$AD,$C35)),-0.00001)</f>
        <v>-1.0000000000000001E-5</v>
      </c>
      <c r="H35" s="211">
        <f>IFERROR(IF($C35="",-0.00001,SUMIFS(Database!AJ:AJ,Database!$AD:$AD,$C35)),-0.00001)</f>
        <v>-1.0000000000000001E-5</v>
      </c>
      <c r="I35" s="211">
        <f>IFERROR(IF($C35="",-0.00001,SUMIFS(Database!AK:AK,Database!$AD:$AD,$C35)),-0.00001)</f>
        <v>-1.0000000000000001E-5</v>
      </c>
      <c r="J35" s="211">
        <f>IFERROR(IF($C35="",-0.00001,SUMIFS(Database!AL:AL,Database!$AD:$AD,$C35)),-0.00001)</f>
        <v>-1.0000000000000001E-5</v>
      </c>
      <c r="K35" s="211">
        <f>IFERROR(IF($C35="",-0.00001,SUMIFS(Database!AM:AM,Database!$AD:$AD,$C35)),-0.00001)</f>
        <v>-1.0000000000000001E-5</v>
      </c>
      <c r="L35" s="211">
        <f>IFERROR(IF($C35="",-0.00001,SUMIFS(Database!AN:AN,Database!$AD:$AD,$C35)),-0.00001)</f>
        <v>-1.0000000000000001E-5</v>
      </c>
      <c r="M35" s="211">
        <f>IFERROR(IF($C35="",-0.00001,SUMIFS(Database!AO:AO,Database!$AD:$AD,$C35)),-0.00001)</f>
        <v>-1.0000000000000001E-5</v>
      </c>
      <c r="N35" s="211">
        <f>IFERROR(IF($C35="",-0.00001,SUMIFS(Database!AP:AP,Database!$AD:$AD,$C35)),-0.00001)</f>
        <v>-1.0000000000000001E-5</v>
      </c>
      <c r="O35" s="212">
        <f t="shared" si="0"/>
        <v>-1.0000000000000001E-5</v>
      </c>
      <c r="P35" s="211">
        <f>IFERROR(IF($C35="",-0.00001,SUMIFS(Database!AR:AR,Database!$AD:$AD,$C35)),-0.00001)</f>
        <v>-1.0000000000000001E-5</v>
      </c>
      <c r="Q35" s="212">
        <f>IFERROR(IF($C35="",-0.00001,SUMIFS(Database!AS:AS,Database!$AD:$AD,$C35)),-0.00001)</f>
        <v>-1.0000000000000001E-5</v>
      </c>
      <c r="R35" s="212">
        <f t="shared" si="1"/>
        <v>-1.0000000000000001E-5</v>
      </c>
      <c r="S35" s="211">
        <f>IFERROR(IF($C35="",-0.00001,SUMIFS(Database!AU:AU,Database!$AD:$AD,$C35)),-0.00001)</f>
        <v>-1.0000000000000001E-5</v>
      </c>
      <c r="T35" s="211">
        <f>IFERROR(IF($C35="",-0.00001,SUMIFS(Database!AV:AV,Database!$AD:$AD,$C35)),-0.00001)</f>
        <v>-1.0000000000000001E-5</v>
      </c>
      <c r="U35" s="212">
        <f t="shared" si="2"/>
        <v>-1.0000000000000001E-5</v>
      </c>
      <c r="V35" s="187"/>
      <c r="W35" s="187"/>
      <c r="X35" s="187"/>
      <c r="Y35" s="187"/>
      <c r="Z35" s="187"/>
      <c r="AA35" s="187"/>
      <c r="AB35" s="187"/>
      <c r="AC35" s="187"/>
      <c r="AD35" s="187"/>
      <c r="AE35" s="187"/>
      <c r="AF35" s="187"/>
    </row>
    <row r="36" spans="1:32" x14ac:dyDescent="0.25">
      <c r="A36" s="187"/>
      <c r="B36" s="187" t="str">
        <f>IF($C36="","",MAX($B$4:$B35)+1)</f>
        <v/>
      </c>
      <c r="C36" s="145"/>
      <c r="D36" s="185">
        <f>IF($C36="",-0.00001,COUNTIF(Database!AD:AD,$C36))</f>
        <v>-1.0000000000000001E-5</v>
      </c>
      <c r="E36" s="211">
        <f>IFERROR(IF($C36="",-0.00001,SUMIFS(Database!AG:AG,Database!$AD:$AD,$C36)),-0.00001)</f>
        <v>-1.0000000000000001E-5</v>
      </c>
      <c r="F36" s="211">
        <f>IFERROR(IF($C36="",-0.00001,SUMIFS(Database!AH:AH,Database!$AD:$AD,$C36)),-0.00001)</f>
        <v>-1.0000000000000001E-5</v>
      </c>
      <c r="G36" s="211">
        <f>IFERROR(IF($C36="",-0.00001,SUMIFS(Database!AI:AI,Database!$AD:$AD,$C36)),-0.00001)</f>
        <v>-1.0000000000000001E-5</v>
      </c>
      <c r="H36" s="211">
        <f>IFERROR(IF($C36="",-0.00001,SUMIFS(Database!AJ:AJ,Database!$AD:$AD,$C36)),-0.00001)</f>
        <v>-1.0000000000000001E-5</v>
      </c>
      <c r="I36" s="211">
        <f>IFERROR(IF($C36="",-0.00001,SUMIFS(Database!AK:AK,Database!$AD:$AD,$C36)),-0.00001)</f>
        <v>-1.0000000000000001E-5</v>
      </c>
      <c r="J36" s="211">
        <f>IFERROR(IF($C36="",-0.00001,SUMIFS(Database!AL:AL,Database!$AD:$AD,$C36)),-0.00001)</f>
        <v>-1.0000000000000001E-5</v>
      </c>
      <c r="K36" s="211">
        <f>IFERROR(IF($C36="",-0.00001,SUMIFS(Database!AM:AM,Database!$AD:$AD,$C36)),-0.00001)</f>
        <v>-1.0000000000000001E-5</v>
      </c>
      <c r="L36" s="211">
        <f>IFERROR(IF($C36="",-0.00001,SUMIFS(Database!AN:AN,Database!$AD:$AD,$C36)),-0.00001)</f>
        <v>-1.0000000000000001E-5</v>
      </c>
      <c r="M36" s="211">
        <f>IFERROR(IF($C36="",-0.00001,SUMIFS(Database!AO:AO,Database!$AD:$AD,$C36)),-0.00001)</f>
        <v>-1.0000000000000001E-5</v>
      </c>
      <c r="N36" s="211">
        <f>IFERROR(IF($C36="",-0.00001,SUMIFS(Database!AP:AP,Database!$AD:$AD,$C36)),-0.00001)</f>
        <v>-1.0000000000000001E-5</v>
      </c>
      <c r="O36" s="212">
        <f t="shared" si="0"/>
        <v>-1.0000000000000001E-5</v>
      </c>
      <c r="P36" s="211">
        <f>IFERROR(IF($C36="",-0.00001,SUMIFS(Database!AR:AR,Database!$AD:$AD,$C36)),-0.00001)</f>
        <v>-1.0000000000000001E-5</v>
      </c>
      <c r="Q36" s="212">
        <f>IFERROR(IF($C36="",-0.00001,SUMIFS(Database!AS:AS,Database!$AD:$AD,$C36)),-0.00001)</f>
        <v>-1.0000000000000001E-5</v>
      </c>
      <c r="R36" s="212">
        <f t="shared" si="1"/>
        <v>-1.0000000000000001E-5</v>
      </c>
      <c r="S36" s="211">
        <f>IFERROR(IF($C36="",-0.00001,SUMIFS(Database!AU:AU,Database!$AD:$AD,$C36)),-0.00001)</f>
        <v>-1.0000000000000001E-5</v>
      </c>
      <c r="T36" s="211">
        <f>IFERROR(IF($C36="",-0.00001,SUMIFS(Database!AV:AV,Database!$AD:$AD,$C36)),-0.00001)</f>
        <v>-1.0000000000000001E-5</v>
      </c>
      <c r="U36" s="212">
        <f t="shared" si="2"/>
        <v>-1.0000000000000001E-5</v>
      </c>
      <c r="V36" s="187"/>
      <c r="W36" s="187"/>
      <c r="X36" s="187"/>
      <c r="Y36" s="187"/>
      <c r="Z36" s="187"/>
      <c r="AA36" s="187"/>
      <c r="AB36" s="187"/>
      <c r="AC36" s="187"/>
      <c r="AD36" s="187"/>
      <c r="AE36" s="187"/>
      <c r="AF36" s="187"/>
    </row>
    <row r="37" spans="1:32" x14ac:dyDescent="0.25">
      <c r="A37" s="187"/>
      <c r="B37" s="187" t="str">
        <f>IF($C37="","",MAX($B$4:$B36)+1)</f>
        <v/>
      </c>
      <c r="C37" s="145"/>
      <c r="D37" s="185">
        <f>IF($C37="",-0.00001,COUNTIF(Database!AD:AD,$C37))</f>
        <v>-1.0000000000000001E-5</v>
      </c>
      <c r="E37" s="211">
        <f>IFERROR(IF($C37="",-0.00001,SUMIFS(Database!AG:AG,Database!$AD:$AD,$C37)),-0.00001)</f>
        <v>-1.0000000000000001E-5</v>
      </c>
      <c r="F37" s="211">
        <f>IFERROR(IF($C37="",-0.00001,SUMIFS(Database!AH:AH,Database!$AD:$AD,$C37)),-0.00001)</f>
        <v>-1.0000000000000001E-5</v>
      </c>
      <c r="G37" s="211">
        <f>IFERROR(IF($C37="",-0.00001,SUMIFS(Database!AI:AI,Database!$AD:$AD,$C37)),-0.00001)</f>
        <v>-1.0000000000000001E-5</v>
      </c>
      <c r="H37" s="211">
        <f>IFERROR(IF($C37="",-0.00001,SUMIFS(Database!AJ:AJ,Database!$AD:$AD,$C37)),-0.00001)</f>
        <v>-1.0000000000000001E-5</v>
      </c>
      <c r="I37" s="211">
        <f>IFERROR(IF($C37="",-0.00001,SUMIFS(Database!AK:AK,Database!$AD:$AD,$C37)),-0.00001)</f>
        <v>-1.0000000000000001E-5</v>
      </c>
      <c r="J37" s="211">
        <f>IFERROR(IF($C37="",-0.00001,SUMIFS(Database!AL:AL,Database!$AD:$AD,$C37)),-0.00001)</f>
        <v>-1.0000000000000001E-5</v>
      </c>
      <c r="K37" s="211">
        <f>IFERROR(IF($C37="",-0.00001,SUMIFS(Database!AM:AM,Database!$AD:$AD,$C37)),-0.00001)</f>
        <v>-1.0000000000000001E-5</v>
      </c>
      <c r="L37" s="211">
        <f>IFERROR(IF($C37="",-0.00001,SUMIFS(Database!AN:AN,Database!$AD:$AD,$C37)),-0.00001)</f>
        <v>-1.0000000000000001E-5</v>
      </c>
      <c r="M37" s="211">
        <f>IFERROR(IF($C37="",-0.00001,SUMIFS(Database!AO:AO,Database!$AD:$AD,$C37)),-0.00001)</f>
        <v>-1.0000000000000001E-5</v>
      </c>
      <c r="N37" s="211">
        <f>IFERROR(IF($C37="",-0.00001,SUMIFS(Database!AP:AP,Database!$AD:$AD,$C37)),-0.00001)</f>
        <v>-1.0000000000000001E-5</v>
      </c>
      <c r="O37" s="212">
        <f t="shared" si="0"/>
        <v>-1.0000000000000001E-5</v>
      </c>
      <c r="P37" s="211">
        <f>IFERROR(IF($C37="",-0.00001,SUMIFS(Database!AR:AR,Database!$AD:$AD,$C37)),-0.00001)</f>
        <v>-1.0000000000000001E-5</v>
      </c>
      <c r="Q37" s="212">
        <f>IFERROR(IF($C37="",-0.00001,SUMIFS(Database!AS:AS,Database!$AD:$AD,$C37)),-0.00001)</f>
        <v>-1.0000000000000001E-5</v>
      </c>
      <c r="R37" s="212">
        <f t="shared" si="1"/>
        <v>-1.0000000000000001E-5</v>
      </c>
      <c r="S37" s="211">
        <f>IFERROR(IF($C37="",-0.00001,SUMIFS(Database!AU:AU,Database!$AD:$AD,$C37)),-0.00001)</f>
        <v>-1.0000000000000001E-5</v>
      </c>
      <c r="T37" s="211">
        <f>IFERROR(IF($C37="",-0.00001,SUMIFS(Database!AV:AV,Database!$AD:$AD,$C37)),-0.00001)</f>
        <v>-1.0000000000000001E-5</v>
      </c>
      <c r="U37" s="212">
        <f t="shared" si="2"/>
        <v>-1.0000000000000001E-5</v>
      </c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</row>
    <row r="38" spans="1:32" x14ac:dyDescent="0.25">
      <c r="A38" s="187"/>
      <c r="B38" s="187" t="str">
        <f>IF($C38="","",MAX($B$4:$B37)+1)</f>
        <v/>
      </c>
      <c r="C38" s="145"/>
      <c r="D38" s="185">
        <f>IF($C38="",-0.00001,COUNTIF(Database!AD:AD,$C38))</f>
        <v>-1.0000000000000001E-5</v>
      </c>
      <c r="E38" s="211">
        <f>IFERROR(IF($C38="",-0.00001,SUMIFS(Database!AG:AG,Database!$AD:$AD,$C38)),-0.00001)</f>
        <v>-1.0000000000000001E-5</v>
      </c>
      <c r="F38" s="211">
        <f>IFERROR(IF($C38="",-0.00001,SUMIFS(Database!AH:AH,Database!$AD:$AD,$C38)),-0.00001)</f>
        <v>-1.0000000000000001E-5</v>
      </c>
      <c r="G38" s="211">
        <f>IFERROR(IF($C38="",-0.00001,SUMIFS(Database!AI:AI,Database!$AD:$AD,$C38)),-0.00001)</f>
        <v>-1.0000000000000001E-5</v>
      </c>
      <c r="H38" s="211">
        <f>IFERROR(IF($C38="",-0.00001,SUMIFS(Database!AJ:AJ,Database!$AD:$AD,$C38)),-0.00001)</f>
        <v>-1.0000000000000001E-5</v>
      </c>
      <c r="I38" s="211">
        <f>IFERROR(IF($C38="",-0.00001,SUMIFS(Database!AK:AK,Database!$AD:$AD,$C38)),-0.00001)</f>
        <v>-1.0000000000000001E-5</v>
      </c>
      <c r="J38" s="211">
        <f>IFERROR(IF($C38="",-0.00001,SUMIFS(Database!AL:AL,Database!$AD:$AD,$C38)),-0.00001)</f>
        <v>-1.0000000000000001E-5</v>
      </c>
      <c r="K38" s="211">
        <f>IFERROR(IF($C38="",-0.00001,SUMIFS(Database!AM:AM,Database!$AD:$AD,$C38)),-0.00001)</f>
        <v>-1.0000000000000001E-5</v>
      </c>
      <c r="L38" s="211">
        <f>IFERROR(IF($C38="",-0.00001,SUMIFS(Database!AN:AN,Database!$AD:$AD,$C38)),-0.00001)</f>
        <v>-1.0000000000000001E-5</v>
      </c>
      <c r="M38" s="211">
        <f>IFERROR(IF($C38="",-0.00001,SUMIFS(Database!AO:AO,Database!$AD:$AD,$C38)),-0.00001)</f>
        <v>-1.0000000000000001E-5</v>
      </c>
      <c r="N38" s="211">
        <f>IFERROR(IF($C38="",-0.00001,SUMIFS(Database!AP:AP,Database!$AD:$AD,$C38)),-0.00001)</f>
        <v>-1.0000000000000001E-5</v>
      </c>
      <c r="O38" s="212">
        <f t="shared" si="0"/>
        <v>-1.0000000000000001E-5</v>
      </c>
      <c r="P38" s="211">
        <f>IFERROR(IF($C38="",-0.00001,SUMIFS(Database!AR:AR,Database!$AD:$AD,$C38)),-0.00001)</f>
        <v>-1.0000000000000001E-5</v>
      </c>
      <c r="Q38" s="212">
        <f>IFERROR(IF($C38="",-0.00001,SUMIFS(Database!AS:AS,Database!$AD:$AD,$C38)),-0.00001)</f>
        <v>-1.0000000000000001E-5</v>
      </c>
      <c r="R38" s="212">
        <f t="shared" si="1"/>
        <v>-1.0000000000000001E-5</v>
      </c>
      <c r="S38" s="211">
        <f>IFERROR(IF($C38="",-0.00001,SUMIFS(Database!AU:AU,Database!$AD:$AD,$C38)),-0.00001)</f>
        <v>-1.0000000000000001E-5</v>
      </c>
      <c r="T38" s="211">
        <f>IFERROR(IF($C38="",-0.00001,SUMIFS(Database!AV:AV,Database!$AD:$AD,$C38)),-0.00001)</f>
        <v>-1.0000000000000001E-5</v>
      </c>
      <c r="U38" s="212">
        <f t="shared" si="2"/>
        <v>-1.0000000000000001E-5</v>
      </c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</row>
    <row r="39" spans="1:32" x14ac:dyDescent="0.25">
      <c r="A39" s="187"/>
      <c r="B39" s="187" t="str">
        <f>IF($C39="","",MAX($B$4:$B38)+1)</f>
        <v/>
      </c>
      <c r="C39" s="145"/>
      <c r="D39" s="185">
        <f>IF($C39="",-0.00001,COUNTIF(Database!AD:AD,$C39))</f>
        <v>-1.0000000000000001E-5</v>
      </c>
      <c r="E39" s="211">
        <f>IFERROR(IF($C39="",-0.00001,SUMIFS(Database!AG:AG,Database!$AD:$AD,$C39)),-0.00001)</f>
        <v>-1.0000000000000001E-5</v>
      </c>
      <c r="F39" s="211">
        <f>IFERROR(IF($C39="",-0.00001,SUMIFS(Database!AH:AH,Database!$AD:$AD,$C39)),-0.00001)</f>
        <v>-1.0000000000000001E-5</v>
      </c>
      <c r="G39" s="211">
        <f>IFERROR(IF($C39="",-0.00001,SUMIFS(Database!AI:AI,Database!$AD:$AD,$C39)),-0.00001)</f>
        <v>-1.0000000000000001E-5</v>
      </c>
      <c r="H39" s="211">
        <f>IFERROR(IF($C39="",-0.00001,SUMIFS(Database!AJ:AJ,Database!$AD:$AD,$C39)),-0.00001)</f>
        <v>-1.0000000000000001E-5</v>
      </c>
      <c r="I39" s="211">
        <f>IFERROR(IF($C39="",-0.00001,SUMIFS(Database!AK:AK,Database!$AD:$AD,$C39)),-0.00001)</f>
        <v>-1.0000000000000001E-5</v>
      </c>
      <c r="J39" s="211">
        <f>IFERROR(IF($C39="",-0.00001,SUMIFS(Database!AL:AL,Database!$AD:$AD,$C39)),-0.00001)</f>
        <v>-1.0000000000000001E-5</v>
      </c>
      <c r="K39" s="211">
        <f>IFERROR(IF($C39="",-0.00001,SUMIFS(Database!AM:AM,Database!$AD:$AD,$C39)),-0.00001)</f>
        <v>-1.0000000000000001E-5</v>
      </c>
      <c r="L39" s="211">
        <f>IFERROR(IF($C39="",-0.00001,SUMIFS(Database!AN:AN,Database!$AD:$AD,$C39)),-0.00001)</f>
        <v>-1.0000000000000001E-5</v>
      </c>
      <c r="M39" s="211">
        <f>IFERROR(IF($C39="",-0.00001,SUMIFS(Database!AO:AO,Database!$AD:$AD,$C39)),-0.00001)</f>
        <v>-1.0000000000000001E-5</v>
      </c>
      <c r="N39" s="211">
        <f>IFERROR(IF($C39="",-0.00001,SUMIFS(Database!AP:AP,Database!$AD:$AD,$C39)),-0.00001)</f>
        <v>-1.0000000000000001E-5</v>
      </c>
      <c r="O39" s="212">
        <f t="shared" si="0"/>
        <v>-1.0000000000000001E-5</v>
      </c>
      <c r="P39" s="211">
        <f>IFERROR(IF($C39="",-0.00001,SUMIFS(Database!AR:AR,Database!$AD:$AD,$C39)),-0.00001)</f>
        <v>-1.0000000000000001E-5</v>
      </c>
      <c r="Q39" s="212">
        <f>IFERROR(IF($C39="",-0.00001,SUMIFS(Database!AS:AS,Database!$AD:$AD,$C39)),-0.00001)</f>
        <v>-1.0000000000000001E-5</v>
      </c>
      <c r="R39" s="212">
        <f t="shared" si="1"/>
        <v>-1.0000000000000001E-5</v>
      </c>
      <c r="S39" s="211">
        <f>IFERROR(IF($C39="",-0.00001,SUMIFS(Database!AU:AU,Database!$AD:$AD,$C39)),-0.00001)</f>
        <v>-1.0000000000000001E-5</v>
      </c>
      <c r="T39" s="211">
        <f>IFERROR(IF($C39="",-0.00001,SUMIFS(Database!AV:AV,Database!$AD:$AD,$C39)),-0.00001)</f>
        <v>-1.0000000000000001E-5</v>
      </c>
      <c r="U39" s="212">
        <f t="shared" si="2"/>
        <v>-1.0000000000000001E-5</v>
      </c>
      <c r="V39" s="187"/>
      <c r="W39" s="187"/>
      <c r="X39" s="187"/>
      <c r="Y39" s="187"/>
      <c r="Z39" s="187"/>
      <c r="AA39" s="187"/>
      <c r="AB39" s="187"/>
      <c r="AC39" s="187"/>
      <c r="AD39" s="187"/>
      <c r="AE39" s="187"/>
      <c r="AF39" s="187"/>
    </row>
    <row r="40" spans="1:32" x14ac:dyDescent="0.25">
      <c r="A40" s="187"/>
      <c r="B40" s="187" t="str">
        <f>IF($C40="","",MAX($B$4:$B39)+1)</f>
        <v/>
      </c>
      <c r="C40" s="145"/>
      <c r="D40" s="185">
        <f>IF($C40="",-0.00001,COUNTIF(Database!AD:AD,$C40))</f>
        <v>-1.0000000000000001E-5</v>
      </c>
      <c r="E40" s="211">
        <f>IFERROR(IF($C40="",-0.00001,SUMIFS(Database!AG:AG,Database!$AD:$AD,$C40)),-0.00001)</f>
        <v>-1.0000000000000001E-5</v>
      </c>
      <c r="F40" s="211">
        <f>IFERROR(IF($C40="",-0.00001,SUMIFS(Database!AH:AH,Database!$AD:$AD,$C40)),-0.00001)</f>
        <v>-1.0000000000000001E-5</v>
      </c>
      <c r="G40" s="211">
        <f>IFERROR(IF($C40="",-0.00001,SUMIFS(Database!AI:AI,Database!$AD:$AD,$C40)),-0.00001)</f>
        <v>-1.0000000000000001E-5</v>
      </c>
      <c r="H40" s="211">
        <f>IFERROR(IF($C40="",-0.00001,SUMIFS(Database!AJ:AJ,Database!$AD:$AD,$C40)),-0.00001)</f>
        <v>-1.0000000000000001E-5</v>
      </c>
      <c r="I40" s="211">
        <f>IFERROR(IF($C40="",-0.00001,SUMIFS(Database!AK:AK,Database!$AD:$AD,$C40)),-0.00001)</f>
        <v>-1.0000000000000001E-5</v>
      </c>
      <c r="J40" s="211">
        <f>IFERROR(IF($C40="",-0.00001,SUMIFS(Database!AL:AL,Database!$AD:$AD,$C40)),-0.00001)</f>
        <v>-1.0000000000000001E-5</v>
      </c>
      <c r="K40" s="211">
        <f>IFERROR(IF($C40="",-0.00001,SUMIFS(Database!AM:AM,Database!$AD:$AD,$C40)),-0.00001)</f>
        <v>-1.0000000000000001E-5</v>
      </c>
      <c r="L40" s="211">
        <f>IFERROR(IF($C40="",-0.00001,SUMIFS(Database!AN:AN,Database!$AD:$AD,$C40)),-0.00001)</f>
        <v>-1.0000000000000001E-5</v>
      </c>
      <c r="M40" s="211">
        <f>IFERROR(IF($C40="",-0.00001,SUMIFS(Database!AO:AO,Database!$AD:$AD,$C40)),-0.00001)</f>
        <v>-1.0000000000000001E-5</v>
      </c>
      <c r="N40" s="211">
        <f>IFERROR(IF($C40="",-0.00001,SUMIFS(Database!AP:AP,Database!$AD:$AD,$C40)),-0.00001)</f>
        <v>-1.0000000000000001E-5</v>
      </c>
      <c r="O40" s="212">
        <f t="shared" si="0"/>
        <v>-1.0000000000000001E-5</v>
      </c>
      <c r="P40" s="211">
        <f>IFERROR(IF($C40="",-0.00001,SUMIFS(Database!AR:AR,Database!$AD:$AD,$C40)),-0.00001)</f>
        <v>-1.0000000000000001E-5</v>
      </c>
      <c r="Q40" s="212">
        <f>IFERROR(IF($C40="",-0.00001,SUMIFS(Database!AS:AS,Database!$AD:$AD,$C40)),-0.00001)</f>
        <v>-1.0000000000000001E-5</v>
      </c>
      <c r="R40" s="212">
        <f t="shared" si="1"/>
        <v>-1.0000000000000001E-5</v>
      </c>
      <c r="S40" s="211">
        <f>IFERROR(IF($C40="",-0.00001,SUMIFS(Database!AU:AU,Database!$AD:$AD,$C40)),-0.00001)</f>
        <v>-1.0000000000000001E-5</v>
      </c>
      <c r="T40" s="211">
        <f>IFERROR(IF($C40="",-0.00001,SUMIFS(Database!AV:AV,Database!$AD:$AD,$C40)),-0.00001)</f>
        <v>-1.0000000000000001E-5</v>
      </c>
      <c r="U40" s="212">
        <f t="shared" si="2"/>
        <v>-1.0000000000000001E-5</v>
      </c>
      <c r="V40" s="187"/>
      <c r="W40" s="187"/>
      <c r="X40" s="187"/>
      <c r="Y40" s="187"/>
      <c r="Z40" s="187"/>
      <c r="AA40" s="187"/>
      <c r="AB40" s="187"/>
      <c r="AC40" s="187"/>
      <c r="AD40" s="187"/>
      <c r="AE40" s="187"/>
      <c r="AF40" s="187"/>
    </row>
    <row r="41" spans="1:32" x14ac:dyDescent="0.25">
      <c r="A41" s="187"/>
      <c r="B41" s="187" t="str">
        <f>IF($C41="","",MAX($B$4:$B40)+1)</f>
        <v/>
      </c>
      <c r="C41" s="145"/>
      <c r="D41" s="185">
        <f>IF($C41="",-0.00001,COUNTIF(Database!AD:AD,$C41))</f>
        <v>-1.0000000000000001E-5</v>
      </c>
      <c r="E41" s="211">
        <f>IFERROR(IF($C41="",-0.00001,SUMIFS(Database!AG:AG,Database!$AD:$AD,$C41)),-0.00001)</f>
        <v>-1.0000000000000001E-5</v>
      </c>
      <c r="F41" s="211">
        <f>IFERROR(IF($C41="",-0.00001,SUMIFS(Database!AH:AH,Database!$AD:$AD,$C41)),-0.00001)</f>
        <v>-1.0000000000000001E-5</v>
      </c>
      <c r="G41" s="211">
        <f>IFERROR(IF($C41="",-0.00001,SUMIFS(Database!AI:AI,Database!$AD:$AD,$C41)),-0.00001)</f>
        <v>-1.0000000000000001E-5</v>
      </c>
      <c r="H41" s="211">
        <f>IFERROR(IF($C41="",-0.00001,SUMIFS(Database!AJ:AJ,Database!$AD:$AD,$C41)),-0.00001)</f>
        <v>-1.0000000000000001E-5</v>
      </c>
      <c r="I41" s="211">
        <f>IFERROR(IF($C41="",-0.00001,SUMIFS(Database!AK:AK,Database!$AD:$AD,$C41)),-0.00001)</f>
        <v>-1.0000000000000001E-5</v>
      </c>
      <c r="J41" s="211">
        <f>IFERROR(IF($C41="",-0.00001,SUMIFS(Database!AL:AL,Database!$AD:$AD,$C41)),-0.00001)</f>
        <v>-1.0000000000000001E-5</v>
      </c>
      <c r="K41" s="211">
        <f>IFERROR(IF($C41="",-0.00001,SUMIFS(Database!AM:AM,Database!$AD:$AD,$C41)),-0.00001)</f>
        <v>-1.0000000000000001E-5</v>
      </c>
      <c r="L41" s="211">
        <f>IFERROR(IF($C41="",-0.00001,SUMIFS(Database!AN:AN,Database!$AD:$AD,$C41)),-0.00001)</f>
        <v>-1.0000000000000001E-5</v>
      </c>
      <c r="M41" s="211">
        <f>IFERROR(IF($C41="",-0.00001,SUMIFS(Database!AO:AO,Database!$AD:$AD,$C41)),-0.00001)</f>
        <v>-1.0000000000000001E-5</v>
      </c>
      <c r="N41" s="211">
        <f>IFERROR(IF($C41="",-0.00001,SUMIFS(Database!AP:AP,Database!$AD:$AD,$C41)),-0.00001)</f>
        <v>-1.0000000000000001E-5</v>
      </c>
      <c r="O41" s="212">
        <f t="shared" si="0"/>
        <v>-1.0000000000000001E-5</v>
      </c>
      <c r="P41" s="211">
        <f>IFERROR(IF($C41="",-0.00001,SUMIFS(Database!AR:AR,Database!$AD:$AD,$C41)),-0.00001)</f>
        <v>-1.0000000000000001E-5</v>
      </c>
      <c r="Q41" s="212">
        <f>IFERROR(IF($C41="",-0.00001,SUMIFS(Database!AS:AS,Database!$AD:$AD,$C41)),-0.00001)</f>
        <v>-1.0000000000000001E-5</v>
      </c>
      <c r="R41" s="212">
        <f t="shared" si="1"/>
        <v>-1.0000000000000001E-5</v>
      </c>
      <c r="S41" s="211">
        <f>IFERROR(IF($C41="",-0.00001,SUMIFS(Database!AU:AU,Database!$AD:$AD,$C41)),-0.00001)</f>
        <v>-1.0000000000000001E-5</v>
      </c>
      <c r="T41" s="211">
        <f>IFERROR(IF($C41="",-0.00001,SUMIFS(Database!AV:AV,Database!$AD:$AD,$C41)),-0.00001)</f>
        <v>-1.0000000000000001E-5</v>
      </c>
      <c r="U41" s="212">
        <f t="shared" si="2"/>
        <v>-1.0000000000000001E-5</v>
      </c>
      <c r="V41" s="187"/>
      <c r="W41" s="187"/>
      <c r="X41" s="187"/>
      <c r="Y41" s="187"/>
      <c r="Z41" s="187"/>
      <c r="AA41" s="187"/>
      <c r="AB41" s="187"/>
      <c r="AC41" s="187"/>
      <c r="AD41" s="187"/>
      <c r="AE41" s="187"/>
      <c r="AF41" s="187"/>
    </row>
    <row r="42" spans="1:32" x14ac:dyDescent="0.25">
      <c r="A42" s="187"/>
      <c r="B42" s="187" t="str">
        <f>IF($C42="","",MAX($B$4:$B41)+1)</f>
        <v/>
      </c>
      <c r="C42" s="145"/>
      <c r="D42" s="185">
        <f>IF($C42="",-0.00001,COUNTIF(Database!AD:AD,$C42))</f>
        <v>-1.0000000000000001E-5</v>
      </c>
      <c r="E42" s="211">
        <f>IFERROR(IF($C42="",-0.00001,SUMIFS(Database!AG:AG,Database!$AD:$AD,$C42)),-0.00001)</f>
        <v>-1.0000000000000001E-5</v>
      </c>
      <c r="F42" s="211">
        <f>IFERROR(IF($C42="",-0.00001,SUMIFS(Database!AH:AH,Database!$AD:$AD,$C42)),-0.00001)</f>
        <v>-1.0000000000000001E-5</v>
      </c>
      <c r="G42" s="211">
        <f>IFERROR(IF($C42="",-0.00001,SUMIFS(Database!AI:AI,Database!$AD:$AD,$C42)),-0.00001)</f>
        <v>-1.0000000000000001E-5</v>
      </c>
      <c r="H42" s="211">
        <f>IFERROR(IF($C42="",-0.00001,SUMIFS(Database!AJ:AJ,Database!$AD:$AD,$C42)),-0.00001)</f>
        <v>-1.0000000000000001E-5</v>
      </c>
      <c r="I42" s="211">
        <f>IFERROR(IF($C42="",-0.00001,SUMIFS(Database!AK:AK,Database!$AD:$AD,$C42)),-0.00001)</f>
        <v>-1.0000000000000001E-5</v>
      </c>
      <c r="J42" s="211">
        <f>IFERROR(IF($C42="",-0.00001,SUMIFS(Database!AL:AL,Database!$AD:$AD,$C42)),-0.00001)</f>
        <v>-1.0000000000000001E-5</v>
      </c>
      <c r="K42" s="211">
        <f>IFERROR(IF($C42="",-0.00001,SUMIFS(Database!AM:AM,Database!$AD:$AD,$C42)),-0.00001)</f>
        <v>-1.0000000000000001E-5</v>
      </c>
      <c r="L42" s="211">
        <f>IFERROR(IF($C42="",-0.00001,SUMIFS(Database!AN:AN,Database!$AD:$AD,$C42)),-0.00001)</f>
        <v>-1.0000000000000001E-5</v>
      </c>
      <c r="M42" s="211">
        <f>IFERROR(IF($C42="",-0.00001,SUMIFS(Database!AO:AO,Database!$AD:$AD,$C42)),-0.00001)</f>
        <v>-1.0000000000000001E-5</v>
      </c>
      <c r="N42" s="211">
        <f>IFERROR(IF($C42="",-0.00001,SUMIFS(Database!AP:AP,Database!$AD:$AD,$C42)),-0.00001)</f>
        <v>-1.0000000000000001E-5</v>
      </c>
      <c r="O42" s="212">
        <f t="shared" si="0"/>
        <v>-1.0000000000000001E-5</v>
      </c>
      <c r="P42" s="211">
        <f>IFERROR(IF($C42="",-0.00001,SUMIFS(Database!AR:AR,Database!$AD:$AD,$C42)),-0.00001)</f>
        <v>-1.0000000000000001E-5</v>
      </c>
      <c r="Q42" s="212">
        <f>IFERROR(IF($C42="",-0.00001,SUMIFS(Database!AS:AS,Database!$AD:$AD,$C42)),-0.00001)</f>
        <v>-1.0000000000000001E-5</v>
      </c>
      <c r="R42" s="212">
        <f t="shared" si="1"/>
        <v>-1.0000000000000001E-5</v>
      </c>
      <c r="S42" s="211">
        <f>IFERROR(IF($C42="",-0.00001,SUMIFS(Database!AU:AU,Database!$AD:$AD,$C42)),-0.00001)</f>
        <v>-1.0000000000000001E-5</v>
      </c>
      <c r="T42" s="211">
        <f>IFERROR(IF($C42="",-0.00001,SUMIFS(Database!AV:AV,Database!$AD:$AD,$C42)),-0.00001)</f>
        <v>-1.0000000000000001E-5</v>
      </c>
      <c r="U42" s="212">
        <f t="shared" si="2"/>
        <v>-1.0000000000000001E-5</v>
      </c>
      <c r="V42" s="187"/>
      <c r="W42" s="187"/>
      <c r="X42" s="187"/>
      <c r="Y42" s="187"/>
      <c r="Z42" s="187"/>
      <c r="AA42" s="187"/>
      <c r="AB42" s="187"/>
      <c r="AC42" s="187"/>
      <c r="AD42" s="187"/>
      <c r="AE42" s="187"/>
      <c r="AF42" s="187"/>
    </row>
    <row r="43" spans="1:32" x14ac:dyDescent="0.25">
      <c r="A43" s="187"/>
      <c r="B43" s="187" t="str">
        <f>IF($C43="","",MAX($B$4:$B42)+1)</f>
        <v/>
      </c>
      <c r="C43" s="145"/>
      <c r="D43" s="185">
        <f>IF($C43="",-0.00001,COUNTIF(Database!AD:AD,$C43))</f>
        <v>-1.0000000000000001E-5</v>
      </c>
      <c r="E43" s="211">
        <f>IFERROR(IF($C43="",-0.00001,SUMIFS(Database!AG:AG,Database!$AD:$AD,$C43)),-0.00001)</f>
        <v>-1.0000000000000001E-5</v>
      </c>
      <c r="F43" s="211">
        <f>IFERROR(IF($C43="",-0.00001,SUMIFS(Database!AH:AH,Database!$AD:$AD,$C43)),-0.00001)</f>
        <v>-1.0000000000000001E-5</v>
      </c>
      <c r="G43" s="211">
        <f>IFERROR(IF($C43="",-0.00001,SUMIFS(Database!AI:AI,Database!$AD:$AD,$C43)),-0.00001)</f>
        <v>-1.0000000000000001E-5</v>
      </c>
      <c r="H43" s="211">
        <f>IFERROR(IF($C43="",-0.00001,SUMIFS(Database!AJ:AJ,Database!$AD:$AD,$C43)),-0.00001)</f>
        <v>-1.0000000000000001E-5</v>
      </c>
      <c r="I43" s="211">
        <f>IFERROR(IF($C43="",-0.00001,SUMIFS(Database!AK:AK,Database!$AD:$AD,$C43)),-0.00001)</f>
        <v>-1.0000000000000001E-5</v>
      </c>
      <c r="J43" s="211">
        <f>IFERROR(IF($C43="",-0.00001,SUMIFS(Database!AL:AL,Database!$AD:$AD,$C43)),-0.00001)</f>
        <v>-1.0000000000000001E-5</v>
      </c>
      <c r="K43" s="211">
        <f>IFERROR(IF($C43="",-0.00001,SUMIFS(Database!AM:AM,Database!$AD:$AD,$C43)),-0.00001)</f>
        <v>-1.0000000000000001E-5</v>
      </c>
      <c r="L43" s="211">
        <f>IFERROR(IF($C43="",-0.00001,SUMIFS(Database!AN:AN,Database!$AD:$AD,$C43)),-0.00001)</f>
        <v>-1.0000000000000001E-5</v>
      </c>
      <c r="M43" s="211">
        <f>IFERROR(IF($C43="",-0.00001,SUMIFS(Database!AO:AO,Database!$AD:$AD,$C43)),-0.00001)</f>
        <v>-1.0000000000000001E-5</v>
      </c>
      <c r="N43" s="211">
        <f>IFERROR(IF($C43="",-0.00001,SUMIFS(Database!AP:AP,Database!$AD:$AD,$C43)),-0.00001)</f>
        <v>-1.0000000000000001E-5</v>
      </c>
      <c r="O43" s="212">
        <f t="shared" si="0"/>
        <v>-1.0000000000000001E-5</v>
      </c>
      <c r="P43" s="211">
        <f>IFERROR(IF($C43="",-0.00001,SUMIFS(Database!AR:AR,Database!$AD:$AD,$C43)),-0.00001)</f>
        <v>-1.0000000000000001E-5</v>
      </c>
      <c r="Q43" s="212">
        <f>IFERROR(IF($C43="",-0.00001,SUMIFS(Database!AS:AS,Database!$AD:$AD,$C43)),-0.00001)</f>
        <v>-1.0000000000000001E-5</v>
      </c>
      <c r="R43" s="212">
        <f t="shared" si="1"/>
        <v>-1.0000000000000001E-5</v>
      </c>
      <c r="S43" s="211">
        <f>IFERROR(IF($C43="",-0.00001,SUMIFS(Database!AU:AU,Database!$AD:$AD,$C43)),-0.00001)</f>
        <v>-1.0000000000000001E-5</v>
      </c>
      <c r="T43" s="211">
        <f>IFERROR(IF($C43="",-0.00001,SUMIFS(Database!AV:AV,Database!$AD:$AD,$C43)),-0.00001)</f>
        <v>-1.0000000000000001E-5</v>
      </c>
      <c r="U43" s="212">
        <f t="shared" si="2"/>
        <v>-1.0000000000000001E-5</v>
      </c>
      <c r="V43" s="187"/>
      <c r="W43" s="187"/>
      <c r="X43" s="187"/>
      <c r="Y43" s="187"/>
      <c r="Z43" s="187"/>
      <c r="AA43" s="187"/>
      <c r="AB43" s="187"/>
      <c r="AC43" s="187"/>
      <c r="AD43" s="187"/>
      <c r="AE43" s="187"/>
      <c r="AF43" s="187"/>
    </row>
    <row r="44" spans="1:32" x14ac:dyDescent="0.25">
      <c r="A44" s="187"/>
      <c r="B44" s="187" t="str">
        <f>IF($C44="","",MAX($B$4:$B43)+1)</f>
        <v/>
      </c>
      <c r="C44" s="145"/>
      <c r="D44" s="185">
        <f>IF($C44="",-0.00001,COUNTIF(Database!AD:AD,$C44))</f>
        <v>-1.0000000000000001E-5</v>
      </c>
      <c r="E44" s="211">
        <f>IFERROR(IF($C44="",-0.00001,SUMIFS(Database!AG:AG,Database!$AD:$AD,$C44)),-0.00001)</f>
        <v>-1.0000000000000001E-5</v>
      </c>
      <c r="F44" s="211">
        <f>IFERROR(IF($C44="",-0.00001,SUMIFS(Database!AH:AH,Database!$AD:$AD,$C44)),-0.00001)</f>
        <v>-1.0000000000000001E-5</v>
      </c>
      <c r="G44" s="211">
        <f>IFERROR(IF($C44="",-0.00001,SUMIFS(Database!AI:AI,Database!$AD:$AD,$C44)),-0.00001)</f>
        <v>-1.0000000000000001E-5</v>
      </c>
      <c r="H44" s="211">
        <f>IFERROR(IF($C44="",-0.00001,SUMIFS(Database!AJ:AJ,Database!$AD:$AD,$C44)),-0.00001)</f>
        <v>-1.0000000000000001E-5</v>
      </c>
      <c r="I44" s="211">
        <f>IFERROR(IF($C44="",-0.00001,SUMIFS(Database!AK:AK,Database!$AD:$AD,$C44)),-0.00001)</f>
        <v>-1.0000000000000001E-5</v>
      </c>
      <c r="J44" s="211">
        <f>IFERROR(IF($C44="",-0.00001,SUMIFS(Database!AL:AL,Database!$AD:$AD,$C44)),-0.00001)</f>
        <v>-1.0000000000000001E-5</v>
      </c>
      <c r="K44" s="211">
        <f>IFERROR(IF($C44="",-0.00001,SUMIFS(Database!AM:AM,Database!$AD:$AD,$C44)),-0.00001)</f>
        <v>-1.0000000000000001E-5</v>
      </c>
      <c r="L44" s="211">
        <f>IFERROR(IF($C44="",-0.00001,SUMIFS(Database!AN:AN,Database!$AD:$AD,$C44)),-0.00001)</f>
        <v>-1.0000000000000001E-5</v>
      </c>
      <c r="M44" s="211">
        <f>IFERROR(IF($C44="",-0.00001,SUMIFS(Database!AO:AO,Database!$AD:$AD,$C44)),-0.00001)</f>
        <v>-1.0000000000000001E-5</v>
      </c>
      <c r="N44" s="211">
        <f>IFERROR(IF($C44="",-0.00001,SUMIFS(Database!AP:AP,Database!$AD:$AD,$C44)),-0.00001)</f>
        <v>-1.0000000000000001E-5</v>
      </c>
      <c r="O44" s="212">
        <f t="shared" si="0"/>
        <v>-1.0000000000000001E-5</v>
      </c>
      <c r="P44" s="211">
        <f>IFERROR(IF($C44="",-0.00001,SUMIFS(Database!AR:AR,Database!$AD:$AD,$C44)),-0.00001)</f>
        <v>-1.0000000000000001E-5</v>
      </c>
      <c r="Q44" s="212">
        <f>IFERROR(IF($C44="",-0.00001,SUMIFS(Database!AS:AS,Database!$AD:$AD,$C44)),-0.00001)</f>
        <v>-1.0000000000000001E-5</v>
      </c>
      <c r="R44" s="212">
        <f t="shared" si="1"/>
        <v>-1.0000000000000001E-5</v>
      </c>
      <c r="S44" s="211">
        <f>IFERROR(IF($C44="",-0.00001,SUMIFS(Database!AU:AU,Database!$AD:$AD,$C44)),-0.00001)</f>
        <v>-1.0000000000000001E-5</v>
      </c>
      <c r="T44" s="211">
        <f>IFERROR(IF($C44="",-0.00001,SUMIFS(Database!AV:AV,Database!$AD:$AD,$C44)),-0.00001)</f>
        <v>-1.0000000000000001E-5</v>
      </c>
      <c r="U44" s="212">
        <f t="shared" si="2"/>
        <v>-1.0000000000000001E-5</v>
      </c>
      <c r="V44" s="187"/>
      <c r="W44" s="187"/>
      <c r="X44" s="187"/>
      <c r="Y44" s="187"/>
      <c r="Z44" s="187"/>
      <c r="AA44" s="187"/>
      <c r="AB44" s="187"/>
      <c r="AC44" s="187"/>
      <c r="AD44" s="187"/>
      <c r="AE44" s="187"/>
      <c r="AF44" s="187"/>
    </row>
    <row r="45" spans="1:32" x14ac:dyDescent="0.25">
      <c r="A45" s="187"/>
      <c r="B45" s="187" t="str">
        <f>IF($C45="","",MAX($B$4:$B44)+1)</f>
        <v/>
      </c>
      <c r="C45" s="145"/>
      <c r="D45" s="185">
        <f>IF($C45="",-0.00001,COUNTIF(Database!AD:AD,$C45))</f>
        <v>-1.0000000000000001E-5</v>
      </c>
      <c r="E45" s="211">
        <f>IFERROR(IF($C45="",-0.00001,SUMIFS(Database!AG:AG,Database!$AD:$AD,$C45)),-0.00001)</f>
        <v>-1.0000000000000001E-5</v>
      </c>
      <c r="F45" s="211">
        <f>IFERROR(IF($C45="",-0.00001,SUMIFS(Database!AH:AH,Database!$AD:$AD,$C45)),-0.00001)</f>
        <v>-1.0000000000000001E-5</v>
      </c>
      <c r="G45" s="211">
        <f>IFERROR(IF($C45="",-0.00001,SUMIFS(Database!AI:AI,Database!$AD:$AD,$C45)),-0.00001)</f>
        <v>-1.0000000000000001E-5</v>
      </c>
      <c r="H45" s="211">
        <f>IFERROR(IF($C45="",-0.00001,SUMIFS(Database!AJ:AJ,Database!$AD:$AD,$C45)),-0.00001)</f>
        <v>-1.0000000000000001E-5</v>
      </c>
      <c r="I45" s="211">
        <f>IFERROR(IF($C45="",-0.00001,SUMIFS(Database!AK:AK,Database!$AD:$AD,$C45)),-0.00001)</f>
        <v>-1.0000000000000001E-5</v>
      </c>
      <c r="J45" s="211">
        <f>IFERROR(IF($C45="",-0.00001,SUMIFS(Database!AL:AL,Database!$AD:$AD,$C45)),-0.00001)</f>
        <v>-1.0000000000000001E-5</v>
      </c>
      <c r="K45" s="211">
        <f>IFERROR(IF($C45="",-0.00001,SUMIFS(Database!AM:AM,Database!$AD:$AD,$C45)),-0.00001)</f>
        <v>-1.0000000000000001E-5</v>
      </c>
      <c r="L45" s="211">
        <f>IFERROR(IF($C45="",-0.00001,SUMIFS(Database!AN:AN,Database!$AD:$AD,$C45)),-0.00001)</f>
        <v>-1.0000000000000001E-5</v>
      </c>
      <c r="M45" s="211">
        <f>IFERROR(IF($C45="",-0.00001,SUMIFS(Database!AO:AO,Database!$AD:$AD,$C45)),-0.00001)</f>
        <v>-1.0000000000000001E-5</v>
      </c>
      <c r="N45" s="211">
        <f>IFERROR(IF($C45="",-0.00001,SUMIFS(Database!AP:AP,Database!$AD:$AD,$C45)),-0.00001)</f>
        <v>-1.0000000000000001E-5</v>
      </c>
      <c r="O45" s="212">
        <f t="shared" si="0"/>
        <v>-1.0000000000000001E-5</v>
      </c>
      <c r="P45" s="211">
        <f>IFERROR(IF($C45="",-0.00001,SUMIFS(Database!AR:AR,Database!$AD:$AD,$C45)),-0.00001)</f>
        <v>-1.0000000000000001E-5</v>
      </c>
      <c r="Q45" s="212">
        <f>IFERROR(IF($C45="",-0.00001,SUMIFS(Database!AS:AS,Database!$AD:$AD,$C45)),-0.00001)</f>
        <v>-1.0000000000000001E-5</v>
      </c>
      <c r="R45" s="212">
        <f t="shared" si="1"/>
        <v>-1.0000000000000001E-5</v>
      </c>
      <c r="S45" s="211">
        <f>IFERROR(IF($C45="",-0.00001,SUMIFS(Database!AU:AU,Database!$AD:$AD,$C45)),-0.00001)</f>
        <v>-1.0000000000000001E-5</v>
      </c>
      <c r="T45" s="211">
        <f>IFERROR(IF($C45="",-0.00001,SUMIFS(Database!AV:AV,Database!$AD:$AD,$C45)),-0.00001)</f>
        <v>-1.0000000000000001E-5</v>
      </c>
      <c r="U45" s="212">
        <f t="shared" si="2"/>
        <v>-1.0000000000000001E-5</v>
      </c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</row>
    <row r="46" spans="1:32" x14ac:dyDescent="0.25">
      <c r="A46" s="187"/>
      <c r="B46" s="187" t="str">
        <f>IF($C46="","",MAX($B$4:$B45)+1)</f>
        <v/>
      </c>
      <c r="C46" s="145"/>
      <c r="D46" s="185">
        <f>IF($C46="",-0.00001,COUNTIF(Database!AD:AD,$C46))</f>
        <v>-1.0000000000000001E-5</v>
      </c>
      <c r="E46" s="211">
        <f>IFERROR(IF($C46="",-0.00001,SUMIFS(Database!AG:AG,Database!$AD:$AD,$C46)),-0.00001)</f>
        <v>-1.0000000000000001E-5</v>
      </c>
      <c r="F46" s="211">
        <f>IFERROR(IF($C46="",-0.00001,SUMIFS(Database!AH:AH,Database!$AD:$AD,$C46)),-0.00001)</f>
        <v>-1.0000000000000001E-5</v>
      </c>
      <c r="G46" s="211">
        <f>IFERROR(IF($C46="",-0.00001,SUMIFS(Database!AI:AI,Database!$AD:$AD,$C46)),-0.00001)</f>
        <v>-1.0000000000000001E-5</v>
      </c>
      <c r="H46" s="211">
        <f>IFERROR(IF($C46="",-0.00001,SUMIFS(Database!AJ:AJ,Database!$AD:$AD,$C46)),-0.00001)</f>
        <v>-1.0000000000000001E-5</v>
      </c>
      <c r="I46" s="211">
        <f>IFERROR(IF($C46="",-0.00001,SUMIFS(Database!AK:AK,Database!$AD:$AD,$C46)),-0.00001)</f>
        <v>-1.0000000000000001E-5</v>
      </c>
      <c r="J46" s="211">
        <f>IFERROR(IF($C46="",-0.00001,SUMIFS(Database!AL:AL,Database!$AD:$AD,$C46)),-0.00001)</f>
        <v>-1.0000000000000001E-5</v>
      </c>
      <c r="K46" s="211">
        <f>IFERROR(IF($C46="",-0.00001,SUMIFS(Database!AM:AM,Database!$AD:$AD,$C46)),-0.00001)</f>
        <v>-1.0000000000000001E-5</v>
      </c>
      <c r="L46" s="211">
        <f>IFERROR(IF($C46="",-0.00001,SUMIFS(Database!AN:AN,Database!$AD:$AD,$C46)),-0.00001)</f>
        <v>-1.0000000000000001E-5</v>
      </c>
      <c r="M46" s="211">
        <f>IFERROR(IF($C46="",-0.00001,SUMIFS(Database!AO:AO,Database!$AD:$AD,$C46)),-0.00001)</f>
        <v>-1.0000000000000001E-5</v>
      </c>
      <c r="N46" s="211">
        <f>IFERROR(IF($C46="",-0.00001,SUMIFS(Database!AP:AP,Database!$AD:$AD,$C46)),-0.00001)</f>
        <v>-1.0000000000000001E-5</v>
      </c>
      <c r="O46" s="212">
        <f t="shared" si="0"/>
        <v>-1.0000000000000001E-5</v>
      </c>
      <c r="P46" s="211">
        <f>IFERROR(IF($C46="",-0.00001,SUMIFS(Database!AR:AR,Database!$AD:$AD,$C46)),-0.00001)</f>
        <v>-1.0000000000000001E-5</v>
      </c>
      <c r="Q46" s="212">
        <f>IFERROR(IF($C46="",-0.00001,SUMIFS(Database!AS:AS,Database!$AD:$AD,$C46)),-0.00001)</f>
        <v>-1.0000000000000001E-5</v>
      </c>
      <c r="R46" s="212">
        <f t="shared" si="1"/>
        <v>-1.0000000000000001E-5</v>
      </c>
      <c r="S46" s="211">
        <f>IFERROR(IF($C46="",-0.00001,SUMIFS(Database!AU:AU,Database!$AD:$AD,$C46)),-0.00001)</f>
        <v>-1.0000000000000001E-5</v>
      </c>
      <c r="T46" s="211">
        <f>IFERROR(IF($C46="",-0.00001,SUMIFS(Database!AV:AV,Database!$AD:$AD,$C46)),-0.00001)</f>
        <v>-1.0000000000000001E-5</v>
      </c>
      <c r="U46" s="212">
        <f t="shared" si="2"/>
        <v>-1.0000000000000001E-5</v>
      </c>
      <c r="V46" s="187"/>
      <c r="W46" s="187"/>
      <c r="X46" s="187"/>
      <c r="Y46" s="187"/>
      <c r="Z46" s="187"/>
      <c r="AA46" s="187"/>
      <c r="AB46" s="187"/>
      <c r="AC46" s="187"/>
      <c r="AD46" s="187"/>
      <c r="AE46" s="187"/>
      <c r="AF46" s="187"/>
    </row>
    <row r="47" spans="1:32" x14ac:dyDescent="0.25">
      <c r="A47" s="187"/>
      <c r="B47" s="187"/>
      <c r="C47" s="239"/>
      <c r="D47" s="189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4"/>
      <c r="P47" s="213"/>
      <c r="Q47" s="214"/>
      <c r="R47" s="214"/>
      <c r="S47" s="213"/>
      <c r="T47" s="213"/>
      <c r="U47" s="214"/>
      <c r="V47" s="187"/>
      <c r="W47" s="187"/>
      <c r="X47" s="187"/>
      <c r="Y47" s="187"/>
      <c r="Z47" s="187"/>
      <c r="AA47" s="187"/>
      <c r="AB47" s="187"/>
      <c r="AC47" s="187"/>
      <c r="AD47" s="187"/>
      <c r="AE47" s="187"/>
      <c r="AF47" s="187"/>
    </row>
    <row r="48" spans="1:32" x14ac:dyDescent="0.25">
      <c r="A48" s="187"/>
      <c r="B48" s="187"/>
      <c r="C48" s="23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90"/>
      <c r="P48" s="189"/>
      <c r="Q48" s="190"/>
      <c r="R48" s="190"/>
      <c r="S48" s="189"/>
      <c r="T48" s="189"/>
      <c r="U48" s="190"/>
      <c r="V48" s="187"/>
      <c r="W48" s="187"/>
      <c r="X48" s="187"/>
      <c r="Y48" s="187"/>
      <c r="Z48" s="187"/>
      <c r="AA48" s="187"/>
      <c r="AB48" s="187"/>
      <c r="AC48" s="187"/>
      <c r="AD48" s="187"/>
      <c r="AE48" s="187"/>
      <c r="AF48" s="187"/>
    </row>
  </sheetData>
  <sheetProtection algorithmName="SHA-512" hashValue="DdIq0AWJtlgpBqYz1lrkpsdNwA8VIxpe/OigMn0bSoa7dwPPHYPpcv3I7Z6q93gN1Sn8Jq7scu+QAbry3pMavg==" saltValue="EvEfAkqYu25cHqQsnpo0dQ==" spinCount="100000" sheet="1" objects="1" scenarios="1" selectLockedCells="1"/>
  <conditionalFormatting sqref="D4:U46">
    <cfRule type="cellIs" dxfId="25" priority="1" operator="equal">
      <formula>-0.00001</formula>
    </cfRule>
  </conditionalFormatting>
  <pageMargins left="0.7" right="0.7" top="0.75" bottom="0.75" header="0.3" footer="0.3"/>
  <pageSetup orientation="portrait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00B0F0"/>
  </sheetPr>
  <dimension ref="A1:AE82"/>
  <sheetViews>
    <sheetView showGridLines="0" showRowColHeaders="0" workbookViewId="0">
      <pane xSplit="4" ySplit="3" topLeftCell="E4" activePane="bottomRight" state="frozen"/>
      <selection activeCell="D4" sqref="D4"/>
      <selection pane="topRight" activeCell="D4" sqref="D4"/>
      <selection pane="bottomLeft" activeCell="D4" sqref="D4"/>
      <selection pane="bottomRight" activeCell="D1" sqref="D1"/>
    </sheetView>
  </sheetViews>
  <sheetFormatPr defaultColWidth="8.85546875" defaultRowHeight="15" x14ac:dyDescent="0.25"/>
  <cols>
    <col min="1" max="2" width="2.85546875" customWidth="1"/>
    <col min="3" max="3" width="18.7109375" bestFit="1" customWidth="1"/>
    <col min="4" max="4" width="19.42578125" bestFit="1" customWidth="1"/>
    <col min="5" max="15" width="7.85546875" style="1" customWidth="1"/>
    <col min="16" max="16" width="7.85546875" style="105" customWidth="1"/>
    <col min="17" max="18" width="7.85546875" style="1" customWidth="1"/>
    <col min="19" max="19" width="7.85546875" style="105" customWidth="1"/>
    <col min="20" max="21" width="7.85546875" style="1" customWidth="1"/>
    <col min="22" max="22" width="7.85546875" style="105" customWidth="1"/>
  </cols>
  <sheetData>
    <row r="1" spans="1:31" ht="60" customHeight="1" x14ac:dyDescent="0.4">
      <c r="A1" s="187"/>
      <c r="B1" s="187"/>
      <c r="C1" s="226" t="s">
        <v>97</v>
      </c>
      <c r="D1" s="230" t="s">
        <v>46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90"/>
      <c r="Q1" s="189"/>
      <c r="R1" s="189"/>
      <c r="S1" s="190"/>
      <c r="T1" s="189"/>
      <c r="U1" s="189"/>
      <c r="V1" s="190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 x14ac:dyDescent="0.25">
      <c r="A2" s="187"/>
      <c r="B2" s="187"/>
      <c r="C2" s="187"/>
      <c r="D2" s="187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90"/>
      <c r="Q2" s="189"/>
      <c r="R2" s="189"/>
      <c r="S2" s="190"/>
      <c r="T2" s="189"/>
      <c r="U2" s="189"/>
      <c r="V2" s="190"/>
      <c r="W2" s="187"/>
      <c r="X2" s="187"/>
      <c r="Y2" s="187"/>
      <c r="Z2" s="187"/>
      <c r="AA2" s="187"/>
      <c r="AB2" s="187"/>
      <c r="AC2" s="187"/>
      <c r="AD2" s="187"/>
      <c r="AE2" s="187"/>
    </row>
    <row r="3" spans="1:31" s="178" customFormat="1" ht="32.25" thickBot="1" x14ac:dyDescent="0.3">
      <c r="A3" s="188"/>
      <c r="B3" s="188"/>
      <c r="C3" s="179" t="s">
        <v>0</v>
      </c>
      <c r="D3" s="180" t="s">
        <v>70</v>
      </c>
      <c r="E3" s="180" t="s">
        <v>71</v>
      </c>
      <c r="F3" s="180" t="s">
        <v>72</v>
      </c>
      <c r="G3" s="180" t="s">
        <v>73</v>
      </c>
      <c r="H3" s="180" t="s">
        <v>74</v>
      </c>
      <c r="I3" s="180" t="s">
        <v>75</v>
      </c>
      <c r="J3" s="180" t="s">
        <v>76</v>
      </c>
      <c r="K3" s="180" t="s">
        <v>77</v>
      </c>
      <c r="L3" s="180" t="s">
        <v>78</v>
      </c>
      <c r="M3" s="180" t="s">
        <v>79</v>
      </c>
      <c r="N3" s="180" t="s">
        <v>80</v>
      </c>
      <c r="O3" s="180" t="s">
        <v>124</v>
      </c>
      <c r="P3" s="181" t="s">
        <v>82</v>
      </c>
      <c r="Q3" s="180" t="s">
        <v>125</v>
      </c>
      <c r="R3" s="180" t="s">
        <v>126</v>
      </c>
      <c r="S3" s="181" t="s">
        <v>85</v>
      </c>
      <c r="T3" s="180" t="s">
        <v>127</v>
      </c>
      <c r="U3" s="180" t="s">
        <v>128</v>
      </c>
      <c r="V3" s="182" t="s">
        <v>88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7"/>
      <c r="B4" s="187">
        <v>1</v>
      </c>
      <c r="C4" s="145" t="s">
        <v>17</v>
      </c>
      <c r="D4" s="184" t="str">
        <f>IFERROR(VLOOKUP($C4,Rosters!$C$4:$M$239,INDEX(Lists!$N$5:$O$80,MATCH($C4,Lists!$N$5:$N$80,FALSE),2)),"")</f>
        <v>Pistons</v>
      </c>
      <c r="E4" s="185">
        <f>IF($C4="",-0.00001,COUNTIFS(Database!E:E,$C4,Database!A:A,$D$1))</f>
        <v>4</v>
      </c>
      <c r="F4" s="185">
        <f>IFERROR(IF($C4="",-0.00001,SUMIFS(Database!H:H,Database!$E:$E,$C4,Database!$A:$A,$D$1)),-0.00001)</f>
        <v>12</v>
      </c>
      <c r="G4" s="185">
        <f>IFERROR(IF($C4="",-0.00001,SUMIFS(Database!I:I,Database!$E:$E,$C4,Database!$A:$A,$D$1)),-0.00001)</f>
        <v>33</v>
      </c>
      <c r="H4" s="185">
        <f>IFERROR(IF($C4="",-0.00001,SUMIFS(Database!J:J,Database!$E:$E,$C4,Database!$A:$A,$D$1)),-0.00001)</f>
        <v>1</v>
      </c>
      <c r="I4" s="185">
        <f>IFERROR(IF($C4="",-0.00001,SUMIFS(Database!K:K,Database!$E:$E,$C4,Database!$A:$A,$D$1)),-0.00001)</f>
        <v>3</v>
      </c>
      <c r="J4" s="185">
        <f>IFERROR(IF($C4="",-0.00001,SUMIFS(Database!L:L,Database!$E:$E,$C4,Database!$A:$A,$D$1)),-0.00001)</f>
        <v>2</v>
      </c>
      <c r="K4" s="185">
        <f>IFERROR(IF($C4="",-0.00001,SUMIFS(Database!M:M,Database!$E:$E,$C4,Database!$A:$A,$D$1)),-0.00001)</f>
        <v>5</v>
      </c>
      <c r="L4" s="185">
        <f>IFERROR(IF($C4="",-0.00001,SUMIFS(Database!N:N,Database!$E:$E,$C4,Database!$A:$A,$D$1)),-0.00001)</f>
        <v>2</v>
      </c>
      <c r="M4" s="185">
        <f>IFERROR(IF($C4="",-0.00001,SUMIFS(Database!O:O,Database!$E:$E,$C4,Database!$A:$A,$D$1)),-0.00001)</f>
        <v>31</v>
      </c>
      <c r="N4" s="185">
        <f>IFERROR(IF($C4="",-0.00001,SUMIFS(Database!P:P,Database!$E:$E,$C4,Database!$A:$A,$D$1)),-0.00001)</f>
        <v>0</v>
      </c>
      <c r="O4" s="185">
        <f>IFERROR(IF($C4="",-0.00001,SUMIFS(Database!Q:Q,Database!$E:$E,$C4,Database!$A:$A,$D$1)),-0.00001)</f>
        <v>6</v>
      </c>
      <c r="P4" s="186">
        <f t="shared" ref="P4:P35" si="0">IFERROR(IF($C4="",-0.00001,$N4/$O4),-0.00001)</f>
        <v>0</v>
      </c>
      <c r="Q4" s="185">
        <f>IFERROR(IF($C4="",-0.00001,SUMIFS(Database!S:S,Database!$E:$E,$C4,Database!$A:$A,$D$1)),-0.00001)</f>
        <v>6</v>
      </c>
      <c r="R4" s="185">
        <f>IFERROR(IF($C4="",-0.00001,SUMIFS(Database!T:T,Database!$E:$E,$C4,Database!$A:$A,$D$1)),-0.00001)</f>
        <v>19</v>
      </c>
      <c r="S4" s="186">
        <f t="shared" ref="S4:S35" si="1">IFERROR(IF($C4="",-0.00001,$Q4/$R4),-0.00001)</f>
        <v>0.31578947368421051</v>
      </c>
      <c r="T4" s="185">
        <f>IFERROR(IF($C4="",-0.00001,SUMIFS(Database!V:V,Database!$E:$E,$C4,Database!$A:$A,$D$1)),-0.00001)</f>
        <v>0</v>
      </c>
      <c r="U4" s="185">
        <f>IFERROR(IF($C4="",-0.00001,SUMIFS(Database!W:W,Database!$E:$E,$C4,Database!$A:$A,$D$1)),-0.00001)</f>
        <v>0</v>
      </c>
      <c r="V4" s="186">
        <f t="shared" ref="V4:V35" si="2">IFERROR(IF($C4="",-0.00001,$T4/$U4),-0.00001)</f>
        <v>-1.0000000000000001E-5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187"/>
      <c r="B5" s="187">
        <f>IF($C5="","",MAX($B$4:$B4)+1)</f>
        <v>2</v>
      </c>
      <c r="C5" s="145" t="s">
        <v>20</v>
      </c>
      <c r="D5" s="183" t="str">
        <f>IFERROR(VLOOKUP($C5,Rosters!$C$4:$M$239,INDEX(Lists!$N$5:$O$80,MATCH($C5,Lists!$N$5:$N$80,FALSE),2)),"")</f>
        <v>Lightning</v>
      </c>
      <c r="E5" s="185">
        <f>IF($C5="",-0.00001,COUNTIFS(Database!E:E,$C5,Database!A:A,$D$1))</f>
        <v>4</v>
      </c>
      <c r="F5" s="185">
        <f>IFERROR(IF($C5="",-0.00001,SUMIFS(Database!H:H,Database!$E:$E,$C5,Database!$A:$A,$D$1)),-0.00001)</f>
        <v>62</v>
      </c>
      <c r="G5" s="185">
        <f>IFERROR(IF($C5="",-0.00001,SUMIFS(Database!I:I,Database!$E:$E,$C5,Database!$A:$A,$D$1)),-0.00001)</f>
        <v>21</v>
      </c>
      <c r="H5" s="185">
        <f>IFERROR(IF($C5="",-0.00001,SUMIFS(Database!J:J,Database!$E:$E,$C5,Database!$A:$A,$D$1)),-0.00001)</f>
        <v>8</v>
      </c>
      <c r="I5" s="185">
        <f>IFERROR(IF($C5="",-0.00001,SUMIFS(Database!K:K,Database!$E:$E,$C5,Database!$A:$A,$D$1)),-0.00001)</f>
        <v>8</v>
      </c>
      <c r="J5" s="185">
        <f>IFERROR(IF($C5="",-0.00001,SUMIFS(Database!L:L,Database!$E:$E,$C5,Database!$A:$A,$D$1)),-0.00001)</f>
        <v>1</v>
      </c>
      <c r="K5" s="185">
        <f>IFERROR(IF($C5="",-0.00001,SUMIFS(Database!M:M,Database!$E:$E,$C5,Database!$A:$A,$D$1)),-0.00001)</f>
        <v>3</v>
      </c>
      <c r="L5" s="185">
        <f>IFERROR(IF($C5="",-0.00001,SUMIFS(Database!N:N,Database!$E:$E,$C5,Database!$A:$A,$D$1)),-0.00001)</f>
        <v>8</v>
      </c>
      <c r="M5" s="185">
        <f>IFERROR(IF($C5="",-0.00001,SUMIFS(Database!O:O,Database!$E:$E,$C5,Database!$A:$A,$D$1)),-0.00001)</f>
        <v>13</v>
      </c>
      <c r="N5" s="185">
        <f>IFERROR(IF($C5="",-0.00001,SUMIFS(Database!P:P,Database!$E:$E,$C5,Database!$A:$A,$D$1)),-0.00001)</f>
        <v>7</v>
      </c>
      <c r="O5" s="185">
        <f>IFERROR(IF($C5="",-0.00001,SUMIFS(Database!Q:Q,Database!$E:$E,$C5,Database!$A:$A,$D$1)),-0.00001)</f>
        <v>25</v>
      </c>
      <c r="P5" s="186">
        <f t="shared" si="0"/>
        <v>0.28000000000000003</v>
      </c>
      <c r="Q5" s="185">
        <f>IFERROR(IF($C5="",-0.00001,SUMIFS(Database!S:S,Database!$E:$E,$C5,Database!$A:$A,$D$1)),-0.00001)</f>
        <v>27</v>
      </c>
      <c r="R5" s="185">
        <f>IFERROR(IF($C5="",-0.00001,SUMIFS(Database!T:T,Database!$E:$E,$C5,Database!$A:$A,$D$1)),-0.00001)</f>
        <v>70</v>
      </c>
      <c r="S5" s="186">
        <f t="shared" si="1"/>
        <v>0.38571428571428573</v>
      </c>
      <c r="T5" s="185">
        <f>IFERROR(IF($C5="",-0.00001,SUMIFS(Database!V:V,Database!$E:$E,$C5,Database!$A:$A,$D$1)),-0.00001)</f>
        <v>1</v>
      </c>
      <c r="U5" s="185">
        <f>IFERROR(IF($C5="",-0.00001,SUMIFS(Database!W:W,Database!$E:$E,$C5,Database!$A:$A,$D$1)),-0.00001)</f>
        <v>1</v>
      </c>
      <c r="V5" s="186">
        <f t="shared" si="2"/>
        <v>1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187"/>
      <c r="B6" s="187">
        <f>IF($C6="","",MAX($B$4:$B5)+1)</f>
        <v>3</v>
      </c>
      <c r="C6" s="145" t="s">
        <v>14</v>
      </c>
      <c r="D6" s="183" t="str">
        <f>IFERROR(VLOOKUP($C6,Rosters!$C$4:$M$239,INDEX(Lists!$N$5:$O$80,MATCH($C6,Lists!$N$5:$N$80,FALSE),2)),"")</f>
        <v>Pistons</v>
      </c>
      <c r="E6" s="185">
        <f>IF($C6="",-0.00001,COUNTIFS(Database!E:E,$C6,Database!A:A,$D$1))</f>
        <v>3</v>
      </c>
      <c r="F6" s="185">
        <f>IFERROR(IF($C6="",-0.00001,SUMIFS(Database!H:H,Database!$E:$E,$C6,Database!$A:$A,$D$1)),-0.00001)</f>
        <v>42</v>
      </c>
      <c r="G6" s="185">
        <f>IFERROR(IF($C6="",-0.00001,SUMIFS(Database!I:I,Database!$E:$E,$C6,Database!$A:$A,$D$1)),-0.00001)</f>
        <v>22</v>
      </c>
      <c r="H6" s="185">
        <f>IFERROR(IF($C6="",-0.00001,SUMIFS(Database!J:J,Database!$E:$E,$C6,Database!$A:$A,$D$1)),-0.00001)</f>
        <v>5</v>
      </c>
      <c r="I6" s="185">
        <f>IFERROR(IF($C6="",-0.00001,SUMIFS(Database!K:K,Database!$E:$E,$C6,Database!$A:$A,$D$1)),-0.00001)</f>
        <v>3</v>
      </c>
      <c r="J6" s="185">
        <f>IFERROR(IF($C6="",-0.00001,SUMIFS(Database!L:L,Database!$E:$E,$C6,Database!$A:$A,$D$1)),-0.00001)</f>
        <v>1</v>
      </c>
      <c r="K6" s="185">
        <f>IFERROR(IF($C6="",-0.00001,SUMIFS(Database!M:M,Database!$E:$E,$C6,Database!$A:$A,$D$1)),-0.00001)</f>
        <v>2</v>
      </c>
      <c r="L6" s="185">
        <f>IFERROR(IF($C6="",-0.00001,SUMIFS(Database!N:N,Database!$E:$E,$C6,Database!$A:$A,$D$1)),-0.00001)</f>
        <v>7</v>
      </c>
      <c r="M6" s="185">
        <f>IFERROR(IF($C6="",-0.00001,SUMIFS(Database!O:O,Database!$E:$E,$C6,Database!$A:$A,$D$1)),-0.00001)</f>
        <v>15</v>
      </c>
      <c r="N6" s="185">
        <f>IFERROR(IF($C6="",-0.00001,SUMIFS(Database!P:P,Database!$E:$E,$C6,Database!$A:$A,$D$1)),-0.00001)</f>
        <v>10</v>
      </c>
      <c r="O6" s="185">
        <f>IFERROR(IF($C6="",-0.00001,SUMIFS(Database!Q:Q,Database!$E:$E,$C6,Database!$A:$A,$D$1)),-0.00001)</f>
        <v>33</v>
      </c>
      <c r="P6" s="186">
        <f t="shared" si="0"/>
        <v>0.30303030303030304</v>
      </c>
      <c r="Q6" s="185">
        <f>IFERROR(IF($C6="",-0.00001,SUMIFS(Database!S:S,Database!$E:$E,$C6,Database!$A:$A,$D$1)),-0.00001)</f>
        <v>16</v>
      </c>
      <c r="R6" s="185">
        <f>IFERROR(IF($C6="",-0.00001,SUMIFS(Database!T:T,Database!$E:$E,$C6,Database!$A:$A,$D$1)),-0.00001)</f>
        <v>52</v>
      </c>
      <c r="S6" s="186">
        <f t="shared" si="1"/>
        <v>0.30769230769230771</v>
      </c>
      <c r="T6" s="185">
        <f>IFERROR(IF($C6="",-0.00001,SUMIFS(Database!V:V,Database!$E:$E,$C6,Database!$A:$A,$D$1)),-0.00001)</f>
        <v>0</v>
      </c>
      <c r="U6" s="185">
        <f>IFERROR(IF($C6="",-0.00001,SUMIFS(Database!W:W,Database!$E:$E,$C6,Database!$A:$A,$D$1)),-0.00001)</f>
        <v>1</v>
      </c>
      <c r="V6" s="186">
        <f t="shared" si="2"/>
        <v>0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187"/>
      <c r="B7" s="187">
        <f>IF($C7="","",MAX($B$4:$B6)+1)</f>
        <v>4</v>
      </c>
      <c r="C7" s="145" t="s">
        <v>100</v>
      </c>
      <c r="D7" s="183" t="str">
        <f>IFERROR(VLOOKUP($C7,Rosters!$C$4:$M$239,INDEX(Lists!$N$5:$O$80,MATCH($C7,Lists!$N$5:$N$80,FALSE),2)),"")</f>
        <v>Lightning</v>
      </c>
      <c r="E7" s="185">
        <f>IF($C7="",-0.00001,COUNTIFS(Database!E:E,$C7,Database!A:A,$D$1))</f>
        <v>1</v>
      </c>
      <c r="F7" s="185">
        <f>IFERROR(IF($C7="",-0.00001,SUMIFS(Database!H:H,Database!$E:$E,$C7,Database!$A:$A,$D$1)),-0.00001)</f>
        <v>4</v>
      </c>
      <c r="G7" s="185">
        <f>IFERROR(IF($C7="",-0.00001,SUMIFS(Database!I:I,Database!$E:$E,$C7,Database!$A:$A,$D$1)),-0.00001)</f>
        <v>5</v>
      </c>
      <c r="H7" s="185">
        <f>IFERROR(IF($C7="",-0.00001,SUMIFS(Database!J:J,Database!$E:$E,$C7,Database!$A:$A,$D$1)),-0.00001)</f>
        <v>0</v>
      </c>
      <c r="I7" s="185">
        <f>IFERROR(IF($C7="",-0.00001,SUMIFS(Database!K:K,Database!$E:$E,$C7,Database!$A:$A,$D$1)),-0.00001)</f>
        <v>3</v>
      </c>
      <c r="J7" s="185">
        <f>IFERROR(IF($C7="",-0.00001,SUMIFS(Database!L:L,Database!$E:$E,$C7,Database!$A:$A,$D$1)),-0.00001)</f>
        <v>3</v>
      </c>
      <c r="K7" s="185">
        <f>IFERROR(IF($C7="",-0.00001,SUMIFS(Database!M:M,Database!$E:$E,$C7,Database!$A:$A,$D$1)),-0.00001)</f>
        <v>1</v>
      </c>
      <c r="L7" s="185">
        <f>IFERROR(IF($C7="",-0.00001,SUMIFS(Database!N:N,Database!$E:$E,$C7,Database!$A:$A,$D$1)),-0.00001)</f>
        <v>1</v>
      </c>
      <c r="M7" s="185">
        <f>IFERROR(IF($C7="",-0.00001,SUMIFS(Database!O:O,Database!$E:$E,$C7,Database!$A:$A,$D$1)),-0.00001)</f>
        <v>4</v>
      </c>
      <c r="N7" s="185">
        <f>IFERROR(IF($C7="",-0.00001,SUMIFS(Database!P:P,Database!$E:$E,$C7,Database!$A:$A,$D$1)),-0.00001)</f>
        <v>0</v>
      </c>
      <c r="O7" s="185">
        <f>IFERROR(IF($C7="",-0.00001,SUMIFS(Database!Q:Q,Database!$E:$E,$C7,Database!$A:$A,$D$1)),-0.00001)</f>
        <v>1</v>
      </c>
      <c r="P7" s="186">
        <f t="shared" si="0"/>
        <v>0</v>
      </c>
      <c r="Q7" s="185">
        <f>IFERROR(IF($C7="",-0.00001,SUMIFS(Database!S:S,Database!$E:$E,$C7,Database!$A:$A,$D$1)),-0.00001)</f>
        <v>2</v>
      </c>
      <c r="R7" s="185">
        <f>IFERROR(IF($C7="",-0.00001,SUMIFS(Database!T:T,Database!$E:$E,$C7,Database!$A:$A,$D$1)),-0.00001)</f>
        <v>4</v>
      </c>
      <c r="S7" s="186">
        <f t="shared" si="1"/>
        <v>0.5</v>
      </c>
      <c r="T7" s="185">
        <f>IFERROR(IF($C7="",-0.00001,SUMIFS(Database!V:V,Database!$E:$E,$C7,Database!$A:$A,$D$1)),-0.00001)</f>
        <v>0</v>
      </c>
      <c r="U7" s="185">
        <f>IFERROR(IF($C7="",-0.00001,SUMIFS(Database!W:W,Database!$E:$E,$C7,Database!$A:$A,$D$1)),-0.00001)</f>
        <v>0</v>
      </c>
      <c r="V7" s="186">
        <f t="shared" si="2"/>
        <v>-1.0000000000000001E-5</v>
      </c>
      <c r="W7" s="187"/>
      <c r="X7" s="187"/>
      <c r="Y7" s="187"/>
      <c r="Z7" s="187"/>
      <c r="AA7" s="187"/>
      <c r="AB7" s="187"/>
      <c r="AC7" s="187"/>
      <c r="AD7" s="187"/>
      <c r="AE7" s="187"/>
    </row>
    <row r="8" spans="1:31" x14ac:dyDescent="0.25">
      <c r="A8" s="187"/>
      <c r="B8" s="187">
        <f>IF($C8="","",MAX($B$4:$B7)+1)</f>
        <v>5</v>
      </c>
      <c r="C8" s="145" t="s">
        <v>24</v>
      </c>
      <c r="D8" s="183" t="str">
        <f>IFERROR(VLOOKUP($C8,Rosters!$C$4:$M$239,INDEX(Lists!$N$5:$O$80,MATCH($C8,Lists!$N$5:$N$80,FALSE),2)),"")</f>
        <v>Lightning</v>
      </c>
      <c r="E8" s="185">
        <f>IF($C8="",-0.00001,COUNTIFS(Database!E:E,$C8,Database!A:A,$D$1))</f>
        <v>3</v>
      </c>
      <c r="F8" s="185">
        <f>IFERROR(IF($C8="",-0.00001,SUMIFS(Database!H:H,Database!$E:$E,$C8,Database!$A:$A,$D$1)),-0.00001)</f>
        <v>6</v>
      </c>
      <c r="G8" s="185">
        <f>IFERROR(IF($C8="",-0.00001,SUMIFS(Database!I:I,Database!$E:$E,$C8,Database!$A:$A,$D$1)),-0.00001)</f>
        <v>8</v>
      </c>
      <c r="H8" s="185">
        <f>IFERROR(IF($C8="",-0.00001,SUMIFS(Database!J:J,Database!$E:$E,$C8,Database!$A:$A,$D$1)),-0.00001)</f>
        <v>5</v>
      </c>
      <c r="I8" s="185">
        <f>IFERROR(IF($C8="",-0.00001,SUMIFS(Database!K:K,Database!$E:$E,$C8,Database!$A:$A,$D$1)),-0.00001)</f>
        <v>2</v>
      </c>
      <c r="J8" s="185">
        <f>IFERROR(IF($C8="",-0.00001,SUMIFS(Database!L:L,Database!$E:$E,$C8,Database!$A:$A,$D$1)),-0.00001)</f>
        <v>1</v>
      </c>
      <c r="K8" s="185">
        <f>IFERROR(IF($C8="",-0.00001,SUMIFS(Database!M:M,Database!$E:$E,$C8,Database!$A:$A,$D$1)),-0.00001)</f>
        <v>1</v>
      </c>
      <c r="L8" s="185">
        <f>IFERROR(IF($C8="",-0.00001,SUMIFS(Database!N:N,Database!$E:$E,$C8,Database!$A:$A,$D$1)),-0.00001)</f>
        <v>4</v>
      </c>
      <c r="M8" s="185">
        <f>IFERROR(IF($C8="",-0.00001,SUMIFS(Database!O:O,Database!$E:$E,$C8,Database!$A:$A,$D$1)),-0.00001)</f>
        <v>4</v>
      </c>
      <c r="N8" s="185">
        <f>IFERROR(IF($C8="",-0.00001,SUMIFS(Database!P:P,Database!$E:$E,$C8,Database!$A:$A,$D$1)),-0.00001)</f>
        <v>0</v>
      </c>
      <c r="O8" s="185">
        <f>IFERROR(IF($C8="",-0.00001,SUMIFS(Database!Q:Q,Database!$E:$E,$C8,Database!$A:$A,$D$1)),-0.00001)</f>
        <v>0</v>
      </c>
      <c r="P8" s="186">
        <f t="shared" si="0"/>
        <v>-1.0000000000000001E-5</v>
      </c>
      <c r="Q8" s="185">
        <f>IFERROR(IF($C8="",-0.00001,SUMIFS(Database!S:S,Database!$E:$E,$C8,Database!$A:$A,$D$1)),-0.00001)</f>
        <v>3</v>
      </c>
      <c r="R8" s="185">
        <f>IFERROR(IF($C8="",-0.00001,SUMIFS(Database!T:T,Database!$E:$E,$C8,Database!$A:$A,$D$1)),-0.00001)</f>
        <v>9</v>
      </c>
      <c r="S8" s="186">
        <f t="shared" si="1"/>
        <v>0.33333333333333331</v>
      </c>
      <c r="T8" s="185">
        <f>IFERROR(IF($C8="",-0.00001,SUMIFS(Database!V:V,Database!$E:$E,$C8,Database!$A:$A,$D$1)),-0.00001)</f>
        <v>0</v>
      </c>
      <c r="U8" s="185">
        <f>IFERROR(IF($C8="",-0.00001,SUMIFS(Database!W:W,Database!$E:$E,$C8,Database!$A:$A,$D$1)),-0.00001)</f>
        <v>2</v>
      </c>
      <c r="V8" s="186">
        <f t="shared" si="2"/>
        <v>0</v>
      </c>
      <c r="W8" s="187"/>
      <c r="X8" s="187"/>
      <c r="Y8" s="187"/>
      <c r="Z8" s="187"/>
      <c r="AA8" s="187"/>
      <c r="AB8" s="187"/>
      <c r="AC8" s="187"/>
      <c r="AD8" s="187"/>
      <c r="AE8" s="187"/>
    </row>
    <row r="9" spans="1:31" x14ac:dyDescent="0.25">
      <c r="A9" s="187"/>
      <c r="B9" s="187">
        <f>IF($C9="","",MAX($B$4:$B8)+1)</f>
        <v>6</v>
      </c>
      <c r="C9" s="145" t="s">
        <v>26</v>
      </c>
      <c r="D9" s="183" t="str">
        <f>IFERROR(VLOOKUP($C9,Rosters!$C$4:$M$239,INDEX(Lists!$N$5:$O$80,MATCH($C9,Lists!$N$5:$N$80,FALSE),2)),"")</f>
        <v>Hoopers</v>
      </c>
      <c r="E9" s="185">
        <f>IF($C9="",-0.00001,COUNTIFS(Database!E:E,$C9,Database!A:A,$D$1))</f>
        <v>4</v>
      </c>
      <c r="F9" s="185">
        <f>IFERROR(IF($C9="",-0.00001,SUMIFS(Database!H:H,Database!$E:$E,$C9,Database!$A:$A,$D$1)),-0.00001)</f>
        <v>78</v>
      </c>
      <c r="G9" s="185">
        <f>IFERROR(IF($C9="",-0.00001,SUMIFS(Database!I:I,Database!$E:$E,$C9,Database!$A:$A,$D$1)),-0.00001)</f>
        <v>27</v>
      </c>
      <c r="H9" s="185">
        <f>IFERROR(IF($C9="",-0.00001,SUMIFS(Database!J:J,Database!$E:$E,$C9,Database!$A:$A,$D$1)),-0.00001)</f>
        <v>8</v>
      </c>
      <c r="I9" s="185">
        <f>IFERROR(IF($C9="",-0.00001,SUMIFS(Database!K:K,Database!$E:$E,$C9,Database!$A:$A,$D$1)),-0.00001)</f>
        <v>2</v>
      </c>
      <c r="J9" s="185">
        <f>IFERROR(IF($C9="",-0.00001,SUMIFS(Database!L:L,Database!$E:$E,$C9,Database!$A:$A,$D$1)),-0.00001)</f>
        <v>0</v>
      </c>
      <c r="K9" s="185">
        <f>IFERROR(IF($C9="",-0.00001,SUMIFS(Database!M:M,Database!$E:$E,$C9,Database!$A:$A,$D$1)),-0.00001)</f>
        <v>4</v>
      </c>
      <c r="L9" s="185">
        <f>IFERROR(IF($C9="",-0.00001,SUMIFS(Database!N:N,Database!$E:$E,$C9,Database!$A:$A,$D$1)),-0.00001)</f>
        <v>13</v>
      </c>
      <c r="M9" s="185">
        <f>IFERROR(IF($C9="",-0.00001,SUMIFS(Database!O:O,Database!$E:$E,$C9,Database!$A:$A,$D$1)),-0.00001)</f>
        <v>14</v>
      </c>
      <c r="N9" s="185">
        <f>IFERROR(IF($C9="",-0.00001,SUMIFS(Database!P:P,Database!$E:$E,$C9,Database!$A:$A,$D$1)),-0.00001)</f>
        <v>15</v>
      </c>
      <c r="O9" s="185">
        <f>IFERROR(IF($C9="",-0.00001,SUMIFS(Database!Q:Q,Database!$E:$E,$C9,Database!$A:$A,$D$1)),-0.00001)</f>
        <v>42</v>
      </c>
      <c r="P9" s="186">
        <f t="shared" si="0"/>
        <v>0.35714285714285715</v>
      </c>
      <c r="Q9" s="185">
        <f>IFERROR(IF($C9="",-0.00001,SUMIFS(Database!S:S,Database!$E:$E,$C9,Database!$A:$A,$D$1)),-0.00001)</f>
        <v>30</v>
      </c>
      <c r="R9" s="185">
        <f>IFERROR(IF($C9="",-0.00001,SUMIFS(Database!T:T,Database!$E:$E,$C9,Database!$A:$A,$D$1)),-0.00001)</f>
        <v>88</v>
      </c>
      <c r="S9" s="186">
        <f t="shared" si="1"/>
        <v>0.34090909090909088</v>
      </c>
      <c r="T9" s="185">
        <f>IFERROR(IF($C9="",-0.00001,SUMIFS(Database!V:V,Database!$E:$E,$C9,Database!$A:$A,$D$1)),-0.00001)</f>
        <v>3</v>
      </c>
      <c r="U9" s="185">
        <f>IFERROR(IF($C9="",-0.00001,SUMIFS(Database!W:W,Database!$E:$E,$C9,Database!$A:$A,$D$1)),-0.00001)</f>
        <v>4</v>
      </c>
      <c r="V9" s="186">
        <f t="shared" si="2"/>
        <v>0.75</v>
      </c>
      <c r="W9" s="187"/>
      <c r="X9" s="187"/>
      <c r="Y9" s="187"/>
      <c r="Z9" s="187"/>
      <c r="AA9" s="187"/>
      <c r="AB9" s="187"/>
      <c r="AC9" s="187"/>
      <c r="AD9" s="187"/>
      <c r="AE9" s="187"/>
    </row>
    <row r="10" spans="1:31" x14ac:dyDescent="0.25">
      <c r="A10" s="187"/>
      <c r="B10" s="187">
        <f>IF($C10="","",MAX($B$4:$B9)+1)</f>
        <v>7</v>
      </c>
      <c r="C10" s="145" t="s">
        <v>33</v>
      </c>
      <c r="D10" s="183" t="str">
        <f>IFERROR(VLOOKUP($C10,Rosters!$C$4:$M$239,INDEX(Lists!$N$5:$O$80,MATCH($C10,Lists!$N$5:$N$80,FALSE),2)),"")</f>
        <v>Vandals</v>
      </c>
      <c r="E10" s="185">
        <f>IF($C10="",-0.00001,COUNTIFS(Database!E:E,$C10,Database!A:A,$D$1))</f>
        <v>4</v>
      </c>
      <c r="F10" s="185">
        <f>IFERROR(IF($C10="",-0.00001,SUMIFS(Database!H:H,Database!$E:$E,$C10,Database!$A:$A,$D$1)),-0.00001)</f>
        <v>51</v>
      </c>
      <c r="G10" s="185">
        <f>IFERROR(IF($C10="",-0.00001,SUMIFS(Database!I:I,Database!$E:$E,$C10,Database!$A:$A,$D$1)),-0.00001)</f>
        <v>59</v>
      </c>
      <c r="H10" s="185">
        <f>IFERROR(IF($C10="",-0.00001,SUMIFS(Database!J:J,Database!$E:$E,$C10,Database!$A:$A,$D$1)),-0.00001)</f>
        <v>10</v>
      </c>
      <c r="I10" s="185">
        <f>IFERROR(IF($C10="",-0.00001,SUMIFS(Database!K:K,Database!$E:$E,$C10,Database!$A:$A,$D$1)),-0.00001)</f>
        <v>19</v>
      </c>
      <c r="J10" s="185">
        <f>IFERROR(IF($C10="",-0.00001,SUMIFS(Database!L:L,Database!$E:$E,$C10,Database!$A:$A,$D$1)),-0.00001)</f>
        <v>4</v>
      </c>
      <c r="K10" s="185">
        <f>IFERROR(IF($C10="",-0.00001,SUMIFS(Database!M:M,Database!$E:$E,$C10,Database!$A:$A,$D$1)),-0.00001)</f>
        <v>14</v>
      </c>
      <c r="L10" s="185">
        <f>IFERROR(IF($C10="",-0.00001,SUMIFS(Database!N:N,Database!$E:$E,$C10,Database!$A:$A,$D$1)),-0.00001)</f>
        <v>7</v>
      </c>
      <c r="M10" s="185">
        <f>IFERROR(IF($C10="",-0.00001,SUMIFS(Database!O:O,Database!$E:$E,$C10,Database!$A:$A,$D$1)),-0.00001)</f>
        <v>41</v>
      </c>
      <c r="N10" s="185">
        <f>IFERROR(IF($C10="",-0.00001,SUMIFS(Database!P:P,Database!$E:$E,$C10,Database!$A:$A,$D$1)),-0.00001)</f>
        <v>6</v>
      </c>
      <c r="O10" s="185">
        <f>IFERROR(IF($C10="",-0.00001,SUMIFS(Database!Q:Q,Database!$E:$E,$C10,Database!$A:$A,$D$1)),-0.00001)</f>
        <v>24</v>
      </c>
      <c r="P10" s="186">
        <f t="shared" si="0"/>
        <v>0.25</v>
      </c>
      <c r="Q10" s="185">
        <f>IFERROR(IF($C10="",-0.00001,SUMIFS(Database!S:S,Database!$E:$E,$C10,Database!$A:$A,$D$1)),-0.00001)</f>
        <v>22</v>
      </c>
      <c r="R10" s="185">
        <f>IFERROR(IF($C10="",-0.00001,SUMIFS(Database!T:T,Database!$E:$E,$C10,Database!$A:$A,$D$1)),-0.00001)</f>
        <v>63</v>
      </c>
      <c r="S10" s="186">
        <f t="shared" si="1"/>
        <v>0.34920634920634919</v>
      </c>
      <c r="T10" s="185">
        <f>IFERROR(IF($C10="",-0.00001,SUMIFS(Database!V:V,Database!$E:$E,$C10,Database!$A:$A,$D$1)),-0.00001)</f>
        <v>1</v>
      </c>
      <c r="U10" s="185">
        <f>IFERROR(IF($C10="",-0.00001,SUMIFS(Database!W:W,Database!$E:$E,$C10,Database!$A:$A,$D$1)),-0.00001)</f>
        <v>2</v>
      </c>
      <c r="V10" s="186">
        <f t="shared" si="2"/>
        <v>0.5</v>
      </c>
      <c r="W10" s="187"/>
      <c r="X10" s="187"/>
      <c r="Y10" s="187"/>
      <c r="Z10" s="187"/>
      <c r="AA10" s="187"/>
      <c r="AB10" s="187"/>
      <c r="AC10" s="187"/>
      <c r="AD10" s="187"/>
      <c r="AE10" s="187"/>
    </row>
    <row r="11" spans="1:31" x14ac:dyDescent="0.25">
      <c r="A11" s="187"/>
      <c r="B11" s="187">
        <f>IF($C11="","",MAX($B$4:$B10)+1)</f>
        <v>8</v>
      </c>
      <c r="C11" s="145" t="s">
        <v>21</v>
      </c>
      <c r="D11" s="183" t="str">
        <f>IFERROR(VLOOKUP($C11,Rosters!$C$4:$M$239,INDEX(Lists!$N$5:$O$80,MATCH($C11,Lists!$N$5:$N$80,FALSE),2)),"")</f>
        <v>Lightning</v>
      </c>
      <c r="E11" s="185">
        <f>IF($C11="",-0.00001,COUNTIFS(Database!E:E,$C11,Database!A:A,$D$1))</f>
        <v>4</v>
      </c>
      <c r="F11" s="185">
        <f>IFERROR(IF($C11="",-0.00001,SUMIFS(Database!H:H,Database!$E:$E,$C11,Database!$A:$A,$D$1)),-0.00001)</f>
        <v>36</v>
      </c>
      <c r="G11" s="185">
        <f>IFERROR(IF($C11="",-0.00001,SUMIFS(Database!I:I,Database!$E:$E,$C11,Database!$A:$A,$D$1)),-0.00001)</f>
        <v>28</v>
      </c>
      <c r="H11" s="185">
        <f>IFERROR(IF($C11="",-0.00001,SUMIFS(Database!J:J,Database!$E:$E,$C11,Database!$A:$A,$D$1)),-0.00001)</f>
        <v>2</v>
      </c>
      <c r="I11" s="185">
        <f>IFERROR(IF($C11="",-0.00001,SUMIFS(Database!K:K,Database!$E:$E,$C11,Database!$A:$A,$D$1)),-0.00001)</f>
        <v>2</v>
      </c>
      <c r="J11" s="185">
        <f>IFERROR(IF($C11="",-0.00001,SUMIFS(Database!L:L,Database!$E:$E,$C11,Database!$A:$A,$D$1)),-0.00001)</f>
        <v>0</v>
      </c>
      <c r="K11" s="185">
        <f>IFERROR(IF($C11="",-0.00001,SUMIFS(Database!M:M,Database!$E:$E,$C11,Database!$A:$A,$D$1)),-0.00001)</f>
        <v>4</v>
      </c>
      <c r="L11" s="185">
        <f>IFERROR(IF($C11="",-0.00001,SUMIFS(Database!N:N,Database!$E:$E,$C11,Database!$A:$A,$D$1)),-0.00001)</f>
        <v>10</v>
      </c>
      <c r="M11" s="185">
        <f>IFERROR(IF($C11="",-0.00001,SUMIFS(Database!O:O,Database!$E:$E,$C11,Database!$A:$A,$D$1)),-0.00001)</f>
        <v>18</v>
      </c>
      <c r="N11" s="185">
        <f>IFERROR(IF($C11="",-0.00001,SUMIFS(Database!P:P,Database!$E:$E,$C11,Database!$A:$A,$D$1)),-0.00001)</f>
        <v>1</v>
      </c>
      <c r="O11" s="185">
        <f>IFERROR(IF($C11="",-0.00001,SUMIFS(Database!Q:Q,Database!$E:$E,$C11,Database!$A:$A,$D$1)),-0.00001)</f>
        <v>5</v>
      </c>
      <c r="P11" s="186">
        <f t="shared" si="0"/>
        <v>0.2</v>
      </c>
      <c r="Q11" s="185">
        <f>IFERROR(IF($C11="",-0.00001,SUMIFS(Database!S:S,Database!$E:$E,$C11,Database!$A:$A,$D$1)),-0.00001)</f>
        <v>16</v>
      </c>
      <c r="R11" s="185">
        <f>IFERROR(IF($C11="",-0.00001,SUMIFS(Database!T:T,Database!$E:$E,$C11,Database!$A:$A,$D$1)),-0.00001)</f>
        <v>49</v>
      </c>
      <c r="S11" s="186">
        <f t="shared" si="1"/>
        <v>0.32653061224489793</v>
      </c>
      <c r="T11" s="185">
        <f>IFERROR(IF($C11="",-0.00001,SUMIFS(Database!V:V,Database!$E:$E,$C11,Database!$A:$A,$D$1)),-0.00001)</f>
        <v>3</v>
      </c>
      <c r="U11" s="185">
        <f>IFERROR(IF($C11="",-0.00001,SUMIFS(Database!W:W,Database!$E:$E,$C11,Database!$A:$A,$D$1)),-0.00001)</f>
        <v>3</v>
      </c>
      <c r="V11" s="186">
        <f t="shared" si="2"/>
        <v>1</v>
      </c>
      <c r="W11" s="187"/>
      <c r="X11" s="187"/>
      <c r="Y11" s="187"/>
      <c r="Z11" s="187"/>
      <c r="AA11" s="187"/>
      <c r="AB11" s="187"/>
      <c r="AC11" s="187"/>
      <c r="AD11" s="187"/>
      <c r="AE11" s="187"/>
    </row>
    <row r="12" spans="1:31" x14ac:dyDescent="0.25">
      <c r="A12" s="187"/>
      <c r="B12" s="187">
        <f>IF($C12="","",MAX($B$4:$B11)+1)</f>
        <v>9</v>
      </c>
      <c r="C12" s="145" t="s">
        <v>16</v>
      </c>
      <c r="D12" s="183" t="str">
        <f>IFERROR(VLOOKUP($C12,Rosters!$C$4:$M$239,INDEX(Lists!$N$5:$O$80,MATCH($C12,Lists!$N$5:$N$80,FALSE),2)),"")</f>
        <v>Pistons</v>
      </c>
      <c r="E12" s="185">
        <f>IF($C12="",-0.00001,COUNTIFS(Database!E:E,$C12,Database!A:A,$D$1))</f>
        <v>2</v>
      </c>
      <c r="F12" s="185">
        <f>IFERROR(IF($C12="",-0.00001,SUMIFS(Database!H:H,Database!$E:$E,$C12,Database!$A:$A,$D$1)),-0.00001)</f>
        <v>17</v>
      </c>
      <c r="G12" s="185">
        <f>IFERROR(IF($C12="",-0.00001,SUMIFS(Database!I:I,Database!$E:$E,$C12,Database!$A:$A,$D$1)),-0.00001)</f>
        <v>11</v>
      </c>
      <c r="H12" s="185">
        <f>IFERROR(IF($C12="",-0.00001,SUMIFS(Database!J:J,Database!$E:$E,$C12,Database!$A:$A,$D$1)),-0.00001)</f>
        <v>4</v>
      </c>
      <c r="I12" s="185">
        <f>IFERROR(IF($C12="",-0.00001,SUMIFS(Database!K:K,Database!$E:$E,$C12,Database!$A:$A,$D$1)),-0.00001)</f>
        <v>2</v>
      </c>
      <c r="J12" s="185">
        <f>IFERROR(IF($C12="",-0.00001,SUMIFS(Database!L:L,Database!$E:$E,$C12,Database!$A:$A,$D$1)),-0.00001)</f>
        <v>0</v>
      </c>
      <c r="K12" s="185">
        <f>IFERROR(IF($C12="",-0.00001,SUMIFS(Database!M:M,Database!$E:$E,$C12,Database!$A:$A,$D$1)),-0.00001)</f>
        <v>1</v>
      </c>
      <c r="L12" s="185">
        <f>IFERROR(IF($C12="",-0.00001,SUMIFS(Database!N:N,Database!$E:$E,$C12,Database!$A:$A,$D$1)),-0.00001)</f>
        <v>2</v>
      </c>
      <c r="M12" s="185">
        <f>IFERROR(IF($C12="",-0.00001,SUMIFS(Database!O:O,Database!$E:$E,$C12,Database!$A:$A,$D$1)),-0.00001)</f>
        <v>9</v>
      </c>
      <c r="N12" s="185">
        <f>IFERROR(IF($C12="",-0.00001,SUMIFS(Database!P:P,Database!$E:$E,$C12,Database!$A:$A,$D$1)),-0.00001)</f>
        <v>3</v>
      </c>
      <c r="O12" s="185">
        <f>IFERROR(IF($C12="",-0.00001,SUMIFS(Database!Q:Q,Database!$E:$E,$C12,Database!$A:$A,$D$1)),-0.00001)</f>
        <v>6</v>
      </c>
      <c r="P12" s="186">
        <f t="shared" si="0"/>
        <v>0.5</v>
      </c>
      <c r="Q12" s="185">
        <f>IFERROR(IF($C12="",-0.00001,SUMIFS(Database!S:S,Database!$E:$E,$C12,Database!$A:$A,$D$1)),-0.00001)</f>
        <v>7</v>
      </c>
      <c r="R12" s="185">
        <f>IFERROR(IF($C12="",-0.00001,SUMIFS(Database!T:T,Database!$E:$E,$C12,Database!$A:$A,$D$1)),-0.00001)</f>
        <v>16</v>
      </c>
      <c r="S12" s="186">
        <f t="shared" si="1"/>
        <v>0.4375</v>
      </c>
      <c r="T12" s="185">
        <f>IFERROR(IF($C12="",-0.00001,SUMIFS(Database!V:V,Database!$E:$E,$C12,Database!$A:$A,$D$1)),-0.00001)</f>
        <v>0</v>
      </c>
      <c r="U12" s="185">
        <f>IFERROR(IF($C12="",-0.00001,SUMIFS(Database!W:W,Database!$E:$E,$C12,Database!$A:$A,$D$1)),-0.00001)</f>
        <v>0</v>
      </c>
      <c r="V12" s="186">
        <f t="shared" si="2"/>
        <v>-1.0000000000000001E-5</v>
      </c>
      <c r="W12" s="187"/>
      <c r="X12" s="187"/>
      <c r="Y12" s="187"/>
      <c r="Z12" s="187"/>
      <c r="AA12" s="187"/>
      <c r="AB12" s="187"/>
      <c r="AC12" s="187"/>
      <c r="AD12" s="187"/>
      <c r="AE12" s="187"/>
    </row>
    <row r="13" spans="1:31" x14ac:dyDescent="0.25">
      <c r="A13" s="187"/>
      <c r="B13" s="187">
        <f>IF($C13="","",MAX($B$4:$B12)+1)</f>
        <v>10</v>
      </c>
      <c r="C13" s="145" t="s">
        <v>27</v>
      </c>
      <c r="D13" s="183" t="str">
        <f>IFERROR(VLOOKUP($C13,Rosters!$C$4:$M$239,INDEX(Lists!$N$5:$O$80,MATCH($C13,Lists!$N$5:$N$80,FALSE),2)),"")</f>
        <v>Hoopers</v>
      </c>
      <c r="E13" s="185">
        <f>IF($C13="",-0.00001,COUNTIFS(Database!E:E,$C13,Database!A:A,$D$1))</f>
        <v>4</v>
      </c>
      <c r="F13" s="185">
        <f>IFERROR(IF($C13="",-0.00001,SUMIFS(Database!H:H,Database!$E:$E,$C13,Database!$A:$A,$D$1)),-0.00001)</f>
        <v>61</v>
      </c>
      <c r="G13" s="185">
        <f>IFERROR(IF($C13="",-0.00001,SUMIFS(Database!I:I,Database!$E:$E,$C13,Database!$A:$A,$D$1)),-0.00001)</f>
        <v>25</v>
      </c>
      <c r="H13" s="185">
        <f>IFERROR(IF($C13="",-0.00001,SUMIFS(Database!J:J,Database!$E:$E,$C13,Database!$A:$A,$D$1)),-0.00001)</f>
        <v>1</v>
      </c>
      <c r="I13" s="185">
        <f>IFERROR(IF($C13="",-0.00001,SUMIFS(Database!K:K,Database!$E:$E,$C13,Database!$A:$A,$D$1)),-0.00001)</f>
        <v>5</v>
      </c>
      <c r="J13" s="185">
        <f>IFERROR(IF($C13="",-0.00001,SUMIFS(Database!L:L,Database!$E:$E,$C13,Database!$A:$A,$D$1)),-0.00001)</f>
        <v>0</v>
      </c>
      <c r="K13" s="185">
        <f>IFERROR(IF($C13="",-0.00001,SUMIFS(Database!M:M,Database!$E:$E,$C13,Database!$A:$A,$D$1)),-0.00001)</f>
        <v>6</v>
      </c>
      <c r="L13" s="185">
        <f>IFERROR(IF($C13="",-0.00001,SUMIFS(Database!N:N,Database!$E:$E,$C13,Database!$A:$A,$D$1)),-0.00001)</f>
        <v>9</v>
      </c>
      <c r="M13" s="185">
        <f>IFERROR(IF($C13="",-0.00001,SUMIFS(Database!O:O,Database!$E:$E,$C13,Database!$A:$A,$D$1)),-0.00001)</f>
        <v>16</v>
      </c>
      <c r="N13" s="185">
        <f>IFERROR(IF($C13="",-0.00001,SUMIFS(Database!P:P,Database!$E:$E,$C13,Database!$A:$A,$D$1)),-0.00001)</f>
        <v>4</v>
      </c>
      <c r="O13" s="185">
        <f>IFERROR(IF($C13="",-0.00001,SUMIFS(Database!Q:Q,Database!$E:$E,$C13,Database!$A:$A,$D$1)),-0.00001)</f>
        <v>22</v>
      </c>
      <c r="P13" s="186">
        <f t="shared" si="0"/>
        <v>0.18181818181818182</v>
      </c>
      <c r="Q13" s="185">
        <f>IFERROR(IF($C13="",-0.00001,SUMIFS(Database!S:S,Database!$E:$E,$C13,Database!$A:$A,$D$1)),-0.00001)</f>
        <v>28</v>
      </c>
      <c r="R13" s="185">
        <f>IFERROR(IF($C13="",-0.00001,SUMIFS(Database!T:T,Database!$E:$E,$C13,Database!$A:$A,$D$1)),-0.00001)</f>
        <v>80</v>
      </c>
      <c r="S13" s="186">
        <f t="shared" si="1"/>
        <v>0.35</v>
      </c>
      <c r="T13" s="185">
        <f>IFERROR(IF($C13="",-0.00001,SUMIFS(Database!V:V,Database!$E:$E,$C13,Database!$A:$A,$D$1)),-0.00001)</f>
        <v>1</v>
      </c>
      <c r="U13" s="185">
        <f>IFERROR(IF($C13="",-0.00001,SUMIFS(Database!W:W,Database!$E:$E,$C13,Database!$A:$A,$D$1)),-0.00001)</f>
        <v>7</v>
      </c>
      <c r="V13" s="186">
        <f t="shared" si="2"/>
        <v>0.14285714285714285</v>
      </c>
      <c r="W13" s="187"/>
      <c r="X13" s="187"/>
      <c r="Y13" s="187"/>
      <c r="Z13" s="187"/>
      <c r="AA13" s="187"/>
      <c r="AB13" s="187"/>
      <c r="AC13" s="187"/>
      <c r="AD13" s="187"/>
      <c r="AE13" s="187"/>
    </row>
    <row r="14" spans="1:31" x14ac:dyDescent="0.25">
      <c r="A14" s="187"/>
      <c r="B14" s="187">
        <f>IF($C14="","",MAX($B$4:$B13)+1)</f>
        <v>11</v>
      </c>
      <c r="C14" s="145" t="s">
        <v>7</v>
      </c>
      <c r="D14" s="183" t="str">
        <f>IFERROR(VLOOKUP($C14,Rosters!$C$4:$M$239,INDEX(Lists!$N$5:$O$80,MATCH($C14,Lists!$N$5:$N$80,FALSE),2)),"")</f>
        <v>Wombats</v>
      </c>
      <c r="E14" s="185">
        <f>IF($C14="",-0.00001,COUNTIFS(Database!E:E,$C14,Database!A:A,$D$1))</f>
        <v>4</v>
      </c>
      <c r="F14" s="185">
        <f>IFERROR(IF($C14="",-0.00001,SUMIFS(Database!H:H,Database!$E:$E,$C14,Database!$A:$A,$D$1)),-0.00001)</f>
        <v>46</v>
      </c>
      <c r="G14" s="185">
        <f>IFERROR(IF($C14="",-0.00001,SUMIFS(Database!I:I,Database!$E:$E,$C14,Database!$A:$A,$D$1)),-0.00001)</f>
        <v>31</v>
      </c>
      <c r="H14" s="185">
        <f>IFERROR(IF($C14="",-0.00001,SUMIFS(Database!J:J,Database!$E:$E,$C14,Database!$A:$A,$D$1)),-0.00001)</f>
        <v>12</v>
      </c>
      <c r="I14" s="185">
        <f>IFERROR(IF($C14="",-0.00001,SUMIFS(Database!K:K,Database!$E:$E,$C14,Database!$A:$A,$D$1)),-0.00001)</f>
        <v>1</v>
      </c>
      <c r="J14" s="185">
        <f>IFERROR(IF($C14="",-0.00001,SUMIFS(Database!L:L,Database!$E:$E,$C14,Database!$A:$A,$D$1)),-0.00001)</f>
        <v>1</v>
      </c>
      <c r="K14" s="185">
        <f>IFERROR(IF($C14="",-0.00001,SUMIFS(Database!M:M,Database!$E:$E,$C14,Database!$A:$A,$D$1)),-0.00001)</f>
        <v>9</v>
      </c>
      <c r="L14" s="185">
        <f>IFERROR(IF($C14="",-0.00001,SUMIFS(Database!N:N,Database!$E:$E,$C14,Database!$A:$A,$D$1)),-0.00001)</f>
        <v>9</v>
      </c>
      <c r="M14" s="185">
        <f>IFERROR(IF($C14="",-0.00001,SUMIFS(Database!O:O,Database!$E:$E,$C14,Database!$A:$A,$D$1)),-0.00001)</f>
        <v>22</v>
      </c>
      <c r="N14" s="185">
        <f>IFERROR(IF($C14="",-0.00001,SUMIFS(Database!P:P,Database!$E:$E,$C14,Database!$A:$A,$D$1)),-0.00001)</f>
        <v>7</v>
      </c>
      <c r="O14" s="185">
        <f>IFERROR(IF($C14="",-0.00001,SUMIFS(Database!Q:Q,Database!$E:$E,$C14,Database!$A:$A,$D$1)),-0.00001)</f>
        <v>18</v>
      </c>
      <c r="P14" s="186">
        <f t="shared" si="0"/>
        <v>0.3888888888888889</v>
      </c>
      <c r="Q14" s="185">
        <f>IFERROR(IF($C14="",-0.00001,SUMIFS(Database!S:S,Database!$E:$E,$C14,Database!$A:$A,$D$1)),-0.00001)</f>
        <v>17</v>
      </c>
      <c r="R14" s="185">
        <f>IFERROR(IF($C14="",-0.00001,SUMIFS(Database!T:T,Database!$E:$E,$C14,Database!$A:$A,$D$1)),-0.00001)</f>
        <v>48</v>
      </c>
      <c r="S14" s="186">
        <f t="shared" si="1"/>
        <v>0.35416666666666669</v>
      </c>
      <c r="T14" s="185">
        <f>IFERROR(IF($C14="",-0.00001,SUMIFS(Database!V:V,Database!$E:$E,$C14,Database!$A:$A,$D$1)),-0.00001)</f>
        <v>5</v>
      </c>
      <c r="U14" s="185">
        <f>IFERROR(IF($C14="",-0.00001,SUMIFS(Database!W:W,Database!$E:$E,$C14,Database!$A:$A,$D$1)),-0.00001)</f>
        <v>9</v>
      </c>
      <c r="V14" s="186">
        <f t="shared" si="2"/>
        <v>0.55555555555555558</v>
      </c>
      <c r="W14" s="187"/>
      <c r="X14" s="187"/>
      <c r="Y14" s="187"/>
      <c r="Z14" s="187"/>
      <c r="AA14" s="187"/>
      <c r="AB14" s="187"/>
      <c r="AC14" s="187"/>
      <c r="AD14" s="187"/>
      <c r="AE14" s="187"/>
    </row>
    <row r="15" spans="1:31" x14ac:dyDescent="0.25">
      <c r="A15" s="187"/>
      <c r="B15" s="187">
        <f>IF($C15="","",MAX($B$4:$B14)+1)</f>
        <v>12</v>
      </c>
      <c r="C15" s="145" t="s">
        <v>4</v>
      </c>
      <c r="D15" s="183" t="str">
        <f>IFERROR(VLOOKUP($C15,Rosters!$C$4:$M$239,INDEX(Lists!$N$5:$O$80,MATCH($C15,Lists!$N$5:$N$80,FALSE),2)),"")</f>
        <v>Mustangs</v>
      </c>
      <c r="E15" s="185">
        <f>IF($C15="",-0.00001,COUNTIFS(Database!E:E,$C15,Database!A:A,$D$1))</f>
        <v>4</v>
      </c>
      <c r="F15" s="185">
        <f>IFERROR(IF($C15="",-0.00001,SUMIFS(Database!H:H,Database!$E:$E,$C15,Database!$A:$A,$D$1)),-0.00001)</f>
        <v>25</v>
      </c>
      <c r="G15" s="185">
        <f>IFERROR(IF($C15="",-0.00001,SUMIFS(Database!I:I,Database!$E:$E,$C15,Database!$A:$A,$D$1)),-0.00001)</f>
        <v>27</v>
      </c>
      <c r="H15" s="185">
        <f>IFERROR(IF($C15="",-0.00001,SUMIFS(Database!J:J,Database!$E:$E,$C15,Database!$A:$A,$D$1)),-0.00001)</f>
        <v>11</v>
      </c>
      <c r="I15" s="185">
        <f>IFERROR(IF($C15="",-0.00001,SUMIFS(Database!K:K,Database!$E:$E,$C15,Database!$A:$A,$D$1)),-0.00001)</f>
        <v>0</v>
      </c>
      <c r="J15" s="185">
        <f>IFERROR(IF($C15="",-0.00001,SUMIFS(Database!L:L,Database!$E:$E,$C15,Database!$A:$A,$D$1)),-0.00001)</f>
        <v>0</v>
      </c>
      <c r="K15" s="185">
        <f>IFERROR(IF($C15="",-0.00001,SUMIFS(Database!M:M,Database!$E:$E,$C15,Database!$A:$A,$D$1)),-0.00001)</f>
        <v>5</v>
      </c>
      <c r="L15" s="185">
        <f>IFERROR(IF($C15="",-0.00001,SUMIFS(Database!N:N,Database!$E:$E,$C15,Database!$A:$A,$D$1)),-0.00001)</f>
        <v>6</v>
      </c>
      <c r="M15" s="185">
        <f>IFERROR(IF($C15="",-0.00001,SUMIFS(Database!O:O,Database!$E:$E,$C15,Database!$A:$A,$D$1)),-0.00001)</f>
        <v>12</v>
      </c>
      <c r="N15" s="185">
        <f>IFERROR(IF($C15="",-0.00001,SUMIFS(Database!P:P,Database!$E:$E,$C15,Database!$A:$A,$D$1)),-0.00001)</f>
        <v>5</v>
      </c>
      <c r="O15" s="185">
        <f>IFERROR(IF($C15="",-0.00001,SUMIFS(Database!Q:Q,Database!$E:$E,$C15,Database!$A:$A,$D$1)),-0.00001)</f>
        <v>19</v>
      </c>
      <c r="P15" s="186">
        <f t="shared" si="0"/>
        <v>0.26315789473684209</v>
      </c>
      <c r="Q15" s="185">
        <f>IFERROR(IF($C15="",-0.00001,SUMIFS(Database!S:S,Database!$E:$E,$C15,Database!$A:$A,$D$1)),-0.00001)</f>
        <v>10</v>
      </c>
      <c r="R15" s="185">
        <f>IFERROR(IF($C15="",-0.00001,SUMIFS(Database!T:T,Database!$E:$E,$C15,Database!$A:$A,$D$1)),-0.00001)</f>
        <v>26</v>
      </c>
      <c r="S15" s="186">
        <f t="shared" si="1"/>
        <v>0.38461538461538464</v>
      </c>
      <c r="T15" s="185">
        <f>IFERROR(IF($C15="",-0.00001,SUMIFS(Database!V:V,Database!$E:$E,$C15,Database!$A:$A,$D$1)),-0.00001)</f>
        <v>0</v>
      </c>
      <c r="U15" s="185">
        <f>IFERROR(IF($C15="",-0.00001,SUMIFS(Database!W:W,Database!$E:$E,$C15,Database!$A:$A,$D$1)),-0.00001)</f>
        <v>1</v>
      </c>
      <c r="V15" s="186">
        <f t="shared" si="2"/>
        <v>0</v>
      </c>
      <c r="W15" s="187"/>
      <c r="X15" s="187"/>
      <c r="Y15" s="187"/>
      <c r="Z15" s="187"/>
      <c r="AA15" s="187"/>
      <c r="AB15" s="187"/>
      <c r="AC15" s="187"/>
      <c r="AD15" s="187"/>
      <c r="AE15" s="187"/>
    </row>
    <row r="16" spans="1:31" x14ac:dyDescent="0.25">
      <c r="A16" s="187"/>
      <c r="B16" s="187">
        <f>IF($C16="","",MAX($B$4:$B15)+1)</f>
        <v>13</v>
      </c>
      <c r="C16" s="145" t="s">
        <v>6</v>
      </c>
      <c r="D16" s="183" t="str">
        <f>IFERROR(VLOOKUP($C16,Rosters!$C$4:$M$239,INDEX(Lists!$N$5:$O$80,MATCH($C16,Lists!$N$5:$N$80,FALSE),2)),"")</f>
        <v>Mustangs</v>
      </c>
      <c r="E16" s="185">
        <f>IF($C16="",-0.00001,COUNTIFS(Database!E:E,$C16,Database!A:A,$D$1))</f>
        <v>3</v>
      </c>
      <c r="F16" s="185">
        <f>IFERROR(IF($C16="",-0.00001,SUMIFS(Database!H:H,Database!$E:$E,$C16,Database!$A:$A,$D$1)),-0.00001)</f>
        <v>22</v>
      </c>
      <c r="G16" s="185">
        <f>IFERROR(IF($C16="",-0.00001,SUMIFS(Database!I:I,Database!$E:$E,$C16,Database!$A:$A,$D$1)),-0.00001)</f>
        <v>21</v>
      </c>
      <c r="H16" s="185">
        <f>IFERROR(IF($C16="",-0.00001,SUMIFS(Database!J:J,Database!$E:$E,$C16,Database!$A:$A,$D$1)),-0.00001)</f>
        <v>8</v>
      </c>
      <c r="I16" s="185">
        <f>IFERROR(IF($C16="",-0.00001,SUMIFS(Database!K:K,Database!$E:$E,$C16,Database!$A:$A,$D$1)),-0.00001)</f>
        <v>1</v>
      </c>
      <c r="J16" s="185">
        <f>IFERROR(IF($C16="",-0.00001,SUMIFS(Database!L:L,Database!$E:$E,$C16,Database!$A:$A,$D$1)),-0.00001)</f>
        <v>0</v>
      </c>
      <c r="K16" s="185">
        <f>IFERROR(IF($C16="",-0.00001,SUMIFS(Database!M:M,Database!$E:$E,$C16,Database!$A:$A,$D$1)),-0.00001)</f>
        <v>3</v>
      </c>
      <c r="L16" s="185">
        <f>IFERROR(IF($C16="",-0.00001,SUMIFS(Database!N:N,Database!$E:$E,$C16,Database!$A:$A,$D$1)),-0.00001)</f>
        <v>8</v>
      </c>
      <c r="M16" s="185">
        <f>IFERROR(IF($C16="",-0.00001,SUMIFS(Database!O:O,Database!$E:$E,$C16,Database!$A:$A,$D$1)),-0.00001)</f>
        <v>13</v>
      </c>
      <c r="N16" s="185">
        <f>IFERROR(IF($C16="",-0.00001,SUMIFS(Database!P:P,Database!$E:$E,$C16,Database!$A:$A,$D$1)),-0.00001)</f>
        <v>2</v>
      </c>
      <c r="O16" s="185">
        <f>IFERROR(IF($C16="",-0.00001,SUMIFS(Database!Q:Q,Database!$E:$E,$C16,Database!$A:$A,$D$1)),-0.00001)</f>
        <v>11</v>
      </c>
      <c r="P16" s="186">
        <f t="shared" si="0"/>
        <v>0.18181818181818182</v>
      </c>
      <c r="Q16" s="185">
        <f>IFERROR(IF($C16="",-0.00001,SUMIFS(Database!S:S,Database!$E:$E,$C16,Database!$A:$A,$D$1)),-0.00001)</f>
        <v>10</v>
      </c>
      <c r="R16" s="185">
        <f>IFERROR(IF($C16="",-0.00001,SUMIFS(Database!T:T,Database!$E:$E,$C16,Database!$A:$A,$D$1)),-0.00001)</f>
        <v>26</v>
      </c>
      <c r="S16" s="186">
        <f t="shared" si="1"/>
        <v>0.38461538461538464</v>
      </c>
      <c r="T16" s="185">
        <f>IFERROR(IF($C16="",-0.00001,SUMIFS(Database!V:V,Database!$E:$E,$C16,Database!$A:$A,$D$1)),-0.00001)</f>
        <v>0</v>
      </c>
      <c r="U16" s="185">
        <f>IFERROR(IF($C16="",-0.00001,SUMIFS(Database!W:W,Database!$E:$E,$C16,Database!$A:$A,$D$1)),-0.00001)</f>
        <v>0</v>
      </c>
      <c r="V16" s="186">
        <f t="shared" si="2"/>
        <v>-1.0000000000000001E-5</v>
      </c>
      <c r="W16" s="187"/>
      <c r="X16" s="187"/>
      <c r="Y16" s="187"/>
      <c r="Z16" s="187"/>
      <c r="AA16" s="187"/>
      <c r="AB16" s="187"/>
      <c r="AC16" s="187"/>
      <c r="AD16" s="187"/>
      <c r="AE16" s="187"/>
    </row>
    <row r="17" spans="1:31" x14ac:dyDescent="0.25">
      <c r="A17" s="187"/>
      <c r="B17" s="187">
        <f>IF($C17="","",MAX($B$4:$B16)+1)</f>
        <v>14</v>
      </c>
      <c r="C17" s="145" t="s">
        <v>9</v>
      </c>
      <c r="D17" s="183" t="str">
        <f>IFERROR(VLOOKUP($C17,Rosters!$C$4:$M$239,INDEX(Lists!$N$5:$O$80,MATCH($C17,Lists!$N$5:$N$80,FALSE),2)),"")</f>
        <v>Wombats</v>
      </c>
      <c r="E17" s="185">
        <f>IF($C17="",-0.00001,COUNTIFS(Database!E:E,$C17,Database!A:A,$D$1))</f>
        <v>4</v>
      </c>
      <c r="F17" s="185">
        <f>IFERROR(IF($C17="",-0.00001,SUMIFS(Database!H:H,Database!$E:$E,$C17,Database!$A:$A,$D$1)),-0.00001)</f>
        <v>52</v>
      </c>
      <c r="G17" s="185">
        <f>IFERROR(IF($C17="",-0.00001,SUMIFS(Database!I:I,Database!$E:$E,$C17,Database!$A:$A,$D$1)),-0.00001)</f>
        <v>26</v>
      </c>
      <c r="H17" s="185">
        <f>IFERROR(IF($C17="",-0.00001,SUMIFS(Database!J:J,Database!$E:$E,$C17,Database!$A:$A,$D$1)),-0.00001)</f>
        <v>8</v>
      </c>
      <c r="I17" s="185">
        <f>IFERROR(IF($C17="",-0.00001,SUMIFS(Database!K:K,Database!$E:$E,$C17,Database!$A:$A,$D$1)),-0.00001)</f>
        <v>4</v>
      </c>
      <c r="J17" s="185">
        <f>IFERROR(IF($C17="",-0.00001,SUMIFS(Database!L:L,Database!$E:$E,$C17,Database!$A:$A,$D$1)),-0.00001)</f>
        <v>0</v>
      </c>
      <c r="K17" s="185">
        <f>IFERROR(IF($C17="",-0.00001,SUMIFS(Database!M:M,Database!$E:$E,$C17,Database!$A:$A,$D$1)),-0.00001)</f>
        <v>5</v>
      </c>
      <c r="L17" s="185">
        <f>IFERROR(IF($C17="",-0.00001,SUMIFS(Database!N:N,Database!$E:$E,$C17,Database!$A:$A,$D$1)),-0.00001)</f>
        <v>7</v>
      </c>
      <c r="M17" s="185">
        <f>IFERROR(IF($C17="",-0.00001,SUMIFS(Database!O:O,Database!$E:$E,$C17,Database!$A:$A,$D$1)),-0.00001)</f>
        <v>19</v>
      </c>
      <c r="N17" s="185">
        <f>IFERROR(IF($C17="",-0.00001,SUMIFS(Database!P:P,Database!$E:$E,$C17,Database!$A:$A,$D$1)),-0.00001)</f>
        <v>10</v>
      </c>
      <c r="O17" s="185">
        <f>IFERROR(IF($C17="",-0.00001,SUMIFS(Database!Q:Q,Database!$E:$E,$C17,Database!$A:$A,$D$1)),-0.00001)</f>
        <v>34</v>
      </c>
      <c r="P17" s="186">
        <f t="shared" si="0"/>
        <v>0.29411764705882354</v>
      </c>
      <c r="Q17" s="185">
        <f>IFERROR(IF($C17="",-0.00001,SUMIFS(Database!S:S,Database!$E:$E,$C17,Database!$A:$A,$D$1)),-0.00001)</f>
        <v>21</v>
      </c>
      <c r="R17" s="185">
        <f>IFERROR(IF($C17="",-0.00001,SUMIFS(Database!T:T,Database!$E:$E,$C17,Database!$A:$A,$D$1)),-0.00001)</f>
        <v>54</v>
      </c>
      <c r="S17" s="186">
        <f t="shared" si="1"/>
        <v>0.3888888888888889</v>
      </c>
      <c r="T17" s="185">
        <f>IFERROR(IF($C17="",-0.00001,SUMIFS(Database!V:V,Database!$E:$E,$C17,Database!$A:$A,$D$1)),-0.00001)</f>
        <v>0</v>
      </c>
      <c r="U17" s="185">
        <f>IFERROR(IF($C17="",-0.00001,SUMIFS(Database!W:W,Database!$E:$E,$C17,Database!$A:$A,$D$1)),-0.00001)</f>
        <v>1</v>
      </c>
      <c r="V17" s="186">
        <f t="shared" si="2"/>
        <v>0</v>
      </c>
      <c r="W17" s="187"/>
      <c r="X17" s="187"/>
      <c r="Y17" s="187"/>
      <c r="Z17" s="187"/>
      <c r="AA17" s="187"/>
      <c r="AB17" s="187"/>
      <c r="AC17" s="187"/>
      <c r="AD17" s="187"/>
      <c r="AE17" s="187"/>
    </row>
    <row r="18" spans="1:31" x14ac:dyDescent="0.25">
      <c r="A18" s="187"/>
      <c r="B18" s="187">
        <f>IF($C18="","",MAX($B$4:$B17)+1)</f>
        <v>15</v>
      </c>
      <c r="C18" s="145" t="s">
        <v>18</v>
      </c>
      <c r="D18" s="183" t="str">
        <f>IFERROR(VLOOKUP($C18,Rosters!$C$4:$M$239,INDEX(Lists!$N$5:$O$80,MATCH($C18,Lists!$N$5:$N$80,FALSE),2)),"")</f>
        <v>Pistons</v>
      </c>
      <c r="E18" s="185">
        <f>IF($C18="",-0.00001,COUNTIFS(Database!E:E,$C18,Database!A:A,$D$1))</f>
        <v>4</v>
      </c>
      <c r="F18" s="185">
        <f>IFERROR(IF($C18="",-0.00001,SUMIFS(Database!H:H,Database!$E:$E,$C18,Database!$A:$A,$D$1)),-0.00001)</f>
        <v>10</v>
      </c>
      <c r="G18" s="185">
        <f>IFERROR(IF($C18="",-0.00001,SUMIFS(Database!I:I,Database!$E:$E,$C18,Database!$A:$A,$D$1)),-0.00001)</f>
        <v>17</v>
      </c>
      <c r="H18" s="185">
        <f>IFERROR(IF($C18="",-0.00001,SUMIFS(Database!J:J,Database!$E:$E,$C18,Database!$A:$A,$D$1)),-0.00001)</f>
        <v>1</v>
      </c>
      <c r="I18" s="185">
        <f>IFERROR(IF($C18="",-0.00001,SUMIFS(Database!K:K,Database!$E:$E,$C18,Database!$A:$A,$D$1)),-0.00001)</f>
        <v>2</v>
      </c>
      <c r="J18" s="185">
        <f>IFERROR(IF($C18="",-0.00001,SUMIFS(Database!L:L,Database!$E:$E,$C18,Database!$A:$A,$D$1)),-0.00001)</f>
        <v>0</v>
      </c>
      <c r="K18" s="185">
        <f>IFERROR(IF($C18="",-0.00001,SUMIFS(Database!M:M,Database!$E:$E,$C18,Database!$A:$A,$D$1)),-0.00001)</f>
        <v>9</v>
      </c>
      <c r="L18" s="185">
        <f>IFERROR(IF($C18="",-0.00001,SUMIFS(Database!N:N,Database!$E:$E,$C18,Database!$A:$A,$D$1)),-0.00001)</f>
        <v>5</v>
      </c>
      <c r="M18" s="185">
        <f>IFERROR(IF($C18="",-0.00001,SUMIFS(Database!O:O,Database!$E:$E,$C18,Database!$A:$A,$D$1)),-0.00001)</f>
        <v>12</v>
      </c>
      <c r="N18" s="185">
        <f>IFERROR(IF($C18="",-0.00001,SUMIFS(Database!P:P,Database!$E:$E,$C18,Database!$A:$A,$D$1)),-0.00001)</f>
        <v>0</v>
      </c>
      <c r="O18" s="185">
        <f>IFERROR(IF($C18="",-0.00001,SUMIFS(Database!Q:Q,Database!$E:$E,$C18,Database!$A:$A,$D$1)),-0.00001)</f>
        <v>9</v>
      </c>
      <c r="P18" s="186">
        <f t="shared" si="0"/>
        <v>0</v>
      </c>
      <c r="Q18" s="185">
        <f>IFERROR(IF($C18="",-0.00001,SUMIFS(Database!S:S,Database!$E:$E,$C18,Database!$A:$A,$D$1)),-0.00001)</f>
        <v>5</v>
      </c>
      <c r="R18" s="185">
        <f>IFERROR(IF($C18="",-0.00001,SUMIFS(Database!T:T,Database!$E:$E,$C18,Database!$A:$A,$D$1)),-0.00001)</f>
        <v>18</v>
      </c>
      <c r="S18" s="186">
        <f t="shared" si="1"/>
        <v>0.27777777777777779</v>
      </c>
      <c r="T18" s="185">
        <f>IFERROR(IF($C18="",-0.00001,SUMIFS(Database!V:V,Database!$E:$E,$C18,Database!$A:$A,$D$1)),-0.00001)</f>
        <v>0</v>
      </c>
      <c r="U18" s="185">
        <f>IFERROR(IF($C18="",-0.00001,SUMIFS(Database!W:W,Database!$E:$E,$C18,Database!$A:$A,$D$1)),-0.00001)</f>
        <v>0</v>
      </c>
      <c r="V18" s="186">
        <f t="shared" si="2"/>
        <v>-1.0000000000000001E-5</v>
      </c>
      <c r="W18" s="187"/>
      <c r="X18" s="187"/>
      <c r="Y18" s="187"/>
      <c r="Z18" s="187"/>
      <c r="AA18" s="187"/>
      <c r="AB18" s="187"/>
      <c r="AC18" s="187"/>
      <c r="AD18" s="187"/>
      <c r="AE18" s="187"/>
    </row>
    <row r="19" spans="1:31" x14ac:dyDescent="0.25">
      <c r="A19" s="187"/>
      <c r="B19" s="187">
        <f>IF($C19="","",MAX($B$4:$B18)+1)</f>
        <v>16</v>
      </c>
      <c r="C19" s="145" t="s">
        <v>30</v>
      </c>
      <c r="D19" s="183" t="str">
        <f>IFERROR(VLOOKUP($C19,Rosters!$C$4:$M$239,INDEX(Lists!$N$5:$O$80,MATCH($C19,Lists!$N$5:$N$80,FALSE),2)),"")</f>
        <v>Wombats</v>
      </c>
      <c r="E19" s="185">
        <f>IF($C19="",-0.00001,COUNTIFS(Database!E:E,$C19,Database!A:A,$D$1))</f>
        <v>3</v>
      </c>
      <c r="F19" s="185">
        <f>IFERROR(IF($C19="",-0.00001,SUMIFS(Database!H:H,Database!$E:$E,$C19,Database!$A:$A,$D$1)),-0.00001)</f>
        <v>7</v>
      </c>
      <c r="G19" s="185">
        <f>IFERROR(IF($C19="",-0.00001,SUMIFS(Database!I:I,Database!$E:$E,$C19,Database!$A:$A,$D$1)),-0.00001)</f>
        <v>9</v>
      </c>
      <c r="H19" s="185">
        <f>IFERROR(IF($C19="",-0.00001,SUMIFS(Database!J:J,Database!$E:$E,$C19,Database!$A:$A,$D$1)),-0.00001)</f>
        <v>1</v>
      </c>
      <c r="I19" s="185">
        <f>IFERROR(IF($C19="",-0.00001,SUMIFS(Database!K:K,Database!$E:$E,$C19,Database!$A:$A,$D$1)),-0.00001)</f>
        <v>1</v>
      </c>
      <c r="J19" s="185">
        <f>IFERROR(IF($C19="",-0.00001,SUMIFS(Database!L:L,Database!$E:$E,$C19,Database!$A:$A,$D$1)),-0.00001)</f>
        <v>1</v>
      </c>
      <c r="K19" s="185">
        <f>IFERROR(IF($C19="",-0.00001,SUMIFS(Database!M:M,Database!$E:$E,$C19,Database!$A:$A,$D$1)),-0.00001)</f>
        <v>4</v>
      </c>
      <c r="L19" s="185">
        <f>IFERROR(IF($C19="",-0.00001,SUMIFS(Database!N:N,Database!$E:$E,$C19,Database!$A:$A,$D$1)),-0.00001)</f>
        <v>1</v>
      </c>
      <c r="M19" s="185">
        <f>IFERROR(IF($C19="",-0.00001,SUMIFS(Database!O:O,Database!$E:$E,$C19,Database!$A:$A,$D$1)),-0.00001)</f>
        <v>8</v>
      </c>
      <c r="N19" s="185">
        <f>IFERROR(IF($C19="",-0.00001,SUMIFS(Database!P:P,Database!$E:$E,$C19,Database!$A:$A,$D$1)),-0.00001)</f>
        <v>1</v>
      </c>
      <c r="O19" s="185">
        <f>IFERROR(IF($C19="",-0.00001,SUMIFS(Database!Q:Q,Database!$E:$E,$C19,Database!$A:$A,$D$1)),-0.00001)</f>
        <v>13</v>
      </c>
      <c r="P19" s="186">
        <f t="shared" si="0"/>
        <v>7.6923076923076927E-2</v>
      </c>
      <c r="Q19" s="185">
        <f>IFERROR(IF($C19="",-0.00001,SUMIFS(Database!S:S,Database!$E:$E,$C19,Database!$A:$A,$D$1)),-0.00001)</f>
        <v>3</v>
      </c>
      <c r="R19" s="185">
        <f>IFERROR(IF($C19="",-0.00001,SUMIFS(Database!T:T,Database!$E:$E,$C19,Database!$A:$A,$D$1)),-0.00001)</f>
        <v>18</v>
      </c>
      <c r="S19" s="186">
        <f t="shared" si="1"/>
        <v>0.16666666666666666</v>
      </c>
      <c r="T19" s="185">
        <f>IFERROR(IF($C19="",-0.00001,SUMIFS(Database!V:V,Database!$E:$E,$C19,Database!$A:$A,$D$1)),-0.00001)</f>
        <v>0</v>
      </c>
      <c r="U19" s="185">
        <f>IFERROR(IF($C19="",-0.00001,SUMIFS(Database!W:W,Database!$E:$E,$C19,Database!$A:$A,$D$1)),-0.00001)</f>
        <v>0</v>
      </c>
      <c r="V19" s="186">
        <f t="shared" si="2"/>
        <v>-1.0000000000000001E-5</v>
      </c>
      <c r="W19" s="187"/>
      <c r="X19" s="187"/>
      <c r="Y19" s="187"/>
      <c r="Z19" s="187"/>
      <c r="AA19" s="187"/>
      <c r="AB19" s="187"/>
      <c r="AC19" s="187"/>
      <c r="AD19" s="187"/>
      <c r="AE19" s="187"/>
    </row>
    <row r="20" spans="1:31" x14ac:dyDescent="0.25">
      <c r="A20" s="187"/>
      <c r="B20" s="187">
        <f>IF($C20="","",MAX($B$4:$B19)+1)</f>
        <v>17</v>
      </c>
      <c r="C20" s="145" t="s">
        <v>10</v>
      </c>
      <c r="D20" s="183" t="str">
        <f>IFERROR(VLOOKUP($C20,Rosters!$C$4:$M$239,INDEX(Lists!$N$5:$O$80,MATCH($C20,Lists!$N$5:$N$80,FALSE),2)),"")</f>
        <v>Wombats</v>
      </c>
      <c r="E20" s="185">
        <f>IF($C20="",-0.00001,COUNTIFS(Database!E:E,$C20,Database!A:A,$D$1))</f>
        <v>4</v>
      </c>
      <c r="F20" s="185">
        <f>IFERROR(IF($C20="",-0.00001,SUMIFS(Database!H:H,Database!$E:$E,$C20,Database!$A:$A,$D$1)),-0.00001)</f>
        <v>18</v>
      </c>
      <c r="G20" s="185">
        <f>IFERROR(IF($C20="",-0.00001,SUMIFS(Database!I:I,Database!$E:$E,$C20,Database!$A:$A,$D$1)),-0.00001)</f>
        <v>15</v>
      </c>
      <c r="H20" s="185">
        <f>IFERROR(IF($C20="",-0.00001,SUMIFS(Database!J:J,Database!$E:$E,$C20,Database!$A:$A,$D$1)),-0.00001)</f>
        <v>4</v>
      </c>
      <c r="I20" s="185">
        <f>IFERROR(IF($C20="",-0.00001,SUMIFS(Database!K:K,Database!$E:$E,$C20,Database!$A:$A,$D$1)),-0.00001)</f>
        <v>3</v>
      </c>
      <c r="J20" s="185">
        <f>IFERROR(IF($C20="",-0.00001,SUMIFS(Database!L:L,Database!$E:$E,$C20,Database!$A:$A,$D$1)),-0.00001)</f>
        <v>0</v>
      </c>
      <c r="K20" s="185">
        <f>IFERROR(IF($C20="",-0.00001,SUMIFS(Database!M:M,Database!$E:$E,$C20,Database!$A:$A,$D$1)),-0.00001)</f>
        <v>7</v>
      </c>
      <c r="L20" s="185">
        <f>IFERROR(IF($C20="",-0.00001,SUMIFS(Database!N:N,Database!$E:$E,$C20,Database!$A:$A,$D$1)),-0.00001)</f>
        <v>4</v>
      </c>
      <c r="M20" s="185">
        <f>IFERROR(IF($C20="",-0.00001,SUMIFS(Database!O:O,Database!$E:$E,$C20,Database!$A:$A,$D$1)),-0.00001)</f>
        <v>11</v>
      </c>
      <c r="N20" s="185">
        <f>IFERROR(IF($C20="",-0.00001,SUMIFS(Database!P:P,Database!$E:$E,$C20,Database!$A:$A,$D$1)),-0.00001)</f>
        <v>6</v>
      </c>
      <c r="O20" s="185">
        <f>IFERROR(IF($C20="",-0.00001,SUMIFS(Database!Q:Q,Database!$E:$E,$C20,Database!$A:$A,$D$1)),-0.00001)</f>
        <v>19</v>
      </c>
      <c r="P20" s="186">
        <f t="shared" si="0"/>
        <v>0.31578947368421051</v>
      </c>
      <c r="Q20" s="185">
        <f>IFERROR(IF($C20="",-0.00001,SUMIFS(Database!S:S,Database!$E:$E,$C20,Database!$A:$A,$D$1)),-0.00001)</f>
        <v>6</v>
      </c>
      <c r="R20" s="185">
        <f>IFERROR(IF($C20="",-0.00001,SUMIFS(Database!T:T,Database!$E:$E,$C20,Database!$A:$A,$D$1)),-0.00001)</f>
        <v>29</v>
      </c>
      <c r="S20" s="186">
        <f t="shared" si="1"/>
        <v>0.20689655172413793</v>
      </c>
      <c r="T20" s="185">
        <f>IFERROR(IF($C20="",-0.00001,SUMIFS(Database!V:V,Database!$E:$E,$C20,Database!$A:$A,$D$1)),-0.00001)</f>
        <v>0</v>
      </c>
      <c r="U20" s="185">
        <f>IFERROR(IF($C20="",-0.00001,SUMIFS(Database!W:W,Database!$E:$E,$C20,Database!$A:$A,$D$1)),-0.00001)</f>
        <v>0</v>
      </c>
      <c r="V20" s="186">
        <f t="shared" si="2"/>
        <v>-1.0000000000000001E-5</v>
      </c>
      <c r="W20" s="187"/>
      <c r="X20" s="187"/>
      <c r="Y20" s="187"/>
      <c r="Z20" s="187"/>
      <c r="AA20" s="187"/>
      <c r="AB20" s="187"/>
      <c r="AC20" s="187"/>
      <c r="AD20" s="187"/>
      <c r="AE20" s="187"/>
    </row>
    <row r="21" spans="1:31" x14ac:dyDescent="0.25">
      <c r="A21" s="187"/>
      <c r="B21" s="187">
        <f>IF($C21="","",MAX($B$4:$B20)+1)</f>
        <v>18</v>
      </c>
      <c r="C21" s="145" t="s">
        <v>8</v>
      </c>
      <c r="D21" s="183" t="str">
        <f>IFERROR(VLOOKUP($C21,Rosters!$C$4:$M$239,INDEX(Lists!$N$5:$O$80,MATCH($C21,Lists!$N$5:$N$80,FALSE),2)),"")</f>
        <v>Wombats</v>
      </c>
      <c r="E21" s="185">
        <f>IF($C21="",-0.00001,COUNTIFS(Database!E:E,$C21,Database!A:A,$D$1))</f>
        <v>4</v>
      </c>
      <c r="F21" s="185">
        <f>IFERROR(IF($C21="",-0.00001,SUMIFS(Database!H:H,Database!$E:$E,$C21,Database!$A:$A,$D$1)),-0.00001)</f>
        <v>95</v>
      </c>
      <c r="G21" s="185">
        <f>IFERROR(IF($C21="",-0.00001,SUMIFS(Database!I:I,Database!$E:$E,$C21,Database!$A:$A,$D$1)),-0.00001)</f>
        <v>22</v>
      </c>
      <c r="H21" s="185">
        <f>IFERROR(IF($C21="",-0.00001,SUMIFS(Database!J:J,Database!$E:$E,$C21,Database!$A:$A,$D$1)),-0.00001)</f>
        <v>14</v>
      </c>
      <c r="I21" s="185">
        <f>IFERROR(IF($C21="",-0.00001,SUMIFS(Database!K:K,Database!$E:$E,$C21,Database!$A:$A,$D$1)),-0.00001)</f>
        <v>2</v>
      </c>
      <c r="J21" s="185">
        <f>IFERROR(IF($C21="",-0.00001,SUMIFS(Database!L:L,Database!$E:$E,$C21,Database!$A:$A,$D$1)),-0.00001)</f>
        <v>0</v>
      </c>
      <c r="K21" s="185">
        <f>IFERROR(IF($C21="",-0.00001,SUMIFS(Database!M:M,Database!$E:$E,$C21,Database!$A:$A,$D$1)),-0.00001)</f>
        <v>15</v>
      </c>
      <c r="L21" s="185">
        <f>IFERROR(IF($C21="",-0.00001,SUMIFS(Database!N:N,Database!$E:$E,$C21,Database!$A:$A,$D$1)),-0.00001)</f>
        <v>10</v>
      </c>
      <c r="M21" s="185">
        <f>IFERROR(IF($C21="",-0.00001,SUMIFS(Database!O:O,Database!$E:$E,$C21,Database!$A:$A,$D$1)),-0.00001)</f>
        <v>12</v>
      </c>
      <c r="N21" s="185">
        <f>IFERROR(IF($C21="",-0.00001,SUMIFS(Database!P:P,Database!$E:$E,$C21,Database!$A:$A,$D$1)),-0.00001)</f>
        <v>12</v>
      </c>
      <c r="O21" s="185">
        <f>IFERROR(IF($C21="",-0.00001,SUMIFS(Database!Q:Q,Database!$E:$E,$C21,Database!$A:$A,$D$1)),-0.00001)</f>
        <v>39</v>
      </c>
      <c r="P21" s="186">
        <f t="shared" si="0"/>
        <v>0.30769230769230771</v>
      </c>
      <c r="Q21" s="185">
        <f>IFERROR(IF($C21="",-0.00001,SUMIFS(Database!S:S,Database!$E:$E,$C21,Database!$A:$A,$D$1)),-0.00001)</f>
        <v>36</v>
      </c>
      <c r="R21" s="185">
        <f>IFERROR(IF($C21="",-0.00001,SUMIFS(Database!T:T,Database!$E:$E,$C21,Database!$A:$A,$D$1)),-0.00001)</f>
        <v>95</v>
      </c>
      <c r="S21" s="186">
        <f t="shared" si="1"/>
        <v>0.37894736842105264</v>
      </c>
      <c r="T21" s="185">
        <f>IFERROR(IF($C21="",-0.00001,SUMIFS(Database!V:V,Database!$E:$E,$C21,Database!$A:$A,$D$1)),-0.00001)</f>
        <v>11</v>
      </c>
      <c r="U21" s="185">
        <f>IFERROR(IF($C21="",-0.00001,SUMIFS(Database!W:W,Database!$E:$E,$C21,Database!$A:$A,$D$1)),-0.00001)</f>
        <v>21</v>
      </c>
      <c r="V21" s="186">
        <f t="shared" si="2"/>
        <v>0.52380952380952384</v>
      </c>
      <c r="W21" s="187"/>
      <c r="X21" s="187"/>
      <c r="Y21" s="187"/>
      <c r="Z21" s="187"/>
      <c r="AA21" s="187"/>
      <c r="AB21" s="187"/>
      <c r="AC21" s="187"/>
      <c r="AD21" s="187"/>
      <c r="AE21" s="187"/>
    </row>
    <row r="22" spans="1:31" x14ac:dyDescent="0.25">
      <c r="A22" s="187"/>
      <c r="B22" s="187">
        <f>IF($C22="","",MAX($B$4:$B21)+1)</f>
        <v>19</v>
      </c>
      <c r="C22" s="145" t="s">
        <v>31</v>
      </c>
      <c r="D22" s="183" t="str">
        <f>IFERROR(VLOOKUP($C22,Rosters!$C$4:$M$239,INDEX(Lists!$N$5:$O$80,MATCH($C22,Lists!$N$5:$N$80,FALSE),2)),"")</f>
        <v>Vandals</v>
      </c>
      <c r="E22" s="185">
        <f>IF($C22="",-0.00001,COUNTIFS(Database!E:E,$C22,Database!A:A,$D$1))</f>
        <v>4</v>
      </c>
      <c r="F22" s="185">
        <f>IFERROR(IF($C22="",-0.00001,SUMIFS(Database!H:H,Database!$E:$E,$C22,Database!$A:$A,$D$1)),-0.00001)</f>
        <v>82</v>
      </c>
      <c r="G22" s="185">
        <f>IFERROR(IF($C22="",-0.00001,SUMIFS(Database!I:I,Database!$E:$E,$C22,Database!$A:$A,$D$1)),-0.00001)</f>
        <v>20</v>
      </c>
      <c r="H22" s="185">
        <f>IFERROR(IF($C22="",-0.00001,SUMIFS(Database!J:J,Database!$E:$E,$C22,Database!$A:$A,$D$1)),-0.00001)</f>
        <v>9</v>
      </c>
      <c r="I22" s="185">
        <f>IFERROR(IF($C22="",-0.00001,SUMIFS(Database!K:K,Database!$E:$E,$C22,Database!$A:$A,$D$1)),-0.00001)</f>
        <v>2</v>
      </c>
      <c r="J22" s="185">
        <f>IFERROR(IF($C22="",-0.00001,SUMIFS(Database!L:L,Database!$E:$E,$C22,Database!$A:$A,$D$1)),-0.00001)</f>
        <v>3</v>
      </c>
      <c r="K22" s="185">
        <f>IFERROR(IF($C22="",-0.00001,SUMIFS(Database!M:M,Database!$E:$E,$C22,Database!$A:$A,$D$1)),-0.00001)</f>
        <v>16</v>
      </c>
      <c r="L22" s="185">
        <f>IFERROR(IF($C22="",-0.00001,SUMIFS(Database!N:N,Database!$E:$E,$C22,Database!$A:$A,$D$1)),-0.00001)</f>
        <v>3</v>
      </c>
      <c r="M22" s="185">
        <f>IFERROR(IF($C22="",-0.00001,SUMIFS(Database!O:O,Database!$E:$E,$C22,Database!$A:$A,$D$1)),-0.00001)</f>
        <v>13</v>
      </c>
      <c r="N22" s="185">
        <f>IFERROR(IF($C22="",-0.00001,SUMIFS(Database!P:P,Database!$E:$E,$C22,Database!$A:$A,$D$1)),-0.00001)</f>
        <v>7</v>
      </c>
      <c r="O22" s="185">
        <f>IFERROR(IF($C22="",-0.00001,SUMIFS(Database!Q:Q,Database!$E:$E,$C22,Database!$A:$A,$D$1)),-0.00001)</f>
        <v>23</v>
      </c>
      <c r="P22" s="186">
        <f t="shared" si="0"/>
        <v>0.30434782608695654</v>
      </c>
      <c r="Q22" s="185">
        <f>IFERROR(IF($C22="",-0.00001,SUMIFS(Database!S:S,Database!$E:$E,$C22,Database!$A:$A,$D$1)),-0.00001)</f>
        <v>32</v>
      </c>
      <c r="R22" s="185">
        <f>IFERROR(IF($C22="",-0.00001,SUMIFS(Database!T:T,Database!$E:$E,$C22,Database!$A:$A,$D$1)),-0.00001)</f>
        <v>79</v>
      </c>
      <c r="S22" s="186">
        <f t="shared" si="1"/>
        <v>0.4050632911392405</v>
      </c>
      <c r="T22" s="185">
        <f>IFERROR(IF($C22="",-0.00001,SUMIFS(Database!V:V,Database!$E:$E,$C22,Database!$A:$A,$D$1)),-0.00001)</f>
        <v>11</v>
      </c>
      <c r="U22" s="185">
        <f>IFERROR(IF($C22="",-0.00001,SUMIFS(Database!W:W,Database!$E:$E,$C22,Database!$A:$A,$D$1)),-0.00001)</f>
        <v>14</v>
      </c>
      <c r="V22" s="186">
        <f t="shared" si="2"/>
        <v>0.7857142857142857</v>
      </c>
      <c r="W22" s="187"/>
      <c r="X22" s="187"/>
      <c r="Y22" s="187"/>
      <c r="Z22" s="187"/>
      <c r="AA22" s="187"/>
      <c r="AB22" s="187"/>
      <c r="AC22" s="187"/>
      <c r="AD22" s="187"/>
      <c r="AE22" s="187"/>
    </row>
    <row r="23" spans="1:31" x14ac:dyDescent="0.25">
      <c r="A23" s="187"/>
      <c r="B23" s="187">
        <f>IF($C23="","",MAX($B$4:$B22)+1)</f>
        <v>20</v>
      </c>
      <c r="C23" s="145" t="s">
        <v>19</v>
      </c>
      <c r="D23" s="183" t="str">
        <f>IFERROR(VLOOKUP($C23,Rosters!$C$4:$M$239,INDEX(Lists!$N$5:$O$80,MATCH($C23,Lists!$N$5:$N$80,FALSE),2)),"")</f>
        <v>Lightning</v>
      </c>
      <c r="E23" s="185">
        <f>IF($C23="",-0.00001,COUNTIFS(Database!E:E,$C23,Database!A:A,$D$1))</f>
        <v>4</v>
      </c>
      <c r="F23" s="185">
        <f>IFERROR(IF($C23="",-0.00001,SUMIFS(Database!H:H,Database!$E:$E,$C23,Database!$A:$A,$D$1)),-0.00001)</f>
        <v>67</v>
      </c>
      <c r="G23" s="185">
        <f>IFERROR(IF($C23="",-0.00001,SUMIFS(Database!I:I,Database!$E:$E,$C23,Database!$A:$A,$D$1)),-0.00001)</f>
        <v>49</v>
      </c>
      <c r="H23" s="185">
        <f>IFERROR(IF($C23="",-0.00001,SUMIFS(Database!J:J,Database!$E:$E,$C23,Database!$A:$A,$D$1)),-0.00001)</f>
        <v>23</v>
      </c>
      <c r="I23" s="185">
        <f>IFERROR(IF($C23="",-0.00001,SUMIFS(Database!K:K,Database!$E:$E,$C23,Database!$A:$A,$D$1)),-0.00001)</f>
        <v>13</v>
      </c>
      <c r="J23" s="185">
        <f>IFERROR(IF($C23="",-0.00001,SUMIFS(Database!L:L,Database!$E:$E,$C23,Database!$A:$A,$D$1)),-0.00001)</f>
        <v>14</v>
      </c>
      <c r="K23" s="185">
        <f>IFERROR(IF($C23="",-0.00001,SUMIFS(Database!M:M,Database!$E:$E,$C23,Database!$A:$A,$D$1)),-0.00001)</f>
        <v>8</v>
      </c>
      <c r="L23" s="185">
        <f>IFERROR(IF($C23="",-0.00001,SUMIFS(Database!N:N,Database!$E:$E,$C23,Database!$A:$A,$D$1)),-0.00001)</f>
        <v>11</v>
      </c>
      <c r="M23" s="185">
        <f>IFERROR(IF($C23="",-0.00001,SUMIFS(Database!O:O,Database!$E:$E,$C23,Database!$A:$A,$D$1)),-0.00001)</f>
        <v>38</v>
      </c>
      <c r="N23" s="185">
        <f>IFERROR(IF($C23="",-0.00001,SUMIFS(Database!P:P,Database!$E:$E,$C23,Database!$A:$A,$D$1)),-0.00001)</f>
        <v>2</v>
      </c>
      <c r="O23" s="185">
        <f>IFERROR(IF($C23="",-0.00001,SUMIFS(Database!Q:Q,Database!$E:$E,$C23,Database!$A:$A,$D$1)),-0.00001)</f>
        <v>4</v>
      </c>
      <c r="P23" s="186">
        <f t="shared" si="0"/>
        <v>0.5</v>
      </c>
      <c r="Q23" s="185">
        <f>IFERROR(IF($C23="",-0.00001,SUMIFS(Database!S:S,Database!$E:$E,$C23,Database!$A:$A,$D$1)),-0.00001)</f>
        <v>28</v>
      </c>
      <c r="R23" s="185">
        <f>IFERROR(IF($C23="",-0.00001,SUMIFS(Database!T:T,Database!$E:$E,$C23,Database!$A:$A,$D$1)),-0.00001)</f>
        <v>49</v>
      </c>
      <c r="S23" s="186">
        <f t="shared" si="1"/>
        <v>0.5714285714285714</v>
      </c>
      <c r="T23" s="185">
        <f>IFERROR(IF($C23="",-0.00001,SUMIFS(Database!V:V,Database!$E:$E,$C23,Database!$A:$A,$D$1)),-0.00001)</f>
        <v>9</v>
      </c>
      <c r="U23" s="185">
        <f>IFERROR(IF($C23="",-0.00001,SUMIFS(Database!W:W,Database!$E:$E,$C23,Database!$A:$A,$D$1)),-0.00001)</f>
        <v>20</v>
      </c>
      <c r="V23" s="186">
        <f t="shared" si="2"/>
        <v>0.45</v>
      </c>
      <c r="W23" s="187"/>
      <c r="X23" s="187"/>
      <c r="Y23" s="187"/>
      <c r="Z23" s="187"/>
      <c r="AA23" s="187"/>
      <c r="AB23" s="187"/>
      <c r="AC23" s="187"/>
      <c r="AD23" s="187"/>
      <c r="AE23" s="187"/>
    </row>
    <row r="24" spans="1:31" x14ac:dyDescent="0.25">
      <c r="A24" s="187"/>
      <c r="B24" s="187">
        <f>IF($C24="","",MAX($B$4:$B23)+1)</f>
        <v>21</v>
      </c>
      <c r="C24" s="145" t="s">
        <v>32</v>
      </c>
      <c r="D24" s="183" t="str">
        <f>IFERROR(VLOOKUP($C24,Rosters!$C$4:$M$239,INDEX(Lists!$N$5:$O$80,MATCH($C24,Lists!$N$5:$N$80,FALSE),2)),"")</f>
        <v>Vandals</v>
      </c>
      <c r="E24" s="185">
        <f>IF($C24="",-0.00001,COUNTIFS(Database!E:E,$C24,Database!A:A,$D$1))</f>
        <v>3</v>
      </c>
      <c r="F24" s="185">
        <f>IFERROR(IF($C24="",-0.00001,SUMIFS(Database!H:H,Database!$E:$E,$C24,Database!$A:$A,$D$1)),-0.00001)</f>
        <v>38</v>
      </c>
      <c r="G24" s="185">
        <f>IFERROR(IF($C24="",-0.00001,SUMIFS(Database!I:I,Database!$E:$E,$C24,Database!$A:$A,$D$1)),-0.00001)</f>
        <v>19</v>
      </c>
      <c r="H24" s="185">
        <f>IFERROR(IF($C24="",-0.00001,SUMIFS(Database!J:J,Database!$E:$E,$C24,Database!$A:$A,$D$1)),-0.00001)</f>
        <v>12</v>
      </c>
      <c r="I24" s="185">
        <f>IFERROR(IF($C24="",-0.00001,SUMIFS(Database!K:K,Database!$E:$E,$C24,Database!$A:$A,$D$1)),-0.00001)</f>
        <v>9</v>
      </c>
      <c r="J24" s="185">
        <f>IFERROR(IF($C24="",-0.00001,SUMIFS(Database!L:L,Database!$E:$E,$C24,Database!$A:$A,$D$1)),-0.00001)</f>
        <v>1</v>
      </c>
      <c r="K24" s="185">
        <f>IFERROR(IF($C24="",-0.00001,SUMIFS(Database!M:M,Database!$E:$E,$C24,Database!$A:$A,$D$1)),-0.00001)</f>
        <v>7</v>
      </c>
      <c r="L24" s="185">
        <f>IFERROR(IF($C24="",-0.00001,SUMIFS(Database!N:N,Database!$E:$E,$C24,Database!$A:$A,$D$1)),-0.00001)</f>
        <v>7</v>
      </c>
      <c r="M24" s="185">
        <f>IFERROR(IF($C24="",-0.00001,SUMIFS(Database!O:O,Database!$E:$E,$C24,Database!$A:$A,$D$1)),-0.00001)</f>
        <v>12</v>
      </c>
      <c r="N24" s="185">
        <f>IFERROR(IF($C24="",-0.00001,SUMIFS(Database!P:P,Database!$E:$E,$C24,Database!$A:$A,$D$1)),-0.00001)</f>
        <v>4</v>
      </c>
      <c r="O24" s="185">
        <f>IFERROR(IF($C24="",-0.00001,SUMIFS(Database!Q:Q,Database!$E:$E,$C24,Database!$A:$A,$D$1)),-0.00001)</f>
        <v>18</v>
      </c>
      <c r="P24" s="186">
        <f t="shared" si="0"/>
        <v>0.22222222222222221</v>
      </c>
      <c r="Q24" s="185">
        <f>IFERROR(IF($C24="",-0.00001,SUMIFS(Database!S:S,Database!$E:$E,$C24,Database!$A:$A,$D$1)),-0.00001)</f>
        <v>16</v>
      </c>
      <c r="R24" s="185">
        <f>IFERROR(IF($C24="",-0.00001,SUMIFS(Database!T:T,Database!$E:$E,$C24,Database!$A:$A,$D$1)),-0.00001)</f>
        <v>47</v>
      </c>
      <c r="S24" s="186">
        <f t="shared" si="1"/>
        <v>0.34042553191489361</v>
      </c>
      <c r="T24" s="185">
        <f>IFERROR(IF($C24="",-0.00001,SUMIFS(Database!V:V,Database!$E:$E,$C24,Database!$A:$A,$D$1)),-0.00001)</f>
        <v>2</v>
      </c>
      <c r="U24" s="185">
        <f>IFERROR(IF($C24="",-0.00001,SUMIFS(Database!W:W,Database!$E:$E,$C24,Database!$A:$A,$D$1)),-0.00001)</f>
        <v>4</v>
      </c>
      <c r="V24" s="186">
        <f t="shared" si="2"/>
        <v>0.5</v>
      </c>
      <c r="W24" s="187"/>
      <c r="X24" s="187"/>
      <c r="Y24" s="187"/>
      <c r="Z24" s="187"/>
      <c r="AA24" s="187"/>
      <c r="AB24" s="187"/>
      <c r="AC24" s="187"/>
      <c r="AD24" s="187"/>
      <c r="AE24" s="187"/>
    </row>
    <row r="25" spans="1:31" x14ac:dyDescent="0.25">
      <c r="A25" s="187"/>
      <c r="B25" s="187">
        <f>IF($C25="","",MAX($B$4:$B24)+1)</f>
        <v>22</v>
      </c>
      <c r="C25" s="145" t="s">
        <v>2</v>
      </c>
      <c r="D25" s="183" t="str">
        <f>IFERROR(VLOOKUP($C25,Rosters!$C$4:$M$239,INDEX(Lists!$N$5:$O$80,MATCH($C25,Lists!$N$5:$N$80,FALSE),2)),"")</f>
        <v>Mustangs</v>
      </c>
      <c r="E25" s="185">
        <f>IF($C25="",-0.00001,COUNTIFS(Database!E:E,$C25,Database!A:A,$D$1))</f>
        <v>4</v>
      </c>
      <c r="F25" s="185">
        <f>IFERROR(IF($C25="",-0.00001,SUMIFS(Database!H:H,Database!$E:$E,$C25,Database!$A:$A,$D$1)),-0.00001)</f>
        <v>100</v>
      </c>
      <c r="G25" s="185">
        <f>IFERROR(IF($C25="",-0.00001,SUMIFS(Database!I:I,Database!$E:$E,$C25,Database!$A:$A,$D$1)),-0.00001)</f>
        <v>23</v>
      </c>
      <c r="H25" s="185">
        <f>IFERROR(IF($C25="",-0.00001,SUMIFS(Database!J:J,Database!$E:$E,$C25,Database!$A:$A,$D$1)),-0.00001)</f>
        <v>14</v>
      </c>
      <c r="I25" s="185">
        <f>IFERROR(IF($C25="",-0.00001,SUMIFS(Database!K:K,Database!$E:$E,$C25,Database!$A:$A,$D$1)),-0.00001)</f>
        <v>14</v>
      </c>
      <c r="J25" s="185">
        <f>IFERROR(IF($C25="",-0.00001,SUMIFS(Database!L:L,Database!$E:$E,$C25,Database!$A:$A,$D$1)),-0.00001)</f>
        <v>0</v>
      </c>
      <c r="K25" s="185">
        <f>IFERROR(IF($C25="",-0.00001,SUMIFS(Database!M:M,Database!$E:$E,$C25,Database!$A:$A,$D$1)),-0.00001)</f>
        <v>15</v>
      </c>
      <c r="L25" s="185">
        <f>IFERROR(IF($C25="",-0.00001,SUMIFS(Database!N:N,Database!$E:$E,$C25,Database!$A:$A,$D$1)),-0.00001)</f>
        <v>7</v>
      </c>
      <c r="M25" s="185">
        <f>IFERROR(IF($C25="",-0.00001,SUMIFS(Database!O:O,Database!$E:$E,$C25,Database!$A:$A,$D$1)),-0.00001)</f>
        <v>13</v>
      </c>
      <c r="N25" s="185">
        <f>IFERROR(IF($C25="",-0.00001,SUMIFS(Database!P:P,Database!$E:$E,$C25,Database!$A:$A,$D$1)),-0.00001)</f>
        <v>19</v>
      </c>
      <c r="O25" s="185">
        <f>IFERROR(IF($C25="",-0.00001,SUMIFS(Database!Q:Q,Database!$E:$E,$C25,Database!$A:$A,$D$1)),-0.00001)</f>
        <v>45</v>
      </c>
      <c r="P25" s="186">
        <f t="shared" si="0"/>
        <v>0.42222222222222222</v>
      </c>
      <c r="Q25" s="185">
        <f>IFERROR(IF($C25="",-0.00001,SUMIFS(Database!S:S,Database!$E:$E,$C25,Database!$A:$A,$D$1)),-0.00001)</f>
        <v>38</v>
      </c>
      <c r="R25" s="185">
        <f>IFERROR(IF($C25="",-0.00001,SUMIFS(Database!T:T,Database!$E:$E,$C25,Database!$A:$A,$D$1)),-0.00001)</f>
        <v>82</v>
      </c>
      <c r="S25" s="186">
        <f t="shared" si="1"/>
        <v>0.46341463414634149</v>
      </c>
      <c r="T25" s="185">
        <f>IFERROR(IF($C25="",-0.00001,SUMIFS(Database!V:V,Database!$E:$E,$C25,Database!$A:$A,$D$1)),-0.00001)</f>
        <v>5</v>
      </c>
      <c r="U25" s="185">
        <f>IFERROR(IF($C25="",-0.00001,SUMIFS(Database!W:W,Database!$E:$E,$C25,Database!$A:$A,$D$1)),-0.00001)</f>
        <v>5</v>
      </c>
      <c r="V25" s="186">
        <f t="shared" si="2"/>
        <v>1</v>
      </c>
      <c r="W25" s="187"/>
      <c r="X25" s="187"/>
      <c r="Y25" s="187"/>
      <c r="Z25" s="187"/>
      <c r="AA25" s="187"/>
      <c r="AB25" s="187"/>
      <c r="AC25" s="187"/>
      <c r="AD25" s="187"/>
      <c r="AE25" s="187"/>
    </row>
    <row r="26" spans="1:31" x14ac:dyDescent="0.25">
      <c r="A26" s="187"/>
      <c r="B26" s="187">
        <f>IF($C26="","",MAX($B$4:$B25)+1)</f>
        <v>23</v>
      </c>
      <c r="C26" s="145" t="s">
        <v>1</v>
      </c>
      <c r="D26" s="183" t="str">
        <f>IFERROR(VLOOKUP($C26,Rosters!$C$4:$M$239,INDEX(Lists!$N$5:$O$80,MATCH($C26,Lists!$N$5:$N$80,FALSE),2)),"")</f>
        <v>Mustangs</v>
      </c>
      <c r="E26" s="185">
        <f>IF($C26="",-0.00001,COUNTIFS(Database!E:E,$C26,Database!A:A,$D$1))</f>
        <v>4</v>
      </c>
      <c r="F26" s="185">
        <f>IFERROR(IF($C26="",-0.00001,SUMIFS(Database!H:H,Database!$E:$E,$C26,Database!$A:$A,$D$1)),-0.00001)</f>
        <v>70</v>
      </c>
      <c r="G26" s="185">
        <f>IFERROR(IF($C26="",-0.00001,SUMIFS(Database!I:I,Database!$E:$E,$C26,Database!$A:$A,$D$1)),-0.00001)</f>
        <v>41</v>
      </c>
      <c r="H26" s="185">
        <f>IFERROR(IF($C26="",-0.00001,SUMIFS(Database!J:J,Database!$E:$E,$C26,Database!$A:$A,$D$1)),-0.00001)</f>
        <v>17</v>
      </c>
      <c r="I26" s="185">
        <f>IFERROR(IF($C26="",-0.00001,SUMIFS(Database!K:K,Database!$E:$E,$C26,Database!$A:$A,$D$1)),-0.00001)</f>
        <v>9</v>
      </c>
      <c r="J26" s="185">
        <f>IFERROR(IF($C26="",-0.00001,SUMIFS(Database!L:L,Database!$E:$E,$C26,Database!$A:$A,$D$1)),-0.00001)</f>
        <v>1</v>
      </c>
      <c r="K26" s="185">
        <f>IFERROR(IF($C26="",-0.00001,SUMIFS(Database!M:M,Database!$E:$E,$C26,Database!$A:$A,$D$1)),-0.00001)</f>
        <v>12</v>
      </c>
      <c r="L26" s="185">
        <f>IFERROR(IF($C26="",-0.00001,SUMIFS(Database!N:N,Database!$E:$E,$C26,Database!$A:$A,$D$1)),-0.00001)</f>
        <v>11</v>
      </c>
      <c r="M26" s="185">
        <f>IFERROR(IF($C26="",-0.00001,SUMIFS(Database!O:O,Database!$E:$E,$C26,Database!$A:$A,$D$1)),-0.00001)</f>
        <v>13</v>
      </c>
      <c r="N26" s="185">
        <f>IFERROR(IF($C26="",-0.00001,SUMIFS(Database!P:P,Database!$E:$E,$C26,Database!$A:$A,$D$1)),-0.00001)</f>
        <v>12</v>
      </c>
      <c r="O26" s="185">
        <f>IFERROR(IF($C26="",-0.00001,SUMIFS(Database!Q:Q,Database!$E:$E,$C26,Database!$A:$A,$D$1)),-0.00001)</f>
        <v>36</v>
      </c>
      <c r="P26" s="186">
        <f t="shared" si="0"/>
        <v>0.33333333333333331</v>
      </c>
      <c r="Q26" s="185">
        <f>IFERROR(IF($C26="",-0.00001,SUMIFS(Database!S:S,Database!$E:$E,$C26,Database!$A:$A,$D$1)),-0.00001)</f>
        <v>28</v>
      </c>
      <c r="R26" s="185">
        <f>IFERROR(IF($C26="",-0.00001,SUMIFS(Database!T:T,Database!$E:$E,$C26,Database!$A:$A,$D$1)),-0.00001)</f>
        <v>65</v>
      </c>
      <c r="S26" s="186">
        <f t="shared" si="1"/>
        <v>0.43076923076923079</v>
      </c>
      <c r="T26" s="185">
        <f>IFERROR(IF($C26="",-0.00001,SUMIFS(Database!V:V,Database!$E:$E,$C26,Database!$A:$A,$D$1)),-0.00001)</f>
        <v>2</v>
      </c>
      <c r="U26" s="185">
        <f>IFERROR(IF($C26="",-0.00001,SUMIFS(Database!W:W,Database!$E:$E,$C26,Database!$A:$A,$D$1)),-0.00001)</f>
        <v>4</v>
      </c>
      <c r="V26" s="186">
        <f t="shared" si="2"/>
        <v>0.5</v>
      </c>
      <c r="W26" s="187"/>
      <c r="X26" s="187"/>
      <c r="Y26" s="187"/>
      <c r="Z26" s="187"/>
      <c r="AA26" s="187"/>
      <c r="AB26" s="187"/>
      <c r="AC26" s="187"/>
      <c r="AD26" s="187"/>
      <c r="AE26" s="187"/>
    </row>
    <row r="27" spans="1:31" x14ac:dyDescent="0.25">
      <c r="A27" s="187"/>
      <c r="B27" s="187">
        <f>IF($C27="","",MAX($B$4:$B26)+1)</f>
        <v>24</v>
      </c>
      <c r="C27" s="145" t="s">
        <v>35</v>
      </c>
      <c r="D27" s="183" t="str">
        <f>IFERROR(VLOOKUP($C27,Rosters!$C$4:$M$239,INDEX(Lists!$N$5:$O$80,MATCH($C27,Lists!$N$5:$N$80,FALSE),2)),"")</f>
        <v>Vandals</v>
      </c>
      <c r="E27" s="185">
        <f>IF($C27="",-0.00001,COUNTIFS(Database!E:E,$C27,Database!A:A,$D$1))</f>
        <v>4</v>
      </c>
      <c r="F27" s="185">
        <f>IFERROR(IF($C27="",-0.00001,SUMIFS(Database!H:H,Database!$E:$E,$C27,Database!$A:$A,$D$1)),-0.00001)</f>
        <v>13</v>
      </c>
      <c r="G27" s="185">
        <f>IFERROR(IF($C27="",-0.00001,SUMIFS(Database!I:I,Database!$E:$E,$C27,Database!$A:$A,$D$1)),-0.00001)</f>
        <v>15</v>
      </c>
      <c r="H27" s="185">
        <f>IFERROR(IF($C27="",-0.00001,SUMIFS(Database!J:J,Database!$E:$E,$C27,Database!$A:$A,$D$1)),-0.00001)</f>
        <v>3</v>
      </c>
      <c r="I27" s="185">
        <f>IFERROR(IF($C27="",-0.00001,SUMIFS(Database!K:K,Database!$E:$E,$C27,Database!$A:$A,$D$1)),-0.00001)</f>
        <v>0</v>
      </c>
      <c r="J27" s="185">
        <f>IFERROR(IF($C27="",-0.00001,SUMIFS(Database!L:L,Database!$E:$E,$C27,Database!$A:$A,$D$1)),-0.00001)</f>
        <v>1</v>
      </c>
      <c r="K27" s="185">
        <f>IFERROR(IF($C27="",-0.00001,SUMIFS(Database!M:M,Database!$E:$E,$C27,Database!$A:$A,$D$1)),-0.00001)</f>
        <v>3</v>
      </c>
      <c r="L27" s="185">
        <f>IFERROR(IF($C27="",-0.00001,SUMIFS(Database!N:N,Database!$E:$E,$C27,Database!$A:$A,$D$1)),-0.00001)</f>
        <v>1</v>
      </c>
      <c r="M27" s="185">
        <f>IFERROR(IF($C27="",-0.00001,SUMIFS(Database!O:O,Database!$E:$E,$C27,Database!$A:$A,$D$1)),-0.00001)</f>
        <v>12</v>
      </c>
      <c r="N27" s="185">
        <f>IFERROR(IF($C27="",-0.00001,SUMIFS(Database!P:P,Database!$E:$E,$C27,Database!$A:$A,$D$1)),-0.00001)</f>
        <v>2</v>
      </c>
      <c r="O27" s="185">
        <f>IFERROR(IF($C27="",-0.00001,SUMIFS(Database!Q:Q,Database!$E:$E,$C27,Database!$A:$A,$D$1)),-0.00001)</f>
        <v>12</v>
      </c>
      <c r="P27" s="186">
        <f t="shared" si="0"/>
        <v>0.16666666666666666</v>
      </c>
      <c r="Q27" s="185">
        <f>IFERROR(IF($C27="",-0.00001,SUMIFS(Database!S:S,Database!$E:$E,$C27,Database!$A:$A,$D$1)),-0.00001)</f>
        <v>6</v>
      </c>
      <c r="R27" s="185">
        <f>IFERROR(IF($C27="",-0.00001,SUMIFS(Database!T:T,Database!$E:$E,$C27,Database!$A:$A,$D$1)),-0.00001)</f>
        <v>19</v>
      </c>
      <c r="S27" s="186">
        <f t="shared" si="1"/>
        <v>0.31578947368421051</v>
      </c>
      <c r="T27" s="185">
        <f>IFERROR(IF($C27="",-0.00001,SUMIFS(Database!V:V,Database!$E:$E,$C27,Database!$A:$A,$D$1)),-0.00001)</f>
        <v>0</v>
      </c>
      <c r="U27" s="185">
        <f>IFERROR(IF($C27="",-0.00001,SUMIFS(Database!W:W,Database!$E:$E,$C27,Database!$A:$A,$D$1)),-0.00001)</f>
        <v>0</v>
      </c>
      <c r="V27" s="186">
        <f t="shared" si="2"/>
        <v>-1.0000000000000001E-5</v>
      </c>
      <c r="W27" s="187"/>
      <c r="X27" s="187"/>
      <c r="Y27" s="187"/>
      <c r="Z27" s="187"/>
      <c r="AA27" s="187"/>
      <c r="AB27" s="187"/>
      <c r="AC27" s="187"/>
      <c r="AD27" s="187"/>
      <c r="AE27" s="187"/>
    </row>
    <row r="28" spans="1:31" x14ac:dyDescent="0.25">
      <c r="A28" s="187"/>
      <c r="B28" s="187">
        <f>IF($C28="","",MAX($B$4:$B27)+1)</f>
        <v>25</v>
      </c>
      <c r="C28" s="145" t="s">
        <v>230</v>
      </c>
      <c r="D28" s="183" t="str">
        <f>IFERROR(VLOOKUP($C28,Rosters!$C$4:$M$239,INDEX(Lists!$N$5:$O$80,MATCH($C28,Lists!$N$5:$N$80,FALSE),2)),"")</f>
        <v>Pistons</v>
      </c>
      <c r="E28" s="185">
        <f>IF($C28="",-0.00001,COUNTIFS(Database!E:E,$C28,Database!A:A,$D$1))</f>
        <v>2</v>
      </c>
      <c r="F28" s="185">
        <f>IFERROR(IF($C28="",-0.00001,SUMIFS(Database!H:H,Database!$E:$E,$C28,Database!$A:$A,$D$1)),-0.00001)</f>
        <v>10</v>
      </c>
      <c r="G28" s="185">
        <f>IFERROR(IF($C28="",-0.00001,SUMIFS(Database!I:I,Database!$E:$E,$C28,Database!$A:$A,$D$1)),-0.00001)</f>
        <v>20</v>
      </c>
      <c r="H28" s="185">
        <f>IFERROR(IF($C28="",-0.00001,SUMIFS(Database!J:J,Database!$E:$E,$C28,Database!$A:$A,$D$1)),-0.00001)</f>
        <v>0</v>
      </c>
      <c r="I28" s="185">
        <f>IFERROR(IF($C28="",-0.00001,SUMIFS(Database!K:K,Database!$E:$E,$C28,Database!$A:$A,$D$1)),-0.00001)</f>
        <v>0</v>
      </c>
      <c r="J28" s="185">
        <f>IFERROR(IF($C28="",-0.00001,SUMIFS(Database!L:L,Database!$E:$E,$C28,Database!$A:$A,$D$1)),-0.00001)</f>
        <v>1</v>
      </c>
      <c r="K28" s="185">
        <f>IFERROR(IF($C28="",-0.00001,SUMIFS(Database!M:M,Database!$E:$E,$C28,Database!$A:$A,$D$1)),-0.00001)</f>
        <v>7</v>
      </c>
      <c r="L28" s="185">
        <f>IFERROR(IF($C28="",-0.00001,SUMIFS(Database!N:N,Database!$E:$E,$C28,Database!$A:$A,$D$1)),-0.00001)</f>
        <v>8</v>
      </c>
      <c r="M28" s="185">
        <f>IFERROR(IF($C28="",-0.00001,SUMIFS(Database!O:O,Database!$E:$E,$C28,Database!$A:$A,$D$1)),-0.00001)</f>
        <v>12</v>
      </c>
      <c r="N28" s="185">
        <f>IFERROR(IF($C28="",-0.00001,SUMIFS(Database!P:P,Database!$E:$E,$C28,Database!$A:$A,$D$1)),-0.00001)</f>
        <v>0</v>
      </c>
      <c r="O28" s="185">
        <f>IFERROR(IF($C28="",-0.00001,SUMIFS(Database!Q:Q,Database!$E:$E,$C28,Database!$A:$A,$D$1)),-0.00001)</f>
        <v>0</v>
      </c>
      <c r="P28" s="186">
        <f t="shared" si="0"/>
        <v>-1.0000000000000001E-5</v>
      </c>
      <c r="Q28" s="185">
        <f>IFERROR(IF($C28="",-0.00001,SUMIFS(Database!S:S,Database!$E:$E,$C28,Database!$A:$A,$D$1)),-0.00001)</f>
        <v>5</v>
      </c>
      <c r="R28" s="185">
        <f>IFERROR(IF($C28="",-0.00001,SUMIFS(Database!T:T,Database!$E:$E,$C28,Database!$A:$A,$D$1)),-0.00001)</f>
        <v>18</v>
      </c>
      <c r="S28" s="186">
        <f t="shared" si="1"/>
        <v>0.27777777777777779</v>
      </c>
      <c r="T28" s="185">
        <f>IFERROR(IF($C28="",-0.00001,SUMIFS(Database!V:V,Database!$E:$E,$C28,Database!$A:$A,$D$1)),-0.00001)</f>
        <v>0</v>
      </c>
      <c r="U28" s="185">
        <f>IFERROR(IF($C28="",-0.00001,SUMIFS(Database!W:W,Database!$E:$E,$C28,Database!$A:$A,$D$1)),-0.00001)</f>
        <v>2</v>
      </c>
      <c r="V28" s="186">
        <f t="shared" si="2"/>
        <v>0</v>
      </c>
      <c r="W28" s="187"/>
      <c r="X28" s="187"/>
      <c r="Y28" s="187"/>
      <c r="Z28" s="187"/>
      <c r="AA28" s="187"/>
      <c r="AB28" s="187"/>
      <c r="AC28" s="187"/>
      <c r="AD28" s="187"/>
      <c r="AE28" s="187"/>
    </row>
    <row r="29" spans="1:31" x14ac:dyDescent="0.25">
      <c r="A29" s="187"/>
      <c r="B29" s="187">
        <f>IF($C29="","",MAX($B$4:$B28)+1)</f>
        <v>26</v>
      </c>
      <c r="C29" s="145" t="s">
        <v>23</v>
      </c>
      <c r="D29" s="183" t="str">
        <f>IFERROR(VLOOKUP($C29,Rosters!$C$4:$M$239,INDEX(Lists!$N$5:$O$80,MATCH($C29,Lists!$N$5:$N$80,FALSE),2)),"")</f>
        <v>Lightning</v>
      </c>
      <c r="E29" s="185">
        <f>IF($C29="",-0.00001,COUNTIFS(Database!E:E,$C29,Database!A:A,$D$1))</f>
        <v>4</v>
      </c>
      <c r="F29" s="185">
        <f>IFERROR(IF($C29="",-0.00001,SUMIFS(Database!H:H,Database!$E:$E,$C29,Database!$A:$A,$D$1)),-0.00001)</f>
        <v>37</v>
      </c>
      <c r="G29" s="185">
        <f>IFERROR(IF($C29="",-0.00001,SUMIFS(Database!I:I,Database!$E:$E,$C29,Database!$A:$A,$D$1)),-0.00001)</f>
        <v>21</v>
      </c>
      <c r="H29" s="185">
        <f>IFERROR(IF($C29="",-0.00001,SUMIFS(Database!J:J,Database!$E:$E,$C29,Database!$A:$A,$D$1)),-0.00001)</f>
        <v>11</v>
      </c>
      <c r="I29" s="185">
        <f>IFERROR(IF($C29="",-0.00001,SUMIFS(Database!K:K,Database!$E:$E,$C29,Database!$A:$A,$D$1)),-0.00001)</f>
        <v>8</v>
      </c>
      <c r="J29" s="185">
        <f>IFERROR(IF($C29="",-0.00001,SUMIFS(Database!L:L,Database!$E:$E,$C29,Database!$A:$A,$D$1)),-0.00001)</f>
        <v>0</v>
      </c>
      <c r="K29" s="185">
        <f>IFERROR(IF($C29="",-0.00001,SUMIFS(Database!M:M,Database!$E:$E,$C29,Database!$A:$A,$D$1)),-0.00001)</f>
        <v>9</v>
      </c>
      <c r="L29" s="185">
        <f>IFERROR(IF($C29="",-0.00001,SUMIFS(Database!N:N,Database!$E:$E,$C29,Database!$A:$A,$D$1)),-0.00001)</f>
        <v>4</v>
      </c>
      <c r="M29" s="185">
        <f>IFERROR(IF($C29="",-0.00001,SUMIFS(Database!O:O,Database!$E:$E,$C29,Database!$A:$A,$D$1)),-0.00001)</f>
        <v>17</v>
      </c>
      <c r="N29" s="185">
        <f>IFERROR(IF($C29="",-0.00001,SUMIFS(Database!P:P,Database!$E:$E,$C29,Database!$A:$A,$D$1)),-0.00001)</f>
        <v>5</v>
      </c>
      <c r="O29" s="185">
        <f>IFERROR(IF($C29="",-0.00001,SUMIFS(Database!Q:Q,Database!$E:$E,$C29,Database!$A:$A,$D$1)),-0.00001)</f>
        <v>19</v>
      </c>
      <c r="P29" s="186">
        <f t="shared" si="0"/>
        <v>0.26315789473684209</v>
      </c>
      <c r="Q29" s="185">
        <f>IFERROR(IF($C29="",-0.00001,SUMIFS(Database!S:S,Database!$E:$E,$C29,Database!$A:$A,$D$1)),-0.00001)</f>
        <v>16</v>
      </c>
      <c r="R29" s="185">
        <f>IFERROR(IF($C29="",-0.00001,SUMIFS(Database!T:T,Database!$E:$E,$C29,Database!$A:$A,$D$1)),-0.00001)</f>
        <v>41</v>
      </c>
      <c r="S29" s="186">
        <f t="shared" si="1"/>
        <v>0.3902439024390244</v>
      </c>
      <c r="T29" s="185">
        <f>IFERROR(IF($C29="",-0.00001,SUMIFS(Database!V:V,Database!$E:$E,$C29,Database!$A:$A,$D$1)),-0.00001)</f>
        <v>0</v>
      </c>
      <c r="U29" s="185">
        <f>IFERROR(IF($C29="",-0.00001,SUMIFS(Database!W:W,Database!$E:$E,$C29,Database!$A:$A,$D$1)),-0.00001)</f>
        <v>0</v>
      </c>
      <c r="V29" s="186">
        <f t="shared" si="2"/>
        <v>-1.0000000000000001E-5</v>
      </c>
      <c r="W29" s="187"/>
      <c r="X29" s="187"/>
      <c r="Y29" s="187"/>
      <c r="Z29" s="187"/>
      <c r="AA29" s="187"/>
      <c r="AB29" s="187"/>
      <c r="AC29" s="187"/>
      <c r="AD29" s="187"/>
      <c r="AE29" s="187"/>
    </row>
    <row r="30" spans="1:31" x14ac:dyDescent="0.25">
      <c r="A30" s="187"/>
      <c r="B30" s="187">
        <f>IF($C30="","",MAX($B$4:$B29)+1)</f>
        <v>27</v>
      </c>
      <c r="C30" s="145" t="s">
        <v>3</v>
      </c>
      <c r="D30" s="183" t="str">
        <f>IFERROR(VLOOKUP($C30,Rosters!$C$4:$M$239,INDEX(Lists!$N$5:$O$80,MATCH($C30,Lists!$N$5:$N$80,FALSE),2)),"")</f>
        <v>Mustangs</v>
      </c>
      <c r="E30" s="185">
        <f>IF($C30="",-0.00001,COUNTIFS(Database!E:E,$C30,Database!A:A,$D$1))</f>
        <v>3</v>
      </c>
      <c r="F30" s="185">
        <f>IFERROR(IF($C30="",-0.00001,SUMIFS(Database!H:H,Database!$E:$E,$C30,Database!$A:$A,$D$1)),-0.00001)</f>
        <v>35</v>
      </c>
      <c r="G30" s="185">
        <f>IFERROR(IF($C30="",-0.00001,SUMIFS(Database!I:I,Database!$E:$E,$C30,Database!$A:$A,$D$1)),-0.00001)</f>
        <v>16</v>
      </c>
      <c r="H30" s="185">
        <f>IFERROR(IF($C30="",-0.00001,SUMIFS(Database!J:J,Database!$E:$E,$C30,Database!$A:$A,$D$1)),-0.00001)</f>
        <v>6</v>
      </c>
      <c r="I30" s="185">
        <f>IFERROR(IF($C30="",-0.00001,SUMIFS(Database!K:K,Database!$E:$E,$C30,Database!$A:$A,$D$1)),-0.00001)</f>
        <v>7</v>
      </c>
      <c r="J30" s="185">
        <f>IFERROR(IF($C30="",-0.00001,SUMIFS(Database!L:L,Database!$E:$E,$C30,Database!$A:$A,$D$1)),-0.00001)</f>
        <v>1</v>
      </c>
      <c r="K30" s="185">
        <f>IFERROR(IF($C30="",-0.00001,SUMIFS(Database!M:M,Database!$E:$E,$C30,Database!$A:$A,$D$1)),-0.00001)</f>
        <v>4</v>
      </c>
      <c r="L30" s="185">
        <f>IFERROR(IF($C30="",-0.00001,SUMIFS(Database!N:N,Database!$E:$E,$C30,Database!$A:$A,$D$1)),-0.00001)</f>
        <v>1</v>
      </c>
      <c r="M30" s="185">
        <f>IFERROR(IF($C30="",-0.00001,SUMIFS(Database!O:O,Database!$E:$E,$C30,Database!$A:$A,$D$1)),-0.00001)</f>
        <v>11</v>
      </c>
      <c r="N30" s="185">
        <f>IFERROR(IF($C30="",-0.00001,SUMIFS(Database!P:P,Database!$E:$E,$C30,Database!$A:$A,$D$1)),-0.00001)</f>
        <v>5</v>
      </c>
      <c r="O30" s="185">
        <f>IFERROR(IF($C30="",-0.00001,SUMIFS(Database!Q:Q,Database!$E:$E,$C30,Database!$A:$A,$D$1)),-0.00001)</f>
        <v>24</v>
      </c>
      <c r="P30" s="186">
        <f t="shared" si="0"/>
        <v>0.20833333333333334</v>
      </c>
      <c r="Q30" s="185">
        <f>IFERROR(IF($C30="",-0.00001,SUMIFS(Database!S:S,Database!$E:$E,$C30,Database!$A:$A,$D$1)),-0.00001)</f>
        <v>15</v>
      </c>
      <c r="R30" s="185">
        <f>IFERROR(IF($C30="",-0.00001,SUMIFS(Database!T:T,Database!$E:$E,$C30,Database!$A:$A,$D$1)),-0.00001)</f>
        <v>42</v>
      </c>
      <c r="S30" s="186">
        <f t="shared" si="1"/>
        <v>0.35714285714285715</v>
      </c>
      <c r="T30" s="185">
        <f>IFERROR(IF($C30="",-0.00001,SUMIFS(Database!V:V,Database!$E:$E,$C30,Database!$A:$A,$D$1)),-0.00001)</f>
        <v>0</v>
      </c>
      <c r="U30" s="185">
        <f>IFERROR(IF($C30="",-0.00001,SUMIFS(Database!W:W,Database!$E:$E,$C30,Database!$A:$A,$D$1)),-0.00001)</f>
        <v>0</v>
      </c>
      <c r="V30" s="186">
        <f t="shared" si="2"/>
        <v>-1.0000000000000001E-5</v>
      </c>
      <c r="W30" s="187"/>
      <c r="X30" s="187"/>
      <c r="Y30" s="187"/>
      <c r="Z30" s="187"/>
      <c r="AA30" s="187"/>
      <c r="AB30" s="187"/>
      <c r="AC30" s="187"/>
      <c r="AD30" s="187"/>
      <c r="AE30" s="187"/>
    </row>
    <row r="31" spans="1:31" x14ac:dyDescent="0.25">
      <c r="A31" s="187"/>
      <c r="B31" s="187">
        <f>IF($C31="","",MAX($B$4:$B30)+1)</f>
        <v>28</v>
      </c>
      <c r="C31" s="145" t="s">
        <v>25</v>
      </c>
      <c r="D31" s="183" t="str">
        <f>IFERROR(VLOOKUP($C31,Rosters!$C$4:$M$239,INDEX(Lists!$N$5:$O$80,MATCH($C31,Lists!$N$5:$N$80,FALSE),2)),"")</f>
        <v>Hoopers</v>
      </c>
      <c r="E31" s="185">
        <f>IF($C31="",-0.00001,COUNTIFS(Database!E:E,$C31,Database!A:A,$D$1))</f>
        <v>3</v>
      </c>
      <c r="F31" s="185">
        <f>IFERROR(IF($C31="",-0.00001,SUMIFS(Database!H:H,Database!$E:$E,$C31,Database!$A:$A,$D$1)),-0.00001)</f>
        <v>34</v>
      </c>
      <c r="G31" s="185">
        <f>IFERROR(IF($C31="",-0.00001,SUMIFS(Database!I:I,Database!$E:$E,$C31,Database!$A:$A,$D$1)),-0.00001)</f>
        <v>23</v>
      </c>
      <c r="H31" s="185">
        <f>IFERROR(IF($C31="",-0.00001,SUMIFS(Database!J:J,Database!$E:$E,$C31,Database!$A:$A,$D$1)),-0.00001)</f>
        <v>6</v>
      </c>
      <c r="I31" s="185">
        <f>IFERROR(IF($C31="",-0.00001,SUMIFS(Database!K:K,Database!$E:$E,$C31,Database!$A:$A,$D$1)),-0.00001)</f>
        <v>8</v>
      </c>
      <c r="J31" s="185">
        <f>IFERROR(IF($C31="",-0.00001,SUMIFS(Database!L:L,Database!$E:$E,$C31,Database!$A:$A,$D$1)),-0.00001)</f>
        <v>1</v>
      </c>
      <c r="K31" s="185">
        <f>IFERROR(IF($C31="",-0.00001,SUMIFS(Database!M:M,Database!$E:$E,$C31,Database!$A:$A,$D$1)),-0.00001)</f>
        <v>4</v>
      </c>
      <c r="L31" s="185">
        <f>IFERROR(IF($C31="",-0.00001,SUMIFS(Database!N:N,Database!$E:$E,$C31,Database!$A:$A,$D$1)),-0.00001)</f>
        <v>1</v>
      </c>
      <c r="M31" s="185">
        <f>IFERROR(IF($C31="",-0.00001,SUMIFS(Database!O:O,Database!$E:$E,$C31,Database!$A:$A,$D$1)),-0.00001)</f>
        <v>22</v>
      </c>
      <c r="N31" s="185">
        <f>IFERROR(IF($C31="",-0.00001,SUMIFS(Database!P:P,Database!$E:$E,$C31,Database!$A:$A,$D$1)),-0.00001)</f>
        <v>6</v>
      </c>
      <c r="O31" s="185">
        <f>IFERROR(IF($C31="",-0.00001,SUMIFS(Database!Q:Q,Database!$E:$E,$C31,Database!$A:$A,$D$1)),-0.00001)</f>
        <v>14</v>
      </c>
      <c r="P31" s="186">
        <f t="shared" si="0"/>
        <v>0.42857142857142855</v>
      </c>
      <c r="Q31" s="185">
        <f>IFERROR(IF($C31="",-0.00001,SUMIFS(Database!S:S,Database!$E:$E,$C31,Database!$A:$A,$D$1)),-0.00001)</f>
        <v>13</v>
      </c>
      <c r="R31" s="185">
        <f>IFERROR(IF($C31="",-0.00001,SUMIFS(Database!T:T,Database!$E:$E,$C31,Database!$A:$A,$D$1)),-0.00001)</f>
        <v>30</v>
      </c>
      <c r="S31" s="186">
        <f t="shared" si="1"/>
        <v>0.43333333333333335</v>
      </c>
      <c r="T31" s="185">
        <f>IFERROR(IF($C31="",-0.00001,SUMIFS(Database!V:V,Database!$E:$E,$C31,Database!$A:$A,$D$1)),-0.00001)</f>
        <v>2</v>
      </c>
      <c r="U31" s="185">
        <f>IFERROR(IF($C31="",-0.00001,SUMIFS(Database!W:W,Database!$E:$E,$C31,Database!$A:$A,$D$1)),-0.00001)</f>
        <v>4</v>
      </c>
      <c r="V31" s="186">
        <f t="shared" si="2"/>
        <v>0.5</v>
      </c>
      <c r="W31" s="187"/>
      <c r="X31" s="187"/>
      <c r="Y31" s="187"/>
      <c r="Z31" s="187"/>
      <c r="AA31" s="187"/>
      <c r="AB31" s="187"/>
      <c r="AC31" s="187"/>
      <c r="AD31" s="187"/>
      <c r="AE31" s="187"/>
    </row>
    <row r="32" spans="1:31" x14ac:dyDescent="0.25">
      <c r="A32" s="187"/>
      <c r="B32" s="187">
        <f>IF($C32="","",MAX($B$4:$B31)+1)</f>
        <v>29</v>
      </c>
      <c r="C32" s="145" t="s">
        <v>29</v>
      </c>
      <c r="D32" s="183" t="str">
        <f>IFERROR(VLOOKUP($C32,Rosters!$C$4:$M$239,INDEX(Lists!$N$5:$O$80,MATCH($C32,Lists!$N$5:$N$80,FALSE),2)),"")</f>
        <v>Hoopers</v>
      </c>
      <c r="E32" s="185">
        <f>IF($C32="",-0.00001,COUNTIFS(Database!E:E,$C32,Database!A:A,$D$1))</f>
        <v>3</v>
      </c>
      <c r="F32" s="185">
        <f>IFERROR(IF($C32="",-0.00001,SUMIFS(Database!H:H,Database!$E:$E,$C32,Database!$A:$A,$D$1)),-0.00001)</f>
        <v>15</v>
      </c>
      <c r="G32" s="185">
        <f>IFERROR(IF($C32="",-0.00001,SUMIFS(Database!I:I,Database!$E:$E,$C32,Database!$A:$A,$D$1)),-0.00001)</f>
        <v>28</v>
      </c>
      <c r="H32" s="185">
        <f>IFERROR(IF($C32="",-0.00001,SUMIFS(Database!J:J,Database!$E:$E,$C32,Database!$A:$A,$D$1)),-0.00001)</f>
        <v>6</v>
      </c>
      <c r="I32" s="185">
        <f>IFERROR(IF($C32="",-0.00001,SUMIFS(Database!K:K,Database!$E:$E,$C32,Database!$A:$A,$D$1)),-0.00001)</f>
        <v>4</v>
      </c>
      <c r="J32" s="185">
        <f>IFERROR(IF($C32="",-0.00001,SUMIFS(Database!L:L,Database!$E:$E,$C32,Database!$A:$A,$D$1)),-0.00001)</f>
        <v>1</v>
      </c>
      <c r="K32" s="185">
        <f>IFERROR(IF($C32="",-0.00001,SUMIFS(Database!M:M,Database!$E:$E,$C32,Database!$A:$A,$D$1)),-0.00001)</f>
        <v>9</v>
      </c>
      <c r="L32" s="185">
        <f>IFERROR(IF($C32="",-0.00001,SUMIFS(Database!N:N,Database!$E:$E,$C32,Database!$A:$A,$D$1)),-0.00001)</f>
        <v>14</v>
      </c>
      <c r="M32" s="185">
        <f>IFERROR(IF($C32="",-0.00001,SUMIFS(Database!O:O,Database!$E:$E,$C32,Database!$A:$A,$D$1)),-0.00001)</f>
        <v>14</v>
      </c>
      <c r="N32" s="185">
        <f>IFERROR(IF($C32="",-0.00001,SUMIFS(Database!P:P,Database!$E:$E,$C32,Database!$A:$A,$D$1)),-0.00001)</f>
        <v>1</v>
      </c>
      <c r="O32" s="185">
        <f>IFERROR(IF($C32="",-0.00001,SUMIFS(Database!Q:Q,Database!$E:$E,$C32,Database!$A:$A,$D$1)),-0.00001)</f>
        <v>7</v>
      </c>
      <c r="P32" s="186">
        <f t="shared" si="0"/>
        <v>0.14285714285714285</v>
      </c>
      <c r="Q32" s="185">
        <f>IFERROR(IF($C32="",-0.00001,SUMIFS(Database!S:S,Database!$E:$E,$C32,Database!$A:$A,$D$1)),-0.00001)</f>
        <v>7</v>
      </c>
      <c r="R32" s="185">
        <f>IFERROR(IF($C32="",-0.00001,SUMIFS(Database!T:T,Database!$E:$E,$C32,Database!$A:$A,$D$1)),-0.00001)</f>
        <v>28</v>
      </c>
      <c r="S32" s="186">
        <f t="shared" si="1"/>
        <v>0.25</v>
      </c>
      <c r="T32" s="185">
        <f>IFERROR(IF($C32="",-0.00001,SUMIFS(Database!V:V,Database!$E:$E,$C32,Database!$A:$A,$D$1)),-0.00001)</f>
        <v>0</v>
      </c>
      <c r="U32" s="185">
        <f>IFERROR(IF($C32="",-0.00001,SUMIFS(Database!W:W,Database!$E:$E,$C32,Database!$A:$A,$D$1)),-0.00001)</f>
        <v>4</v>
      </c>
      <c r="V32" s="186">
        <f t="shared" si="2"/>
        <v>0</v>
      </c>
      <c r="W32" s="187"/>
      <c r="X32" s="187"/>
      <c r="Y32" s="187"/>
      <c r="Z32" s="187"/>
      <c r="AA32" s="187"/>
      <c r="AB32" s="187"/>
      <c r="AC32" s="187"/>
      <c r="AD32" s="187"/>
      <c r="AE32" s="187"/>
    </row>
    <row r="33" spans="1:31" x14ac:dyDescent="0.25">
      <c r="A33" s="187"/>
      <c r="B33" s="187">
        <f>IF($C33="","",MAX($B$4:$B32)+1)</f>
        <v>30</v>
      </c>
      <c r="C33" s="145" t="s">
        <v>28</v>
      </c>
      <c r="D33" s="183" t="str">
        <f>IFERROR(VLOOKUP($C33,Rosters!$C$4:$M$239,INDEX(Lists!$N$5:$O$80,MATCH($C33,Lists!$N$5:$N$80,FALSE),2)),"")</f>
        <v>Hoopers</v>
      </c>
      <c r="E33" s="185">
        <f>IF($C33="",-0.00001,COUNTIFS(Database!E:E,$C33,Database!A:A,$D$1))</f>
        <v>4</v>
      </c>
      <c r="F33" s="185">
        <f>IFERROR(IF($C33="",-0.00001,SUMIFS(Database!H:H,Database!$E:$E,$C33,Database!$A:$A,$D$1)),-0.00001)</f>
        <v>25</v>
      </c>
      <c r="G33" s="185">
        <f>IFERROR(IF($C33="",-0.00001,SUMIFS(Database!I:I,Database!$E:$E,$C33,Database!$A:$A,$D$1)),-0.00001)</f>
        <v>19</v>
      </c>
      <c r="H33" s="185">
        <f>IFERROR(IF($C33="",-0.00001,SUMIFS(Database!J:J,Database!$E:$E,$C33,Database!$A:$A,$D$1)),-0.00001)</f>
        <v>2</v>
      </c>
      <c r="I33" s="185">
        <f>IFERROR(IF($C33="",-0.00001,SUMIFS(Database!K:K,Database!$E:$E,$C33,Database!$A:$A,$D$1)),-0.00001)</f>
        <v>3</v>
      </c>
      <c r="J33" s="185">
        <f>IFERROR(IF($C33="",-0.00001,SUMIFS(Database!L:L,Database!$E:$E,$C33,Database!$A:$A,$D$1)),-0.00001)</f>
        <v>1</v>
      </c>
      <c r="K33" s="185">
        <f>IFERROR(IF($C33="",-0.00001,SUMIFS(Database!M:M,Database!$E:$E,$C33,Database!$A:$A,$D$1)),-0.00001)</f>
        <v>2</v>
      </c>
      <c r="L33" s="185">
        <f>IFERROR(IF($C33="",-0.00001,SUMIFS(Database!N:N,Database!$E:$E,$C33,Database!$A:$A,$D$1)),-0.00001)</f>
        <v>4</v>
      </c>
      <c r="M33" s="185">
        <f>IFERROR(IF($C33="",-0.00001,SUMIFS(Database!O:O,Database!$E:$E,$C33,Database!$A:$A,$D$1)),-0.00001)</f>
        <v>15</v>
      </c>
      <c r="N33" s="185">
        <f>IFERROR(IF($C33="",-0.00001,SUMIFS(Database!P:P,Database!$E:$E,$C33,Database!$A:$A,$D$1)),-0.00001)</f>
        <v>7</v>
      </c>
      <c r="O33" s="185">
        <f>IFERROR(IF($C33="",-0.00001,SUMIFS(Database!Q:Q,Database!$E:$E,$C33,Database!$A:$A,$D$1)),-0.00001)</f>
        <v>20</v>
      </c>
      <c r="P33" s="186">
        <f t="shared" si="0"/>
        <v>0.35</v>
      </c>
      <c r="Q33" s="185">
        <f>IFERROR(IF($C33="",-0.00001,SUMIFS(Database!S:S,Database!$E:$E,$C33,Database!$A:$A,$D$1)),-0.00001)</f>
        <v>9</v>
      </c>
      <c r="R33" s="185">
        <f>IFERROR(IF($C33="",-0.00001,SUMIFS(Database!T:T,Database!$E:$E,$C33,Database!$A:$A,$D$1)),-0.00001)</f>
        <v>26</v>
      </c>
      <c r="S33" s="186">
        <f t="shared" si="1"/>
        <v>0.34615384615384615</v>
      </c>
      <c r="T33" s="185">
        <f>IFERROR(IF($C33="",-0.00001,SUMIFS(Database!V:V,Database!$E:$E,$C33,Database!$A:$A,$D$1)),-0.00001)</f>
        <v>0</v>
      </c>
      <c r="U33" s="185">
        <f>IFERROR(IF($C33="",-0.00001,SUMIFS(Database!W:W,Database!$E:$E,$C33,Database!$A:$A,$D$1)),-0.00001)</f>
        <v>0</v>
      </c>
      <c r="V33" s="186">
        <f t="shared" si="2"/>
        <v>-1.0000000000000001E-5</v>
      </c>
      <c r="W33" s="187"/>
      <c r="X33" s="187"/>
      <c r="Y33" s="187"/>
      <c r="Z33" s="187"/>
      <c r="AA33" s="187"/>
      <c r="AB33" s="187"/>
      <c r="AC33" s="187"/>
      <c r="AD33" s="187"/>
      <c r="AE33" s="187"/>
    </row>
    <row r="34" spans="1:31" x14ac:dyDescent="0.25">
      <c r="A34" s="187"/>
      <c r="B34" s="187">
        <f>IF($C34="","",MAX($B$4:$B33)+1)</f>
        <v>31</v>
      </c>
      <c r="C34" s="145" t="s">
        <v>34</v>
      </c>
      <c r="D34" s="183" t="str">
        <f>IFERROR(VLOOKUP($C34,Rosters!$C$4:$M$239,INDEX(Lists!$N$5:$O$80,MATCH($C34,Lists!$N$5:$N$80,FALSE),2)),"")</f>
        <v>Vandals</v>
      </c>
      <c r="E34" s="185">
        <f>IF($C34="",-0.00001,COUNTIFS(Database!E:E,$C34,Database!A:A,$D$1))</f>
        <v>3</v>
      </c>
      <c r="F34" s="185">
        <f>IFERROR(IF($C34="",-0.00001,SUMIFS(Database!H:H,Database!$E:$E,$C34,Database!$A:$A,$D$1)),-0.00001)</f>
        <v>42</v>
      </c>
      <c r="G34" s="185">
        <f>IFERROR(IF($C34="",-0.00001,SUMIFS(Database!I:I,Database!$E:$E,$C34,Database!$A:$A,$D$1)),-0.00001)</f>
        <v>30</v>
      </c>
      <c r="H34" s="185">
        <f>IFERROR(IF($C34="",-0.00001,SUMIFS(Database!J:J,Database!$E:$E,$C34,Database!$A:$A,$D$1)),-0.00001)</f>
        <v>6</v>
      </c>
      <c r="I34" s="185">
        <f>IFERROR(IF($C34="",-0.00001,SUMIFS(Database!K:K,Database!$E:$E,$C34,Database!$A:$A,$D$1)),-0.00001)</f>
        <v>8</v>
      </c>
      <c r="J34" s="185">
        <f>IFERROR(IF($C34="",-0.00001,SUMIFS(Database!L:L,Database!$E:$E,$C34,Database!$A:$A,$D$1)),-0.00001)</f>
        <v>0</v>
      </c>
      <c r="K34" s="185">
        <f>IFERROR(IF($C34="",-0.00001,SUMIFS(Database!M:M,Database!$E:$E,$C34,Database!$A:$A,$D$1)),-0.00001)</f>
        <v>13</v>
      </c>
      <c r="L34" s="185">
        <f>IFERROR(IF($C34="",-0.00001,SUMIFS(Database!N:N,Database!$E:$E,$C34,Database!$A:$A,$D$1)),-0.00001)</f>
        <v>7</v>
      </c>
      <c r="M34" s="185">
        <f>IFERROR(IF($C34="",-0.00001,SUMIFS(Database!O:O,Database!$E:$E,$C34,Database!$A:$A,$D$1)),-0.00001)</f>
        <v>12</v>
      </c>
      <c r="N34" s="185">
        <f>IFERROR(IF($C34="",-0.00001,SUMIFS(Database!P:P,Database!$E:$E,$C34,Database!$A:$A,$D$1)),-0.00001)</f>
        <v>2</v>
      </c>
      <c r="O34" s="185">
        <f>IFERROR(IF($C34="",-0.00001,SUMIFS(Database!Q:Q,Database!$E:$E,$C34,Database!$A:$A,$D$1)),-0.00001)</f>
        <v>8</v>
      </c>
      <c r="P34" s="186">
        <f t="shared" si="0"/>
        <v>0.25</v>
      </c>
      <c r="Q34" s="185">
        <f>IFERROR(IF($C34="",-0.00001,SUMIFS(Database!S:S,Database!$E:$E,$C34,Database!$A:$A,$D$1)),-0.00001)</f>
        <v>17</v>
      </c>
      <c r="R34" s="185">
        <f>IFERROR(IF($C34="",-0.00001,SUMIFS(Database!T:T,Database!$E:$E,$C34,Database!$A:$A,$D$1)),-0.00001)</f>
        <v>42</v>
      </c>
      <c r="S34" s="186">
        <f t="shared" si="1"/>
        <v>0.40476190476190477</v>
      </c>
      <c r="T34" s="185">
        <f>IFERROR(IF($C34="",-0.00001,SUMIFS(Database!V:V,Database!$E:$E,$C34,Database!$A:$A,$D$1)),-0.00001)</f>
        <v>6</v>
      </c>
      <c r="U34" s="185">
        <f>IFERROR(IF($C34="",-0.00001,SUMIFS(Database!W:W,Database!$E:$E,$C34,Database!$A:$A,$D$1)),-0.00001)</f>
        <v>7</v>
      </c>
      <c r="V34" s="186">
        <f t="shared" si="2"/>
        <v>0.8571428571428571</v>
      </c>
      <c r="W34" s="187"/>
      <c r="X34" s="187"/>
      <c r="Y34" s="187"/>
      <c r="Z34" s="187"/>
      <c r="AA34" s="187"/>
      <c r="AB34" s="187"/>
      <c r="AC34" s="187"/>
      <c r="AD34" s="187"/>
      <c r="AE34" s="187"/>
    </row>
    <row r="35" spans="1:31" x14ac:dyDescent="0.25">
      <c r="A35" s="187"/>
      <c r="B35" s="187">
        <f>IF($C35="","",MAX($B$4:$B34)+1)</f>
        <v>32</v>
      </c>
      <c r="C35" s="145" t="s">
        <v>15</v>
      </c>
      <c r="D35" s="183" t="str">
        <f>IFERROR(VLOOKUP($C35,Rosters!$C$4:$M$239,INDEX(Lists!$N$5:$O$80,MATCH($C35,Lists!$N$5:$N$80,FALSE),2)),"")</f>
        <v>Pistons</v>
      </c>
      <c r="E35" s="185">
        <f>IF($C35="",-0.00001,COUNTIFS(Database!E:E,$C35,Database!A:A,$D$1))</f>
        <v>4</v>
      </c>
      <c r="F35" s="185">
        <f>IFERROR(IF($C35="",-0.00001,SUMIFS(Database!H:H,Database!$E:$E,$C35,Database!$A:$A,$D$1)),-0.00001)</f>
        <v>50</v>
      </c>
      <c r="G35" s="185">
        <f>IFERROR(IF($C35="",-0.00001,SUMIFS(Database!I:I,Database!$E:$E,$C35,Database!$A:$A,$D$1)),-0.00001)</f>
        <v>22</v>
      </c>
      <c r="H35" s="185">
        <f>IFERROR(IF($C35="",-0.00001,SUMIFS(Database!J:J,Database!$E:$E,$C35,Database!$A:$A,$D$1)),-0.00001)</f>
        <v>7</v>
      </c>
      <c r="I35" s="185">
        <f>IFERROR(IF($C35="",-0.00001,SUMIFS(Database!K:K,Database!$E:$E,$C35,Database!$A:$A,$D$1)),-0.00001)</f>
        <v>5</v>
      </c>
      <c r="J35" s="185">
        <f>IFERROR(IF($C35="",-0.00001,SUMIFS(Database!L:L,Database!$E:$E,$C35,Database!$A:$A,$D$1)),-0.00001)</f>
        <v>1</v>
      </c>
      <c r="K35" s="185">
        <f>IFERROR(IF($C35="",-0.00001,SUMIFS(Database!M:M,Database!$E:$E,$C35,Database!$A:$A,$D$1)),-0.00001)</f>
        <v>7</v>
      </c>
      <c r="L35" s="185">
        <f>IFERROR(IF($C35="",-0.00001,SUMIFS(Database!N:N,Database!$E:$E,$C35,Database!$A:$A,$D$1)),-0.00001)</f>
        <v>4</v>
      </c>
      <c r="M35" s="185">
        <f>IFERROR(IF($C35="",-0.00001,SUMIFS(Database!O:O,Database!$E:$E,$C35,Database!$A:$A,$D$1)),-0.00001)</f>
        <v>18</v>
      </c>
      <c r="N35" s="185">
        <f>IFERROR(IF($C35="",-0.00001,SUMIFS(Database!P:P,Database!$E:$E,$C35,Database!$A:$A,$D$1)),-0.00001)</f>
        <v>6</v>
      </c>
      <c r="O35" s="185">
        <f>IFERROR(IF($C35="",-0.00001,SUMIFS(Database!Q:Q,Database!$E:$E,$C35,Database!$A:$A,$D$1)),-0.00001)</f>
        <v>31</v>
      </c>
      <c r="P35" s="186">
        <f t="shared" si="0"/>
        <v>0.19354838709677419</v>
      </c>
      <c r="Q35" s="185">
        <f>IFERROR(IF($C35="",-0.00001,SUMIFS(Database!S:S,Database!$E:$E,$C35,Database!$A:$A,$D$1)),-0.00001)</f>
        <v>20</v>
      </c>
      <c r="R35" s="185">
        <f>IFERROR(IF($C35="",-0.00001,SUMIFS(Database!T:T,Database!$E:$E,$C35,Database!$A:$A,$D$1)),-0.00001)</f>
        <v>60</v>
      </c>
      <c r="S35" s="186">
        <f t="shared" si="1"/>
        <v>0.33333333333333331</v>
      </c>
      <c r="T35" s="185">
        <f>IFERROR(IF($C35="",-0.00001,SUMIFS(Database!V:V,Database!$E:$E,$C35,Database!$A:$A,$D$1)),-0.00001)</f>
        <v>2</v>
      </c>
      <c r="U35" s="185">
        <f>IFERROR(IF($C35="",-0.00001,SUMIFS(Database!W:W,Database!$E:$E,$C35,Database!$A:$A,$D$1)),-0.00001)</f>
        <v>4</v>
      </c>
      <c r="V35" s="186">
        <f t="shared" si="2"/>
        <v>0.5</v>
      </c>
      <c r="W35" s="187"/>
      <c r="X35" s="187"/>
      <c r="Y35" s="187"/>
      <c r="Z35" s="187"/>
      <c r="AA35" s="187"/>
      <c r="AB35" s="187"/>
      <c r="AC35" s="187"/>
      <c r="AD35" s="187"/>
      <c r="AE35" s="187"/>
    </row>
    <row r="36" spans="1:31" x14ac:dyDescent="0.25">
      <c r="A36" s="187"/>
      <c r="B36" s="187">
        <f>IF($C36="","",MAX($B$4:$B35)+1)</f>
        <v>33</v>
      </c>
      <c r="C36" s="145" t="s">
        <v>13</v>
      </c>
      <c r="D36" s="183" t="str">
        <f>IFERROR(VLOOKUP($C36,Rosters!$C$4:$M$239,INDEX(Lists!$N$5:$O$80,MATCH($C36,Lists!$N$5:$N$80,FALSE),2)),"")</f>
        <v>Pistons</v>
      </c>
      <c r="E36" s="185">
        <f>IF($C36="",-0.00001,COUNTIFS(Database!E:E,$C36,Database!A:A,$D$1))</f>
        <v>4</v>
      </c>
      <c r="F36" s="185">
        <f>IFERROR(IF($C36="",-0.00001,SUMIFS(Database!H:H,Database!$E:$E,$C36,Database!$A:$A,$D$1)),-0.00001)</f>
        <v>40</v>
      </c>
      <c r="G36" s="185">
        <f>IFERROR(IF($C36="",-0.00001,SUMIFS(Database!I:I,Database!$E:$E,$C36,Database!$A:$A,$D$1)),-0.00001)</f>
        <v>16</v>
      </c>
      <c r="H36" s="185">
        <f>IFERROR(IF($C36="",-0.00001,SUMIFS(Database!J:J,Database!$E:$E,$C36,Database!$A:$A,$D$1)),-0.00001)</f>
        <v>12</v>
      </c>
      <c r="I36" s="185">
        <f>IFERROR(IF($C36="",-0.00001,SUMIFS(Database!K:K,Database!$E:$E,$C36,Database!$A:$A,$D$1)),-0.00001)</f>
        <v>4</v>
      </c>
      <c r="J36" s="185">
        <f>IFERROR(IF($C36="",-0.00001,SUMIFS(Database!L:L,Database!$E:$E,$C36,Database!$A:$A,$D$1)),-0.00001)</f>
        <v>0</v>
      </c>
      <c r="K36" s="185">
        <f>IFERROR(IF($C36="",-0.00001,SUMIFS(Database!M:M,Database!$E:$E,$C36,Database!$A:$A,$D$1)),-0.00001)</f>
        <v>19</v>
      </c>
      <c r="L36" s="185">
        <f>IFERROR(IF($C36="",-0.00001,SUMIFS(Database!N:N,Database!$E:$E,$C36,Database!$A:$A,$D$1)),-0.00001)</f>
        <v>2</v>
      </c>
      <c r="M36" s="185">
        <f>IFERROR(IF($C36="",-0.00001,SUMIFS(Database!O:O,Database!$E:$E,$C36,Database!$A:$A,$D$1)),-0.00001)</f>
        <v>14</v>
      </c>
      <c r="N36" s="185">
        <f>IFERROR(IF($C36="",-0.00001,SUMIFS(Database!P:P,Database!$E:$E,$C36,Database!$A:$A,$D$1)),-0.00001)</f>
        <v>3</v>
      </c>
      <c r="O36" s="185">
        <f>IFERROR(IF($C36="",-0.00001,SUMIFS(Database!Q:Q,Database!$E:$E,$C36,Database!$A:$A,$D$1)),-0.00001)</f>
        <v>15</v>
      </c>
      <c r="P36" s="186">
        <f t="shared" ref="P36:P67" si="3">IFERROR(IF($C36="",-0.00001,$N36/$O36),-0.00001)</f>
        <v>0.2</v>
      </c>
      <c r="Q36" s="185">
        <f>IFERROR(IF($C36="",-0.00001,SUMIFS(Database!S:S,Database!$E:$E,$C36,Database!$A:$A,$D$1)),-0.00001)</f>
        <v>18</v>
      </c>
      <c r="R36" s="185">
        <f>IFERROR(IF($C36="",-0.00001,SUMIFS(Database!T:T,Database!$E:$E,$C36,Database!$A:$A,$D$1)),-0.00001)</f>
        <v>53</v>
      </c>
      <c r="S36" s="186">
        <f t="shared" ref="S36:S67" si="4">IFERROR(IF($C36="",-0.00001,$Q36/$R36),-0.00001)</f>
        <v>0.33962264150943394</v>
      </c>
      <c r="T36" s="185">
        <f>IFERROR(IF($C36="",-0.00001,SUMIFS(Database!V:V,Database!$E:$E,$C36,Database!$A:$A,$D$1)),-0.00001)</f>
        <v>1</v>
      </c>
      <c r="U36" s="185">
        <f>IFERROR(IF($C36="",-0.00001,SUMIFS(Database!W:W,Database!$E:$E,$C36,Database!$A:$A,$D$1)),-0.00001)</f>
        <v>3</v>
      </c>
      <c r="V36" s="186">
        <f t="shared" ref="V36:V67" si="5">IFERROR(IF($C36="",-0.00001,$T36/$U36),-0.00001)</f>
        <v>0.33333333333333331</v>
      </c>
      <c r="W36" s="187"/>
      <c r="X36" s="187"/>
      <c r="Y36" s="187"/>
      <c r="Z36" s="187"/>
      <c r="AA36" s="187"/>
      <c r="AB36" s="187"/>
      <c r="AC36" s="187"/>
      <c r="AD36" s="187"/>
      <c r="AE36" s="187"/>
    </row>
    <row r="37" spans="1:31" x14ac:dyDescent="0.25">
      <c r="A37" s="187"/>
      <c r="B37" s="187">
        <f>IF($C37="","",MAX($B$4:$B36)+1)</f>
        <v>34</v>
      </c>
      <c r="C37" s="145" t="s">
        <v>36</v>
      </c>
      <c r="D37" s="183" t="str">
        <f>IFERROR(VLOOKUP($C37,Rosters!$C$4:$M$239,INDEX(Lists!$N$5:$O$80,MATCH($C37,Lists!$N$5:$N$80,FALSE),2)),"")</f>
        <v>Vandals</v>
      </c>
      <c r="E37" s="185">
        <f>IF($C37="",-0.00001,COUNTIFS(Database!E:E,$C37,Database!A:A,$D$1))</f>
        <v>4</v>
      </c>
      <c r="F37" s="185">
        <f>IFERROR(IF($C37="",-0.00001,SUMIFS(Database!H:H,Database!$E:$E,$C37,Database!$A:$A,$D$1)),-0.00001)</f>
        <v>3</v>
      </c>
      <c r="G37" s="185">
        <f>IFERROR(IF($C37="",-0.00001,SUMIFS(Database!I:I,Database!$E:$E,$C37,Database!$A:$A,$D$1)),-0.00001)</f>
        <v>14</v>
      </c>
      <c r="H37" s="185">
        <f>IFERROR(IF($C37="",-0.00001,SUMIFS(Database!J:J,Database!$E:$E,$C37,Database!$A:$A,$D$1)),-0.00001)</f>
        <v>5</v>
      </c>
      <c r="I37" s="185">
        <f>IFERROR(IF($C37="",-0.00001,SUMIFS(Database!K:K,Database!$E:$E,$C37,Database!$A:$A,$D$1)),-0.00001)</f>
        <v>1</v>
      </c>
      <c r="J37" s="185">
        <f>IFERROR(IF($C37="",-0.00001,SUMIFS(Database!L:L,Database!$E:$E,$C37,Database!$A:$A,$D$1)),-0.00001)</f>
        <v>0</v>
      </c>
      <c r="K37" s="185">
        <f>IFERROR(IF($C37="",-0.00001,SUMIFS(Database!M:M,Database!$E:$E,$C37,Database!$A:$A,$D$1)),-0.00001)</f>
        <v>7</v>
      </c>
      <c r="L37" s="185">
        <f>IFERROR(IF($C37="",-0.00001,SUMIFS(Database!N:N,Database!$E:$E,$C37,Database!$A:$A,$D$1)),-0.00001)</f>
        <v>1</v>
      </c>
      <c r="M37" s="185">
        <f>IFERROR(IF($C37="",-0.00001,SUMIFS(Database!O:O,Database!$E:$E,$C37,Database!$A:$A,$D$1)),-0.00001)</f>
        <v>7</v>
      </c>
      <c r="N37" s="185">
        <f>IFERROR(IF($C37="",-0.00001,SUMIFS(Database!P:P,Database!$E:$E,$C37,Database!$A:$A,$D$1)),-0.00001)</f>
        <v>1</v>
      </c>
      <c r="O37" s="185">
        <f>IFERROR(IF($C37="",-0.00001,SUMIFS(Database!Q:Q,Database!$E:$E,$C37,Database!$A:$A,$D$1)),-0.00001)</f>
        <v>9</v>
      </c>
      <c r="P37" s="186">
        <f t="shared" si="3"/>
        <v>0.1111111111111111</v>
      </c>
      <c r="Q37" s="185">
        <f>IFERROR(IF($C37="",-0.00001,SUMIFS(Database!S:S,Database!$E:$E,$C37,Database!$A:$A,$D$1)),-0.00001)</f>
        <v>1</v>
      </c>
      <c r="R37" s="185">
        <f>IFERROR(IF($C37="",-0.00001,SUMIFS(Database!T:T,Database!$E:$E,$C37,Database!$A:$A,$D$1)),-0.00001)</f>
        <v>10</v>
      </c>
      <c r="S37" s="186">
        <f t="shared" si="4"/>
        <v>0.1</v>
      </c>
      <c r="T37" s="185">
        <f>IFERROR(IF($C37="",-0.00001,SUMIFS(Database!V:V,Database!$E:$E,$C37,Database!$A:$A,$D$1)),-0.00001)</f>
        <v>0</v>
      </c>
      <c r="U37" s="185">
        <f>IFERROR(IF($C37="",-0.00001,SUMIFS(Database!W:W,Database!$E:$E,$C37,Database!$A:$A,$D$1)),-0.00001)</f>
        <v>0</v>
      </c>
      <c r="V37" s="186">
        <f t="shared" si="5"/>
        <v>-1.0000000000000001E-5</v>
      </c>
      <c r="W37" s="187"/>
      <c r="X37" s="187"/>
      <c r="Y37" s="187"/>
      <c r="Z37" s="187"/>
      <c r="AA37" s="187"/>
      <c r="AB37" s="187"/>
      <c r="AC37" s="187"/>
      <c r="AD37" s="187"/>
      <c r="AE37" s="187"/>
    </row>
    <row r="38" spans="1:31" x14ac:dyDescent="0.25">
      <c r="A38" s="187"/>
      <c r="B38" s="187">
        <f>IF($C38="","",MAX($B$4:$B37)+1)</f>
        <v>35</v>
      </c>
      <c r="C38" s="145" t="s">
        <v>12</v>
      </c>
      <c r="D38" s="183" t="str">
        <f>IFERROR(VLOOKUP($C38,Rosters!$C$4:$M$239,INDEX(Lists!$N$5:$O$80,MATCH($C38,Lists!$N$5:$N$80,FALSE),2)),"")</f>
        <v>Hoopers</v>
      </c>
      <c r="E38" s="185">
        <f>IF($C38="",-0.00001,COUNTIFS(Database!E:E,$C38,Database!A:A,$D$1))</f>
        <v>4</v>
      </c>
      <c r="F38" s="185">
        <f>IFERROR(IF($C38="",-0.00001,SUMIFS(Database!H:H,Database!$E:$E,$C38,Database!$A:$A,$D$1)),-0.00001)</f>
        <v>11</v>
      </c>
      <c r="G38" s="185">
        <f>IFERROR(IF($C38="",-0.00001,SUMIFS(Database!I:I,Database!$E:$E,$C38,Database!$A:$A,$D$1)),-0.00001)</f>
        <v>23</v>
      </c>
      <c r="H38" s="185">
        <f>IFERROR(IF($C38="",-0.00001,SUMIFS(Database!J:J,Database!$E:$E,$C38,Database!$A:$A,$D$1)),-0.00001)</f>
        <v>3</v>
      </c>
      <c r="I38" s="185">
        <f>IFERROR(IF($C38="",-0.00001,SUMIFS(Database!K:K,Database!$E:$E,$C38,Database!$A:$A,$D$1)),-0.00001)</f>
        <v>3</v>
      </c>
      <c r="J38" s="185">
        <f>IFERROR(IF($C38="",-0.00001,SUMIFS(Database!L:L,Database!$E:$E,$C38,Database!$A:$A,$D$1)),-0.00001)</f>
        <v>6</v>
      </c>
      <c r="K38" s="185">
        <f>IFERROR(IF($C38="",-0.00001,SUMIFS(Database!M:M,Database!$E:$E,$C38,Database!$A:$A,$D$1)),-0.00001)</f>
        <v>10</v>
      </c>
      <c r="L38" s="185">
        <f>IFERROR(IF($C38="",-0.00001,SUMIFS(Database!N:N,Database!$E:$E,$C38,Database!$A:$A,$D$1)),-0.00001)</f>
        <v>11</v>
      </c>
      <c r="M38" s="185">
        <f>IFERROR(IF($C38="",-0.00001,SUMIFS(Database!O:O,Database!$E:$E,$C38,Database!$A:$A,$D$1)),-0.00001)</f>
        <v>12</v>
      </c>
      <c r="N38" s="185">
        <f>IFERROR(IF($C38="",-0.00001,SUMIFS(Database!P:P,Database!$E:$E,$C38,Database!$A:$A,$D$1)),-0.00001)</f>
        <v>1</v>
      </c>
      <c r="O38" s="185">
        <f>IFERROR(IF($C38="",-0.00001,SUMIFS(Database!Q:Q,Database!$E:$E,$C38,Database!$A:$A,$D$1)),-0.00001)</f>
        <v>5</v>
      </c>
      <c r="P38" s="186">
        <f t="shared" si="3"/>
        <v>0.2</v>
      </c>
      <c r="Q38" s="185">
        <f>IFERROR(IF($C38="",-0.00001,SUMIFS(Database!S:S,Database!$E:$E,$C38,Database!$A:$A,$D$1)),-0.00001)</f>
        <v>5</v>
      </c>
      <c r="R38" s="185">
        <f>IFERROR(IF($C38="",-0.00001,SUMIFS(Database!T:T,Database!$E:$E,$C38,Database!$A:$A,$D$1)),-0.00001)</f>
        <v>19</v>
      </c>
      <c r="S38" s="186">
        <f t="shared" si="4"/>
        <v>0.26315789473684209</v>
      </c>
      <c r="T38" s="185">
        <f>IFERROR(IF($C38="",-0.00001,SUMIFS(Database!V:V,Database!$E:$E,$C38,Database!$A:$A,$D$1)),-0.00001)</f>
        <v>0</v>
      </c>
      <c r="U38" s="185">
        <f>IFERROR(IF($C38="",-0.00001,SUMIFS(Database!W:W,Database!$E:$E,$C38,Database!$A:$A,$D$1)),-0.00001)</f>
        <v>0</v>
      </c>
      <c r="V38" s="186">
        <f t="shared" si="5"/>
        <v>-1.0000000000000001E-5</v>
      </c>
      <c r="W38" s="187"/>
      <c r="X38" s="187"/>
      <c r="Y38" s="187"/>
      <c r="Z38" s="187"/>
      <c r="AA38" s="187"/>
      <c r="AB38" s="187"/>
      <c r="AC38" s="187"/>
      <c r="AD38" s="187"/>
      <c r="AE38" s="187"/>
    </row>
    <row r="39" spans="1:31" x14ac:dyDescent="0.25">
      <c r="A39" s="187"/>
      <c r="B39" s="187">
        <f>IF($C39="","",MAX($B$4:$B38)+1)</f>
        <v>36</v>
      </c>
      <c r="C39" s="145" t="s">
        <v>5</v>
      </c>
      <c r="D39" s="183" t="str">
        <f>IFERROR(VLOOKUP($C39,Rosters!$C$4:$M$239,INDEX(Lists!$N$5:$O$80,MATCH($C39,Lists!$N$5:$N$80,FALSE),2)),"")</f>
        <v>Mustangs</v>
      </c>
      <c r="E39" s="185">
        <f>IF($C39="",-0.00001,COUNTIFS(Database!E:E,$C39,Database!A:A,$D$1))</f>
        <v>4</v>
      </c>
      <c r="F39" s="185">
        <f>IFERROR(IF($C39="",-0.00001,SUMIFS(Database!H:H,Database!$E:$E,$C39,Database!$A:$A,$D$1)),-0.00001)</f>
        <v>30</v>
      </c>
      <c r="G39" s="185">
        <f>IFERROR(IF($C39="",-0.00001,SUMIFS(Database!I:I,Database!$E:$E,$C39,Database!$A:$A,$D$1)),-0.00001)</f>
        <v>17</v>
      </c>
      <c r="H39" s="185">
        <f>IFERROR(IF($C39="",-0.00001,SUMIFS(Database!J:J,Database!$E:$E,$C39,Database!$A:$A,$D$1)),-0.00001)</f>
        <v>0</v>
      </c>
      <c r="I39" s="185">
        <f>IFERROR(IF($C39="",-0.00001,SUMIFS(Database!K:K,Database!$E:$E,$C39,Database!$A:$A,$D$1)),-0.00001)</f>
        <v>6</v>
      </c>
      <c r="J39" s="185">
        <f>IFERROR(IF($C39="",-0.00001,SUMIFS(Database!L:L,Database!$E:$E,$C39,Database!$A:$A,$D$1)),-0.00001)</f>
        <v>3</v>
      </c>
      <c r="K39" s="185">
        <f>IFERROR(IF($C39="",-0.00001,SUMIFS(Database!M:M,Database!$E:$E,$C39,Database!$A:$A,$D$1)),-0.00001)</f>
        <v>2</v>
      </c>
      <c r="L39" s="185">
        <f>IFERROR(IF($C39="",-0.00001,SUMIFS(Database!N:N,Database!$E:$E,$C39,Database!$A:$A,$D$1)),-0.00001)</f>
        <v>3</v>
      </c>
      <c r="M39" s="185">
        <f>IFERROR(IF($C39="",-0.00001,SUMIFS(Database!O:O,Database!$E:$E,$C39,Database!$A:$A,$D$1)),-0.00001)</f>
        <v>10</v>
      </c>
      <c r="N39" s="185">
        <f>IFERROR(IF($C39="",-0.00001,SUMIFS(Database!P:P,Database!$E:$E,$C39,Database!$A:$A,$D$1)),-0.00001)</f>
        <v>2</v>
      </c>
      <c r="O39" s="185">
        <f>IFERROR(IF($C39="",-0.00001,SUMIFS(Database!Q:Q,Database!$E:$E,$C39,Database!$A:$A,$D$1)),-0.00001)</f>
        <v>8</v>
      </c>
      <c r="P39" s="186">
        <f t="shared" si="3"/>
        <v>0.25</v>
      </c>
      <c r="Q39" s="185">
        <f>IFERROR(IF($C39="",-0.00001,SUMIFS(Database!S:S,Database!$E:$E,$C39,Database!$A:$A,$D$1)),-0.00001)</f>
        <v>12</v>
      </c>
      <c r="R39" s="185">
        <f>IFERROR(IF($C39="",-0.00001,SUMIFS(Database!T:T,Database!$E:$E,$C39,Database!$A:$A,$D$1)),-0.00001)</f>
        <v>28</v>
      </c>
      <c r="S39" s="186">
        <f t="shared" si="4"/>
        <v>0.42857142857142855</v>
      </c>
      <c r="T39" s="185">
        <f>IFERROR(IF($C39="",-0.00001,SUMIFS(Database!V:V,Database!$E:$E,$C39,Database!$A:$A,$D$1)),-0.00001)</f>
        <v>4</v>
      </c>
      <c r="U39" s="185">
        <f>IFERROR(IF($C39="",-0.00001,SUMIFS(Database!W:W,Database!$E:$E,$C39,Database!$A:$A,$D$1)),-0.00001)</f>
        <v>5</v>
      </c>
      <c r="V39" s="186">
        <f t="shared" si="5"/>
        <v>0.8</v>
      </c>
      <c r="W39" s="187"/>
      <c r="X39" s="187"/>
      <c r="Y39" s="187"/>
      <c r="Z39" s="187"/>
      <c r="AA39" s="187"/>
      <c r="AB39" s="187"/>
      <c r="AC39" s="187"/>
      <c r="AD39" s="187"/>
      <c r="AE39" s="187"/>
    </row>
    <row r="40" spans="1:31" x14ac:dyDescent="0.25">
      <c r="A40" s="187"/>
      <c r="B40" s="187">
        <f>IF($C40="","",MAX($B$4:$B39)+1)</f>
        <v>37</v>
      </c>
      <c r="C40" s="145" t="s">
        <v>22</v>
      </c>
      <c r="D40" s="183" t="str">
        <f>IFERROR(VLOOKUP($C40,Rosters!$C$4:$M$239,INDEX(Lists!$N$5:$O$80,MATCH($C40,Lists!$N$5:$N$80,FALSE),2)),"")</f>
        <v>Lightning</v>
      </c>
      <c r="E40" s="185">
        <f>IF($C40="",-0.00001,COUNTIFS(Database!E:E,$C40,Database!A:A,$D$1))</f>
        <v>2</v>
      </c>
      <c r="F40" s="185">
        <f>IFERROR(IF($C40="",-0.00001,SUMIFS(Database!H:H,Database!$E:$E,$C40,Database!$A:$A,$D$1)),-0.00001)</f>
        <v>35</v>
      </c>
      <c r="G40" s="185">
        <f>IFERROR(IF($C40="",-0.00001,SUMIFS(Database!I:I,Database!$E:$E,$C40,Database!$A:$A,$D$1)),-0.00001)</f>
        <v>14</v>
      </c>
      <c r="H40" s="185">
        <f>IFERROR(IF($C40="",-0.00001,SUMIFS(Database!J:J,Database!$E:$E,$C40,Database!$A:$A,$D$1)),-0.00001)</f>
        <v>6</v>
      </c>
      <c r="I40" s="185">
        <f>IFERROR(IF($C40="",-0.00001,SUMIFS(Database!K:K,Database!$E:$E,$C40,Database!$A:$A,$D$1)),-0.00001)</f>
        <v>5</v>
      </c>
      <c r="J40" s="185">
        <f>IFERROR(IF($C40="",-0.00001,SUMIFS(Database!L:L,Database!$E:$E,$C40,Database!$A:$A,$D$1)),-0.00001)</f>
        <v>0</v>
      </c>
      <c r="K40" s="185">
        <f>IFERROR(IF($C40="",-0.00001,SUMIFS(Database!M:M,Database!$E:$E,$C40,Database!$A:$A,$D$1)),-0.00001)</f>
        <v>5</v>
      </c>
      <c r="L40" s="185">
        <f>IFERROR(IF($C40="",-0.00001,SUMIFS(Database!N:N,Database!$E:$E,$C40,Database!$A:$A,$D$1)),-0.00001)</f>
        <v>2</v>
      </c>
      <c r="M40" s="185">
        <f>IFERROR(IF($C40="",-0.00001,SUMIFS(Database!O:O,Database!$E:$E,$C40,Database!$A:$A,$D$1)),-0.00001)</f>
        <v>12</v>
      </c>
      <c r="N40" s="185">
        <f>IFERROR(IF($C40="",-0.00001,SUMIFS(Database!P:P,Database!$E:$E,$C40,Database!$A:$A,$D$1)),-0.00001)</f>
        <v>8</v>
      </c>
      <c r="O40" s="185">
        <f>IFERROR(IF($C40="",-0.00001,SUMIFS(Database!Q:Q,Database!$E:$E,$C40,Database!$A:$A,$D$1)),-0.00001)</f>
        <v>22</v>
      </c>
      <c r="P40" s="186">
        <f t="shared" si="3"/>
        <v>0.36363636363636365</v>
      </c>
      <c r="Q40" s="185">
        <f>IFERROR(IF($C40="",-0.00001,SUMIFS(Database!S:S,Database!$E:$E,$C40,Database!$A:$A,$D$1)),-0.00001)</f>
        <v>13</v>
      </c>
      <c r="R40" s="185">
        <f>IFERROR(IF($C40="",-0.00001,SUMIFS(Database!T:T,Database!$E:$E,$C40,Database!$A:$A,$D$1)),-0.00001)</f>
        <v>32</v>
      </c>
      <c r="S40" s="186">
        <f t="shared" si="4"/>
        <v>0.40625</v>
      </c>
      <c r="T40" s="185">
        <f>IFERROR(IF($C40="",-0.00001,SUMIFS(Database!V:V,Database!$E:$E,$C40,Database!$A:$A,$D$1)),-0.00001)</f>
        <v>1</v>
      </c>
      <c r="U40" s="185">
        <f>IFERROR(IF($C40="",-0.00001,SUMIFS(Database!W:W,Database!$E:$E,$C40,Database!$A:$A,$D$1)),-0.00001)</f>
        <v>2</v>
      </c>
      <c r="V40" s="186">
        <f t="shared" si="5"/>
        <v>0.5</v>
      </c>
      <c r="W40" s="187"/>
      <c r="X40" s="187"/>
      <c r="Y40" s="187"/>
      <c r="Z40" s="187"/>
      <c r="AA40" s="187"/>
      <c r="AB40" s="187"/>
      <c r="AC40" s="187"/>
      <c r="AD40" s="187"/>
      <c r="AE40" s="187"/>
    </row>
    <row r="41" spans="1:31" x14ac:dyDescent="0.25">
      <c r="A41" s="187"/>
      <c r="B41" s="187">
        <f>IF($C41="","",MAX($B$4:$B40)+1)</f>
        <v>38</v>
      </c>
      <c r="C41" s="145" t="s">
        <v>11</v>
      </c>
      <c r="D41" s="183" t="str">
        <f>IFERROR(VLOOKUP($C41,Rosters!$C$4:$M$239,INDEX(Lists!$N$5:$O$80,MATCH($C41,Lists!$N$5:$N$80,FALSE),2)),"")</f>
        <v>Wombats</v>
      </c>
      <c r="E41" s="185">
        <f>IF($C41="",-0.00001,COUNTIFS(Database!E:E,$C41,Database!A:A,$D$1))</f>
        <v>3</v>
      </c>
      <c r="F41" s="185">
        <f>IFERROR(IF($C41="",-0.00001,SUMIFS(Database!H:H,Database!$E:$E,$C41,Database!$A:$A,$D$1)),-0.00001)</f>
        <v>10</v>
      </c>
      <c r="G41" s="185">
        <f>IFERROR(IF($C41="",-0.00001,SUMIFS(Database!I:I,Database!$E:$E,$C41,Database!$A:$A,$D$1)),-0.00001)</f>
        <v>9</v>
      </c>
      <c r="H41" s="185">
        <f>IFERROR(IF($C41="",-0.00001,SUMIFS(Database!J:J,Database!$E:$E,$C41,Database!$A:$A,$D$1)),-0.00001)</f>
        <v>2</v>
      </c>
      <c r="I41" s="185">
        <f>IFERROR(IF($C41="",-0.00001,SUMIFS(Database!K:K,Database!$E:$E,$C41,Database!$A:$A,$D$1)),-0.00001)</f>
        <v>4</v>
      </c>
      <c r="J41" s="185">
        <f>IFERROR(IF($C41="",-0.00001,SUMIFS(Database!L:L,Database!$E:$E,$C41,Database!$A:$A,$D$1)),-0.00001)</f>
        <v>1</v>
      </c>
      <c r="K41" s="185">
        <f>IFERROR(IF($C41="",-0.00001,SUMIFS(Database!M:M,Database!$E:$E,$C41,Database!$A:$A,$D$1)),-0.00001)</f>
        <v>2</v>
      </c>
      <c r="L41" s="185">
        <f>IFERROR(IF($C41="",-0.00001,SUMIFS(Database!N:N,Database!$E:$E,$C41,Database!$A:$A,$D$1)),-0.00001)</f>
        <v>3</v>
      </c>
      <c r="M41" s="185">
        <f>IFERROR(IF($C41="",-0.00001,SUMIFS(Database!O:O,Database!$E:$E,$C41,Database!$A:$A,$D$1)),-0.00001)</f>
        <v>6</v>
      </c>
      <c r="N41" s="185">
        <f>IFERROR(IF($C41="",-0.00001,SUMIFS(Database!P:P,Database!$E:$E,$C41,Database!$A:$A,$D$1)),-0.00001)</f>
        <v>2</v>
      </c>
      <c r="O41" s="185">
        <f>IFERROR(IF($C41="",-0.00001,SUMIFS(Database!Q:Q,Database!$E:$E,$C41,Database!$A:$A,$D$1)),-0.00001)</f>
        <v>5</v>
      </c>
      <c r="P41" s="186">
        <f t="shared" si="3"/>
        <v>0.4</v>
      </c>
      <c r="Q41" s="185">
        <f>IFERROR(IF($C41="",-0.00001,SUMIFS(Database!S:S,Database!$E:$E,$C41,Database!$A:$A,$D$1)),-0.00001)</f>
        <v>4</v>
      </c>
      <c r="R41" s="185">
        <f>IFERROR(IF($C41="",-0.00001,SUMIFS(Database!T:T,Database!$E:$E,$C41,Database!$A:$A,$D$1)),-0.00001)</f>
        <v>10</v>
      </c>
      <c r="S41" s="186">
        <f t="shared" si="4"/>
        <v>0.4</v>
      </c>
      <c r="T41" s="185">
        <f>IFERROR(IF($C41="",-0.00001,SUMIFS(Database!V:V,Database!$E:$E,$C41,Database!$A:$A,$D$1)),-0.00001)</f>
        <v>0</v>
      </c>
      <c r="U41" s="185">
        <f>IFERROR(IF($C41="",-0.00001,SUMIFS(Database!W:W,Database!$E:$E,$C41,Database!$A:$A,$D$1)),-0.00001)</f>
        <v>0</v>
      </c>
      <c r="V41" s="186">
        <f t="shared" si="5"/>
        <v>-1.0000000000000001E-5</v>
      </c>
      <c r="W41" s="187"/>
      <c r="X41" s="187"/>
      <c r="Y41" s="187"/>
      <c r="Z41" s="187"/>
      <c r="AA41" s="187"/>
      <c r="AB41" s="187"/>
      <c r="AC41" s="187"/>
      <c r="AD41" s="187"/>
      <c r="AE41" s="187"/>
    </row>
    <row r="42" spans="1:31" x14ac:dyDescent="0.25">
      <c r="A42" s="187"/>
      <c r="B42" s="187" t="str">
        <f>IF($C42="","",MAX($B$4:$B41)+1)</f>
        <v/>
      </c>
      <c r="C42" s="145"/>
      <c r="D42" s="183" t="str">
        <f>IFERROR(VLOOKUP($C42,Rosters!$C$4:$M$239,INDEX(Lists!$N$5:$O$80,MATCH($C42,Lists!$N$5:$N$80,FALSE),2)),"")</f>
        <v/>
      </c>
      <c r="E42" s="185">
        <f>IF($C42="",-0.00001,COUNTIFS(Database!E:E,$C42,Database!A:A,$D$1))</f>
        <v>-1.0000000000000001E-5</v>
      </c>
      <c r="F42" s="185">
        <f>IFERROR(IF($C42="",-0.00001,SUMIFS(Database!H:H,Database!$E:$E,$C42,Database!$A:$A,$D$1)),-0.00001)</f>
        <v>-1.0000000000000001E-5</v>
      </c>
      <c r="G42" s="185">
        <f>IFERROR(IF($C42="",-0.00001,SUMIFS(Database!I:I,Database!$E:$E,$C42,Database!$A:$A,$D$1)),-0.00001)</f>
        <v>-1.0000000000000001E-5</v>
      </c>
      <c r="H42" s="185">
        <f>IFERROR(IF($C42="",-0.00001,SUMIFS(Database!J:J,Database!$E:$E,$C42,Database!$A:$A,$D$1)),-0.00001)</f>
        <v>-1.0000000000000001E-5</v>
      </c>
      <c r="I42" s="185">
        <f>IFERROR(IF($C42="",-0.00001,SUMIFS(Database!K:K,Database!$E:$E,$C42,Database!$A:$A,$D$1)),-0.00001)</f>
        <v>-1.0000000000000001E-5</v>
      </c>
      <c r="J42" s="185">
        <f>IFERROR(IF($C42="",-0.00001,SUMIFS(Database!L:L,Database!$E:$E,$C42,Database!$A:$A,$D$1)),-0.00001)</f>
        <v>-1.0000000000000001E-5</v>
      </c>
      <c r="K42" s="185">
        <f>IFERROR(IF($C42="",-0.00001,SUMIFS(Database!M:M,Database!$E:$E,$C42,Database!$A:$A,$D$1)),-0.00001)</f>
        <v>-1.0000000000000001E-5</v>
      </c>
      <c r="L42" s="185">
        <f>IFERROR(IF($C42="",-0.00001,SUMIFS(Database!N:N,Database!$E:$E,$C42,Database!$A:$A,$D$1)),-0.00001)</f>
        <v>-1.0000000000000001E-5</v>
      </c>
      <c r="M42" s="185">
        <f>IFERROR(IF($C42="",-0.00001,SUMIFS(Database!O:O,Database!$E:$E,$C42,Database!$A:$A,$D$1)),-0.00001)</f>
        <v>-1.0000000000000001E-5</v>
      </c>
      <c r="N42" s="185">
        <f>IFERROR(IF($C42="",-0.00001,SUMIFS(Database!P:P,Database!$E:$E,$C42,Database!$A:$A,$D$1)),-0.00001)</f>
        <v>-1.0000000000000001E-5</v>
      </c>
      <c r="O42" s="185">
        <f>IFERROR(IF($C42="",-0.00001,SUMIFS(Database!Q:Q,Database!$E:$E,$C42,Database!$A:$A,$D$1)),-0.00001)</f>
        <v>-1.0000000000000001E-5</v>
      </c>
      <c r="P42" s="186">
        <f t="shared" si="3"/>
        <v>-1.0000000000000001E-5</v>
      </c>
      <c r="Q42" s="185">
        <f>IFERROR(IF($C42="",-0.00001,SUMIFS(Database!S:S,Database!$E:$E,$C42,Database!$A:$A,$D$1)),-0.00001)</f>
        <v>-1.0000000000000001E-5</v>
      </c>
      <c r="R42" s="185">
        <f>IFERROR(IF($C42="",-0.00001,SUMIFS(Database!T:T,Database!$E:$E,$C42,Database!$A:$A,$D$1)),-0.00001)</f>
        <v>-1.0000000000000001E-5</v>
      </c>
      <c r="S42" s="186">
        <f t="shared" si="4"/>
        <v>-1.0000000000000001E-5</v>
      </c>
      <c r="T42" s="185">
        <f>IFERROR(IF($C42="",-0.00001,SUMIFS(Database!V:V,Database!$E:$E,$C42,Database!$A:$A,$D$1)),-0.00001)</f>
        <v>-1.0000000000000001E-5</v>
      </c>
      <c r="U42" s="185">
        <f>IFERROR(IF($C42="",-0.00001,SUMIFS(Database!W:W,Database!$E:$E,$C42,Database!$A:$A,$D$1)),-0.00001)</f>
        <v>-1.0000000000000001E-5</v>
      </c>
      <c r="V42" s="186">
        <f t="shared" si="5"/>
        <v>-1.0000000000000001E-5</v>
      </c>
      <c r="W42" s="187"/>
      <c r="X42" s="187"/>
      <c r="Y42" s="187"/>
      <c r="Z42" s="187"/>
      <c r="AA42" s="187"/>
      <c r="AB42" s="187"/>
      <c r="AC42" s="187"/>
      <c r="AD42" s="187"/>
      <c r="AE42" s="187"/>
    </row>
    <row r="43" spans="1:31" x14ac:dyDescent="0.25">
      <c r="A43" s="187"/>
      <c r="B43" s="187" t="str">
        <f>IF($C43="","",MAX($B$4:$B42)+1)</f>
        <v/>
      </c>
      <c r="C43" s="145"/>
      <c r="D43" s="183" t="str">
        <f>IFERROR(VLOOKUP($C43,Rosters!$C$4:$M$239,INDEX(Lists!$N$5:$O$80,MATCH($C43,Lists!$N$5:$N$80,FALSE),2)),"")</f>
        <v/>
      </c>
      <c r="E43" s="185">
        <f>IF($C43="",-0.00001,COUNTIFS(Database!E:E,$C43,Database!A:A,$D$1))</f>
        <v>-1.0000000000000001E-5</v>
      </c>
      <c r="F43" s="185">
        <f>IFERROR(IF($C43="",-0.00001,SUMIFS(Database!H:H,Database!$E:$E,$C43,Database!$A:$A,$D$1)),-0.00001)</f>
        <v>-1.0000000000000001E-5</v>
      </c>
      <c r="G43" s="185">
        <f>IFERROR(IF($C43="",-0.00001,SUMIFS(Database!I:I,Database!$E:$E,$C43,Database!$A:$A,$D$1)),-0.00001)</f>
        <v>-1.0000000000000001E-5</v>
      </c>
      <c r="H43" s="185">
        <f>IFERROR(IF($C43="",-0.00001,SUMIFS(Database!J:J,Database!$E:$E,$C43,Database!$A:$A,$D$1)),-0.00001)</f>
        <v>-1.0000000000000001E-5</v>
      </c>
      <c r="I43" s="185">
        <f>IFERROR(IF($C43="",-0.00001,SUMIFS(Database!K:K,Database!$E:$E,$C43,Database!$A:$A,$D$1)),-0.00001)</f>
        <v>-1.0000000000000001E-5</v>
      </c>
      <c r="J43" s="185">
        <f>IFERROR(IF($C43="",-0.00001,SUMIFS(Database!L:L,Database!$E:$E,$C43,Database!$A:$A,$D$1)),-0.00001)</f>
        <v>-1.0000000000000001E-5</v>
      </c>
      <c r="K43" s="185">
        <f>IFERROR(IF($C43="",-0.00001,SUMIFS(Database!M:M,Database!$E:$E,$C43,Database!$A:$A,$D$1)),-0.00001)</f>
        <v>-1.0000000000000001E-5</v>
      </c>
      <c r="L43" s="185">
        <f>IFERROR(IF($C43="",-0.00001,SUMIFS(Database!N:N,Database!$E:$E,$C43,Database!$A:$A,$D$1)),-0.00001)</f>
        <v>-1.0000000000000001E-5</v>
      </c>
      <c r="M43" s="185">
        <f>IFERROR(IF($C43="",-0.00001,SUMIFS(Database!O:O,Database!$E:$E,$C43,Database!$A:$A,$D$1)),-0.00001)</f>
        <v>-1.0000000000000001E-5</v>
      </c>
      <c r="N43" s="185">
        <f>IFERROR(IF($C43="",-0.00001,SUMIFS(Database!P:P,Database!$E:$E,$C43,Database!$A:$A,$D$1)),-0.00001)</f>
        <v>-1.0000000000000001E-5</v>
      </c>
      <c r="O43" s="185">
        <f>IFERROR(IF($C43="",-0.00001,SUMIFS(Database!Q:Q,Database!$E:$E,$C43,Database!$A:$A,$D$1)),-0.00001)</f>
        <v>-1.0000000000000001E-5</v>
      </c>
      <c r="P43" s="186">
        <f t="shared" si="3"/>
        <v>-1.0000000000000001E-5</v>
      </c>
      <c r="Q43" s="185">
        <f>IFERROR(IF($C43="",-0.00001,SUMIFS(Database!S:S,Database!$E:$E,$C43,Database!$A:$A,$D$1)),-0.00001)</f>
        <v>-1.0000000000000001E-5</v>
      </c>
      <c r="R43" s="185">
        <f>IFERROR(IF($C43="",-0.00001,SUMIFS(Database!T:T,Database!$E:$E,$C43,Database!$A:$A,$D$1)),-0.00001)</f>
        <v>-1.0000000000000001E-5</v>
      </c>
      <c r="S43" s="186">
        <f t="shared" si="4"/>
        <v>-1.0000000000000001E-5</v>
      </c>
      <c r="T43" s="185">
        <f>IFERROR(IF($C43="",-0.00001,SUMIFS(Database!V:V,Database!$E:$E,$C43,Database!$A:$A,$D$1)),-0.00001)</f>
        <v>-1.0000000000000001E-5</v>
      </c>
      <c r="U43" s="185">
        <f>IFERROR(IF($C43="",-0.00001,SUMIFS(Database!W:W,Database!$E:$E,$C43,Database!$A:$A,$D$1)),-0.00001)</f>
        <v>-1.0000000000000001E-5</v>
      </c>
      <c r="V43" s="186">
        <f t="shared" si="5"/>
        <v>-1.0000000000000001E-5</v>
      </c>
      <c r="W43" s="187"/>
      <c r="X43" s="187"/>
      <c r="Y43" s="187"/>
      <c r="Z43" s="187"/>
      <c r="AA43" s="187"/>
      <c r="AB43" s="187"/>
      <c r="AC43" s="187"/>
      <c r="AD43" s="187"/>
      <c r="AE43" s="187"/>
    </row>
    <row r="44" spans="1:31" x14ac:dyDescent="0.25">
      <c r="A44" s="187"/>
      <c r="B44" s="187" t="str">
        <f>IF($C44="","",MAX($B$4:$B43)+1)</f>
        <v/>
      </c>
      <c r="C44" s="145"/>
      <c r="D44" s="183" t="str">
        <f>IFERROR(VLOOKUP($C44,Rosters!$C$4:$M$239,INDEX(Lists!$N$5:$O$80,MATCH($C44,Lists!$N$5:$N$80,FALSE),2)),"")</f>
        <v/>
      </c>
      <c r="E44" s="185">
        <f>IF($C44="",-0.00001,COUNTIFS(Database!E:E,$C44,Database!A:A,$D$1))</f>
        <v>-1.0000000000000001E-5</v>
      </c>
      <c r="F44" s="185">
        <f>IFERROR(IF($C44="",-0.00001,SUMIFS(Database!H:H,Database!$E:$E,$C44,Database!$A:$A,$D$1)),-0.00001)</f>
        <v>-1.0000000000000001E-5</v>
      </c>
      <c r="G44" s="185">
        <f>IFERROR(IF($C44="",-0.00001,SUMIFS(Database!I:I,Database!$E:$E,$C44,Database!$A:$A,$D$1)),-0.00001)</f>
        <v>-1.0000000000000001E-5</v>
      </c>
      <c r="H44" s="185">
        <f>IFERROR(IF($C44="",-0.00001,SUMIFS(Database!J:J,Database!$E:$E,$C44,Database!$A:$A,$D$1)),-0.00001)</f>
        <v>-1.0000000000000001E-5</v>
      </c>
      <c r="I44" s="185">
        <f>IFERROR(IF($C44="",-0.00001,SUMIFS(Database!K:K,Database!$E:$E,$C44,Database!$A:$A,$D$1)),-0.00001)</f>
        <v>-1.0000000000000001E-5</v>
      </c>
      <c r="J44" s="185">
        <f>IFERROR(IF($C44="",-0.00001,SUMIFS(Database!L:L,Database!$E:$E,$C44,Database!$A:$A,$D$1)),-0.00001)</f>
        <v>-1.0000000000000001E-5</v>
      </c>
      <c r="K44" s="185">
        <f>IFERROR(IF($C44="",-0.00001,SUMIFS(Database!M:M,Database!$E:$E,$C44,Database!$A:$A,$D$1)),-0.00001)</f>
        <v>-1.0000000000000001E-5</v>
      </c>
      <c r="L44" s="185">
        <f>IFERROR(IF($C44="",-0.00001,SUMIFS(Database!N:N,Database!$E:$E,$C44,Database!$A:$A,$D$1)),-0.00001)</f>
        <v>-1.0000000000000001E-5</v>
      </c>
      <c r="M44" s="185">
        <f>IFERROR(IF($C44="",-0.00001,SUMIFS(Database!O:O,Database!$E:$E,$C44,Database!$A:$A,$D$1)),-0.00001)</f>
        <v>-1.0000000000000001E-5</v>
      </c>
      <c r="N44" s="185">
        <f>IFERROR(IF($C44="",-0.00001,SUMIFS(Database!P:P,Database!$E:$E,$C44,Database!$A:$A,$D$1)),-0.00001)</f>
        <v>-1.0000000000000001E-5</v>
      </c>
      <c r="O44" s="185">
        <f>IFERROR(IF($C44="",-0.00001,SUMIFS(Database!Q:Q,Database!$E:$E,$C44,Database!$A:$A,$D$1)),-0.00001)</f>
        <v>-1.0000000000000001E-5</v>
      </c>
      <c r="P44" s="186">
        <f t="shared" si="3"/>
        <v>-1.0000000000000001E-5</v>
      </c>
      <c r="Q44" s="185">
        <f>IFERROR(IF($C44="",-0.00001,SUMIFS(Database!S:S,Database!$E:$E,$C44,Database!$A:$A,$D$1)),-0.00001)</f>
        <v>-1.0000000000000001E-5</v>
      </c>
      <c r="R44" s="185">
        <f>IFERROR(IF($C44="",-0.00001,SUMIFS(Database!T:T,Database!$E:$E,$C44,Database!$A:$A,$D$1)),-0.00001)</f>
        <v>-1.0000000000000001E-5</v>
      </c>
      <c r="S44" s="186">
        <f t="shared" si="4"/>
        <v>-1.0000000000000001E-5</v>
      </c>
      <c r="T44" s="185">
        <f>IFERROR(IF($C44="",-0.00001,SUMIFS(Database!V:V,Database!$E:$E,$C44,Database!$A:$A,$D$1)),-0.00001)</f>
        <v>-1.0000000000000001E-5</v>
      </c>
      <c r="U44" s="185">
        <f>IFERROR(IF($C44="",-0.00001,SUMIFS(Database!W:W,Database!$E:$E,$C44,Database!$A:$A,$D$1)),-0.00001)</f>
        <v>-1.0000000000000001E-5</v>
      </c>
      <c r="V44" s="186">
        <f t="shared" si="5"/>
        <v>-1.0000000000000001E-5</v>
      </c>
      <c r="W44" s="187"/>
      <c r="X44" s="187"/>
      <c r="Y44" s="187"/>
      <c r="Z44" s="187"/>
      <c r="AA44" s="187"/>
      <c r="AB44" s="187"/>
      <c r="AC44" s="187"/>
      <c r="AD44" s="187"/>
      <c r="AE44" s="187"/>
    </row>
    <row r="45" spans="1:31" x14ac:dyDescent="0.25">
      <c r="A45" s="187"/>
      <c r="B45" s="187" t="str">
        <f>IF($C45="","",MAX($B$4:$B44)+1)</f>
        <v/>
      </c>
      <c r="C45" s="145"/>
      <c r="D45" s="183" t="str">
        <f>IFERROR(VLOOKUP($C45,Rosters!$C$4:$M$239,INDEX(Lists!$N$5:$O$80,MATCH($C45,Lists!$N$5:$N$80,FALSE),2)),"")</f>
        <v/>
      </c>
      <c r="E45" s="185">
        <f>IF($C45="",-0.00001,COUNTIFS(Database!E:E,$C45,Database!A:A,$D$1))</f>
        <v>-1.0000000000000001E-5</v>
      </c>
      <c r="F45" s="185">
        <f>IFERROR(IF($C45="",-0.00001,SUMIFS(Database!H:H,Database!$E:$E,$C45,Database!$A:$A,$D$1)),-0.00001)</f>
        <v>-1.0000000000000001E-5</v>
      </c>
      <c r="G45" s="185">
        <f>IFERROR(IF($C45="",-0.00001,SUMIFS(Database!I:I,Database!$E:$E,$C45,Database!$A:$A,$D$1)),-0.00001)</f>
        <v>-1.0000000000000001E-5</v>
      </c>
      <c r="H45" s="185">
        <f>IFERROR(IF($C45="",-0.00001,SUMIFS(Database!J:J,Database!$E:$E,$C45,Database!$A:$A,$D$1)),-0.00001)</f>
        <v>-1.0000000000000001E-5</v>
      </c>
      <c r="I45" s="185">
        <f>IFERROR(IF($C45="",-0.00001,SUMIFS(Database!K:K,Database!$E:$E,$C45,Database!$A:$A,$D$1)),-0.00001)</f>
        <v>-1.0000000000000001E-5</v>
      </c>
      <c r="J45" s="185">
        <f>IFERROR(IF($C45="",-0.00001,SUMIFS(Database!L:L,Database!$E:$E,$C45,Database!$A:$A,$D$1)),-0.00001)</f>
        <v>-1.0000000000000001E-5</v>
      </c>
      <c r="K45" s="185">
        <f>IFERROR(IF($C45="",-0.00001,SUMIFS(Database!M:M,Database!$E:$E,$C45,Database!$A:$A,$D$1)),-0.00001)</f>
        <v>-1.0000000000000001E-5</v>
      </c>
      <c r="L45" s="185">
        <f>IFERROR(IF($C45="",-0.00001,SUMIFS(Database!N:N,Database!$E:$E,$C45,Database!$A:$A,$D$1)),-0.00001)</f>
        <v>-1.0000000000000001E-5</v>
      </c>
      <c r="M45" s="185">
        <f>IFERROR(IF($C45="",-0.00001,SUMIFS(Database!O:O,Database!$E:$E,$C45,Database!$A:$A,$D$1)),-0.00001)</f>
        <v>-1.0000000000000001E-5</v>
      </c>
      <c r="N45" s="185">
        <f>IFERROR(IF($C45="",-0.00001,SUMIFS(Database!P:P,Database!$E:$E,$C45,Database!$A:$A,$D$1)),-0.00001)</f>
        <v>-1.0000000000000001E-5</v>
      </c>
      <c r="O45" s="185">
        <f>IFERROR(IF($C45="",-0.00001,SUMIFS(Database!Q:Q,Database!$E:$E,$C45,Database!$A:$A,$D$1)),-0.00001)</f>
        <v>-1.0000000000000001E-5</v>
      </c>
      <c r="P45" s="186">
        <f t="shared" si="3"/>
        <v>-1.0000000000000001E-5</v>
      </c>
      <c r="Q45" s="185">
        <f>IFERROR(IF($C45="",-0.00001,SUMIFS(Database!S:S,Database!$E:$E,$C45,Database!$A:$A,$D$1)),-0.00001)</f>
        <v>-1.0000000000000001E-5</v>
      </c>
      <c r="R45" s="185">
        <f>IFERROR(IF($C45="",-0.00001,SUMIFS(Database!T:T,Database!$E:$E,$C45,Database!$A:$A,$D$1)),-0.00001)</f>
        <v>-1.0000000000000001E-5</v>
      </c>
      <c r="S45" s="186">
        <f t="shared" si="4"/>
        <v>-1.0000000000000001E-5</v>
      </c>
      <c r="T45" s="185">
        <f>IFERROR(IF($C45="",-0.00001,SUMIFS(Database!V:V,Database!$E:$E,$C45,Database!$A:$A,$D$1)),-0.00001)</f>
        <v>-1.0000000000000001E-5</v>
      </c>
      <c r="U45" s="185">
        <f>IFERROR(IF($C45="",-0.00001,SUMIFS(Database!W:W,Database!$E:$E,$C45,Database!$A:$A,$D$1)),-0.00001)</f>
        <v>-1.0000000000000001E-5</v>
      </c>
      <c r="V45" s="186">
        <f t="shared" si="5"/>
        <v>-1.0000000000000001E-5</v>
      </c>
      <c r="W45" s="187"/>
      <c r="X45" s="187"/>
      <c r="Y45" s="187"/>
      <c r="Z45" s="187"/>
      <c r="AA45" s="187"/>
      <c r="AB45" s="187"/>
      <c r="AC45" s="187"/>
      <c r="AD45" s="187"/>
      <c r="AE45" s="187"/>
    </row>
    <row r="46" spans="1:31" x14ac:dyDescent="0.25">
      <c r="A46" s="187"/>
      <c r="B46" s="187" t="str">
        <f>IF($C46="","",MAX($B$4:$B45)+1)</f>
        <v/>
      </c>
      <c r="C46" s="145"/>
      <c r="D46" s="183" t="str">
        <f>IFERROR(VLOOKUP($C46,Rosters!$C$4:$M$239,INDEX(Lists!$N$5:$O$80,MATCH($C46,Lists!$N$5:$N$80,FALSE),2)),"")</f>
        <v/>
      </c>
      <c r="E46" s="185">
        <f>IF($C46="",-0.00001,COUNTIFS(Database!E:E,$C46,Database!A:A,$D$1))</f>
        <v>-1.0000000000000001E-5</v>
      </c>
      <c r="F46" s="185">
        <f>IFERROR(IF($C46="",-0.00001,SUMIFS(Database!H:H,Database!$E:$E,$C46,Database!$A:$A,$D$1)),-0.00001)</f>
        <v>-1.0000000000000001E-5</v>
      </c>
      <c r="G46" s="185">
        <f>IFERROR(IF($C46="",-0.00001,SUMIFS(Database!I:I,Database!$E:$E,$C46,Database!$A:$A,$D$1)),-0.00001)</f>
        <v>-1.0000000000000001E-5</v>
      </c>
      <c r="H46" s="185">
        <f>IFERROR(IF($C46="",-0.00001,SUMIFS(Database!J:J,Database!$E:$E,$C46,Database!$A:$A,$D$1)),-0.00001)</f>
        <v>-1.0000000000000001E-5</v>
      </c>
      <c r="I46" s="185">
        <f>IFERROR(IF($C46="",-0.00001,SUMIFS(Database!K:K,Database!$E:$E,$C46,Database!$A:$A,$D$1)),-0.00001)</f>
        <v>-1.0000000000000001E-5</v>
      </c>
      <c r="J46" s="185">
        <f>IFERROR(IF($C46="",-0.00001,SUMIFS(Database!L:L,Database!$E:$E,$C46,Database!$A:$A,$D$1)),-0.00001)</f>
        <v>-1.0000000000000001E-5</v>
      </c>
      <c r="K46" s="185">
        <f>IFERROR(IF($C46="",-0.00001,SUMIFS(Database!M:M,Database!$E:$E,$C46,Database!$A:$A,$D$1)),-0.00001)</f>
        <v>-1.0000000000000001E-5</v>
      </c>
      <c r="L46" s="185">
        <f>IFERROR(IF($C46="",-0.00001,SUMIFS(Database!N:N,Database!$E:$E,$C46,Database!$A:$A,$D$1)),-0.00001)</f>
        <v>-1.0000000000000001E-5</v>
      </c>
      <c r="M46" s="185">
        <f>IFERROR(IF($C46="",-0.00001,SUMIFS(Database!O:O,Database!$E:$E,$C46,Database!$A:$A,$D$1)),-0.00001)</f>
        <v>-1.0000000000000001E-5</v>
      </c>
      <c r="N46" s="185">
        <f>IFERROR(IF($C46="",-0.00001,SUMIFS(Database!P:P,Database!$E:$E,$C46,Database!$A:$A,$D$1)),-0.00001)</f>
        <v>-1.0000000000000001E-5</v>
      </c>
      <c r="O46" s="185">
        <f>IFERROR(IF($C46="",-0.00001,SUMIFS(Database!Q:Q,Database!$E:$E,$C46,Database!$A:$A,$D$1)),-0.00001)</f>
        <v>-1.0000000000000001E-5</v>
      </c>
      <c r="P46" s="186">
        <f t="shared" si="3"/>
        <v>-1.0000000000000001E-5</v>
      </c>
      <c r="Q46" s="185">
        <f>IFERROR(IF($C46="",-0.00001,SUMIFS(Database!S:S,Database!$E:$E,$C46,Database!$A:$A,$D$1)),-0.00001)</f>
        <v>-1.0000000000000001E-5</v>
      </c>
      <c r="R46" s="185">
        <f>IFERROR(IF($C46="",-0.00001,SUMIFS(Database!T:T,Database!$E:$E,$C46,Database!$A:$A,$D$1)),-0.00001)</f>
        <v>-1.0000000000000001E-5</v>
      </c>
      <c r="S46" s="186">
        <f t="shared" si="4"/>
        <v>-1.0000000000000001E-5</v>
      </c>
      <c r="T46" s="185">
        <f>IFERROR(IF($C46="",-0.00001,SUMIFS(Database!V:V,Database!$E:$E,$C46,Database!$A:$A,$D$1)),-0.00001)</f>
        <v>-1.0000000000000001E-5</v>
      </c>
      <c r="U46" s="185">
        <f>IFERROR(IF($C46="",-0.00001,SUMIFS(Database!W:W,Database!$E:$E,$C46,Database!$A:$A,$D$1)),-0.00001)</f>
        <v>-1.0000000000000001E-5</v>
      </c>
      <c r="V46" s="186">
        <f t="shared" si="5"/>
        <v>-1.0000000000000001E-5</v>
      </c>
      <c r="W46" s="187"/>
      <c r="X46" s="187"/>
      <c r="Y46" s="187"/>
      <c r="Z46" s="187"/>
      <c r="AA46" s="187"/>
      <c r="AB46" s="187"/>
      <c r="AC46" s="187"/>
      <c r="AD46" s="187"/>
      <c r="AE46" s="187"/>
    </row>
    <row r="47" spans="1:31" x14ac:dyDescent="0.25">
      <c r="A47" s="187"/>
      <c r="B47" s="187" t="str">
        <f>IF($C47="","",MAX($B$4:$B46)+1)</f>
        <v/>
      </c>
      <c r="C47" s="145"/>
      <c r="D47" s="183" t="str">
        <f>IFERROR(VLOOKUP($C47,Rosters!$C$4:$M$239,INDEX(Lists!$N$5:$O$80,MATCH($C47,Lists!$N$5:$N$80,FALSE),2)),"")</f>
        <v/>
      </c>
      <c r="E47" s="185">
        <f>IF($C47="",-0.00001,COUNTIFS(Database!E:E,$C47,Database!A:A,$D$1))</f>
        <v>-1.0000000000000001E-5</v>
      </c>
      <c r="F47" s="185">
        <f>IFERROR(IF($C47="",-0.00001,SUMIFS(Database!H:H,Database!$E:$E,$C47,Database!$A:$A,$D$1)),-0.00001)</f>
        <v>-1.0000000000000001E-5</v>
      </c>
      <c r="G47" s="185">
        <f>IFERROR(IF($C47="",-0.00001,SUMIFS(Database!I:I,Database!$E:$E,$C47,Database!$A:$A,$D$1)),-0.00001)</f>
        <v>-1.0000000000000001E-5</v>
      </c>
      <c r="H47" s="185">
        <f>IFERROR(IF($C47="",-0.00001,SUMIFS(Database!J:J,Database!$E:$E,$C47,Database!$A:$A,$D$1)),-0.00001)</f>
        <v>-1.0000000000000001E-5</v>
      </c>
      <c r="I47" s="185">
        <f>IFERROR(IF($C47="",-0.00001,SUMIFS(Database!K:K,Database!$E:$E,$C47,Database!$A:$A,$D$1)),-0.00001)</f>
        <v>-1.0000000000000001E-5</v>
      </c>
      <c r="J47" s="185">
        <f>IFERROR(IF($C47="",-0.00001,SUMIFS(Database!L:L,Database!$E:$E,$C47,Database!$A:$A,$D$1)),-0.00001)</f>
        <v>-1.0000000000000001E-5</v>
      </c>
      <c r="K47" s="185">
        <f>IFERROR(IF($C47="",-0.00001,SUMIFS(Database!M:M,Database!$E:$E,$C47,Database!$A:$A,$D$1)),-0.00001)</f>
        <v>-1.0000000000000001E-5</v>
      </c>
      <c r="L47" s="185">
        <f>IFERROR(IF($C47="",-0.00001,SUMIFS(Database!N:N,Database!$E:$E,$C47,Database!$A:$A,$D$1)),-0.00001)</f>
        <v>-1.0000000000000001E-5</v>
      </c>
      <c r="M47" s="185">
        <f>IFERROR(IF($C47="",-0.00001,SUMIFS(Database!O:O,Database!$E:$E,$C47,Database!$A:$A,$D$1)),-0.00001)</f>
        <v>-1.0000000000000001E-5</v>
      </c>
      <c r="N47" s="185">
        <f>IFERROR(IF($C47="",-0.00001,SUMIFS(Database!P:P,Database!$E:$E,$C47,Database!$A:$A,$D$1)),-0.00001)</f>
        <v>-1.0000000000000001E-5</v>
      </c>
      <c r="O47" s="185">
        <f>IFERROR(IF($C47="",-0.00001,SUMIFS(Database!Q:Q,Database!$E:$E,$C47,Database!$A:$A,$D$1)),-0.00001)</f>
        <v>-1.0000000000000001E-5</v>
      </c>
      <c r="P47" s="186">
        <f t="shared" si="3"/>
        <v>-1.0000000000000001E-5</v>
      </c>
      <c r="Q47" s="185">
        <f>IFERROR(IF($C47="",-0.00001,SUMIFS(Database!S:S,Database!$E:$E,$C47,Database!$A:$A,$D$1)),-0.00001)</f>
        <v>-1.0000000000000001E-5</v>
      </c>
      <c r="R47" s="185">
        <f>IFERROR(IF($C47="",-0.00001,SUMIFS(Database!T:T,Database!$E:$E,$C47,Database!$A:$A,$D$1)),-0.00001)</f>
        <v>-1.0000000000000001E-5</v>
      </c>
      <c r="S47" s="186">
        <f t="shared" si="4"/>
        <v>-1.0000000000000001E-5</v>
      </c>
      <c r="T47" s="185">
        <f>IFERROR(IF($C47="",-0.00001,SUMIFS(Database!V:V,Database!$E:$E,$C47,Database!$A:$A,$D$1)),-0.00001)</f>
        <v>-1.0000000000000001E-5</v>
      </c>
      <c r="U47" s="185">
        <f>IFERROR(IF($C47="",-0.00001,SUMIFS(Database!W:W,Database!$E:$E,$C47,Database!$A:$A,$D$1)),-0.00001)</f>
        <v>-1.0000000000000001E-5</v>
      </c>
      <c r="V47" s="186">
        <f t="shared" si="5"/>
        <v>-1.0000000000000001E-5</v>
      </c>
      <c r="W47" s="187"/>
      <c r="X47" s="187"/>
      <c r="Y47" s="187"/>
      <c r="Z47" s="187"/>
      <c r="AA47" s="187"/>
      <c r="AB47" s="187"/>
      <c r="AC47" s="187"/>
      <c r="AD47" s="187"/>
      <c r="AE47" s="187"/>
    </row>
    <row r="48" spans="1:31" x14ac:dyDescent="0.25">
      <c r="A48" s="187"/>
      <c r="B48" s="187" t="str">
        <f>IF($C48="","",MAX($B$4:$B47)+1)</f>
        <v/>
      </c>
      <c r="C48" s="145"/>
      <c r="D48" s="183" t="str">
        <f>IFERROR(VLOOKUP($C48,Rosters!$C$4:$M$239,INDEX(Lists!$N$5:$O$80,MATCH($C48,Lists!$N$5:$N$80,FALSE),2)),"")</f>
        <v/>
      </c>
      <c r="E48" s="185">
        <f>IF($C48="",-0.00001,COUNTIFS(Database!E:E,$C48,Database!A:A,$D$1))</f>
        <v>-1.0000000000000001E-5</v>
      </c>
      <c r="F48" s="185">
        <f>IFERROR(IF($C48="",-0.00001,SUMIFS(Database!H:H,Database!$E:$E,$C48,Database!$A:$A,$D$1)),-0.00001)</f>
        <v>-1.0000000000000001E-5</v>
      </c>
      <c r="G48" s="185">
        <f>IFERROR(IF($C48="",-0.00001,SUMIFS(Database!I:I,Database!$E:$E,$C48,Database!$A:$A,$D$1)),-0.00001)</f>
        <v>-1.0000000000000001E-5</v>
      </c>
      <c r="H48" s="185">
        <f>IFERROR(IF($C48="",-0.00001,SUMIFS(Database!J:J,Database!$E:$E,$C48,Database!$A:$A,$D$1)),-0.00001)</f>
        <v>-1.0000000000000001E-5</v>
      </c>
      <c r="I48" s="185">
        <f>IFERROR(IF($C48="",-0.00001,SUMIFS(Database!K:K,Database!$E:$E,$C48,Database!$A:$A,$D$1)),-0.00001)</f>
        <v>-1.0000000000000001E-5</v>
      </c>
      <c r="J48" s="185">
        <f>IFERROR(IF($C48="",-0.00001,SUMIFS(Database!L:L,Database!$E:$E,$C48,Database!$A:$A,$D$1)),-0.00001)</f>
        <v>-1.0000000000000001E-5</v>
      </c>
      <c r="K48" s="185">
        <f>IFERROR(IF($C48="",-0.00001,SUMIFS(Database!M:M,Database!$E:$E,$C48,Database!$A:$A,$D$1)),-0.00001)</f>
        <v>-1.0000000000000001E-5</v>
      </c>
      <c r="L48" s="185">
        <f>IFERROR(IF($C48="",-0.00001,SUMIFS(Database!N:N,Database!$E:$E,$C48,Database!$A:$A,$D$1)),-0.00001)</f>
        <v>-1.0000000000000001E-5</v>
      </c>
      <c r="M48" s="185">
        <f>IFERROR(IF($C48="",-0.00001,SUMIFS(Database!O:O,Database!$E:$E,$C48,Database!$A:$A,$D$1)),-0.00001)</f>
        <v>-1.0000000000000001E-5</v>
      </c>
      <c r="N48" s="185">
        <f>IFERROR(IF($C48="",-0.00001,SUMIFS(Database!P:P,Database!$E:$E,$C48,Database!$A:$A,$D$1)),-0.00001)</f>
        <v>-1.0000000000000001E-5</v>
      </c>
      <c r="O48" s="185">
        <f>IFERROR(IF($C48="",-0.00001,SUMIFS(Database!Q:Q,Database!$E:$E,$C48,Database!$A:$A,$D$1)),-0.00001)</f>
        <v>-1.0000000000000001E-5</v>
      </c>
      <c r="P48" s="186">
        <f t="shared" si="3"/>
        <v>-1.0000000000000001E-5</v>
      </c>
      <c r="Q48" s="185">
        <f>IFERROR(IF($C48="",-0.00001,SUMIFS(Database!S:S,Database!$E:$E,$C48,Database!$A:$A,$D$1)),-0.00001)</f>
        <v>-1.0000000000000001E-5</v>
      </c>
      <c r="R48" s="185">
        <f>IFERROR(IF($C48="",-0.00001,SUMIFS(Database!T:T,Database!$E:$E,$C48,Database!$A:$A,$D$1)),-0.00001)</f>
        <v>-1.0000000000000001E-5</v>
      </c>
      <c r="S48" s="186">
        <f t="shared" si="4"/>
        <v>-1.0000000000000001E-5</v>
      </c>
      <c r="T48" s="185">
        <f>IFERROR(IF($C48="",-0.00001,SUMIFS(Database!V:V,Database!$E:$E,$C48,Database!$A:$A,$D$1)),-0.00001)</f>
        <v>-1.0000000000000001E-5</v>
      </c>
      <c r="U48" s="185">
        <f>IFERROR(IF($C48="",-0.00001,SUMIFS(Database!W:W,Database!$E:$E,$C48,Database!$A:$A,$D$1)),-0.00001)</f>
        <v>-1.0000000000000001E-5</v>
      </c>
      <c r="V48" s="186">
        <f t="shared" si="5"/>
        <v>-1.0000000000000001E-5</v>
      </c>
      <c r="W48" s="187"/>
      <c r="X48" s="187"/>
      <c r="Y48" s="187"/>
      <c r="Z48" s="187"/>
      <c r="AA48" s="187"/>
      <c r="AB48" s="187"/>
      <c r="AC48" s="187"/>
      <c r="AD48" s="187"/>
      <c r="AE48" s="187"/>
    </row>
    <row r="49" spans="1:31" x14ac:dyDescent="0.25">
      <c r="A49" s="187"/>
      <c r="B49" s="187" t="str">
        <f>IF($C49="","",MAX($B$4:$B48)+1)</f>
        <v/>
      </c>
      <c r="C49" s="145"/>
      <c r="D49" s="183" t="str">
        <f>IFERROR(VLOOKUP($C49,Rosters!$C$4:$M$239,INDEX(Lists!$N$5:$O$80,MATCH($C49,Lists!$N$5:$N$80,FALSE),2)),"")</f>
        <v/>
      </c>
      <c r="E49" s="185">
        <f>IF($C49="",-0.00001,COUNTIFS(Database!E:E,$C49,Database!A:A,$D$1))</f>
        <v>-1.0000000000000001E-5</v>
      </c>
      <c r="F49" s="185">
        <f>IFERROR(IF($C49="",-0.00001,SUMIFS(Database!H:H,Database!$E:$E,$C49,Database!$A:$A,$D$1)),-0.00001)</f>
        <v>-1.0000000000000001E-5</v>
      </c>
      <c r="G49" s="185">
        <f>IFERROR(IF($C49="",-0.00001,SUMIFS(Database!I:I,Database!$E:$E,$C49,Database!$A:$A,$D$1)),-0.00001)</f>
        <v>-1.0000000000000001E-5</v>
      </c>
      <c r="H49" s="185">
        <f>IFERROR(IF($C49="",-0.00001,SUMIFS(Database!J:J,Database!$E:$E,$C49,Database!$A:$A,$D$1)),-0.00001)</f>
        <v>-1.0000000000000001E-5</v>
      </c>
      <c r="I49" s="185">
        <f>IFERROR(IF($C49="",-0.00001,SUMIFS(Database!K:K,Database!$E:$E,$C49,Database!$A:$A,$D$1)),-0.00001)</f>
        <v>-1.0000000000000001E-5</v>
      </c>
      <c r="J49" s="185">
        <f>IFERROR(IF($C49="",-0.00001,SUMIFS(Database!L:L,Database!$E:$E,$C49,Database!$A:$A,$D$1)),-0.00001)</f>
        <v>-1.0000000000000001E-5</v>
      </c>
      <c r="K49" s="185">
        <f>IFERROR(IF($C49="",-0.00001,SUMIFS(Database!M:M,Database!$E:$E,$C49,Database!$A:$A,$D$1)),-0.00001)</f>
        <v>-1.0000000000000001E-5</v>
      </c>
      <c r="L49" s="185">
        <f>IFERROR(IF($C49="",-0.00001,SUMIFS(Database!N:N,Database!$E:$E,$C49,Database!$A:$A,$D$1)),-0.00001)</f>
        <v>-1.0000000000000001E-5</v>
      </c>
      <c r="M49" s="185">
        <f>IFERROR(IF($C49="",-0.00001,SUMIFS(Database!O:O,Database!$E:$E,$C49,Database!$A:$A,$D$1)),-0.00001)</f>
        <v>-1.0000000000000001E-5</v>
      </c>
      <c r="N49" s="185">
        <f>IFERROR(IF($C49="",-0.00001,SUMIFS(Database!P:P,Database!$E:$E,$C49,Database!$A:$A,$D$1)),-0.00001)</f>
        <v>-1.0000000000000001E-5</v>
      </c>
      <c r="O49" s="185">
        <f>IFERROR(IF($C49="",-0.00001,SUMIFS(Database!Q:Q,Database!$E:$E,$C49,Database!$A:$A,$D$1)),-0.00001)</f>
        <v>-1.0000000000000001E-5</v>
      </c>
      <c r="P49" s="186">
        <f t="shared" si="3"/>
        <v>-1.0000000000000001E-5</v>
      </c>
      <c r="Q49" s="185">
        <f>IFERROR(IF($C49="",-0.00001,SUMIFS(Database!S:S,Database!$E:$E,$C49,Database!$A:$A,$D$1)),-0.00001)</f>
        <v>-1.0000000000000001E-5</v>
      </c>
      <c r="R49" s="185">
        <f>IFERROR(IF($C49="",-0.00001,SUMIFS(Database!T:T,Database!$E:$E,$C49,Database!$A:$A,$D$1)),-0.00001)</f>
        <v>-1.0000000000000001E-5</v>
      </c>
      <c r="S49" s="186">
        <f t="shared" si="4"/>
        <v>-1.0000000000000001E-5</v>
      </c>
      <c r="T49" s="185">
        <f>IFERROR(IF($C49="",-0.00001,SUMIFS(Database!V:V,Database!$E:$E,$C49,Database!$A:$A,$D$1)),-0.00001)</f>
        <v>-1.0000000000000001E-5</v>
      </c>
      <c r="U49" s="185">
        <f>IFERROR(IF($C49="",-0.00001,SUMIFS(Database!W:W,Database!$E:$E,$C49,Database!$A:$A,$D$1)),-0.00001)</f>
        <v>-1.0000000000000001E-5</v>
      </c>
      <c r="V49" s="186">
        <f t="shared" si="5"/>
        <v>-1.0000000000000001E-5</v>
      </c>
      <c r="W49" s="187"/>
      <c r="X49" s="187"/>
      <c r="Y49" s="187"/>
      <c r="Z49" s="187"/>
      <c r="AA49" s="187"/>
      <c r="AB49" s="187"/>
      <c r="AC49" s="187"/>
      <c r="AD49" s="187"/>
      <c r="AE49" s="187"/>
    </row>
    <row r="50" spans="1:31" x14ac:dyDescent="0.25">
      <c r="A50" s="187"/>
      <c r="B50" s="187" t="str">
        <f>IF($C50="","",MAX($B$4:$B49)+1)</f>
        <v/>
      </c>
      <c r="C50" s="145"/>
      <c r="D50" s="183" t="str">
        <f>IFERROR(VLOOKUP($C50,Rosters!$C$4:$M$239,INDEX(Lists!$N$5:$O$80,MATCH($C50,Lists!$N$5:$N$80,FALSE),2)),"")</f>
        <v/>
      </c>
      <c r="E50" s="185">
        <f>IF($C50="",-0.00001,COUNTIFS(Database!E:E,$C50,Database!A:A,$D$1))</f>
        <v>-1.0000000000000001E-5</v>
      </c>
      <c r="F50" s="185">
        <f>IFERROR(IF($C50="",-0.00001,SUMIFS(Database!H:H,Database!$E:$E,$C50,Database!$A:$A,$D$1)),-0.00001)</f>
        <v>-1.0000000000000001E-5</v>
      </c>
      <c r="G50" s="185">
        <f>IFERROR(IF($C50="",-0.00001,SUMIFS(Database!I:I,Database!$E:$E,$C50,Database!$A:$A,$D$1)),-0.00001)</f>
        <v>-1.0000000000000001E-5</v>
      </c>
      <c r="H50" s="185">
        <f>IFERROR(IF($C50="",-0.00001,SUMIFS(Database!J:J,Database!$E:$E,$C50,Database!$A:$A,$D$1)),-0.00001)</f>
        <v>-1.0000000000000001E-5</v>
      </c>
      <c r="I50" s="185">
        <f>IFERROR(IF($C50="",-0.00001,SUMIFS(Database!K:K,Database!$E:$E,$C50,Database!$A:$A,$D$1)),-0.00001)</f>
        <v>-1.0000000000000001E-5</v>
      </c>
      <c r="J50" s="185">
        <f>IFERROR(IF($C50="",-0.00001,SUMIFS(Database!L:L,Database!$E:$E,$C50,Database!$A:$A,$D$1)),-0.00001)</f>
        <v>-1.0000000000000001E-5</v>
      </c>
      <c r="K50" s="185">
        <f>IFERROR(IF($C50="",-0.00001,SUMIFS(Database!M:M,Database!$E:$E,$C50,Database!$A:$A,$D$1)),-0.00001)</f>
        <v>-1.0000000000000001E-5</v>
      </c>
      <c r="L50" s="185">
        <f>IFERROR(IF($C50="",-0.00001,SUMIFS(Database!N:N,Database!$E:$E,$C50,Database!$A:$A,$D$1)),-0.00001)</f>
        <v>-1.0000000000000001E-5</v>
      </c>
      <c r="M50" s="185">
        <f>IFERROR(IF($C50="",-0.00001,SUMIFS(Database!O:O,Database!$E:$E,$C50,Database!$A:$A,$D$1)),-0.00001)</f>
        <v>-1.0000000000000001E-5</v>
      </c>
      <c r="N50" s="185">
        <f>IFERROR(IF($C50="",-0.00001,SUMIFS(Database!P:P,Database!$E:$E,$C50,Database!$A:$A,$D$1)),-0.00001)</f>
        <v>-1.0000000000000001E-5</v>
      </c>
      <c r="O50" s="185">
        <f>IFERROR(IF($C50="",-0.00001,SUMIFS(Database!Q:Q,Database!$E:$E,$C50,Database!$A:$A,$D$1)),-0.00001)</f>
        <v>-1.0000000000000001E-5</v>
      </c>
      <c r="P50" s="186">
        <f t="shared" si="3"/>
        <v>-1.0000000000000001E-5</v>
      </c>
      <c r="Q50" s="185">
        <f>IFERROR(IF($C50="",-0.00001,SUMIFS(Database!S:S,Database!$E:$E,$C50,Database!$A:$A,$D$1)),-0.00001)</f>
        <v>-1.0000000000000001E-5</v>
      </c>
      <c r="R50" s="185">
        <f>IFERROR(IF($C50="",-0.00001,SUMIFS(Database!T:T,Database!$E:$E,$C50,Database!$A:$A,$D$1)),-0.00001)</f>
        <v>-1.0000000000000001E-5</v>
      </c>
      <c r="S50" s="186">
        <f t="shared" si="4"/>
        <v>-1.0000000000000001E-5</v>
      </c>
      <c r="T50" s="185">
        <f>IFERROR(IF($C50="",-0.00001,SUMIFS(Database!V:V,Database!$E:$E,$C50,Database!$A:$A,$D$1)),-0.00001)</f>
        <v>-1.0000000000000001E-5</v>
      </c>
      <c r="U50" s="185">
        <f>IFERROR(IF($C50="",-0.00001,SUMIFS(Database!W:W,Database!$E:$E,$C50,Database!$A:$A,$D$1)),-0.00001)</f>
        <v>-1.0000000000000001E-5</v>
      </c>
      <c r="V50" s="186">
        <f t="shared" si="5"/>
        <v>-1.0000000000000001E-5</v>
      </c>
      <c r="W50" s="187"/>
      <c r="X50" s="187"/>
      <c r="Y50" s="187"/>
      <c r="Z50" s="187"/>
      <c r="AA50" s="187"/>
      <c r="AB50" s="187"/>
      <c r="AC50" s="187"/>
      <c r="AD50" s="187"/>
      <c r="AE50" s="187"/>
    </row>
    <row r="51" spans="1:31" x14ac:dyDescent="0.25">
      <c r="A51" s="187"/>
      <c r="B51" s="187" t="str">
        <f>IF($C51="","",MAX($B$4:$B50)+1)</f>
        <v/>
      </c>
      <c r="C51" s="145"/>
      <c r="D51" s="183" t="str">
        <f>IFERROR(VLOOKUP($C51,Rosters!$C$4:$M$239,INDEX(Lists!$N$5:$O$80,MATCH($C51,Lists!$N$5:$N$80,FALSE),2)),"")</f>
        <v/>
      </c>
      <c r="E51" s="185">
        <f>IF($C51="",-0.00001,COUNTIFS(Database!E:E,$C51,Database!A:A,$D$1))</f>
        <v>-1.0000000000000001E-5</v>
      </c>
      <c r="F51" s="185">
        <f>IFERROR(IF($C51="",-0.00001,SUMIFS(Database!H:H,Database!$E:$E,$C51,Database!$A:$A,$D$1)),-0.00001)</f>
        <v>-1.0000000000000001E-5</v>
      </c>
      <c r="G51" s="185">
        <f>IFERROR(IF($C51="",-0.00001,SUMIFS(Database!I:I,Database!$E:$E,$C51,Database!$A:$A,$D$1)),-0.00001)</f>
        <v>-1.0000000000000001E-5</v>
      </c>
      <c r="H51" s="185">
        <f>IFERROR(IF($C51="",-0.00001,SUMIFS(Database!J:J,Database!$E:$E,$C51,Database!$A:$A,$D$1)),-0.00001)</f>
        <v>-1.0000000000000001E-5</v>
      </c>
      <c r="I51" s="185">
        <f>IFERROR(IF($C51="",-0.00001,SUMIFS(Database!K:K,Database!$E:$E,$C51,Database!$A:$A,$D$1)),-0.00001)</f>
        <v>-1.0000000000000001E-5</v>
      </c>
      <c r="J51" s="185">
        <f>IFERROR(IF($C51="",-0.00001,SUMIFS(Database!L:L,Database!$E:$E,$C51,Database!$A:$A,$D$1)),-0.00001)</f>
        <v>-1.0000000000000001E-5</v>
      </c>
      <c r="K51" s="185">
        <f>IFERROR(IF($C51="",-0.00001,SUMIFS(Database!M:M,Database!$E:$E,$C51,Database!$A:$A,$D$1)),-0.00001)</f>
        <v>-1.0000000000000001E-5</v>
      </c>
      <c r="L51" s="185">
        <f>IFERROR(IF($C51="",-0.00001,SUMIFS(Database!N:N,Database!$E:$E,$C51,Database!$A:$A,$D$1)),-0.00001)</f>
        <v>-1.0000000000000001E-5</v>
      </c>
      <c r="M51" s="185">
        <f>IFERROR(IF($C51="",-0.00001,SUMIFS(Database!O:O,Database!$E:$E,$C51,Database!$A:$A,$D$1)),-0.00001)</f>
        <v>-1.0000000000000001E-5</v>
      </c>
      <c r="N51" s="185">
        <f>IFERROR(IF($C51="",-0.00001,SUMIFS(Database!P:P,Database!$E:$E,$C51,Database!$A:$A,$D$1)),-0.00001)</f>
        <v>-1.0000000000000001E-5</v>
      </c>
      <c r="O51" s="185">
        <f>IFERROR(IF($C51="",-0.00001,SUMIFS(Database!Q:Q,Database!$E:$E,$C51,Database!$A:$A,$D$1)),-0.00001)</f>
        <v>-1.0000000000000001E-5</v>
      </c>
      <c r="P51" s="186">
        <f t="shared" si="3"/>
        <v>-1.0000000000000001E-5</v>
      </c>
      <c r="Q51" s="185">
        <f>IFERROR(IF($C51="",-0.00001,SUMIFS(Database!S:S,Database!$E:$E,$C51,Database!$A:$A,$D$1)),-0.00001)</f>
        <v>-1.0000000000000001E-5</v>
      </c>
      <c r="R51" s="185">
        <f>IFERROR(IF($C51="",-0.00001,SUMIFS(Database!T:T,Database!$E:$E,$C51,Database!$A:$A,$D$1)),-0.00001)</f>
        <v>-1.0000000000000001E-5</v>
      </c>
      <c r="S51" s="186">
        <f t="shared" si="4"/>
        <v>-1.0000000000000001E-5</v>
      </c>
      <c r="T51" s="185">
        <f>IFERROR(IF($C51="",-0.00001,SUMIFS(Database!V:V,Database!$E:$E,$C51,Database!$A:$A,$D$1)),-0.00001)</f>
        <v>-1.0000000000000001E-5</v>
      </c>
      <c r="U51" s="185">
        <f>IFERROR(IF($C51="",-0.00001,SUMIFS(Database!W:W,Database!$E:$E,$C51,Database!$A:$A,$D$1)),-0.00001)</f>
        <v>-1.0000000000000001E-5</v>
      </c>
      <c r="V51" s="186">
        <f t="shared" si="5"/>
        <v>-1.0000000000000001E-5</v>
      </c>
      <c r="W51" s="187"/>
      <c r="X51" s="187"/>
      <c r="Y51" s="187"/>
      <c r="Z51" s="187"/>
      <c r="AA51" s="187"/>
      <c r="AB51" s="187"/>
      <c r="AC51" s="187"/>
      <c r="AD51" s="187"/>
      <c r="AE51" s="187"/>
    </row>
    <row r="52" spans="1:31" x14ac:dyDescent="0.25">
      <c r="A52" s="187"/>
      <c r="B52" s="187" t="str">
        <f>IF($C52="","",MAX($B$4:$B51)+1)</f>
        <v/>
      </c>
      <c r="C52" s="145"/>
      <c r="D52" s="183" t="str">
        <f>IFERROR(VLOOKUP($C52,Rosters!$C$4:$M$239,INDEX(Lists!$N$5:$O$80,MATCH($C52,Lists!$N$5:$N$80,FALSE),2)),"")</f>
        <v/>
      </c>
      <c r="E52" s="185">
        <f>IF($C52="",-0.00001,COUNTIFS(Database!E:E,$C52,Database!A:A,$D$1))</f>
        <v>-1.0000000000000001E-5</v>
      </c>
      <c r="F52" s="185">
        <f>IFERROR(IF($C52="",-0.00001,SUMIFS(Database!H:H,Database!$E:$E,$C52,Database!$A:$A,$D$1)),-0.00001)</f>
        <v>-1.0000000000000001E-5</v>
      </c>
      <c r="G52" s="185">
        <f>IFERROR(IF($C52="",-0.00001,SUMIFS(Database!I:I,Database!$E:$E,$C52,Database!$A:$A,$D$1)),-0.00001)</f>
        <v>-1.0000000000000001E-5</v>
      </c>
      <c r="H52" s="185">
        <f>IFERROR(IF($C52="",-0.00001,SUMIFS(Database!J:J,Database!$E:$E,$C52,Database!$A:$A,$D$1)),-0.00001)</f>
        <v>-1.0000000000000001E-5</v>
      </c>
      <c r="I52" s="185">
        <f>IFERROR(IF($C52="",-0.00001,SUMIFS(Database!K:K,Database!$E:$E,$C52,Database!$A:$A,$D$1)),-0.00001)</f>
        <v>-1.0000000000000001E-5</v>
      </c>
      <c r="J52" s="185">
        <f>IFERROR(IF($C52="",-0.00001,SUMIFS(Database!L:L,Database!$E:$E,$C52,Database!$A:$A,$D$1)),-0.00001)</f>
        <v>-1.0000000000000001E-5</v>
      </c>
      <c r="K52" s="185">
        <f>IFERROR(IF($C52="",-0.00001,SUMIFS(Database!M:M,Database!$E:$E,$C52,Database!$A:$A,$D$1)),-0.00001)</f>
        <v>-1.0000000000000001E-5</v>
      </c>
      <c r="L52" s="185">
        <f>IFERROR(IF($C52="",-0.00001,SUMIFS(Database!N:N,Database!$E:$E,$C52,Database!$A:$A,$D$1)),-0.00001)</f>
        <v>-1.0000000000000001E-5</v>
      </c>
      <c r="M52" s="185">
        <f>IFERROR(IF($C52="",-0.00001,SUMIFS(Database!O:O,Database!$E:$E,$C52,Database!$A:$A,$D$1)),-0.00001)</f>
        <v>-1.0000000000000001E-5</v>
      </c>
      <c r="N52" s="185">
        <f>IFERROR(IF($C52="",-0.00001,SUMIFS(Database!P:P,Database!$E:$E,$C52,Database!$A:$A,$D$1)),-0.00001)</f>
        <v>-1.0000000000000001E-5</v>
      </c>
      <c r="O52" s="185">
        <f>IFERROR(IF($C52="",-0.00001,SUMIFS(Database!Q:Q,Database!$E:$E,$C52,Database!$A:$A,$D$1)),-0.00001)</f>
        <v>-1.0000000000000001E-5</v>
      </c>
      <c r="P52" s="186">
        <f t="shared" si="3"/>
        <v>-1.0000000000000001E-5</v>
      </c>
      <c r="Q52" s="185">
        <f>IFERROR(IF($C52="",-0.00001,SUMIFS(Database!S:S,Database!$E:$E,$C52,Database!$A:$A,$D$1)),-0.00001)</f>
        <v>-1.0000000000000001E-5</v>
      </c>
      <c r="R52" s="185">
        <f>IFERROR(IF($C52="",-0.00001,SUMIFS(Database!T:T,Database!$E:$E,$C52,Database!$A:$A,$D$1)),-0.00001)</f>
        <v>-1.0000000000000001E-5</v>
      </c>
      <c r="S52" s="186">
        <f t="shared" si="4"/>
        <v>-1.0000000000000001E-5</v>
      </c>
      <c r="T52" s="185">
        <f>IFERROR(IF($C52="",-0.00001,SUMIFS(Database!V:V,Database!$E:$E,$C52,Database!$A:$A,$D$1)),-0.00001)</f>
        <v>-1.0000000000000001E-5</v>
      </c>
      <c r="U52" s="185">
        <f>IFERROR(IF($C52="",-0.00001,SUMIFS(Database!W:W,Database!$E:$E,$C52,Database!$A:$A,$D$1)),-0.00001)</f>
        <v>-1.0000000000000001E-5</v>
      </c>
      <c r="V52" s="186">
        <f t="shared" si="5"/>
        <v>-1.0000000000000001E-5</v>
      </c>
      <c r="W52" s="187"/>
      <c r="X52" s="187"/>
      <c r="Y52" s="187"/>
      <c r="Z52" s="187"/>
      <c r="AA52" s="187"/>
      <c r="AB52" s="187"/>
      <c r="AC52" s="187"/>
      <c r="AD52" s="187"/>
      <c r="AE52" s="187"/>
    </row>
    <row r="53" spans="1:31" x14ac:dyDescent="0.25">
      <c r="A53" s="187"/>
      <c r="B53" s="187" t="str">
        <f>IF($C53="","",MAX($B$4:$B52)+1)</f>
        <v/>
      </c>
      <c r="C53" s="145"/>
      <c r="D53" s="183" t="str">
        <f>IFERROR(VLOOKUP($C53,Rosters!$C$4:$M$239,INDEX(Lists!$N$5:$O$80,MATCH($C53,Lists!$N$5:$N$80,FALSE),2)),"")</f>
        <v/>
      </c>
      <c r="E53" s="185">
        <f>IF($C53="",-0.00001,COUNTIFS(Database!E:E,$C53,Database!A:A,$D$1))</f>
        <v>-1.0000000000000001E-5</v>
      </c>
      <c r="F53" s="185">
        <f>IFERROR(IF($C53="",-0.00001,SUMIFS(Database!H:H,Database!$E:$E,$C53,Database!$A:$A,$D$1)),-0.00001)</f>
        <v>-1.0000000000000001E-5</v>
      </c>
      <c r="G53" s="185">
        <f>IFERROR(IF($C53="",-0.00001,SUMIFS(Database!I:I,Database!$E:$E,$C53,Database!$A:$A,$D$1)),-0.00001)</f>
        <v>-1.0000000000000001E-5</v>
      </c>
      <c r="H53" s="185">
        <f>IFERROR(IF($C53="",-0.00001,SUMIFS(Database!J:J,Database!$E:$E,$C53,Database!$A:$A,$D$1)),-0.00001)</f>
        <v>-1.0000000000000001E-5</v>
      </c>
      <c r="I53" s="185">
        <f>IFERROR(IF($C53="",-0.00001,SUMIFS(Database!K:K,Database!$E:$E,$C53,Database!$A:$A,$D$1)),-0.00001)</f>
        <v>-1.0000000000000001E-5</v>
      </c>
      <c r="J53" s="185">
        <f>IFERROR(IF($C53="",-0.00001,SUMIFS(Database!L:L,Database!$E:$E,$C53,Database!$A:$A,$D$1)),-0.00001)</f>
        <v>-1.0000000000000001E-5</v>
      </c>
      <c r="K53" s="185">
        <f>IFERROR(IF($C53="",-0.00001,SUMIFS(Database!M:M,Database!$E:$E,$C53,Database!$A:$A,$D$1)),-0.00001)</f>
        <v>-1.0000000000000001E-5</v>
      </c>
      <c r="L53" s="185">
        <f>IFERROR(IF($C53="",-0.00001,SUMIFS(Database!N:N,Database!$E:$E,$C53,Database!$A:$A,$D$1)),-0.00001)</f>
        <v>-1.0000000000000001E-5</v>
      </c>
      <c r="M53" s="185">
        <f>IFERROR(IF($C53="",-0.00001,SUMIFS(Database!O:O,Database!$E:$E,$C53,Database!$A:$A,$D$1)),-0.00001)</f>
        <v>-1.0000000000000001E-5</v>
      </c>
      <c r="N53" s="185">
        <f>IFERROR(IF($C53="",-0.00001,SUMIFS(Database!P:P,Database!$E:$E,$C53,Database!$A:$A,$D$1)),-0.00001)</f>
        <v>-1.0000000000000001E-5</v>
      </c>
      <c r="O53" s="185">
        <f>IFERROR(IF($C53="",-0.00001,SUMIFS(Database!Q:Q,Database!$E:$E,$C53,Database!$A:$A,$D$1)),-0.00001)</f>
        <v>-1.0000000000000001E-5</v>
      </c>
      <c r="P53" s="186">
        <f t="shared" si="3"/>
        <v>-1.0000000000000001E-5</v>
      </c>
      <c r="Q53" s="185">
        <f>IFERROR(IF($C53="",-0.00001,SUMIFS(Database!S:S,Database!$E:$E,$C53,Database!$A:$A,$D$1)),-0.00001)</f>
        <v>-1.0000000000000001E-5</v>
      </c>
      <c r="R53" s="185">
        <f>IFERROR(IF($C53="",-0.00001,SUMIFS(Database!T:T,Database!$E:$E,$C53,Database!$A:$A,$D$1)),-0.00001)</f>
        <v>-1.0000000000000001E-5</v>
      </c>
      <c r="S53" s="186">
        <f t="shared" si="4"/>
        <v>-1.0000000000000001E-5</v>
      </c>
      <c r="T53" s="185">
        <f>IFERROR(IF($C53="",-0.00001,SUMIFS(Database!V:V,Database!$E:$E,$C53,Database!$A:$A,$D$1)),-0.00001)</f>
        <v>-1.0000000000000001E-5</v>
      </c>
      <c r="U53" s="185">
        <f>IFERROR(IF($C53="",-0.00001,SUMIFS(Database!W:W,Database!$E:$E,$C53,Database!$A:$A,$D$1)),-0.00001)</f>
        <v>-1.0000000000000001E-5</v>
      </c>
      <c r="V53" s="186">
        <f t="shared" si="5"/>
        <v>-1.0000000000000001E-5</v>
      </c>
      <c r="W53" s="187"/>
      <c r="X53" s="187"/>
      <c r="Y53" s="187"/>
      <c r="Z53" s="187"/>
      <c r="AA53" s="187"/>
      <c r="AB53" s="187"/>
      <c r="AC53" s="187"/>
      <c r="AD53" s="187"/>
      <c r="AE53" s="187"/>
    </row>
    <row r="54" spans="1:31" x14ac:dyDescent="0.25">
      <c r="A54" s="187"/>
      <c r="B54" s="187" t="str">
        <f>IF($C54="","",MAX($B$4:$B53)+1)</f>
        <v/>
      </c>
      <c r="C54" s="145"/>
      <c r="D54" s="183" t="str">
        <f>IFERROR(VLOOKUP($C54,Rosters!$C$4:$M$239,INDEX(Lists!$N$5:$O$80,MATCH($C54,Lists!$N$5:$N$80,FALSE),2)),"")</f>
        <v/>
      </c>
      <c r="E54" s="185">
        <f>IF($C54="",-0.00001,COUNTIFS(Database!E:E,$C54,Database!A:A,$D$1))</f>
        <v>-1.0000000000000001E-5</v>
      </c>
      <c r="F54" s="185">
        <f>IFERROR(IF($C54="",-0.00001,SUMIFS(Database!H:H,Database!$E:$E,$C54,Database!$A:$A,$D$1)),-0.00001)</f>
        <v>-1.0000000000000001E-5</v>
      </c>
      <c r="G54" s="185">
        <f>IFERROR(IF($C54="",-0.00001,SUMIFS(Database!I:I,Database!$E:$E,$C54,Database!$A:$A,$D$1)),-0.00001)</f>
        <v>-1.0000000000000001E-5</v>
      </c>
      <c r="H54" s="185">
        <f>IFERROR(IF($C54="",-0.00001,SUMIFS(Database!J:J,Database!$E:$E,$C54,Database!$A:$A,$D$1)),-0.00001)</f>
        <v>-1.0000000000000001E-5</v>
      </c>
      <c r="I54" s="185">
        <f>IFERROR(IF($C54="",-0.00001,SUMIFS(Database!K:K,Database!$E:$E,$C54,Database!$A:$A,$D$1)),-0.00001)</f>
        <v>-1.0000000000000001E-5</v>
      </c>
      <c r="J54" s="185">
        <f>IFERROR(IF($C54="",-0.00001,SUMIFS(Database!L:L,Database!$E:$E,$C54,Database!$A:$A,$D$1)),-0.00001)</f>
        <v>-1.0000000000000001E-5</v>
      </c>
      <c r="K54" s="185">
        <f>IFERROR(IF($C54="",-0.00001,SUMIFS(Database!M:M,Database!$E:$E,$C54,Database!$A:$A,$D$1)),-0.00001)</f>
        <v>-1.0000000000000001E-5</v>
      </c>
      <c r="L54" s="185">
        <f>IFERROR(IF($C54="",-0.00001,SUMIFS(Database!N:N,Database!$E:$E,$C54,Database!$A:$A,$D$1)),-0.00001)</f>
        <v>-1.0000000000000001E-5</v>
      </c>
      <c r="M54" s="185">
        <f>IFERROR(IF($C54="",-0.00001,SUMIFS(Database!O:O,Database!$E:$E,$C54,Database!$A:$A,$D$1)),-0.00001)</f>
        <v>-1.0000000000000001E-5</v>
      </c>
      <c r="N54" s="185">
        <f>IFERROR(IF($C54="",-0.00001,SUMIFS(Database!P:P,Database!$E:$E,$C54,Database!$A:$A,$D$1)),-0.00001)</f>
        <v>-1.0000000000000001E-5</v>
      </c>
      <c r="O54" s="185">
        <f>IFERROR(IF($C54="",-0.00001,SUMIFS(Database!Q:Q,Database!$E:$E,$C54,Database!$A:$A,$D$1)),-0.00001)</f>
        <v>-1.0000000000000001E-5</v>
      </c>
      <c r="P54" s="186">
        <f t="shared" si="3"/>
        <v>-1.0000000000000001E-5</v>
      </c>
      <c r="Q54" s="185">
        <f>IFERROR(IF($C54="",-0.00001,SUMIFS(Database!S:S,Database!$E:$E,$C54,Database!$A:$A,$D$1)),-0.00001)</f>
        <v>-1.0000000000000001E-5</v>
      </c>
      <c r="R54" s="185">
        <f>IFERROR(IF($C54="",-0.00001,SUMIFS(Database!T:T,Database!$E:$E,$C54,Database!$A:$A,$D$1)),-0.00001)</f>
        <v>-1.0000000000000001E-5</v>
      </c>
      <c r="S54" s="186">
        <f t="shared" si="4"/>
        <v>-1.0000000000000001E-5</v>
      </c>
      <c r="T54" s="185">
        <f>IFERROR(IF($C54="",-0.00001,SUMIFS(Database!V:V,Database!$E:$E,$C54,Database!$A:$A,$D$1)),-0.00001)</f>
        <v>-1.0000000000000001E-5</v>
      </c>
      <c r="U54" s="185">
        <f>IFERROR(IF($C54="",-0.00001,SUMIFS(Database!W:W,Database!$E:$E,$C54,Database!$A:$A,$D$1)),-0.00001)</f>
        <v>-1.0000000000000001E-5</v>
      </c>
      <c r="V54" s="186">
        <f t="shared" si="5"/>
        <v>-1.0000000000000001E-5</v>
      </c>
      <c r="W54" s="187"/>
      <c r="X54" s="187"/>
      <c r="Y54" s="187"/>
      <c r="Z54" s="187"/>
      <c r="AA54" s="187"/>
      <c r="AB54" s="187"/>
      <c r="AC54" s="187"/>
      <c r="AD54" s="187"/>
      <c r="AE54" s="187"/>
    </row>
    <row r="55" spans="1:31" x14ac:dyDescent="0.25">
      <c r="A55" s="187"/>
      <c r="B55" s="187" t="str">
        <f>IF($C55="","",MAX($B$4:$B54)+1)</f>
        <v/>
      </c>
      <c r="C55" s="145"/>
      <c r="D55" s="183" t="str">
        <f>IFERROR(VLOOKUP($C55,Rosters!$C$4:$M$239,INDEX(Lists!$N$5:$O$80,MATCH($C55,Lists!$N$5:$N$80,FALSE),2)),"")</f>
        <v/>
      </c>
      <c r="E55" s="185">
        <f>IF($C55="",-0.00001,COUNTIFS(Database!E:E,$C55,Database!A:A,$D$1))</f>
        <v>-1.0000000000000001E-5</v>
      </c>
      <c r="F55" s="185">
        <f>IFERROR(IF($C55="",-0.00001,SUMIFS(Database!H:H,Database!$E:$E,$C55,Database!$A:$A,$D$1)),-0.00001)</f>
        <v>-1.0000000000000001E-5</v>
      </c>
      <c r="G55" s="185">
        <f>IFERROR(IF($C55="",-0.00001,SUMIFS(Database!I:I,Database!$E:$E,$C55,Database!$A:$A,$D$1)),-0.00001)</f>
        <v>-1.0000000000000001E-5</v>
      </c>
      <c r="H55" s="185">
        <f>IFERROR(IF($C55="",-0.00001,SUMIFS(Database!J:J,Database!$E:$E,$C55,Database!$A:$A,$D$1)),-0.00001)</f>
        <v>-1.0000000000000001E-5</v>
      </c>
      <c r="I55" s="185">
        <f>IFERROR(IF($C55="",-0.00001,SUMIFS(Database!K:K,Database!$E:$E,$C55,Database!$A:$A,$D$1)),-0.00001)</f>
        <v>-1.0000000000000001E-5</v>
      </c>
      <c r="J55" s="185">
        <f>IFERROR(IF($C55="",-0.00001,SUMIFS(Database!L:L,Database!$E:$E,$C55,Database!$A:$A,$D$1)),-0.00001)</f>
        <v>-1.0000000000000001E-5</v>
      </c>
      <c r="K55" s="185">
        <f>IFERROR(IF($C55="",-0.00001,SUMIFS(Database!M:M,Database!$E:$E,$C55,Database!$A:$A,$D$1)),-0.00001)</f>
        <v>-1.0000000000000001E-5</v>
      </c>
      <c r="L55" s="185">
        <f>IFERROR(IF($C55="",-0.00001,SUMIFS(Database!N:N,Database!$E:$E,$C55,Database!$A:$A,$D$1)),-0.00001)</f>
        <v>-1.0000000000000001E-5</v>
      </c>
      <c r="M55" s="185">
        <f>IFERROR(IF($C55="",-0.00001,SUMIFS(Database!O:O,Database!$E:$E,$C55,Database!$A:$A,$D$1)),-0.00001)</f>
        <v>-1.0000000000000001E-5</v>
      </c>
      <c r="N55" s="185">
        <f>IFERROR(IF($C55="",-0.00001,SUMIFS(Database!P:P,Database!$E:$E,$C55,Database!$A:$A,$D$1)),-0.00001)</f>
        <v>-1.0000000000000001E-5</v>
      </c>
      <c r="O55" s="185">
        <f>IFERROR(IF($C55="",-0.00001,SUMIFS(Database!Q:Q,Database!$E:$E,$C55,Database!$A:$A,$D$1)),-0.00001)</f>
        <v>-1.0000000000000001E-5</v>
      </c>
      <c r="P55" s="186">
        <f t="shared" si="3"/>
        <v>-1.0000000000000001E-5</v>
      </c>
      <c r="Q55" s="185">
        <f>IFERROR(IF($C55="",-0.00001,SUMIFS(Database!S:S,Database!$E:$E,$C55,Database!$A:$A,$D$1)),-0.00001)</f>
        <v>-1.0000000000000001E-5</v>
      </c>
      <c r="R55" s="185">
        <f>IFERROR(IF($C55="",-0.00001,SUMIFS(Database!T:T,Database!$E:$E,$C55,Database!$A:$A,$D$1)),-0.00001)</f>
        <v>-1.0000000000000001E-5</v>
      </c>
      <c r="S55" s="186">
        <f t="shared" si="4"/>
        <v>-1.0000000000000001E-5</v>
      </c>
      <c r="T55" s="185">
        <f>IFERROR(IF($C55="",-0.00001,SUMIFS(Database!V:V,Database!$E:$E,$C55,Database!$A:$A,$D$1)),-0.00001)</f>
        <v>-1.0000000000000001E-5</v>
      </c>
      <c r="U55" s="185">
        <f>IFERROR(IF($C55="",-0.00001,SUMIFS(Database!W:W,Database!$E:$E,$C55,Database!$A:$A,$D$1)),-0.00001)</f>
        <v>-1.0000000000000001E-5</v>
      </c>
      <c r="V55" s="186">
        <f t="shared" si="5"/>
        <v>-1.0000000000000001E-5</v>
      </c>
      <c r="W55" s="187"/>
      <c r="X55" s="187"/>
      <c r="Y55" s="187"/>
      <c r="Z55" s="187"/>
      <c r="AA55" s="187"/>
      <c r="AB55" s="187"/>
      <c r="AC55" s="187"/>
      <c r="AD55" s="187"/>
      <c r="AE55" s="187"/>
    </row>
    <row r="56" spans="1:31" x14ac:dyDescent="0.25">
      <c r="A56" s="187"/>
      <c r="B56" s="187" t="str">
        <f>IF($C56="","",MAX($B$4:$B55)+1)</f>
        <v/>
      </c>
      <c r="C56" s="145"/>
      <c r="D56" s="183" t="str">
        <f>IFERROR(VLOOKUP($C56,Rosters!$C$4:$M$239,INDEX(Lists!$N$5:$O$80,MATCH($C56,Lists!$N$5:$N$80,FALSE),2)),"")</f>
        <v/>
      </c>
      <c r="E56" s="185">
        <f>IF($C56="",-0.00001,COUNTIFS(Database!E:E,$C56,Database!A:A,$D$1))</f>
        <v>-1.0000000000000001E-5</v>
      </c>
      <c r="F56" s="185">
        <f>IFERROR(IF($C56="",-0.00001,SUMIFS(Database!H:H,Database!$E:$E,$C56,Database!$A:$A,$D$1)),-0.00001)</f>
        <v>-1.0000000000000001E-5</v>
      </c>
      <c r="G56" s="185">
        <f>IFERROR(IF($C56="",-0.00001,SUMIFS(Database!I:I,Database!$E:$E,$C56,Database!$A:$A,$D$1)),-0.00001)</f>
        <v>-1.0000000000000001E-5</v>
      </c>
      <c r="H56" s="185">
        <f>IFERROR(IF($C56="",-0.00001,SUMIFS(Database!J:J,Database!$E:$E,$C56,Database!$A:$A,$D$1)),-0.00001)</f>
        <v>-1.0000000000000001E-5</v>
      </c>
      <c r="I56" s="185">
        <f>IFERROR(IF($C56="",-0.00001,SUMIFS(Database!K:K,Database!$E:$E,$C56,Database!$A:$A,$D$1)),-0.00001)</f>
        <v>-1.0000000000000001E-5</v>
      </c>
      <c r="J56" s="185">
        <f>IFERROR(IF($C56="",-0.00001,SUMIFS(Database!L:L,Database!$E:$E,$C56,Database!$A:$A,$D$1)),-0.00001)</f>
        <v>-1.0000000000000001E-5</v>
      </c>
      <c r="K56" s="185">
        <f>IFERROR(IF($C56="",-0.00001,SUMIFS(Database!M:M,Database!$E:$E,$C56,Database!$A:$A,$D$1)),-0.00001)</f>
        <v>-1.0000000000000001E-5</v>
      </c>
      <c r="L56" s="185">
        <f>IFERROR(IF($C56="",-0.00001,SUMIFS(Database!N:N,Database!$E:$E,$C56,Database!$A:$A,$D$1)),-0.00001)</f>
        <v>-1.0000000000000001E-5</v>
      </c>
      <c r="M56" s="185">
        <f>IFERROR(IF($C56="",-0.00001,SUMIFS(Database!O:O,Database!$E:$E,$C56,Database!$A:$A,$D$1)),-0.00001)</f>
        <v>-1.0000000000000001E-5</v>
      </c>
      <c r="N56" s="185">
        <f>IFERROR(IF($C56="",-0.00001,SUMIFS(Database!P:P,Database!$E:$E,$C56,Database!$A:$A,$D$1)),-0.00001)</f>
        <v>-1.0000000000000001E-5</v>
      </c>
      <c r="O56" s="185">
        <f>IFERROR(IF($C56="",-0.00001,SUMIFS(Database!Q:Q,Database!$E:$E,$C56,Database!$A:$A,$D$1)),-0.00001)</f>
        <v>-1.0000000000000001E-5</v>
      </c>
      <c r="P56" s="186">
        <f t="shared" si="3"/>
        <v>-1.0000000000000001E-5</v>
      </c>
      <c r="Q56" s="185">
        <f>IFERROR(IF($C56="",-0.00001,SUMIFS(Database!S:S,Database!$E:$E,$C56,Database!$A:$A,$D$1)),-0.00001)</f>
        <v>-1.0000000000000001E-5</v>
      </c>
      <c r="R56" s="185">
        <f>IFERROR(IF($C56="",-0.00001,SUMIFS(Database!T:T,Database!$E:$E,$C56,Database!$A:$A,$D$1)),-0.00001)</f>
        <v>-1.0000000000000001E-5</v>
      </c>
      <c r="S56" s="186">
        <f t="shared" si="4"/>
        <v>-1.0000000000000001E-5</v>
      </c>
      <c r="T56" s="185">
        <f>IFERROR(IF($C56="",-0.00001,SUMIFS(Database!V:V,Database!$E:$E,$C56,Database!$A:$A,$D$1)),-0.00001)</f>
        <v>-1.0000000000000001E-5</v>
      </c>
      <c r="U56" s="185">
        <f>IFERROR(IF($C56="",-0.00001,SUMIFS(Database!W:W,Database!$E:$E,$C56,Database!$A:$A,$D$1)),-0.00001)</f>
        <v>-1.0000000000000001E-5</v>
      </c>
      <c r="V56" s="186">
        <f t="shared" si="5"/>
        <v>-1.0000000000000001E-5</v>
      </c>
      <c r="W56" s="187"/>
      <c r="X56" s="187"/>
      <c r="Y56" s="187"/>
      <c r="Z56" s="187"/>
      <c r="AA56" s="187"/>
      <c r="AB56" s="187"/>
      <c r="AC56" s="187"/>
      <c r="AD56" s="187"/>
      <c r="AE56" s="187"/>
    </row>
    <row r="57" spans="1:31" x14ac:dyDescent="0.25">
      <c r="A57" s="187"/>
      <c r="B57" s="187" t="str">
        <f>IF($C57="","",MAX($B$4:$B56)+1)</f>
        <v/>
      </c>
      <c r="C57" s="145"/>
      <c r="D57" s="183" t="str">
        <f>IFERROR(VLOOKUP($C57,Rosters!$C$4:$M$239,INDEX(Lists!$N$5:$O$80,MATCH($C57,Lists!$N$5:$N$80,FALSE),2)),"")</f>
        <v/>
      </c>
      <c r="E57" s="185">
        <f>IF($C57="",-0.00001,COUNTIFS(Database!E:E,$C57,Database!A:A,$D$1))</f>
        <v>-1.0000000000000001E-5</v>
      </c>
      <c r="F57" s="185">
        <f>IFERROR(IF($C57="",-0.00001,SUMIFS(Database!H:H,Database!$E:$E,$C57,Database!$A:$A,$D$1)),-0.00001)</f>
        <v>-1.0000000000000001E-5</v>
      </c>
      <c r="G57" s="185">
        <f>IFERROR(IF($C57="",-0.00001,SUMIFS(Database!I:I,Database!$E:$E,$C57,Database!$A:$A,$D$1)),-0.00001)</f>
        <v>-1.0000000000000001E-5</v>
      </c>
      <c r="H57" s="185">
        <f>IFERROR(IF($C57="",-0.00001,SUMIFS(Database!J:J,Database!$E:$E,$C57,Database!$A:$A,$D$1)),-0.00001)</f>
        <v>-1.0000000000000001E-5</v>
      </c>
      <c r="I57" s="185">
        <f>IFERROR(IF($C57="",-0.00001,SUMIFS(Database!K:K,Database!$E:$E,$C57,Database!$A:$A,$D$1)),-0.00001)</f>
        <v>-1.0000000000000001E-5</v>
      </c>
      <c r="J57" s="185">
        <f>IFERROR(IF($C57="",-0.00001,SUMIFS(Database!L:L,Database!$E:$E,$C57,Database!$A:$A,$D$1)),-0.00001)</f>
        <v>-1.0000000000000001E-5</v>
      </c>
      <c r="K57" s="185">
        <f>IFERROR(IF($C57="",-0.00001,SUMIFS(Database!M:M,Database!$E:$E,$C57,Database!$A:$A,$D$1)),-0.00001)</f>
        <v>-1.0000000000000001E-5</v>
      </c>
      <c r="L57" s="185">
        <f>IFERROR(IF($C57="",-0.00001,SUMIFS(Database!N:N,Database!$E:$E,$C57,Database!$A:$A,$D$1)),-0.00001)</f>
        <v>-1.0000000000000001E-5</v>
      </c>
      <c r="M57" s="185">
        <f>IFERROR(IF($C57="",-0.00001,SUMIFS(Database!O:O,Database!$E:$E,$C57,Database!$A:$A,$D$1)),-0.00001)</f>
        <v>-1.0000000000000001E-5</v>
      </c>
      <c r="N57" s="185">
        <f>IFERROR(IF($C57="",-0.00001,SUMIFS(Database!P:P,Database!$E:$E,$C57,Database!$A:$A,$D$1)),-0.00001)</f>
        <v>-1.0000000000000001E-5</v>
      </c>
      <c r="O57" s="185">
        <f>IFERROR(IF($C57="",-0.00001,SUMIFS(Database!Q:Q,Database!$E:$E,$C57,Database!$A:$A,$D$1)),-0.00001)</f>
        <v>-1.0000000000000001E-5</v>
      </c>
      <c r="P57" s="186">
        <f t="shared" si="3"/>
        <v>-1.0000000000000001E-5</v>
      </c>
      <c r="Q57" s="185">
        <f>IFERROR(IF($C57="",-0.00001,SUMIFS(Database!S:S,Database!$E:$E,$C57,Database!$A:$A,$D$1)),-0.00001)</f>
        <v>-1.0000000000000001E-5</v>
      </c>
      <c r="R57" s="185">
        <f>IFERROR(IF($C57="",-0.00001,SUMIFS(Database!T:T,Database!$E:$E,$C57,Database!$A:$A,$D$1)),-0.00001)</f>
        <v>-1.0000000000000001E-5</v>
      </c>
      <c r="S57" s="186">
        <f t="shared" si="4"/>
        <v>-1.0000000000000001E-5</v>
      </c>
      <c r="T57" s="185">
        <f>IFERROR(IF($C57="",-0.00001,SUMIFS(Database!V:V,Database!$E:$E,$C57,Database!$A:$A,$D$1)),-0.00001)</f>
        <v>-1.0000000000000001E-5</v>
      </c>
      <c r="U57" s="185">
        <f>IFERROR(IF($C57="",-0.00001,SUMIFS(Database!W:W,Database!$E:$E,$C57,Database!$A:$A,$D$1)),-0.00001)</f>
        <v>-1.0000000000000001E-5</v>
      </c>
      <c r="V57" s="186">
        <f t="shared" si="5"/>
        <v>-1.0000000000000001E-5</v>
      </c>
      <c r="W57" s="187"/>
      <c r="X57" s="187"/>
      <c r="Y57" s="187"/>
      <c r="Z57" s="187"/>
      <c r="AA57" s="187"/>
      <c r="AB57" s="187"/>
      <c r="AC57" s="187"/>
      <c r="AD57" s="187"/>
      <c r="AE57" s="187"/>
    </row>
    <row r="58" spans="1:31" x14ac:dyDescent="0.25">
      <c r="A58" s="187"/>
      <c r="B58" s="187" t="str">
        <f>IF($C58="","",MAX($B$4:$B57)+1)</f>
        <v/>
      </c>
      <c r="C58" s="145"/>
      <c r="D58" s="183" t="str">
        <f>IFERROR(VLOOKUP($C58,Rosters!$C$4:$M$239,INDEX(Lists!$N$5:$O$80,MATCH($C58,Lists!$N$5:$N$80,FALSE),2)),"")</f>
        <v/>
      </c>
      <c r="E58" s="185">
        <f>IF($C58="",-0.00001,COUNTIFS(Database!E:E,$C58,Database!A:A,$D$1))</f>
        <v>-1.0000000000000001E-5</v>
      </c>
      <c r="F58" s="185">
        <f>IFERROR(IF($C58="",-0.00001,SUMIFS(Database!H:H,Database!$E:$E,$C58,Database!$A:$A,$D$1)),-0.00001)</f>
        <v>-1.0000000000000001E-5</v>
      </c>
      <c r="G58" s="185">
        <f>IFERROR(IF($C58="",-0.00001,SUMIFS(Database!I:I,Database!$E:$E,$C58,Database!$A:$A,$D$1)),-0.00001)</f>
        <v>-1.0000000000000001E-5</v>
      </c>
      <c r="H58" s="185">
        <f>IFERROR(IF($C58="",-0.00001,SUMIFS(Database!J:J,Database!$E:$E,$C58,Database!$A:$A,$D$1)),-0.00001)</f>
        <v>-1.0000000000000001E-5</v>
      </c>
      <c r="I58" s="185">
        <f>IFERROR(IF($C58="",-0.00001,SUMIFS(Database!K:K,Database!$E:$E,$C58,Database!$A:$A,$D$1)),-0.00001)</f>
        <v>-1.0000000000000001E-5</v>
      </c>
      <c r="J58" s="185">
        <f>IFERROR(IF($C58="",-0.00001,SUMIFS(Database!L:L,Database!$E:$E,$C58,Database!$A:$A,$D$1)),-0.00001)</f>
        <v>-1.0000000000000001E-5</v>
      </c>
      <c r="K58" s="185">
        <f>IFERROR(IF($C58="",-0.00001,SUMIFS(Database!M:M,Database!$E:$E,$C58,Database!$A:$A,$D$1)),-0.00001)</f>
        <v>-1.0000000000000001E-5</v>
      </c>
      <c r="L58" s="185">
        <f>IFERROR(IF($C58="",-0.00001,SUMIFS(Database!N:N,Database!$E:$E,$C58,Database!$A:$A,$D$1)),-0.00001)</f>
        <v>-1.0000000000000001E-5</v>
      </c>
      <c r="M58" s="185">
        <f>IFERROR(IF($C58="",-0.00001,SUMIFS(Database!O:O,Database!$E:$E,$C58,Database!$A:$A,$D$1)),-0.00001)</f>
        <v>-1.0000000000000001E-5</v>
      </c>
      <c r="N58" s="185">
        <f>IFERROR(IF($C58="",-0.00001,SUMIFS(Database!P:P,Database!$E:$E,$C58,Database!$A:$A,$D$1)),-0.00001)</f>
        <v>-1.0000000000000001E-5</v>
      </c>
      <c r="O58" s="185">
        <f>IFERROR(IF($C58="",-0.00001,SUMIFS(Database!Q:Q,Database!$E:$E,$C58,Database!$A:$A,$D$1)),-0.00001)</f>
        <v>-1.0000000000000001E-5</v>
      </c>
      <c r="P58" s="186">
        <f t="shared" si="3"/>
        <v>-1.0000000000000001E-5</v>
      </c>
      <c r="Q58" s="185">
        <f>IFERROR(IF($C58="",-0.00001,SUMIFS(Database!S:S,Database!$E:$E,$C58,Database!$A:$A,$D$1)),-0.00001)</f>
        <v>-1.0000000000000001E-5</v>
      </c>
      <c r="R58" s="185">
        <f>IFERROR(IF($C58="",-0.00001,SUMIFS(Database!T:T,Database!$E:$E,$C58,Database!$A:$A,$D$1)),-0.00001)</f>
        <v>-1.0000000000000001E-5</v>
      </c>
      <c r="S58" s="186">
        <f t="shared" si="4"/>
        <v>-1.0000000000000001E-5</v>
      </c>
      <c r="T58" s="185">
        <f>IFERROR(IF($C58="",-0.00001,SUMIFS(Database!V:V,Database!$E:$E,$C58,Database!$A:$A,$D$1)),-0.00001)</f>
        <v>-1.0000000000000001E-5</v>
      </c>
      <c r="U58" s="185">
        <f>IFERROR(IF($C58="",-0.00001,SUMIFS(Database!W:W,Database!$E:$E,$C58,Database!$A:$A,$D$1)),-0.00001)</f>
        <v>-1.0000000000000001E-5</v>
      </c>
      <c r="V58" s="186">
        <f t="shared" si="5"/>
        <v>-1.0000000000000001E-5</v>
      </c>
      <c r="W58" s="187"/>
      <c r="X58" s="187"/>
      <c r="Y58" s="187"/>
      <c r="Z58" s="187"/>
      <c r="AA58" s="187"/>
      <c r="AB58" s="187"/>
      <c r="AC58" s="187"/>
      <c r="AD58" s="187"/>
      <c r="AE58" s="187"/>
    </row>
    <row r="59" spans="1:31" x14ac:dyDescent="0.25">
      <c r="A59" s="187"/>
      <c r="B59" s="187" t="str">
        <f>IF($C59="","",MAX($B$4:$B58)+1)</f>
        <v/>
      </c>
      <c r="C59" s="145"/>
      <c r="D59" s="183" t="str">
        <f>IFERROR(VLOOKUP($C59,Rosters!$C$4:$M$239,INDEX(Lists!$N$5:$O$80,MATCH($C59,Lists!$N$5:$N$80,FALSE),2)),"")</f>
        <v/>
      </c>
      <c r="E59" s="185">
        <f>IF($C59="",-0.00001,COUNTIFS(Database!E:E,$C59,Database!A:A,$D$1))</f>
        <v>-1.0000000000000001E-5</v>
      </c>
      <c r="F59" s="185">
        <f>IFERROR(IF($C59="",-0.00001,SUMIFS(Database!H:H,Database!$E:$E,$C59,Database!$A:$A,$D$1)),-0.00001)</f>
        <v>-1.0000000000000001E-5</v>
      </c>
      <c r="G59" s="185">
        <f>IFERROR(IF($C59="",-0.00001,SUMIFS(Database!I:I,Database!$E:$E,$C59,Database!$A:$A,$D$1)),-0.00001)</f>
        <v>-1.0000000000000001E-5</v>
      </c>
      <c r="H59" s="185">
        <f>IFERROR(IF($C59="",-0.00001,SUMIFS(Database!J:J,Database!$E:$E,$C59,Database!$A:$A,$D$1)),-0.00001)</f>
        <v>-1.0000000000000001E-5</v>
      </c>
      <c r="I59" s="185">
        <f>IFERROR(IF($C59="",-0.00001,SUMIFS(Database!K:K,Database!$E:$E,$C59,Database!$A:$A,$D$1)),-0.00001)</f>
        <v>-1.0000000000000001E-5</v>
      </c>
      <c r="J59" s="185">
        <f>IFERROR(IF($C59="",-0.00001,SUMIFS(Database!L:L,Database!$E:$E,$C59,Database!$A:$A,$D$1)),-0.00001)</f>
        <v>-1.0000000000000001E-5</v>
      </c>
      <c r="K59" s="185">
        <f>IFERROR(IF($C59="",-0.00001,SUMIFS(Database!M:M,Database!$E:$E,$C59,Database!$A:$A,$D$1)),-0.00001)</f>
        <v>-1.0000000000000001E-5</v>
      </c>
      <c r="L59" s="185">
        <f>IFERROR(IF($C59="",-0.00001,SUMIFS(Database!N:N,Database!$E:$E,$C59,Database!$A:$A,$D$1)),-0.00001)</f>
        <v>-1.0000000000000001E-5</v>
      </c>
      <c r="M59" s="185">
        <f>IFERROR(IF($C59="",-0.00001,SUMIFS(Database!O:O,Database!$E:$E,$C59,Database!$A:$A,$D$1)),-0.00001)</f>
        <v>-1.0000000000000001E-5</v>
      </c>
      <c r="N59" s="185">
        <f>IFERROR(IF($C59="",-0.00001,SUMIFS(Database!P:P,Database!$E:$E,$C59,Database!$A:$A,$D$1)),-0.00001)</f>
        <v>-1.0000000000000001E-5</v>
      </c>
      <c r="O59" s="185">
        <f>IFERROR(IF($C59="",-0.00001,SUMIFS(Database!Q:Q,Database!$E:$E,$C59,Database!$A:$A,$D$1)),-0.00001)</f>
        <v>-1.0000000000000001E-5</v>
      </c>
      <c r="P59" s="186">
        <f t="shared" si="3"/>
        <v>-1.0000000000000001E-5</v>
      </c>
      <c r="Q59" s="185">
        <f>IFERROR(IF($C59="",-0.00001,SUMIFS(Database!S:S,Database!$E:$E,$C59,Database!$A:$A,$D$1)),-0.00001)</f>
        <v>-1.0000000000000001E-5</v>
      </c>
      <c r="R59" s="185">
        <f>IFERROR(IF($C59="",-0.00001,SUMIFS(Database!T:T,Database!$E:$E,$C59,Database!$A:$A,$D$1)),-0.00001)</f>
        <v>-1.0000000000000001E-5</v>
      </c>
      <c r="S59" s="186">
        <f t="shared" si="4"/>
        <v>-1.0000000000000001E-5</v>
      </c>
      <c r="T59" s="185">
        <f>IFERROR(IF($C59="",-0.00001,SUMIFS(Database!V:V,Database!$E:$E,$C59,Database!$A:$A,$D$1)),-0.00001)</f>
        <v>-1.0000000000000001E-5</v>
      </c>
      <c r="U59" s="185">
        <f>IFERROR(IF($C59="",-0.00001,SUMIFS(Database!W:W,Database!$E:$E,$C59,Database!$A:$A,$D$1)),-0.00001)</f>
        <v>-1.0000000000000001E-5</v>
      </c>
      <c r="V59" s="186">
        <f t="shared" si="5"/>
        <v>-1.0000000000000001E-5</v>
      </c>
      <c r="W59" s="187"/>
      <c r="X59" s="187"/>
      <c r="Y59" s="187"/>
      <c r="Z59" s="187"/>
      <c r="AA59" s="187"/>
      <c r="AB59" s="187"/>
      <c r="AC59" s="187"/>
      <c r="AD59" s="187"/>
      <c r="AE59" s="187"/>
    </row>
    <row r="60" spans="1:31" x14ac:dyDescent="0.25">
      <c r="A60" s="187"/>
      <c r="B60" s="187" t="str">
        <f>IF($C60="","",MAX($B$4:$B59)+1)</f>
        <v/>
      </c>
      <c r="C60" s="145"/>
      <c r="D60" s="183" t="str">
        <f>IFERROR(VLOOKUP($C60,Rosters!$C$4:$M$239,INDEX(Lists!$N$5:$O$80,MATCH($C60,Lists!$N$5:$N$80,FALSE),2)),"")</f>
        <v/>
      </c>
      <c r="E60" s="185">
        <f>IF($C60="",-0.00001,COUNTIFS(Database!E:E,$C60,Database!A:A,$D$1))</f>
        <v>-1.0000000000000001E-5</v>
      </c>
      <c r="F60" s="185">
        <f>IFERROR(IF($C60="",-0.00001,SUMIFS(Database!H:H,Database!$E:$E,$C60,Database!$A:$A,$D$1)),-0.00001)</f>
        <v>-1.0000000000000001E-5</v>
      </c>
      <c r="G60" s="185">
        <f>IFERROR(IF($C60="",-0.00001,SUMIFS(Database!I:I,Database!$E:$E,$C60,Database!$A:$A,$D$1)),-0.00001)</f>
        <v>-1.0000000000000001E-5</v>
      </c>
      <c r="H60" s="185">
        <f>IFERROR(IF($C60="",-0.00001,SUMIFS(Database!J:J,Database!$E:$E,$C60,Database!$A:$A,$D$1)),-0.00001)</f>
        <v>-1.0000000000000001E-5</v>
      </c>
      <c r="I60" s="185">
        <f>IFERROR(IF($C60="",-0.00001,SUMIFS(Database!K:K,Database!$E:$E,$C60,Database!$A:$A,$D$1)),-0.00001)</f>
        <v>-1.0000000000000001E-5</v>
      </c>
      <c r="J60" s="185">
        <f>IFERROR(IF($C60="",-0.00001,SUMIFS(Database!L:L,Database!$E:$E,$C60,Database!$A:$A,$D$1)),-0.00001)</f>
        <v>-1.0000000000000001E-5</v>
      </c>
      <c r="K60" s="185">
        <f>IFERROR(IF($C60="",-0.00001,SUMIFS(Database!M:M,Database!$E:$E,$C60,Database!$A:$A,$D$1)),-0.00001)</f>
        <v>-1.0000000000000001E-5</v>
      </c>
      <c r="L60" s="185">
        <f>IFERROR(IF($C60="",-0.00001,SUMIFS(Database!N:N,Database!$E:$E,$C60,Database!$A:$A,$D$1)),-0.00001)</f>
        <v>-1.0000000000000001E-5</v>
      </c>
      <c r="M60" s="185">
        <f>IFERROR(IF($C60="",-0.00001,SUMIFS(Database!O:O,Database!$E:$E,$C60,Database!$A:$A,$D$1)),-0.00001)</f>
        <v>-1.0000000000000001E-5</v>
      </c>
      <c r="N60" s="185">
        <f>IFERROR(IF($C60="",-0.00001,SUMIFS(Database!P:P,Database!$E:$E,$C60,Database!$A:$A,$D$1)),-0.00001)</f>
        <v>-1.0000000000000001E-5</v>
      </c>
      <c r="O60" s="185">
        <f>IFERROR(IF($C60="",-0.00001,SUMIFS(Database!Q:Q,Database!$E:$E,$C60,Database!$A:$A,$D$1)),-0.00001)</f>
        <v>-1.0000000000000001E-5</v>
      </c>
      <c r="P60" s="186">
        <f t="shared" si="3"/>
        <v>-1.0000000000000001E-5</v>
      </c>
      <c r="Q60" s="185">
        <f>IFERROR(IF($C60="",-0.00001,SUMIFS(Database!S:S,Database!$E:$E,$C60,Database!$A:$A,$D$1)),-0.00001)</f>
        <v>-1.0000000000000001E-5</v>
      </c>
      <c r="R60" s="185">
        <f>IFERROR(IF($C60="",-0.00001,SUMIFS(Database!T:T,Database!$E:$E,$C60,Database!$A:$A,$D$1)),-0.00001)</f>
        <v>-1.0000000000000001E-5</v>
      </c>
      <c r="S60" s="186">
        <f t="shared" si="4"/>
        <v>-1.0000000000000001E-5</v>
      </c>
      <c r="T60" s="185">
        <f>IFERROR(IF($C60="",-0.00001,SUMIFS(Database!V:V,Database!$E:$E,$C60,Database!$A:$A,$D$1)),-0.00001)</f>
        <v>-1.0000000000000001E-5</v>
      </c>
      <c r="U60" s="185">
        <f>IFERROR(IF($C60="",-0.00001,SUMIFS(Database!W:W,Database!$E:$E,$C60,Database!$A:$A,$D$1)),-0.00001)</f>
        <v>-1.0000000000000001E-5</v>
      </c>
      <c r="V60" s="186">
        <f t="shared" si="5"/>
        <v>-1.0000000000000001E-5</v>
      </c>
      <c r="W60" s="187"/>
      <c r="X60" s="187"/>
      <c r="Y60" s="187"/>
      <c r="Z60" s="187"/>
      <c r="AA60" s="187"/>
      <c r="AB60" s="187"/>
      <c r="AC60" s="187"/>
      <c r="AD60" s="187"/>
      <c r="AE60" s="187"/>
    </row>
    <row r="61" spans="1:31" x14ac:dyDescent="0.25">
      <c r="A61" s="187"/>
      <c r="B61" s="187" t="str">
        <f>IF($C61="","",MAX($B$4:$B60)+1)</f>
        <v/>
      </c>
      <c r="C61" s="145"/>
      <c r="D61" s="183" t="str">
        <f>IFERROR(VLOOKUP($C61,Rosters!$C$4:$M$239,INDEX(Lists!$N$5:$O$80,MATCH($C61,Lists!$N$5:$N$80,FALSE),2)),"")</f>
        <v/>
      </c>
      <c r="E61" s="185">
        <f>IF($C61="",-0.00001,COUNTIFS(Database!E:E,$C61,Database!A:A,$D$1))</f>
        <v>-1.0000000000000001E-5</v>
      </c>
      <c r="F61" s="185">
        <f>IFERROR(IF($C61="",-0.00001,SUMIFS(Database!H:H,Database!$E:$E,$C61,Database!$A:$A,$D$1)),-0.00001)</f>
        <v>-1.0000000000000001E-5</v>
      </c>
      <c r="G61" s="185">
        <f>IFERROR(IF($C61="",-0.00001,SUMIFS(Database!I:I,Database!$E:$E,$C61,Database!$A:$A,$D$1)),-0.00001)</f>
        <v>-1.0000000000000001E-5</v>
      </c>
      <c r="H61" s="185">
        <f>IFERROR(IF($C61="",-0.00001,SUMIFS(Database!J:J,Database!$E:$E,$C61,Database!$A:$A,$D$1)),-0.00001)</f>
        <v>-1.0000000000000001E-5</v>
      </c>
      <c r="I61" s="185">
        <f>IFERROR(IF($C61="",-0.00001,SUMIFS(Database!K:K,Database!$E:$E,$C61,Database!$A:$A,$D$1)),-0.00001)</f>
        <v>-1.0000000000000001E-5</v>
      </c>
      <c r="J61" s="185">
        <f>IFERROR(IF($C61="",-0.00001,SUMIFS(Database!L:L,Database!$E:$E,$C61,Database!$A:$A,$D$1)),-0.00001)</f>
        <v>-1.0000000000000001E-5</v>
      </c>
      <c r="K61" s="185">
        <f>IFERROR(IF($C61="",-0.00001,SUMIFS(Database!M:M,Database!$E:$E,$C61,Database!$A:$A,$D$1)),-0.00001)</f>
        <v>-1.0000000000000001E-5</v>
      </c>
      <c r="L61" s="185">
        <f>IFERROR(IF($C61="",-0.00001,SUMIFS(Database!N:N,Database!$E:$E,$C61,Database!$A:$A,$D$1)),-0.00001)</f>
        <v>-1.0000000000000001E-5</v>
      </c>
      <c r="M61" s="185">
        <f>IFERROR(IF($C61="",-0.00001,SUMIFS(Database!O:O,Database!$E:$E,$C61,Database!$A:$A,$D$1)),-0.00001)</f>
        <v>-1.0000000000000001E-5</v>
      </c>
      <c r="N61" s="185">
        <f>IFERROR(IF($C61="",-0.00001,SUMIFS(Database!P:P,Database!$E:$E,$C61,Database!$A:$A,$D$1)),-0.00001)</f>
        <v>-1.0000000000000001E-5</v>
      </c>
      <c r="O61" s="185">
        <f>IFERROR(IF($C61="",-0.00001,SUMIFS(Database!Q:Q,Database!$E:$E,$C61,Database!$A:$A,$D$1)),-0.00001)</f>
        <v>-1.0000000000000001E-5</v>
      </c>
      <c r="P61" s="186">
        <f t="shared" si="3"/>
        <v>-1.0000000000000001E-5</v>
      </c>
      <c r="Q61" s="185">
        <f>IFERROR(IF($C61="",-0.00001,SUMIFS(Database!S:S,Database!$E:$E,$C61,Database!$A:$A,$D$1)),-0.00001)</f>
        <v>-1.0000000000000001E-5</v>
      </c>
      <c r="R61" s="185">
        <f>IFERROR(IF($C61="",-0.00001,SUMIFS(Database!T:T,Database!$E:$E,$C61,Database!$A:$A,$D$1)),-0.00001)</f>
        <v>-1.0000000000000001E-5</v>
      </c>
      <c r="S61" s="186">
        <f t="shared" si="4"/>
        <v>-1.0000000000000001E-5</v>
      </c>
      <c r="T61" s="185">
        <f>IFERROR(IF($C61="",-0.00001,SUMIFS(Database!V:V,Database!$E:$E,$C61,Database!$A:$A,$D$1)),-0.00001)</f>
        <v>-1.0000000000000001E-5</v>
      </c>
      <c r="U61" s="185">
        <f>IFERROR(IF($C61="",-0.00001,SUMIFS(Database!W:W,Database!$E:$E,$C61,Database!$A:$A,$D$1)),-0.00001)</f>
        <v>-1.0000000000000001E-5</v>
      </c>
      <c r="V61" s="186">
        <f t="shared" si="5"/>
        <v>-1.0000000000000001E-5</v>
      </c>
      <c r="W61" s="187"/>
      <c r="X61" s="187"/>
      <c r="Y61" s="187"/>
      <c r="Z61" s="187"/>
      <c r="AA61" s="187"/>
      <c r="AB61" s="187"/>
      <c r="AC61" s="187"/>
      <c r="AD61" s="187"/>
      <c r="AE61" s="187"/>
    </row>
    <row r="62" spans="1:31" x14ac:dyDescent="0.25">
      <c r="A62" s="187"/>
      <c r="B62" s="187" t="str">
        <f>IF($C62="","",MAX($B$4:$B61)+1)</f>
        <v/>
      </c>
      <c r="C62" s="145"/>
      <c r="D62" s="183" t="str">
        <f>IFERROR(VLOOKUP($C62,Rosters!$C$4:$M$239,INDEX(Lists!$N$5:$O$80,MATCH($C62,Lists!$N$5:$N$80,FALSE),2)),"")</f>
        <v/>
      </c>
      <c r="E62" s="185">
        <f>IF($C62="",-0.00001,COUNTIFS(Database!E:E,$C62,Database!A:A,$D$1))</f>
        <v>-1.0000000000000001E-5</v>
      </c>
      <c r="F62" s="185">
        <f>IFERROR(IF($C62="",-0.00001,SUMIFS(Database!H:H,Database!$E:$E,$C62,Database!$A:$A,$D$1)),-0.00001)</f>
        <v>-1.0000000000000001E-5</v>
      </c>
      <c r="G62" s="185">
        <f>IFERROR(IF($C62="",-0.00001,SUMIFS(Database!I:I,Database!$E:$E,$C62,Database!$A:$A,$D$1)),-0.00001)</f>
        <v>-1.0000000000000001E-5</v>
      </c>
      <c r="H62" s="185">
        <f>IFERROR(IF($C62="",-0.00001,SUMIFS(Database!J:J,Database!$E:$E,$C62,Database!$A:$A,$D$1)),-0.00001)</f>
        <v>-1.0000000000000001E-5</v>
      </c>
      <c r="I62" s="185">
        <f>IFERROR(IF($C62="",-0.00001,SUMIFS(Database!K:K,Database!$E:$E,$C62,Database!$A:$A,$D$1)),-0.00001)</f>
        <v>-1.0000000000000001E-5</v>
      </c>
      <c r="J62" s="185">
        <f>IFERROR(IF($C62="",-0.00001,SUMIFS(Database!L:L,Database!$E:$E,$C62,Database!$A:$A,$D$1)),-0.00001)</f>
        <v>-1.0000000000000001E-5</v>
      </c>
      <c r="K62" s="185">
        <f>IFERROR(IF($C62="",-0.00001,SUMIFS(Database!M:M,Database!$E:$E,$C62,Database!$A:$A,$D$1)),-0.00001)</f>
        <v>-1.0000000000000001E-5</v>
      </c>
      <c r="L62" s="185">
        <f>IFERROR(IF($C62="",-0.00001,SUMIFS(Database!N:N,Database!$E:$E,$C62,Database!$A:$A,$D$1)),-0.00001)</f>
        <v>-1.0000000000000001E-5</v>
      </c>
      <c r="M62" s="185">
        <f>IFERROR(IF($C62="",-0.00001,SUMIFS(Database!O:O,Database!$E:$E,$C62,Database!$A:$A,$D$1)),-0.00001)</f>
        <v>-1.0000000000000001E-5</v>
      </c>
      <c r="N62" s="185">
        <f>IFERROR(IF($C62="",-0.00001,SUMIFS(Database!P:P,Database!$E:$E,$C62,Database!$A:$A,$D$1)),-0.00001)</f>
        <v>-1.0000000000000001E-5</v>
      </c>
      <c r="O62" s="185">
        <f>IFERROR(IF($C62="",-0.00001,SUMIFS(Database!Q:Q,Database!$E:$E,$C62,Database!$A:$A,$D$1)),-0.00001)</f>
        <v>-1.0000000000000001E-5</v>
      </c>
      <c r="P62" s="186">
        <f t="shared" si="3"/>
        <v>-1.0000000000000001E-5</v>
      </c>
      <c r="Q62" s="185">
        <f>IFERROR(IF($C62="",-0.00001,SUMIFS(Database!S:S,Database!$E:$E,$C62,Database!$A:$A,$D$1)),-0.00001)</f>
        <v>-1.0000000000000001E-5</v>
      </c>
      <c r="R62" s="185">
        <f>IFERROR(IF($C62="",-0.00001,SUMIFS(Database!T:T,Database!$E:$E,$C62,Database!$A:$A,$D$1)),-0.00001)</f>
        <v>-1.0000000000000001E-5</v>
      </c>
      <c r="S62" s="186">
        <f t="shared" si="4"/>
        <v>-1.0000000000000001E-5</v>
      </c>
      <c r="T62" s="185">
        <f>IFERROR(IF($C62="",-0.00001,SUMIFS(Database!V:V,Database!$E:$E,$C62,Database!$A:$A,$D$1)),-0.00001)</f>
        <v>-1.0000000000000001E-5</v>
      </c>
      <c r="U62" s="185">
        <f>IFERROR(IF($C62="",-0.00001,SUMIFS(Database!W:W,Database!$E:$E,$C62,Database!$A:$A,$D$1)),-0.00001)</f>
        <v>-1.0000000000000001E-5</v>
      </c>
      <c r="V62" s="186">
        <f t="shared" si="5"/>
        <v>-1.0000000000000001E-5</v>
      </c>
      <c r="W62" s="187"/>
      <c r="X62" s="187"/>
      <c r="Y62" s="187"/>
      <c r="Z62" s="187"/>
      <c r="AA62" s="187"/>
      <c r="AB62" s="187"/>
      <c r="AC62" s="187"/>
      <c r="AD62" s="187"/>
      <c r="AE62" s="187"/>
    </row>
    <row r="63" spans="1:31" x14ac:dyDescent="0.25">
      <c r="A63" s="187"/>
      <c r="B63" s="187" t="str">
        <f>IF($C63="","",MAX($B$4:$B62)+1)</f>
        <v/>
      </c>
      <c r="C63" s="145"/>
      <c r="D63" s="183" t="str">
        <f>IFERROR(VLOOKUP($C63,Rosters!$C$4:$M$239,INDEX(Lists!$N$5:$O$80,MATCH($C63,Lists!$N$5:$N$80,FALSE),2)),"")</f>
        <v/>
      </c>
      <c r="E63" s="185">
        <f>IF($C63="",-0.00001,COUNTIFS(Database!E:E,$C63,Database!A:A,$D$1))</f>
        <v>-1.0000000000000001E-5</v>
      </c>
      <c r="F63" s="185">
        <f>IFERROR(IF($C63="",-0.00001,SUMIFS(Database!H:H,Database!$E:$E,$C63,Database!$A:$A,$D$1)),-0.00001)</f>
        <v>-1.0000000000000001E-5</v>
      </c>
      <c r="G63" s="185">
        <f>IFERROR(IF($C63="",-0.00001,SUMIFS(Database!I:I,Database!$E:$E,$C63,Database!$A:$A,$D$1)),-0.00001)</f>
        <v>-1.0000000000000001E-5</v>
      </c>
      <c r="H63" s="185">
        <f>IFERROR(IF($C63="",-0.00001,SUMIFS(Database!J:J,Database!$E:$E,$C63,Database!$A:$A,$D$1)),-0.00001)</f>
        <v>-1.0000000000000001E-5</v>
      </c>
      <c r="I63" s="185">
        <f>IFERROR(IF($C63="",-0.00001,SUMIFS(Database!K:K,Database!$E:$E,$C63,Database!$A:$A,$D$1)),-0.00001)</f>
        <v>-1.0000000000000001E-5</v>
      </c>
      <c r="J63" s="185">
        <f>IFERROR(IF($C63="",-0.00001,SUMIFS(Database!L:L,Database!$E:$E,$C63,Database!$A:$A,$D$1)),-0.00001)</f>
        <v>-1.0000000000000001E-5</v>
      </c>
      <c r="K63" s="185">
        <f>IFERROR(IF($C63="",-0.00001,SUMIFS(Database!M:M,Database!$E:$E,$C63,Database!$A:$A,$D$1)),-0.00001)</f>
        <v>-1.0000000000000001E-5</v>
      </c>
      <c r="L63" s="185">
        <f>IFERROR(IF($C63="",-0.00001,SUMIFS(Database!N:N,Database!$E:$E,$C63,Database!$A:$A,$D$1)),-0.00001)</f>
        <v>-1.0000000000000001E-5</v>
      </c>
      <c r="M63" s="185">
        <f>IFERROR(IF($C63="",-0.00001,SUMIFS(Database!O:O,Database!$E:$E,$C63,Database!$A:$A,$D$1)),-0.00001)</f>
        <v>-1.0000000000000001E-5</v>
      </c>
      <c r="N63" s="185">
        <f>IFERROR(IF($C63="",-0.00001,SUMIFS(Database!P:P,Database!$E:$E,$C63,Database!$A:$A,$D$1)),-0.00001)</f>
        <v>-1.0000000000000001E-5</v>
      </c>
      <c r="O63" s="185">
        <f>IFERROR(IF($C63="",-0.00001,SUMIFS(Database!Q:Q,Database!$E:$E,$C63,Database!$A:$A,$D$1)),-0.00001)</f>
        <v>-1.0000000000000001E-5</v>
      </c>
      <c r="P63" s="186">
        <f t="shared" si="3"/>
        <v>-1.0000000000000001E-5</v>
      </c>
      <c r="Q63" s="185">
        <f>IFERROR(IF($C63="",-0.00001,SUMIFS(Database!S:S,Database!$E:$E,$C63,Database!$A:$A,$D$1)),-0.00001)</f>
        <v>-1.0000000000000001E-5</v>
      </c>
      <c r="R63" s="185">
        <f>IFERROR(IF($C63="",-0.00001,SUMIFS(Database!T:T,Database!$E:$E,$C63,Database!$A:$A,$D$1)),-0.00001)</f>
        <v>-1.0000000000000001E-5</v>
      </c>
      <c r="S63" s="186">
        <f t="shared" si="4"/>
        <v>-1.0000000000000001E-5</v>
      </c>
      <c r="T63" s="185">
        <f>IFERROR(IF($C63="",-0.00001,SUMIFS(Database!V:V,Database!$E:$E,$C63,Database!$A:$A,$D$1)),-0.00001)</f>
        <v>-1.0000000000000001E-5</v>
      </c>
      <c r="U63" s="185">
        <f>IFERROR(IF($C63="",-0.00001,SUMIFS(Database!W:W,Database!$E:$E,$C63,Database!$A:$A,$D$1)),-0.00001)</f>
        <v>-1.0000000000000001E-5</v>
      </c>
      <c r="V63" s="186">
        <f t="shared" si="5"/>
        <v>-1.0000000000000001E-5</v>
      </c>
      <c r="W63" s="187"/>
      <c r="X63" s="187"/>
      <c r="Y63" s="187"/>
      <c r="Z63" s="187"/>
      <c r="AA63" s="187"/>
      <c r="AB63" s="187"/>
      <c r="AC63" s="187"/>
      <c r="AD63" s="187"/>
      <c r="AE63" s="187"/>
    </row>
    <row r="64" spans="1:31" x14ac:dyDescent="0.25">
      <c r="A64" s="187"/>
      <c r="B64" s="187" t="str">
        <f>IF($C64="","",MAX($B$4:$B63)+1)</f>
        <v/>
      </c>
      <c r="C64" s="145"/>
      <c r="D64" s="183" t="str">
        <f>IFERROR(VLOOKUP($C64,Rosters!$C$4:$M$239,INDEX(Lists!$N$5:$O$80,MATCH($C64,Lists!$N$5:$N$80,FALSE),2)),"")</f>
        <v/>
      </c>
      <c r="E64" s="185">
        <f>IF($C64="",-0.00001,COUNTIFS(Database!E:E,$C64,Database!A:A,$D$1))</f>
        <v>-1.0000000000000001E-5</v>
      </c>
      <c r="F64" s="185">
        <f>IFERROR(IF($C64="",-0.00001,SUMIFS(Database!H:H,Database!$E:$E,$C64,Database!$A:$A,$D$1)),-0.00001)</f>
        <v>-1.0000000000000001E-5</v>
      </c>
      <c r="G64" s="185">
        <f>IFERROR(IF($C64="",-0.00001,SUMIFS(Database!I:I,Database!$E:$E,$C64,Database!$A:$A,$D$1)),-0.00001)</f>
        <v>-1.0000000000000001E-5</v>
      </c>
      <c r="H64" s="185">
        <f>IFERROR(IF($C64="",-0.00001,SUMIFS(Database!J:J,Database!$E:$E,$C64,Database!$A:$A,$D$1)),-0.00001)</f>
        <v>-1.0000000000000001E-5</v>
      </c>
      <c r="I64" s="185">
        <f>IFERROR(IF($C64="",-0.00001,SUMIFS(Database!K:K,Database!$E:$E,$C64,Database!$A:$A,$D$1)),-0.00001)</f>
        <v>-1.0000000000000001E-5</v>
      </c>
      <c r="J64" s="185">
        <f>IFERROR(IF($C64="",-0.00001,SUMIFS(Database!L:L,Database!$E:$E,$C64,Database!$A:$A,$D$1)),-0.00001)</f>
        <v>-1.0000000000000001E-5</v>
      </c>
      <c r="K64" s="185">
        <f>IFERROR(IF($C64="",-0.00001,SUMIFS(Database!M:M,Database!$E:$E,$C64,Database!$A:$A,$D$1)),-0.00001)</f>
        <v>-1.0000000000000001E-5</v>
      </c>
      <c r="L64" s="185">
        <f>IFERROR(IF($C64="",-0.00001,SUMIFS(Database!N:N,Database!$E:$E,$C64,Database!$A:$A,$D$1)),-0.00001)</f>
        <v>-1.0000000000000001E-5</v>
      </c>
      <c r="M64" s="185">
        <f>IFERROR(IF($C64="",-0.00001,SUMIFS(Database!O:O,Database!$E:$E,$C64,Database!$A:$A,$D$1)),-0.00001)</f>
        <v>-1.0000000000000001E-5</v>
      </c>
      <c r="N64" s="185">
        <f>IFERROR(IF($C64="",-0.00001,SUMIFS(Database!P:P,Database!$E:$E,$C64,Database!$A:$A,$D$1)),-0.00001)</f>
        <v>-1.0000000000000001E-5</v>
      </c>
      <c r="O64" s="185">
        <f>IFERROR(IF($C64="",-0.00001,SUMIFS(Database!Q:Q,Database!$E:$E,$C64,Database!$A:$A,$D$1)),-0.00001)</f>
        <v>-1.0000000000000001E-5</v>
      </c>
      <c r="P64" s="186">
        <f t="shared" si="3"/>
        <v>-1.0000000000000001E-5</v>
      </c>
      <c r="Q64" s="185">
        <f>IFERROR(IF($C64="",-0.00001,SUMIFS(Database!S:S,Database!$E:$E,$C64,Database!$A:$A,$D$1)),-0.00001)</f>
        <v>-1.0000000000000001E-5</v>
      </c>
      <c r="R64" s="185">
        <f>IFERROR(IF($C64="",-0.00001,SUMIFS(Database!T:T,Database!$E:$E,$C64,Database!$A:$A,$D$1)),-0.00001)</f>
        <v>-1.0000000000000001E-5</v>
      </c>
      <c r="S64" s="186">
        <f t="shared" si="4"/>
        <v>-1.0000000000000001E-5</v>
      </c>
      <c r="T64" s="185">
        <f>IFERROR(IF($C64="",-0.00001,SUMIFS(Database!V:V,Database!$E:$E,$C64,Database!$A:$A,$D$1)),-0.00001)</f>
        <v>-1.0000000000000001E-5</v>
      </c>
      <c r="U64" s="185">
        <f>IFERROR(IF($C64="",-0.00001,SUMIFS(Database!W:W,Database!$E:$E,$C64,Database!$A:$A,$D$1)),-0.00001)</f>
        <v>-1.0000000000000001E-5</v>
      </c>
      <c r="V64" s="186">
        <f t="shared" si="5"/>
        <v>-1.0000000000000001E-5</v>
      </c>
      <c r="W64" s="187"/>
      <c r="X64" s="187"/>
      <c r="Y64" s="187"/>
      <c r="Z64" s="187"/>
      <c r="AA64" s="187"/>
      <c r="AB64" s="187"/>
      <c r="AC64" s="187"/>
      <c r="AD64" s="187"/>
      <c r="AE64" s="187"/>
    </row>
    <row r="65" spans="1:31" x14ac:dyDescent="0.25">
      <c r="A65" s="187"/>
      <c r="B65" s="187" t="str">
        <f>IF($C65="","",MAX($B$4:$B64)+1)</f>
        <v/>
      </c>
      <c r="C65" s="145"/>
      <c r="D65" s="183" t="str">
        <f>IFERROR(VLOOKUP($C65,Rosters!$C$4:$M$239,INDEX(Lists!$N$5:$O$80,MATCH($C65,Lists!$N$5:$N$80,FALSE),2)),"")</f>
        <v/>
      </c>
      <c r="E65" s="185">
        <f>IF($C65="",-0.00001,COUNTIFS(Database!E:E,$C65,Database!A:A,$D$1))</f>
        <v>-1.0000000000000001E-5</v>
      </c>
      <c r="F65" s="185">
        <f>IFERROR(IF($C65="",-0.00001,SUMIFS(Database!H:H,Database!$E:$E,$C65,Database!$A:$A,$D$1)),-0.00001)</f>
        <v>-1.0000000000000001E-5</v>
      </c>
      <c r="G65" s="185">
        <f>IFERROR(IF($C65="",-0.00001,SUMIFS(Database!I:I,Database!$E:$E,$C65,Database!$A:$A,$D$1)),-0.00001)</f>
        <v>-1.0000000000000001E-5</v>
      </c>
      <c r="H65" s="185">
        <f>IFERROR(IF($C65="",-0.00001,SUMIFS(Database!J:J,Database!$E:$E,$C65,Database!$A:$A,$D$1)),-0.00001)</f>
        <v>-1.0000000000000001E-5</v>
      </c>
      <c r="I65" s="185">
        <f>IFERROR(IF($C65="",-0.00001,SUMIFS(Database!K:K,Database!$E:$E,$C65,Database!$A:$A,$D$1)),-0.00001)</f>
        <v>-1.0000000000000001E-5</v>
      </c>
      <c r="J65" s="185">
        <f>IFERROR(IF($C65="",-0.00001,SUMIFS(Database!L:L,Database!$E:$E,$C65,Database!$A:$A,$D$1)),-0.00001)</f>
        <v>-1.0000000000000001E-5</v>
      </c>
      <c r="K65" s="185">
        <f>IFERROR(IF($C65="",-0.00001,SUMIFS(Database!M:M,Database!$E:$E,$C65,Database!$A:$A,$D$1)),-0.00001)</f>
        <v>-1.0000000000000001E-5</v>
      </c>
      <c r="L65" s="185">
        <f>IFERROR(IF($C65="",-0.00001,SUMIFS(Database!N:N,Database!$E:$E,$C65,Database!$A:$A,$D$1)),-0.00001)</f>
        <v>-1.0000000000000001E-5</v>
      </c>
      <c r="M65" s="185">
        <f>IFERROR(IF($C65="",-0.00001,SUMIFS(Database!O:O,Database!$E:$E,$C65,Database!$A:$A,$D$1)),-0.00001)</f>
        <v>-1.0000000000000001E-5</v>
      </c>
      <c r="N65" s="185">
        <f>IFERROR(IF($C65="",-0.00001,SUMIFS(Database!P:P,Database!$E:$E,$C65,Database!$A:$A,$D$1)),-0.00001)</f>
        <v>-1.0000000000000001E-5</v>
      </c>
      <c r="O65" s="185">
        <f>IFERROR(IF($C65="",-0.00001,SUMIFS(Database!Q:Q,Database!$E:$E,$C65,Database!$A:$A,$D$1)),-0.00001)</f>
        <v>-1.0000000000000001E-5</v>
      </c>
      <c r="P65" s="186">
        <f t="shared" si="3"/>
        <v>-1.0000000000000001E-5</v>
      </c>
      <c r="Q65" s="185">
        <f>IFERROR(IF($C65="",-0.00001,SUMIFS(Database!S:S,Database!$E:$E,$C65,Database!$A:$A,$D$1)),-0.00001)</f>
        <v>-1.0000000000000001E-5</v>
      </c>
      <c r="R65" s="185">
        <f>IFERROR(IF($C65="",-0.00001,SUMIFS(Database!T:T,Database!$E:$E,$C65,Database!$A:$A,$D$1)),-0.00001)</f>
        <v>-1.0000000000000001E-5</v>
      </c>
      <c r="S65" s="186">
        <f t="shared" si="4"/>
        <v>-1.0000000000000001E-5</v>
      </c>
      <c r="T65" s="185">
        <f>IFERROR(IF($C65="",-0.00001,SUMIFS(Database!V:V,Database!$E:$E,$C65,Database!$A:$A,$D$1)),-0.00001)</f>
        <v>-1.0000000000000001E-5</v>
      </c>
      <c r="U65" s="185">
        <f>IFERROR(IF($C65="",-0.00001,SUMIFS(Database!W:W,Database!$E:$E,$C65,Database!$A:$A,$D$1)),-0.00001)</f>
        <v>-1.0000000000000001E-5</v>
      </c>
      <c r="V65" s="186">
        <f t="shared" si="5"/>
        <v>-1.0000000000000001E-5</v>
      </c>
      <c r="W65" s="187"/>
      <c r="X65" s="187"/>
      <c r="Y65" s="187"/>
      <c r="Z65" s="187"/>
      <c r="AA65" s="187"/>
      <c r="AB65" s="187"/>
      <c r="AC65" s="187"/>
      <c r="AD65" s="187"/>
      <c r="AE65" s="187"/>
    </row>
    <row r="66" spans="1:31" x14ac:dyDescent="0.25">
      <c r="A66" s="187"/>
      <c r="B66" s="187" t="str">
        <f>IF($C66="","",MAX($B$4:$B65)+1)</f>
        <v/>
      </c>
      <c r="C66" s="145"/>
      <c r="D66" s="183" t="str">
        <f>IFERROR(VLOOKUP($C66,Rosters!$C$4:$M$239,INDEX(Lists!$N$5:$O$80,MATCH($C66,Lists!$N$5:$N$80,FALSE),2)),"")</f>
        <v/>
      </c>
      <c r="E66" s="185">
        <f>IF($C66="",-0.00001,COUNTIFS(Database!E:E,$C66,Database!A:A,$D$1))</f>
        <v>-1.0000000000000001E-5</v>
      </c>
      <c r="F66" s="185">
        <f>IFERROR(IF($C66="",-0.00001,SUMIFS(Database!H:H,Database!$E:$E,$C66,Database!$A:$A,$D$1)),-0.00001)</f>
        <v>-1.0000000000000001E-5</v>
      </c>
      <c r="G66" s="185">
        <f>IFERROR(IF($C66="",-0.00001,SUMIFS(Database!I:I,Database!$E:$E,$C66,Database!$A:$A,$D$1)),-0.00001)</f>
        <v>-1.0000000000000001E-5</v>
      </c>
      <c r="H66" s="185">
        <f>IFERROR(IF($C66="",-0.00001,SUMIFS(Database!J:J,Database!$E:$E,$C66,Database!$A:$A,$D$1)),-0.00001)</f>
        <v>-1.0000000000000001E-5</v>
      </c>
      <c r="I66" s="185">
        <f>IFERROR(IF($C66="",-0.00001,SUMIFS(Database!K:K,Database!$E:$E,$C66,Database!$A:$A,$D$1)),-0.00001)</f>
        <v>-1.0000000000000001E-5</v>
      </c>
      <c r="J66" s="185">
        <f>IFERROR(IF($C66="",-0.00001,SUMIFS(Database!L:L,Database!$E:$E,$C66,Database!$A:$A,$D$1)),-0.00001)</f>
        <v>-1.0000000000000001E-5</v>
      </c>
      <c r="K66" s="185">
        <f>IFERROR(IF($C66="",-0.00001,SUMIFS(Database!M:M,Database!$E:$E,$C66,Database!$A:$A,$D$1)),-0.00001)</f>
        <v>-1.0000000000000001E-5</v>
      </c>
      <c r="L66" s="185">
        <f>IFERROR(IF($C66="",-0.00001,SUMIFS(Database!N:N,Database!$E:$E,$C66,Database!$A:$A,$D$1)),-0.00001)</f>
        <v>-1.0000000000000001E-5</v>
      </c>
      <c r="M66" s="185">
        <f>IFERROR(IF($C66="",-0.00001,SUMIFS(Database!O:O,Database!$E:$E,$C66,Database!$A:$A,$D$1)),-0.00001)</f>
        <v>-1.0000000000000001E-5</v>
      </c>
      <c r="N66" s="185">
        <f>IFERROR(IF($C66="",-0.00001,SUMIFS(Database!P:P,Database!$E:$E,$C66,Database!$A:$A,$D$1)),-0.00001)</f>
        <v>-1.0000000000000001E-5</v>
      </c>
      <c r="O66" s="185">
        <f>IFERROR(IF($C66="",-0.00001,SUMIFS(Database!Q:Q,Database!$E:$E,$C66,Database!$A:$A,$D$1)),-0.00001)</f>
        <v>-1.0000000000000001E-5</v>
      </c>
      <c r="P66" s="186">
        <f t="shared" si="3"/>
        <v>-1.0000000000000001E-5</v>
      </c>
      <c r="Q66" s="185">
        <f>IFERROR(IF($C66="",-0.00001,SUMIFS(Database!S:S,Database!$E:$E,$C66,Database!$A:$A,$D$1)),-0.00001)</f>
        <v>-1.0000000000000001E-5</v>
      </c>
      <c r="R66" s="185">
        <f>IFERROR(IF($C66="",-0.00001,SUMIFS(Database!T:T,Database!$E:$E,$C66,Database!$A:$A,$D$1)),-0.00001)</f>
        <v>-1.0000000000000001E-5</v>
      </c>
      <c r="S66" s="186">
        <f t="shared" si="4"/>
        <v>-1.0000000000000001E-5</v>
      </c>
      <c r="T66" s="185">
        <f>IFERROR(IF($C66="",-0.00001,SUMIFS(Database!V:V,Database!$E:$E,$C66,Database!$A:$A,$D$1)),-0.00001)</f>
        <v>-1.0000000000000001E-5</v>
      </c>
      <c r="U66" s="185">
        <f>IFERROR(IF($C66="",-0.00001,SUMIFS(Database!W:W,Database!$E:$E,$C66,Database!$A:$A,$D$1)),-0.00001)</f>
        <v>-1.0000000000000001E-5</v>
      </c>
      <c r="V66" s="186">
        <f t="shared" si="5"/>
        <v>-1.0000000000000001E-5</v>
      </c>
      <c r="W66" s="187"/>
      <c r="X66" s="187"/>
      <c r="Y66" s="187"/>
      <c r="Z66" s="187"/>
      <c r="AA66" s="187"/>
      <c r="AB66" s="187"/>
      <c r="AC66" s="187"/>
      <c r="AD66" s="187"/>
      <c r="AE66" s="187"/>
    </row>
    <row r="67" spans="1:31" x14ac:dyDescent="0.25">
      <c r="A67" s="187"/>
      <c r="B67" s="187" t="str">
        <f>IF($C67="","",MAX($B$4:$B66)+1)</f>
        <v/>
      </c>
      <c r="C67" s="145"/>
      <c r="D67" s="183" t="str">
        <f>IFERROR(VLOOKUP($C67,Rosters!$C$4:$M$239,INDEX(Lists!$N$5:$O$80,MATCH($C67,Lists!$N$5:$N$80,FALSE),2)),"")</f>
        <v/>
      </c>
      <c r="E67" s="185">
        <f>IF($C67="",-0.00001,COUNTIFS(Database!E:E,$C67,Database!A:A,$D$1))</f>
        <v>-1.0000000000000001E-5</v>
      </c>
      <c r="F67" s="185">
        <f>IFERROR(IF($C67="",-0.00001,SUMIFS(Database!H:H,Database!$E:$E,$C67,Database!$A:$A,$D$1)),-0.00001)</f>
        <v>-1.0000000000000001E-5</v>
      </c>
      <c r="G67" s="185">
        <f>IFERROR(IF($C67="",-0.00001,SUMIFS(Database!I:I,Database!$E:$E,$C67,Database!$A:$A,$D$1)),-0.00001)</f>
        <v>-1.0000000000000001E-5</v>
      </c>
      <c r="H67" s="185">
        <f>IFERROR(IF($C67="",-0.00001,SUMIFS(Database!J:J,Database!$E:$E,$C67,Database!$A:$A,$D$1)),-0.00001)</f>
        <v>-1.0000000000000001E-5</v>
      </c>
      <c r="I67" s="185">
        <f>IFERROR(IF($C67="",-0.00001,SUMIFS(Database!K:K,Database!$E:$E,$C67,Database!$A:$A,$D$1)),-0.00001)</f>
        <v>-1.0000000000000001E-5</v>
      </c>
      <c r="J67" s="185">
        <f>IFERROR(IF($C67="",-0.00001,SUMIFS(Database!L:L,Database!$E:$E,$C67,Database!$A:$A,$D$1)),-0.00001)</f>
        <v>-1.0000000000000001E-5</v>
      </c>
      <c r="K67" s="185">
        <f>IFERROR(IF($C67="",-0.00001,SUMIFS(Database!M:M,Database!$E:$E,$C67,Database!$A:$A,$D$1)),-0.00001)</f>
        <v>-1.0000000000000001E-5</v>
      </c>
      <c r="L67" s="185">
        <f>IFERROR(IF($C67="",-0.00001,SUMIFS(Database!N:N,Database!$E:$E,$C67,Database!$A:$A,$D$1)),-0.00001)</f>
        <v>-1.0000000000000001E-5</v>
      </c>
      <c r="M67" s="185">
        <f>IFERROR(IF($C67="",-0.00001,SUMIFS(Database!O:O,Database!$E:$E,$C67,Database!$A:$A,$D$1)),-0.00001)</f>
        <v>-1.0000000000000001E-5</v>
      </c>
      <c r="N67" s="185">
        <f>IFERROR(IF($C67="",-0.00001,SUMIFS(Database!P:P,Database!$E:$E,$C67,Database!$A:$A,$D$1)),-0.00001)</f>
        <v>-1.0000000000000001E-5</v>
      </c>
      <c r="O67" s="185">
        <f>IFERROR(IF($C67="",-0.00001,SUMIFS(Database!Q:Q,Database!$E:$E,$C67,Database!$A:$A,$D$1)),-0.00001)</f>
        <v>-1.0000000000000001E-5</v>
      </c>
      <c r="P67" s="186">
        <f t="shared" si="3"/>
        <v>-1.0000000000000001E-5</v>
      </c>
      <c r="Q67" s="185">
        <f>IFERROR(IF($C67="",-0.00001,SUMIFS(Database!S:S,Database!$E:$E,$C67,Database!$A:$A,$D$1)),-0.00001)</f>
        <v>-1.0000000000000001E-5</v>
      </c>
      <c r="R67" s="185">
        <f>IFERROR(IF($C67="",-0.00001,SUMIFS(Database!T:T,Database!$E:$E,$C67,Database!$A:$A,$D$1)),-0.00001)</f>
        <v>-1.0000000000000001E-5</v>
      </c>
      <c r="S67" s="186">
        <f t="shared" si="4"/>
        <v>-1.0000000000000001E-5</v>
      </c>
      <c r="T67" s="185">
        <f>IFERROR(IF($C67="",-0.00001,SUMIFS(Database!V:V,Database!$E:$E,$C67,Database!$A:$A,$D$1)),-0.00001)</f>
        <v>-1.0000000000000001E-5</v>
      </c>
      <c r="U67" s="185">
        <f>IFERROR(IF($C67="",-0.00001,SUMIFS(Database!W:W,Database!$E:$E,$C67,Database!$A:$A,$D$1)),-0.00001)</f>
        <v>-1.0000000000000001E-5</v>
      </c>
      <c r="V67" s="186">
        <f t="shared" si="5"/>
        <v>-1.0000000000000001E-5</v>
      </c>
      <c r="W67" s="187"/>
      <c r="X67" s="187"/>
      <c r="Y67" s="187"/>
      <c r="Z67" s="187"/>
      <c r="AA67" s="187"/>
      <c r="AB67" s="187"/>
      <c r="AC67" s="187"/>
      <c r="AD67" s="187"/>
      <c r="AE67" s="187"/>
    </row>
    <row r="68" spans="1:31" x14ac:dyDescent="0.25">
      <c r="A68" s="187"/>
      <c r="B68" s="187" t="str">
        <f>IF($C68="","",MAX($B$4:$B67)+1)</f>
        <v/>
      </c>
      <c r="C68" s="145"/>
      <c r="D68" s="183" t="str">
        <f>IFERROR(VLOOKUP($C68,Rosters!$C$4:$M$239,INDEX(Lists!$N$5:$O$80,MATCH($C68,Lists!$N$5:$N$80,FALSE),2)),"")</f>
        <v/>
      </c>
      <c r="E68" s="185">
        <f>IF($C68="",-0.00001,COUNTIFS(Database!E:E,$C68,Database!A:A,$D$1))</f>
        <v>-1.0000000000000001E-5</v>
      </c>
      <c r="F68" s="185">
        <f>IFERROR(IF($C68="",-0.00001,SUMIFS(Database!H:H,Database!$E:$E,$C68,Database!$A:$A,$D$1)),-0.00001)</f>
        <v>-1.0000000000000001E-5</v>
      </c>
      <c r="G68" s="185">
        <f>IFERROR(IF($C68="",-0.00001,SUMIFS(Database!I:I,Database!$E:$E,$C68,Database!$A:$A,$D$1)),-0.00001)</f>
        <v>-1.0000000000000001E-5</v>
      </c>
      <c r="H68" s="185">
        <f>IFERROR(IF($C68="",-0.00001,SUMIFS(Database!J:J,Database!$E:$E,$C68,Database!$A:$A,$D$1)),-0.00001)</f>
        <v>-1.0000000000000001E-5</v>
      </c>
      <c r="I68" s="185">
        <f>IFERROR(IF($C68="",-0.00001,SUMIFS(Database!K:K,Database!$E:$E,$C68,Database!$A:$A,$D$1)),-0.00001)</f>
        <v>-1.0000000000000001E-5</v>
      </c>
      <c r="J68" s="185">
        <f>IFERROR(IF($C68="",-0.00001,SUMIFS(Database!L:L,Database!$E:$E,$C68,Database!$A:$A,$D$1)),-0.00001)</f>
        <v>-1.0000000000000001E-5</v>
      </c>
      <c r="K68" s="185">
        <f>IFERROR(IF($C68="",-0.00001,SUMIFS(Database!M:M,Database!$E:$E,$C68,Database!$A:$A,$D$1)),-0.00001)</f>
        <v>-1.0000000000000001E-5</v>
      </c>
      <c r="L68" s="185">
        <f>IFERROR(IF($C68="",-0.00001,SUMIFS(Database!N:N,Database!$E:$E,$C68,Database!$A:$A,$D$1)),-0.00001)</f>
        <v>-1.0000000000000001E-5</v>
      </c>
      <c r="M68" s="185">
        <f>IFERROR(IF($C68="",-0.00001,SUMIFS(Database!O:O,Database!$E:$E,$C68,Database!$A:$A,$D$1)),-0.00001)</f>
        <v>-1.0000000000000001E-5</v>
      </c>
      <c r="N68" s="185">
        <f>IFERROR(IF($C68="",-0.00001,SUMIFS(Database!P:P,Database!$E:$E,$C68,Database!$A:$A,$D$1)),-0.00001)</f>
        <v>-1.0000000000000001E-5</v>
      </c>
      <c r="O68" s="185">
        <f>IFERROR(IF($C68="",-0.00001,SUMIFS(Database!Q:Q,Database!$E:$E,$C68,Database!$A:$A,$D$1)),-0.00001)</f>
        <v>-1.0000000000000001E-5</v>
      </c>
      <c r="P68" s="186">
        <f t="shared" ref="P68:P80" si="6">IFERROR(IF($C68="",-0.00001,$N68/$O68),-0.00001)</f>
        <v>-1.0000000000000001E-5</v>
      </c>
      <c r="Q68" s="185">
        <f>IFERROR(IF($C68="",-0.00001,SUMIFS(Database!S:S,Database!$E:$E,$C68,Database!$A:$A,$D$1)),-0.00001)</f>
        <v>-1.0000000000000001E-5</v>
      </c>
      <c r="R68" s="185">
        <f>IFERROR(IF($C68="",-0.00001,SUMIFS(Database!T:T,Database!$E:$E,$C68,Database!$A:$A,$D$1)),-0.00001)</f>
        <v>-1.0000000000000001E-5</v>
      </c>
      <c r="S68" s="186">
        <f t="shared" ref="S68:S80" si="7">IFERROR(IF($C68="",-0.00001,$Q68/$R68),-0.00001)</f>
        <v>-1.0000000000000001E-5</v>
      </c>
      <c r="T68" s="185">
        <f>IFERROR(IF($C68="",-0.00001,SUMIFS(Database!V:V,Database!$E:$E,$C68,Database!$A:$A,$D$1)),-0.00001)</f>
        <v>-1.0000000000000001E-5</v>
      </c>
      <c r="U68" s="185">
        <f>IFERROR(IF($C68="",-0.00001,SUMIFS(Database!W:W,Database!$E:$E,$C68,Database!$A:$A,$D$1)),-0.00001)</f>
        <v>-1.0000000000000001E-5</v>
      </c>
      <c r="V68" s="186">
        <f t="shared" ref="V68:V80" si="8">IFERROR(IF($C68="",-0.00001,$T68/$U68),-0.00001)</f>
        <v>-1.0000000000000001E-5</v>
      </c>
      <c r="W68" s="187"/>
      <c r="X68" s="187"/>
      <c r="Y68" s="187"/>
      <c r="Z68" s="187"/>
      <c r="AA68" s="187"/>
      <c r="AB68" s="187"/>
      <c r="AC68" s="187"/>
      <c r="AD68" s="187"/>
      <c r="AE68" s="187"/>
    </row>
    <row r="69" spans="1:31" x14ac:dyDescent="0.25">
      <c r="A69" s="187"/>
      <c r="B69" s="187" t="str">
        <f>IF($C69="","",MAX($B$4:$B68)+1)</f>
        <v/>
      </c>
      <c r="C69" s="145"/>
      <c r="D69" s="183" t="str">
        <f>IFERROR(VLOOKUP($C69,Rosters!$C$4:$M$239,INDEX(Lists!$N$5:$O$80,MATCH($C69,Lists!$N$5:$N$80,FALSE),2)),"")</f>
        <v/>
      </c>
      <c r="E69" s="185">
        <f>IF($C69="",-0.00001,COUNTIFS(Database!E:E,$C69,Database!A:A,$D$1))</f>
        <v>-1.0000000000000001E-5</v>
      </c>
      <c r="F69" s="185">
        <f>IFERROR(IF($C69="",-0.00001,SUMIFS(Database!H:H,Database!$E:$E,$C69,Database!$A:$A,$D$1)),-0.00001)</f>
        <v>-1.0000000000000001E-5</v>
      </c>
      <c r="G69" s="185">
        <f>IFERROR(IF($C69="",-0.00001,SUMIFS(Database!I:I,Database!$E:$E,$C69,Database!$A:$A,$D$1)),-0.00001)</f>
        <v>-1.0000000000000001E-5</v>
      </c>
      <c r="H69" s="185">
        <f>IFERROR(IF($C69="",-0.00001,SUMIFS(Database!J:J,Database!$E:$E,$C69,Database!$A:$A,$D$1)),-0.00001)</f>
        <v>-1.0000000000000001E-5</v>
      </c>
      <c r="I69" s="185">
        <f>IFERROR(IF($C69="",-0.00001,SUMIFS(Database!K:K,Database!$E:$E,$C69,Database!$A:$A,$D$1)),-0.00001)</f>
        <v>-1.0000000000000001E-5</v>
      </c>
      <c r="J69" s="185">
        <f>IFERROR(IF($C69="",-0.00001,SUMIFS(Database!L:L,Database!$E:$E,$C69,Database!$A:$A,$D$1)),-0.00001)</f>
        <v>-1.0000000000000001E-5</v>
      </c>
      <c r="K69" s="185">
        <f>IFERROR(IF($C69="",-0.00001,SUMIFS(Database!M:M,Database!$E:$E,$C69,Database!$A:$A,$D$1)),-0.00001)</f>
        <v>-1.0000000000000001E-5</v>
      </c>
      <c r="L69" s="185">
        <f>IFERROR(IF($C69="",-0.00001,SUMIFS(Database!N:N,Database!$E:$E,$C69,Database!$A:$A,$D$1)),-0.00001)</f>
        <v>-1.0000000000000001E-5</v>
      </c>
      <c r="M69" s="185">
        <f>IFERROR(IF($C69="",-0.00001,SUMIFS(Database!O:O,Database!$E:$E,$C69,Database!$A:$A,$D$1)),-0.00001)</f>
        <v>-1.0000000000000001E-5</v>
      </c>
      <c r="N69" s="185">
        <f>IFERROR(IF($C69="",-0.00001,SUMIFS(Database!P:P,Database!$E:$E,$C69,Database!$A:$A,$D$1)),-0.00001)</f>
        <v>-1.0000000000000001E-5</v>
      </c>
      <c r="O69" s="185">
        <f>IFERROR(IF($C69="",-0.00001,SUMIFS(Database!Q:Q,Database!$E:$E,$C69,Database!$A:$A,$D$1)),-0.00001)</f>
        <v>-1.0000000000000001E-5</v>
      </c>
      <c r="P69" s="186">
        <f t="shared" si="6"/>
        <v>-1.0000000000000001E-5</v>
      </c>
      <c r="Q69" s="185">
        <f>IFERROR(IF($C69="",-0.00001,SUMIFS(Database!S:S,Database!$E:$E,$C69,Database!$A:$A,$D$1)),-0.00001)</f>
        <v>-1.0000000000000001E-5</v>
      </c>
      <c r="R69" s="185">
        <f>IFERROR(IF($C69="",-0.00001,SUMIFS(Database!T:T,Database!$E:$E,$C69,Database!$A:$A,$D$1)),-0.00001)</f>
        <v>-1.0000000000000001E-5</v>
      </c>
      <c r="S69" s="186">
        <f t="shared" si="7"/>
        <v>-1.0000000000000001E-5</v>
      </c>
      <c r="T69" s="185">
        <f>IFERROR(IF($C69="",-0.00001,SUMIFS(Database!V:V,Database!$E:$E,$C69,Database!$A:$A,$D$1)),-0.00001)</f>
        <v>-1.0000000000000001E-5</v>
      </c>
      <c r="U69" s="185">
        <f>IFERROR(IF($C69="",-0.00001,SUMIFS(Database!W:W,Database!$E:$E,$C69,Database!$A:$A,$D$1)),-0.00001)</f>
        <v>-1.0000000000000001E-5</v>
      </c>
      <c r="V69" s="186">
        <f t="shared" si="8"/>
        <v>-1.0000000000000001E-5</v>
      </c>
      <c r="W69" s="187"/>
      <c r="X69" s="187"/>
      <c r="Y69" s="187"/>
      <c r="Z69" s="187"/>
      <c r="AA69" s="187"/>
      <c r="AB69" s="187"/>
      <c r="AC69" s="187"/>
      <c r="AD69" s="187"/>
      <c r="AE69" s="187"/>
    </row>
    <row r="70" spans="1:31" x14ac:dyDescent="0.25">
      <c r="A70" s="187"/>
      <c r="B70" s="187" t="str">
        <f>IF($C70="","",MAX($B$4:$B69)+1)</f>
        <v/>
      </c>
      <c r="C70" s="145"/>
      <c r="D70" s="183" t="str">
        <f>IFERROR(VLOOKUP($C70,Rosters!$C$4:$M$239,INDEX(Lists!$N$5:$O$80,MATCH($C70,Lists!$N$5:$N$80,FALSE),2)),"")</f>
        <v/>
      </c>
      <c r="E70" s="185">
        <f>IF($C70="",-0.00001,COUNTIFS(Database!E:E,$C70,Database!A:A,$D$1))</f>
        <v>-1.0000000000000001E-5</v>
      </c>
      <c r="F70" s="185">
        <f>IFERROR(IF($C70="",-0.00001,SUMIFS(Database!H:H,Database!$E:$E,$C70,Database!$A:$A,$D$1)),-0.00001)</f>
        <v>-1.0000000000000001E-5</v>
      </c>
      <c r="G70" s="185">
        <f>IFERROR(IF($C70="",-0.00001,SUMIFS(Database!I:I,Database!$E:$E,$C70,Database!$A:$A,$D$1)),-0.00001)</f>
        <v>-1.0000000000000001E-5</v>
      </c>
      <c r="H70" s="185">
        <f>IFERROR(IF($C70="",-0.00001,SUMIFS(Database!J:J,Database!$E:$E,$C70,Database!$A:$A,$D$1)),-0.00001)</f>
        <v>-1.0000000000000001E-5</v>
      </c>
      <c r="I70" s="185">
        <f>IFERROR(IF($C70="",-0.00001,SUMIFS(Database!K:K,Database!$E:$E,$C70,Database!$A:$A,$D$1)),-0.00001)</f>
        <v>-1.0000000000000001E-5</v>
      </c>
      <c r="J70" s="185">
        <f>IFERROR(IF($C70="",-0.00001,SUMIFS(Database!L:L,Database!$E:$E,$C70,Database!$A:$A,$D$1)),-0.00001)</f>
        <v>-1.0000000000000001E-5</v>
      </c>
      <c r="K70" s="185">
        <f>IFERROR(IF($C70="",-0.00001,SUMIFS(Database!M:M,Database!$E:$E,$C70,Database!$A:$A,$D$1)),-0.00001)</f>
        <v>-1.0000000000000001E-5</v>
      </c>
      <c r="L70" s="185">
        <f>IFERROR(IF($C70="",-0.00001,SUMIFS(Database!N:N,Database!$E:$E,$C70,Database!$A:$A,$D$1)),-0.00001)</f>
        <v>-1.0000000000000001E-5</v>
      </c>
      <c r="M70" s="185">
        <f>IFERROR(IF($C70="",-0.00001,SUMIFS(Database!O:O,Database!$E:$E,$C70,Database!$A:$A,$D$1)),-0.00001)</f>
        <v>-1.0000000000000001E-5</v>
      </c>
      <c r="N70" s="185">
        <f>IFERROR(IF($C70="",-0.00001,SUMIFS(Database!P:P,Database!$E:$E,$C70,Database!$A:$A,$D$1)),-0.00001)</f>
        <v>-1.0000000000000001E-5</v>
      </c>
      <c r="O70" s="185">
        <f>IFERROR(IF($C70="",-0.00001,SUMIFS(Database!Q:Q,Database!$E:$E,$C70,Database!$A:$A,$D$1)),-0.00001)</f>
        <v>-1.0000000000000001E-5</v>
      </c>
      <c r="P70" s="186">
        <f t="shared" si="6"/>
        <v>-1.0000000000000001E-5</v>
      </c>
      <c r="Q70" s="185">
        <f>IFERROR(IF($C70="",-0.00001,SUMIFS(Database!S:S,Database!$E:$E,$C70,Database!$A:$A,$D$1)),-0.00001)</f>
        <v>-1.0000000000000001E-5</v>
      </c>
      <c r="R70" s="185">
        <f>IFERROR(IF($C70="",-0.00001,SUMIFS(Database!T:T,Database!$E:$E,$C70,Database!$A:$A,$D$1)),-0.00001)</f>
        <v>-1.0000000000000001E-5</v>
      </c>
      <c r="S70" s="186">
        <f t="shared" si="7"/>
        <v>-1.0000000000000001E-5</v>
      </c>
      <c r="T70" s="185">
        <f>IFERROR(IF($C70="",-0.00001,SUMIFS(Database!V:V,Database!$E:$E,$C70,Database!$A:$A,$D$1)),-0.00001)</f>
        <v>-1.0000000000000001E-5</v>
      </c>
      <c r="U70" s="185">
        <f>IFERROR(IF($C70="",-0.00001,SUMIFS(Database!W:W,Database!$E:$E,$C70,Database!$A:$A,$D$1)),-0.00001)</f>
        <v>-1.0000000000000001E-5</v>
      </c>
      <c r="V70" s="186">
        <f t="shared" si="8"/>
        <v>-1.0000000000000001E-5</v>
      </c>
      <c r="W70" s="187"/>
      <c r="X70" s="187"/>
      <c r="Y70" s="187"/>
      <c r="Z70" s="187"/>
      <c r="AA70" s="187"/>
      <c r="AB70" s="187"/>
      <c r="AC70" s="187"/>
      <c r="AD70" s="187"/>
      <c r="AE70" s="187"/>
    </row>
    <row r="71" spans="1:31" x14ac:dyDescent="0.25">
      <c r="A71" s="187"/>
      <c r="B71" s="187" t="str">
        <f>IF($C71="","",MAX($B$4:$B70)+1)</f>
        <v/>
      </c>
      <c r="C71" s="145"/>
      <c r="D71" s="183" t="str">
        <f>IFERROR(VLOOKUP($C71,Rosters!$C$4:$M$239,INDEX(Lists!$N$5:$O$80,MATCH($C71,Lists!$N$5:$N$80,FALSE),2)),"")</f>
        <v/>
      </c>
      <c r="E71" s="185">
        <f>IF($C71="",-0.00001,COUNTIFS(Database!E:E,$C71,Database!A:A,$D$1))</f>
        <v>-1.0000000000000001E-5</v>
      </c>
      <c r="F71" s="185">
        <f>IFERROR(IF($C71="",-0.00001,SUMIFS(Database!H:H,Database!$E:$E,$C71,Database!$A:$A,$D$1)),-0.00001)</f>
        <v>-1.0000000000000001E-5</v>
      </c>
      <c r="G71" s="185">
        <f>IFERROR(IF($C71="",-0.00001,SUMIFS(Database!I:I,Database!$E:$E,$C71,Database!$A:$A,$D$1)),-0.00001)</f>
        <v>-1.0000000000000001E-5</v>
      </c>
      <c r="H71" s="185">
        <f>IFERROR(IF($C71="",-0.00001,SUMIFS(Database!J:J,Database!$E:$E,$C71,Database!$A:$A,$D$1)),-0.00001)</f>
        <v>-1.0000000000000001E-5</v>
      </c>
      <c r="I71" s="185">
        <f>IFERROR(IF($C71="",-0.00001,SUMIFS(Database!K:K,Database!$E:$E,$C71,Database!$A:$A,$D$1)),-0.00001)</f>
        <v>-1.0000000000000001E-5</v>
      </c>
      <c r="J71" s="185">
        <f>IFERROR(IF($C71="",-0.00001,SUMIFS(Database!L:L,Database!$E:$E,$C71,Database!$A:$A,$D$1)),-0.00001)</f>
        <v>-1.0000000000000001E-5</v>
      </c>
      <c r="K71" s="185">
        <f>IFERROR(IF($C71="",-0.00001,SUMIFS(Database!M:M,Database!$E:$E,$C71,Database!$A:$A,$D$1)),-0.00001)</f>
        <v>-1.0000000000000001E-5</v>
      </c>
      <c r="L71" s="185">
        <f>IFERROR(IF($C71="",-0.00001,SUMIFS(Database!N:N,Database!$E:$E,$C71,Database!$A:$A,$D$1)),-0.00001)</f>
        <v>-1.0000000000000001E-5</v>
      </c>
      <c r="M71" s="185">
        <f>IFERROR(IF($C71="",-0.00001,SUMIFS(Database!O:O,Database!$E:$E,$C71,Database!$A:$A,$D$1)),-0.00001)</f>
        <v>-1.0000000000000001E-5</v>
      </c>
      <c r="N71" s="185">
        <f>IFERROR(IF($C71="",-0.00001,SUMIFS(Database!P:P,Database!$E:$E,$C71,Database!$A:$A,$D$1)),-0.00001)</f>
        <v>-1.0000000000000001E-5</v>
      </c>
      <c r="O71" s="185">
        <f>IFERROR(IF($C71="",-0.00001,SUMIFS(Database!Q:Q,Database!$E:$E,$C71,Database!$A:$A,$D$1)),-0.00001)</f>
        <v>-1.0000000000000001E-5</v>
      </c>
      <c r="P71" s="186">
        <f t="shared" si="6"/>
        <v>-1.0000000000000001E-5</v>
      </c>
      <c r="Q71" s="185">
        <f>IFERROR(IF($C71="",-0.00001,SUMIFS(Database!S:S,Database!$E:$E,$C71,Database!$A:$A,$D$1)),-0.00001)</f>
        <v>-1.0000000000000001E-5</v>
      </c>
      <c r="R71" s="185">
        <f>IFERROR(IF($C71="",-0.00001,SUMIFS(Database!T:T,Database!$E:$E,$C71,Database!$A:$A,$D$1)),-0.00001)</f>
        <v>-1.0000000000000001E-5</v>
      </c>
      <c r="S71" s="186">
        <f t="shared" si="7"/>
        <v>-1.0000000000000001E-5</v>
      </c>
      <c r="T71" s="185">
        <f>IFERROR(IF($C71="",-0.00001,SUMIFS(Database!V:V,Database!$E:$E,$C71,Database!$A:$A,$D$1)),-0.00001)</f>
        <v>-1.0000000000000001E-5</v>
      </c>
      <c r="U71" s="185">
        <f>IFERROR(IF($C71="",-0.00001,SUMIFS(Database!W:W,Database!$E:$E,$C71,Database!$A:$A,$D$1)),-0.00001)</f>
        <v>-1.0000000000000001E-5</v>
      </c>
      <c r="V71" s="186">
        <f t="shared" si="8"/>
        <v>-1.0000000000000001E-5</v>
      </c>
      <c r="W71" s="187"/>
      <c r="X71" s="187"/>
      <c r="Y71" s="187"/>
      <c r="Z71" s="187"/>
      <c r="AA71" s="187"/>
      <c r="AB71" s="187"/>
      <c r="AC71" s="187"/>
      <c r="AD71" s="187"/>
      <c r="AE71" s="187"/>
    </row>
    <row r="72" spans="1:31" x14ac:dyDescent="0.25">
      <c r="A72" s="187"/>
      <c r="B72" s="187" t="str">
        <f>IF($C72="","",MAX($B$4:$B71)+1)</f>
        <v/>
      </c>
      <c r="C72" s="145"/>
      <c r="D72" s="183" t="str">
        <f>IFERROR(VLOOKUP($C72,Rosters!$C$4:$M$239,INDEX(Lists!$N$5:$O$80,MATCH($C72,Lists!$N$5:$N$80,FALSE),2)),"")</f>
        <v/>
      </c>
      <c r="E72" s="185">
        <f>IF($C72="",-0.00001,COUNTIFS(Database!E:E,$C72,Database!A:A,$D$1))</f>
        <v>-1.0000000000000001E-5</v>
      </c>
      <c r="F72" s="185">
        <f>IFERROR(IF($C72="",-0.00001,SUMIFS(Database!H:H,Database!$E:$E,$C72,Database!$A:$A,$D$1)),-0.00001)</f>
        <v>-1.0000000000000001E-5</v>
      </c>
      <c r="G72" s="185">
        <f>IFERROR(IF($C72="",-0.00001,SUMIFS(Database!I:I,Database!$E:$E,$C72,Database!$A:$A,$D$1)),-0.00001)</f>
        <v>-1.0000000000000001E-5</v>
      </c>
      <c r="H72" s="185">
        <f>IFERROR(IF($C72="",-0.00001,SUMIFS(Database!J:J,Database!$E:$E,$C72,Database!$A:$A,$D$1)),-0.00001)</f>
        <v>-1.0000000000000001E-5</v>
      </c>
      <c r="I72" s="185">
        <f>IFERROR(IF($C72="",-0.00001,SUMIFS(Database!K:K,Database!$E:$E,$C72,Database!$A:$A,$D$1)),-0.00001)</f>
        <v>-1.0000000000000001E-5</v>
      </c>
      <c r="J72" s="185">
        <f>IFERROR(IF($C72="",-0.00001,SUMIFS(Database!L:L,Database!$E:$E,$C72,Database!$A:$A,$D$1)),-0.00001)</f>
        <v>-1.0000000000000001E-5</v>
      </c>
      <c r="K72" s="185">
        <f>IFERROR(IF($C72="",-0.00001,SUMIFS(Database!M:M,Database!$E:$E,$C72,Database!$A:$A,$D$1)),-0.00001)</f>
        <v>-1.0000000000000001E-5</v>
      </c>
      <c r="L72" s="185">
        <f>IFERROR(IF($C72="",-0.00001,SUMIFS(Database!N:N,Database!$E:$E,$C72,Database!$A:$A,$D$1)),-0.00001)</f>
        <v>-1.0000000000000001E-5</v>
      </c>
      <c r="M72" s="185">
        <f>IFERROR(IF($C72="",-0.00001,SUMIFS(Database!O:O,Database!$E:$E,$C72,Database!$A:$A,$D$1)),-0.00001)</f>
        <v>-1.0000000000000001E-5</v>
      </c>
      <c r="N72" s="185">
        <f>IFERROR(IF($C72="",-0.00001,SUMIFS(Database!P:P,Database!$E:$E,$C72,Database!$A:$A,$D$1)),-0.00001)</f>
        <v>-1.0000000000000001E-5</v>
      </c>
      <c r="O72" s="185">
        <f>IFERROR(IF($C72="",-0.00001,SUMIFS(Database!Q:Q,Database!$E:$E,$C72,Database!$A:$A,$D$1)),-0.00001)</f>
        <v>-1.0000000000000001E-5</v>
      </c>
      <c r="P72" s="186">
        <f t="shared" si="6"/>
        <v>-1.0000000000000001E-5</v>
      </c>
      <c r="Q72" s="185">
        <f>IFERROR(IF($C72="",-0.00001,SUMIFS(Database!S:S,Database!$E:$E,$C72,Database!$A:$A,$D$1)),-0.00001)</f>
        <v>-1.0000000000000001E-5</v>
      </c>
      <c r="R72" s="185">
        <f>IFERROR(IF($C72="",-0.00001,SUMIFS(Database!T:T,Database!$E:$E,$C72,Database!$A:$A,$D$1)),-0.00001)</f>
        <v>-1.0000000000000001E-5</v>
      </c>
      <c r="S72" s="186">
        <f t="shared" si="7"/>
        <v>-1.0000000000000001E-5</v>
      </c>
      <c r="T72" s="185">
        <f>IFERROR(IF($C72="",-0.00001,SUMIFS(Database!V:V,Database!$E:$E,$C72,Database!$A:$A,$D$1)),-0.00001)</f>
        <v>-1.0000000000000001E-5</v>
      </c>
      <c r="U72" s="185">
        <f>IFERROR(IF($C72="",-0.00001,SUMIFS(Database!W:W,Database!$E:$E,$C72,Database!$A:$A,$D$1)),-0.00001)</f>
        <v>-1.0000000000000001E-5</v>
      </c>
      <c r="V72" s="186">
        <f t="shared" si="8"/>
        <v>-1.0000000000000001E-5</v>
      </c>
      <c r="W72" s="187"/>
      <c r="X72" s="187"/>
      <c r="Y72" s="187"/>
      <c r="Z72" s="187"/>
      <c r="AA72" s="187"/>
      <c r="AB72" s="187"/>
      <c r="AC72" s="187"/>
      <c r="AD72" s="187"/>
      <c r="AE72" s="187"/>
    </row>
    <row r="73" spans="1:31" x14ac:dyDescent="0.25">
      <c r="A73" s="187"/>
      <c r="B73" s="187" t="str">
        <f>IF($C73="","",MAX($B$4:$B72)+1)</f>
        <v/>
      </c>
      <c r="C73" s="145"/>
      <c r="D73" s="183" t="str">
        <f>IFERROR(VLOOKUP($C73,Rosters!$C$4:$M$239,INDEX(Lists!$N$5:$O$80,MATCH($C73,Lists!$N$5:$N$80,FALSE),2)),"")</f>
        <v/>
      </c>
      <c r="E73" s="185">
        <f>IF($C73="",-0.00001,COUNTIFS(Database!E:E,$C73,Database!A:A,$D$1))</f>
        <v>-1.0000000000000001E-5</v>
      </c>
      <c r="F73" s="185">
        <f>IFERROR(IF($C73="",-0.00001,SUMIFS(Database!H:H,Database!$E:$E,$C73,Database!$A:$A,$D$1)),-0.00001)</f>
        <v>-1.0000000000000001E-5</v>
      </c>
      <c r="G73" s="185">
        <f>IFERROR(IF($C73="",-0.00001,SUMIFS(Database!I:I,Database!$E:$E,$C73,Database!$A:$A,$D$1)),-0.00001)</f>
        <v>-1.0000000000000001E-5</v>
      </c>
      <c r="H73" s="185">
        <f>IFERROR(IF($C73="",-0.00001,SUMIFS(Database!J:J,Database!$E:$E,$C73,Database!$A:$A,$D$1)),-0.00001)</f>
        <v>-1.0000000000000001E-5</v>
      </c>
      <c r="I73" s="185">
        <f>IFERROR(IF($C73="",-0.00001,SUMIFS(Database!K:K,Database!$E:$E,$C73,Database!$A:$A,$D$1)),-0.00001)</f>
        <v>-1.0000000000000001E-5</v>
      </c>
      <c r="J73" s="185">
        <f>IFERROR(IF($C73="",-0.00001,SUMIFS(Database!L:L,Database!$E:$E,$C73,Database!$A:$A,$D$1)),-0.00001)</f>
        <v>-1.0000000000000001E-5</v>
      </c>
      <c r="K73" s="185">
        <f>IFERROR(IF($C73="",-0.00001,SUMIFS(Database!M:M,Database!$E:$E,$C73,Database!$A:$A,$D$1)),-0.00001)</f>
        <v>-1.0000000000000001E-5</v>
      </c>
      <c r="L73" s="185">
        <f>IFERROR(IF($C73="",-0.00001,SUMIFS(Database!N:N,Database!$E:$E,$C73,Database!$A:$A,$D$1)),-0.00001)</f>
        <v>-1.0000000000000001E-5</v>
      </c>
      <c r="M73" s="185">
        <f>IFERROR(IF($C73="",-0.00001,SUMIFS(Database!O:O,Database!$E:$E,$C73,Database!$A:$A,$D$1)),-0.00001)</f>
        <v>-1.0000000000000001E-5</v>
      </c>
      <c r="N73" s="185">
        <f>IFERROR(IF($C73="",-0.00001,SUMIFS(Database!P:P,Database!$E:$E,$C73,Database!$A:$A,$D$1)),-0.00001)</f>
        <v>-1.0000000000000001E-5</v>
      </c>
      <c r="O73" s="185">
        <f>IFERROR(IF($C73="",-0.00001,SUMIFS(Database!Q:Q,Database!$E:$E,$C73,Database!$A:$A,$D$1)),-0.00001)</f>
        <v>-1.0000000000000001E-5</v>
      </c>
      <c r="P73" s="186">
        <f t="shared" si="6"/>
        <v>-1.0000000000000001E-5</v>
      </c>
      <c r="Q73" s="185">
        <f>IFERROR(IF($C73="",-0.00001,SUMIFS(Database!S:S,Database!$E:$E,$C73,Database!$A:$A,$D$1)),-0.00001)</f>
        <v>-1.0000000000000001E-5</v>
      </c>
      <c r="R73" s="185">
        <f>IFERROR(IF($C73="",-0.00001,SUMIFS(Database!T:T,Database!$E:$E,$C73,Database!$A:$A,$D$1)),-0.00001)</f>
        <v>-1.0000000000000001E-5</v>
      </c>
      <c r="S73" s="186">
        <f t="shared" si="7"/>
        <v>-1.0000000000000001E-5</v>
      </c>
      <c r="T73" s="185">
        <f>IFERROR(IF($C73="",-0.00001,SUMIFS(Database!V:V,Database!$E:$E,$C73,Database!$A:$A,$D$1)),-0.00001)</f>
        <v>-1.0000000000000001E-5</v>
      </c>
      <c r="U73" s="185">
        <f>IFERROR(IF($C73="",-0.00001,SUMIFS(Database!W:W,Database!$E:$E,$C73,Database!$A:$A,$D$1)),-0.00001)</f>
        <v>-1.0000000000000001E-5</v>
      </c>
      <c r="V73" s="186">
        <f t="shared" si="8"/>
        <v>-1.0000000000000001E-5</v>
      </c>
      <c r="W73" s="187"/>
      <c r="X73" s="187"/>
      <c r="Y73" s="187"/>
      <c r="Z73" s="187"/>
      <c r="AA73" s="187"/>
      <c r="AB73" s="187"/>
      <c r="AC73" s="187"/>
      <c r="AD73" s="187"/>
      <c r="AE73" s="187"/>
    </row>
    <row r="74" spans="1:31" x14ac:dyDescent="0.25">
      <c r="A74" s="187"/>
      <c r="B74" s="187" t="str">
        <f>IF($C74="","",MAX($B$4:$B73)+1)</f>
        <v/>
      </c>
      <c r="C74" s="145"/>
      <c r="D74" s="183" t="str">
        <f>IFERROR(VLOOKUP($C74,Rosters!$C$4:$M$239,INDEX(Lists!$N$5:$O$80,MATCH($C74,Lists!$N$5:$N$80,FALSE),2)),"")</f>
        <v/>
      </c>
      <c r="E74" s="185">
        <f>IF($C74="",-0.00001,COUNTIFS(Database!E:E,$C74,Database!A:A,$D$1))</f>
        <v>-1.0000000000000001E-5</v>
      </c>
      <c r="F74" s="185">
        <f>IFERROR(IF($C74="",-0.00001,SUMIFS(Database!H:H,Database!$E:$E,$C74,Database!$A:$A,$D$1)),-0.00001)</f>
        <v>-1.0000000000000001E-5</v>
      </c>
      <c r="G74" s="185">
        <f>IFERROR(IF($C74="",-0.00001,SUMIFS(Database!I:I,Database!$E:$E,$C74,Database!$A:$A,$D$1)),-0.00001)</f>
        <v>-1.0000000000000001E-5</v>
      </c>
      <c r="H74" s="185">
        <f>IFERROR(IF($C74="",-0.00001,SUMIFS(Database!J:J,Database!$E:$E,$C74,Database!$A:$A,$D$1)),-0.00001)</f>
        <v>-1.0000000000000001E-5</v>
      </c>
      <c r="I74" s="185">
        <f>IFERROR(IF($C74="",-0.00001,SUMIFS(Database!K:K,Database!$E:$E,$C74,Database!$A:$A,$D$1)),-0.00001)</f>
        <v>-1.0000000000000001E-5</v>
      </c>
      <c r="J74" s="185">
        <f>IFERROR(IF($C74="",-0.00001,SUMIFS(Database!L:L,Database!$E:$E,$C74,Database!$A:$A,$D$1)),-0.00001)</f>
        <v>-1.0000000000000001E-5</v>
      </c>
      <c r="K74" s="185">
        <f>IFERROR(IF($C74="",-0.00001,SUMIFS(Database!M:M,Database!$E:$E,$C74,Database!$A:$A,$D$1)),-0.00001)</f>
        <v>-1.0000000000000001E-5</v>
      </c>
      <c r="L74" s="185">
        <f>IFERROR(IF($C74="",-0.00001,SUMIFS(Database!N:N,Database!$E:$E,$C74,Database!$A:$A,$D$1)),-0.00001)</f>
        <v>-1.0000000000000001E-5</v>
      </c>
      <c r="M74" s="185">
        <f>IFERROR(IF($C74="",-0.00001,SUMIFS(Database!O:O,Database!$E:$E,$C74,Database!$A:$A,$D$1)),-0.00001)</f>
        <v>-1.0000000000000001E-5</v>
      </c>
      <c r="N74" s="185">
        <f>IFERROR(IF($C74="",-0.00001,SUMIFS(Database!P:P,Database!$E:$E,$C74,Database!$A:$A,$D$1)),-0.00001)</f>
        <v>-1.0000000000000001E-5</v>
      </c>
      <c r="O74" s="185">
        <f>IFERROR(IF($C74="",-0.00001,SUMIFS(Database!Q:Q,Database!$E:$E,$C74,Database!$A:$A,$D$1)),-0.00001)</f>
        <v>-1.0000000000000001E-5</v>
      </c>
      <c r="P74" s="186">
        <f t="shared" si="6"/>
        <v>-1.0000000000000001E-5</v>
      </c>
      <c r="Q74" s="185">
        <f>IFERROR(IF($C74="",-0.00001,SUMIFS(Database!S:S,Database!$E:$E,$C74,Database!$A:$A,$D$1)),-0.00001)</f>
        <v>-1.0000000000000001E-5</v>
      </c>
      <c r="R74" s="185">
        <f>IFERROR(IF($C74="",-0.00001,SUMIFS(Database!T:T,Database!$E:$E,$C74,Database!$A:$A,$D$1)),-0.00001)</f>
        <v>-1.0000000000000001E-5</v>
      </c>
      <c r="S74" s="186">
        <f t="shared" si="7"/>
        <v>-1.0000000000000001E-5</v>
      </c>
      <c r="T74" s="185">
        <f>IFERROR(IF($C74="",-0.00001,SUMIFS(Database!V:V,Database!$E:$E,$C74,Database!$A:$A,$D$1)),-0.00001)</f>
        <v>-1.0000000000000001E-5</v>
      </c>
      <c r="U74" s="185">
        <f>IFERROR(IF($C74="",-0.00001,SUMIFS(Database!W:W,Database!$E:$E,$C74,Database!$A:$A,$D$1)),-0.00001)</f>
        <v>-1.0000000000000001E-5</v>
      </c>
      <c r="V74" s="186">
        <f t="shared" si="8"/>
        <v>-1.0000000000000001E-5</v>
      </c>
      <c r="W74" s="187"/>
      <c r="X74" s="187"/>
      <c r="Y74" s="187"/>
      <c r="Z74" s="187"/>
      <c r="AA74" s="187"/>
      <c r="AB74" s="187"/>
      <c r="AC74" s="187"/>
      <c r="AD74" s="187"/>
      <c r="AE74" s="187"/>
    </row>
    <row r="75" spans="1:31" x14ac:dyDescent="0.25">
      <c r="A75" s="187"/>
      <c r="B75" s="187" t="str">
        <f>IF($C75="","",MAX($B$4:$B74)+1)</f>
        <v/>
      </c>
      <c r="C75" s="145"/>
      <c r="D75" s="183" t="str">
        <f>IFERROR(VLOOKUP($C75,Rosters!$C$4:$M$239,INDEX(Lists!$N$5:$O$80,MATCH($C75,Lists!$N$5:$N$80,FALSE),2)),"")</f>
        <v/>
      </c>
      <c r="E75" s="185">
        <f>IF($C75="",-0.00001,COUNTIFS(Database!E:E,$C75,Database!A:A,$D$1))</f>
        <v>-1.0000000000000001E-5</v>
      </c>
      <c r="F75" s="185">
        <f>IFERROR(IF($C75="",-0.00001,SUMIFS(Database!H:H,Database!$E:$E,$C75,Database!$A:$A,$D$1)),-0.00001)</f>
        <v>-1.0000000000000001E-5</v>
      </c>
      <c r="G75" s="185">
        <f>IFERROR(IF($C75="",-0.00001,SUMIFS(Database!I:I,Database!$E:$E,$C75,Database!$A:$A,$D$1)),-0.00001)</f>
        <v>-1.0000000000000001E-5</v>
      </c>
      <c r="H75" s="185">
        <f>IFERROR(IF($C75="",-0.00001,SUMIFS(Database!J:J,Database!$E:$E,$C75,Database!$A:$A,$D$1)),-0.00001)</f>
        <v>-1.0000000000000001E-5</v>
      </c>
      <c r="I75" s="185">
        <f>IFERROR(IF($C75="",-0.00001,SUMIFS(Database!K:K,Database!$E:$E,$C75,Database!$A:$A,$D$1)),-0.00001)</f>
        <v>-1.0000000000000001E-5</v>
      </c>
      <c r="J75" s="185">
        <f>IFERROR(IF($C75="",-0.00001,SUMIFS(Database!L:L,Database!$E:$E,$C75,Database!$A:$A,$D$1)),-0.00001)</f>
        <v>-1.0000000000000001E-5</v>
      </c>
      <c r="K75" s="185">
        <f>IFERROR(IF($C75="",-0.00001,SUMIFS(Database!M:M,Database!$E:$E,$C75,Database!$A:$A,$D$1)),-0.00001)</f>
        <v>-1.0000000000000001E-5</v>
      </c>
      <c r="L75" s="185">
        <f>IFERROR(IF($C75="",-0.00001,SUMIFS(Database!N:N,Database!$E:$E,$C75,Database!$A:$A,$D$1)),-0.00001)</f>
        <v>-1.0000000000000001E-5</v>
      </c>
      <c r="M75" s="185">
        <f>IFERROR(IF($C75="",-0.00001,SUMIFS(Database!O:O,Database!$E:$E,$C75,Database!$A:$A,$D$1)),-0.00001)</f>
        <v>-1.0000000000000001E-5</v>
      </c>
      <c r="N75" s="185">
        <f>IFERROR(IF($C75="",-0.00001,SUMIFS(Database!P:P,Database!$E:$E,$C75,Database!$A:$A,$D$1)),-0.00001)</f>
        <v>-1.0000000000000001E-5</v>
      </c>
      <c r="O75" s="185">
        <f>IFERROR(IF($C75="",-0.00001,SUMIFS(Database!Q:Q,Database!$E:$E,$C75,Database!$A:$A,$D$1)),-0.00001)</f>
        <v>-1.0000000000000001E-5</v>
      </c>
      <c r="P75" s="186">
        <f t="shared" si="6"/>
        <v>-1.0000000000000001E-5</v>
      </c>
      <c r="Q75" s="185">
        <f>IFERROR(IF($C75="",-0.00001,SUMIFS(Database!S:S,Database!$E:$E,$C75,Database!$A:$A,$D$1)),-0.00001)</f>
        <v>-1.0000000000000001E-5</v>
      </c>
      <c r="R75" s="185">
        <f>IFERROR(IF($C75="",-0.00001,SUMIFS(Database!T:T,Database!$E:$E,$C75,Database!$A:$A,$D$1)),-0.00001)</f>
        <v>-1.0000000000000001E-5</v>
      </c>
      <c r="S75" s="186">
        <f t="shared" si="7"/>
        <v>-1.0000000000000001E-5</v>
      </c>
      <c r="T75" s="185">
        <f>IFERROR(IF($C75="",-0.00001,SUMIFS(Database!V:V,Database!$E:$E,$C75,Database!$A:$A,$D$1)),-0.00001)</f>
        <v>-1.0000000000000001E-5</v>
      </c>
      <c r="U75" s="185">
        <f>IFERROR(IF($C75="",-0.00001,SUMIFS(Database!W:W,Database!$E:$E,$C75,Database!$A:$A,$D$1)),-0.00001)</f>
        <v>-1.0000000000000001E-5</v>
      </c>
      <c r="V75" s="186">
        <f t="shared" si="8"/>
        <v>-1.0000000000000001E-5</v>
      </c>
      <c r="W75" s="187"/>
      <c r="X75" s="187"/>
      <c r="Y75" s="187"/>
      <c r="Z75" s="187"/>
      <c r="AA75" s="187"/>
      <c r="AB75" s="187"/>
      <c r="AC75" s="187"/>
      <c r="AD75" s="187"/>
      <c r="AE75" s="187"/>
    </row>
    <row r="76" spans="1:31" x14ac:dyDescent="0.25">
      <c r="A76" s="187"/>
      <c r="B76" s="187" t="str">
        <f>IF($C76="","",MAX($B$4:$B75)+1)</f>
        <v/>
      </c>
      <c r="C76" s="145"/>
      <c r="D76" s="183" t="str">
        <f>IFERROR(VLOOKUP($C76,Rosters!$C$4:$M$239,INDEX(Lists!$N$5:$O$80,MATCH($C76,Lists!$N$5:$N$80,FALSE),2)),"")</f>
        <v/>
      </c>
      <c r="E76" s="185">
        <f>IF($C76="",-0.00001,COUNTIFS(Database!E:E,$C76,Database!A:A,$D$1))</f>
        <v>-1.0000000000000001E-5</v>
      </c>
      <c r="F76" s="185">
        <f>IFERROR(IF($C76="",-0.00001,SUMIFS(Database!H:H,Database!$E:$E,$C76,Database!$A:$A,$D$1)),-0.00001)</f>
        <v>-1.0000000000000001E-5</v>
      </c>
      <c r="G76" s="185">
        <f>IFERROR(IF($C76="",-0.00001,SUMIFS(Database!I:I,Database!$E:$E,$C76,Database!$A:$A,$D$1)),-0.00001)</f>
        <v>-1.0000000000000001E-5</v>
      </c>
      <c r="H76" s="185">
        <f>IFERROR(IF($C76="",-0.00001,SUMIFS(Database!J:J,Database!$E:$E,$C76,Database!$A:$A,$D$1)),-0.00001)</f>
        <v>-1.0000000000000001E-5</v>
      </c>
      <c r="I76" s="185">
        <f>IFERROR(IF($C76="",-0.00001,SUMIFS(Database!K:K,Database!$E:$E,$C76,Database!$A:$A,$D$1)),-0.00001)</f>
        <v>-1.0000000000000001E-5</v>
      </c>
      <c r="J76" s="185">
        <f>IFERROR(IF($C76="",-0.00001,SUMIFS(Database!L:L,Database!$E:$E,$C76,Database!$A:$A,$D$1)),-0.00001)</f>
        <v>-1.0000000000000001E-5</v>
      </c>
      <c r="K76" s="185">
        <f>IFERROR(IF($C76="",-0.00001,SUMIFS(Database!M:M,Database!$E:$E,$C76,Database!$A:$A,$D$1)),-0.00001)</f>
        <v>-1.0000000000000001E-5</v>
      </c>
      <c r="L76" s="185">
        <f>IFERROR(IF($C76="",-0.00001,SUMIFS(Database!N:N,Database!$E:$E,$C76,Database!$A:$A,$D$1)),-0.00001)</f>
        <v>-1.0000000000000001E-5</v>
      </c>
      <c r="M76" s="185">
        <f>IFERROR(IF($C76="",-0.00001,SUMIFS(Database!O:O,Database!$E:$E,$C76,Database!$A:$A,$D$1)),-0.00001)</f>
        <v>-1.0000000000000001E-5</v>
      </c>
      <c r="N76" s="185">
        <f>IFERROR(IF($C76="",-0.00001,SUMIFS(Database!P:P,Database!$E:$E,$C76,Database!$A:$A,$D$1)),-0.00001)</f>
        <v>-1.0000000000000001E-5</v>
      </c>
      <c r="O76" s="185">
        <f>IFERROR(IF($C76="",-0.00001,SUMIFS(Database!Q:Q,Database!$E:$E,$C76,Database!$A:$A,$D$1)),-0.00001)</f>
        <v>-1.0000000000000001E-5</v>
      </c>
      <c r="P76" s="186">
        <f t="shared" si="6"/>
        <v>-1.0000000000000001E-5</v>
      </c>
      <c r="Q76" s="185">
        <f>IFERROR(IF($C76="",-0.00001,SUMIFS(Database!S:S,Database!$E:$E,$C76,Database!$A:$A,$D$1)),-0.00001)</f>
        <v>-1.0000000000000001E-5</v>
      </c>
      <c r="R76" s="185">
        <f>IFERROR(IF($C76="",-0.00001,SUMIFS(Database!T:T,Database!$E:$E,$C76,Database!$A:$A,$D$1)),-0.00001)</f>
        <v>-1.0000000000000001E-5</v>
      </c>
      <c r="S76" s="186">
        <f t="shared" si="7"/>
        <v>-1.0000000000000001E-5</v>
      </c>
      <c r="T76" s="185">
        <f>IFERROR(IF($C76="",-0.00001,SUMIFS(Database!V:V,Database!$E:$E,$C76,Database!$A:$A,$D$1)),-0.00001)</f>
        <v>-1.0000000000000001E-5</v>
      </c>
      <c r="U76" s="185">
        <f>IFERROR(IF($C76="",-0.00001,SUMIFS(Database!W:W,Database!$E:$E,$C76,Database!$A:$A,$D$1)),-0.00001)</f>
        <v>-1.0000000000000001E-5</v>
      </c>
      <c r="V76" s="186">
        <f t="shared" si="8"/>
        <v>-1.0000000000000001E-5</v>
      </c>
      <c r="W76" s="187"/>
      <c r="X76" s="187"/>
      <c r="Y76" s="187"/>
      <c r="Z76" s="187"/>
      <c r="AA76" s="187"/>
      <c r="AB76" s="187"/>
      <c r="AC76" s="187"/>
      <c r="AD76" s="187"/>
      <c r="AE76" s="187"/>
    </row>
    <row r="77" spans="1:31" x14ac:dyDescent="0.25">
      <c r="A77" s="187"/>
      <c r="B77" s="187" t="str">
        <f>IF($C77="","",MAX($B$4:$B76)+1)</f>
        <v/>
      </c>
      <c r="C77" s="145"/>
      <c r="D77" s="183" t="str">
        <f>IFERROR(VLOOKUP($C77,Rosters!$C$4:$M$239,INDEX(Lists!$N$5:$O$80,MATCH($C77,Lists!$N$5:$N$80,FALSE),2)),"")</f>
        <v/>
      </c>
      <c r="E77" s="185">
        <f>IF($C77="",-0.00001,COUNTIFS(Database!E:E,$C77,Database!A:A,$D$1))</f>
        <v>-1.0000000000000001E-5</v>
      </c>
      <c r="F77" s="185">
        <f>IFERROR(IF($C77="",-0.00001,SUMIFS(Database!H:H,Database!$E:$E,$C77,Database!$A:$A,$D$1)),-0.00001)</f>
        <v>-1.0000000000000001E-5</v>
      </c>
      <c r="G77" s="185">
        <f>IFERROR(IF($C77="",-0.00001,SUMIFS(Database!I:I,Database!$E:$E,$C77,Database!$A:$A,$D$1)),-0.00001)</f>
        <v>-1.0000000000000001E-5</v>
      </c>
      <c r="H77" s="185">
        <f>IFERROR(IF($C77="",-0.00001,SUMIFS(Database!J:J,Database!$E:$E,$C77,Database!$A:$A,$D$1)),-0.00001)</f>
        <v>-1.0000000000000001E-5</v>
      </c>
      <c r="I77" s="185">
        <f>IFERROR(IF($C77="",-0.00001,SUMIFS(Database!K:K,Database!$E:$E,$C77,Database!$A:$A,$D$1)),-0.00001)</f>
        <v>-1.0000000000000001E-5</v>
      </c>
      <c r="J77" s="185">
        <f>IFERROR(IF($C77="",-0.00001,SUMIFS(Database!L:L,Database!$E:$E,$C77,Database!$A:$A,$D$1)),-0.00001)</f>
        <v>-1.0000000000000001E-5</v>
      </c>
      <c r="K77" s="185">
        <f>IFERROR(IF($C77="",-0.00001,SUMIFS(Database!M:M,Database!$E:$E,$C77,Database!$A:$A,$D$1)),-0.00001)</f>
        <v>-1.0000000000000001E-5</v>
      </c>
      <c r="L77" s="185">
        <f>IFERROR(IF($C77="",-0.00001,SUMIFS(Database!N:N,Database!$E:$E,$C77,Database!$A:$A,$D$1)),-0.00001)</f>
        <v>-1.0000000000000001E-5</v>
      </c>
      <c r="M77" s="185">
        <f>IFERROR(IF($C77="",-0.00001,SUMIFS(Database!O:O,Database!$E:$E,$C77,Database!$A:$A,$D$1)),-0.00001)</f>
        <v>-1.0000000000000001E-5</v>
      </c>
      <c r="N77" s="185">
        <f>IFERROR(IF($C77="",-0.00001,SUMIFS(Database!P:P,Database!$E:$E,$C77,Database!$A:$A,$D$1)),-0.00001)</f>
        <v>-1.0000000000000001E-5</v>
      </c>
      <c r="O77" s="185">
        <f>IFERROR(IF($C77="",-0.00001,SUMIFS(Database!Q:Q,Database!$E:$E,$C77,Database!$A:$A,$D$1)),-0.00001)</f>
        <v>-1.0000000000000001E-5</v>
      </c>
      <c r="P77" s="186">
        <f t="shared" si="6"/>
        <v>-1.0000000000000001E-5</v>
      </c>
      <c r="Q77" s="185">
        <f>IFERROR(IF($C77="",-0.00001,SUMIFS(Database!S:S,Database!$E:$E,$C77,Database!$A:$A,$D$1)),-0.00001)</f>
        <v>-1.0000000000000001E-5</v>
      </c>
      <c r="R77" s="185">
        <f>IFERROR(IF($C77="",-0.00001,SUMIFS(Database!T:T,Database!$E:$E,$C77,Database!$A:$A,$D$1)),-0.00001)</f>
        <v>-1.0000000000000001E-5</v>
      </c>
      <c r="S77" s="186">
        <f t="shared" si="7"/>
        <v>-1.0000000000000001E-5</v>
      </c>
      <c r="T77" s="185">
        <f>IFERROR(IF($C77="",-0.00001,SUMIFS(Database!V:V,Database!$E:$E,$C77,Database!$A:$A,$D$1)),-0.00001)</f>
        <v>-1.0000000000000001E-5</v>
      </c>
      <c r="U77" s="185">
        <f>IFERROR(IF($C77="",-0.00001,SUMIFS(Database!W:W,Database!$E:$E,$C77,Database!$A:$A,$D$1)),-0.00001)</f>
        <v>-1.0000000000000001E-5</v>
      </c>
      <c r="V77" s="186">
        <f t="shared" si="8"/>
        <v>-1.0000000000000001E-5</v>
      </c>
      <c r="W77" s="187"/>
      <c r="X77" s="187"/>
      <c r="Y77" s="187"/>
      <c r="Z77" s="187"/>
      <c r="AA77" s="187"/>
      <c r="AB77" s="187"/>
      <c r="AC77" s="187"/>
      <c r="AD77" s="187"/>
      <c r="AE77" s="187"/>
    </row>
    <row r="78" spans="1:31" x14ac:dyDescent="0.25">
      <c r="A78" s="187"/>
      <c r="B78" s="187" t="str">
        <f>IF($C78="","",MAX($B$4:$B77)+1)</f>
        <v/>
      </c>
      <c r="C78" s="145"/>
      <c r="D78" s="183" t="str">
        <f>IFERROR(VLOOKUP($C78,Rosters!$C$4:$M$239,INDEX(Lists!$N$5:$O$80,MATCH($C78,Lists!$N$5:$N$80,FALSE),2)),"")</f>
        <v/>
      </c>
      <c r="E78" s="185">
        <f>IF($C78="",-0.00001,COUNTIFS(Database!E:E,$C78,Database!A:A,$D$1))</f>
        <v>-1.0000000000000001E-5</v>
      </c>
      <c r="F78" s="185">
        <f>IFERROR(IF($C78="",-0.00001,SUMIFS(Database!H:H,Database!$E:$E,$C78,Database!$A:$A,$D$1)),-0.00001)</f>
        <v>-1.0000000000000001E-5</v>
      </c>
      <c r="G78" s="185">
        <f>IFERROR(IF($C78="",-0.00001,SUMIFS(Database!I:I,Database!$E:$E,$C78,Database!$A:$A,$D$1)),-0.00001)</f>
        <v>-1.0000000000000001E-5</v>
      </c>
      <c r="H78" s="185">
        <f>IFERROR(IF($C78="",-0.00001,SUMIFS(Database!J:J,Database!$E:$E,$C78,Database!$A:$A,$D$1)),-0.00001)</f>
        <v>-1.0000000000000001E-5</v>
      </c>
      <c r="I78" s="185">
        <f>IFERROR(IF($C78="",-0.00001,SUMIFS(Database!K:K,Database!$E:$E,$C78,Database!$A:$A,$D$1)),-0.00001)</f>
        <v>-1.0000000000000001E-5</v>
      </c>
      <c r="J78" s="185">
        <f>IFERROR(IF($C78="",-0.00001,SUMIFS(Database!L:L,Database!$E:$E,$C78,Database!$A:$A,$D$1)),-0.00001)</f>
        <v>-1.0000000000000001E-5</v>
      </c>
      <c r="K78" s="185">
        <f>IFERROR(IF($C78="",-0.00001,SUMIFS(Database!M:M,Database!$E:$E,$C78,Database!$A:$A,$D$1)),-0.00001)</f>
        <v>-1.0000000000000001E-5</v>
      </c>
      <c r="L78" s="185">
        <f>IFERROR(IF($C78="",-0.00001,SUMIFS(Database!N:N,Database!$E:$E,$C78,Database!$A:$A,$D$1)),-0.00001)</f>
        <v>-1.0000000000000001E-5</v>
      </c>
      <c r="M78" s="185">
        <f>IFERROR(IF($C78="",-0.00001,SUMIFS(Database!O:O,Database!$E:$E,$C78,Database!$A:$A,$D$1)),-0.00001)</f>
        <v>-1.0000000000000001E-5</v>
      </c>
      <c r="N78" s="185">
        <f>IFERROR(IF($C78="",-0.00001,SUMIFS(Database!P:P,Database!$E:$E,$C78,Database!$A:$A,$D$1)),-0.00001)</f>
        <v>-1.0000000000000001E-5</v>
      </c>
      <c r="O78" s="185">
        <f>IFERROR(IF($C78="",-0.00001,SUMIFS(Database!Q:Q,Database!$E:$E,$C78,Database!$A:$A,$D$1)),-0.00001)</f>
        <v>-1.0000000000000001E-5</v>
      </c>
      <c r="P78" s="186">
        <f t="shared" si="6"/>
        <v>-1.0000000000000001E-5</v>
      </c>
      <c r="Q78" s="185">
        <f>IFERROR(IF($C78="",-0.00001,SUMIFS(Database!S:S,Database!$E:$E,$C78,Database!$A:$A,$D$1)),-0.00001)</f>
        <v>-1.0000000000000001E-5</v>
      </c>
      <c r="R78" s="185">
        <f>IFERROR(IF($C78="",-0.00001,SUMIFS(Database!T:T,Database!$E:$E,$C78,Database!$A:$A,$D$1)),-0.00001)</f>
        <v>-1.0000000000000001E-5</v>
      </c>
      <c r="S78" s="186">
        <f t="shared" si="7"/>
        <v>-1.0000000000000001E-5</v>
      </c>
      <c r="T78" s="185">
        <f>IFERROR(IF($C78="",-0.00001,SUMIFS(Database!V:V,Database!$E:$E,$C78,Database!$A:$A,$D$1)),-0.00001)</f>
        <v>-1.0000000000000001E-5</v>
      </c>
      <c r="U78" s="185">
        <f>IFERROR(IF($C78="",-0.00001,SUMIFS(Database!W:W,Database!$E:$E,$C78,Database!$A:$A,$D$1)),-0.00001)</f>
        <v>-1.0000000000000001E-5</v>
      </c>
      <c r="V78" s="186">
        <f t="shared" si="8"/>
        <v>-1.0000000000000001E-5</v>
      </c>
      <c r="W78" s="187"/>
      <c r="X78" s="187"/>
      <c r="Y78" s="187"/>
      <c r="Z78" s="187"/>
      <c r="AA78" s="187"/>
      <c r="AB78" s="187"/>
      <c r="AC78" s="187"/>
      <c r="AD78" s="187"/>
      <c r="AE78" s="187"/>
    </row>
    <row r="79" spans="1:31" x14ac:dyDescent="0.25">
      <c r="A79" s="187"/>
      <c r="B79" s="187" t="str">
        <f>IF($C79="","",MAX($B$4:$B78)+1)</f>
        <v/>
      </c>
      <c r="C79" s="145"/>
      <c r="D79" s="183" t="str">
        <f>IFERROR(VLOOKUP($C79,Rosters!$C$4:$M$239,INDEX(Lists!$N$5:$O$80,MATCH($C79,Lists!$N$5:$N$80,FALSE),2)),"")</f>
        <v/>
      </c>
      <c r="E79" s="185">
        <f>IF($C79="",-0.00001,COUNTIFS(Database!E:E,$C79,Database!A:A,$D$1))</f>
        <v>-1.0000000000000001E-5</v>
      </c>
      <c r="F79" s="185">
        <f>IFERROR(IF($C79="",-0.00001,SUMIFS(Database!H:H,Database!$E:$E,$C79,Database!$A:$A,$D$1)),-0.00001)</f>
        <v>-1.0000000000000001E-5</v>
      </c>
      <c r="G79" s="185">
        <f>IFERROR(IF($C79="",-0.00001,SUMIFS(Database!I:I,Database!$E:$E,$C79,Database!$A:$A,$D$1)),-0.00001)</f>
        <v>-1.0000000000000001E-5</v>
      </c>
      <c r="H79" s="185">
        <f>IFERROR(IF($C79="",-0.00001,SUMIFS(Database!J:J,Database!$E:$E,$C79,Database!$A:$A,$D$1)),-0.00001)</f>
        <v>-1.0000000000000001E-5</v>
      </c>
      <c r="I79" s="185">
        <f>IFERROR(IF($C79="",-0.00001,SUMIFS(Database!K:K,Database!$E:$E,$C79,Database!$A:$A,$D$1)),-0.00001)</f>
        <v>-1.0000000000000001E-5</v>
      </c>
      <c r="J79" s="185">
        <f>IFERROR(IF($C79="",-0.00001,SUMIFS(Database!L:L,Database!$E:$E,$C79,Database!$A:$A,$D$1)),-0.00001)</f>
        <v>-1.0000000000000001E-5</v>
      </c>
      <c r="K79" s="185">
        <f>IFERROR(IF($C79="",-0.00001,SUMIFS(Database!M:M,Database!$E:$E,$C79,Database!$A:$A,$D$1)),-0.00001)</f>
        <v>-1.0000000000000001E-5</v>
      </c>
      <c r="L79" s="185">
        <f>IFERROR(IF($C79="",-0.00001,SUMIFS(Database!N:N,Database!$E:$E,$C79,Database!$A:$A,$D$1)),-0.00001)</f>
        <v>-1.0000000000000001E-5</v>
      </c>
      <c r="M79" s="185">
        <f>IFERROR(IF($C79="",-0.00001,SUMIFS(Database!O:O,Database!$E:$E,$C79,Database!$A:$A,$D$1)),-0.00001)</f>
        <v>-1.0000000000000001E-5</v>
      </c>
      <c r="N79" s="185">
        <f>IFERROR(IF($C79="",-0.00001,SUMIFS(Database!P:P,Database!$E:$E,$C79,Database!$A:$A,$D$1)),-0.00001)</f>
        <v>-1.0000000000000001E-5</v>
      </c>
      <c r="O79" s="185">
        <f>IFERROR(IF($C79="",-0.00001,SUMIFS(Database!Q:Q,Database!$E:$E,$C79,Database!$A:$A,$D$1)),-0.00001)</f>
        <v>-1.0000000000000001E-5</v>
      </c>
      <c r="P79" s="186">
        <f t="shared" si="6"/>
        <v>-1.0000000000000001E-5</v>
      </c>
      <c r="Q79" s="185">
        <f>IFERROR(IF($C79="",-0.00001,SUMIFS(Database!S:S,Database!$E:$E,$C79,Database!$A:$A,$D$1)),-0.00001)</f>
        <v>-1.0000000000000001E-5</v>
      </c>
      <c r="R79" s="185">
        <f>IFERROR(IF($C79="",-0.00001,SUMIFS(Database!T:T,Database!$E:$E,$C79,Database!$A:$A,$D$1)),-0.00001)</f>
        <v>-1.0000000000000001E-5</v>
      </c>
      <c r="S79" s="186">
        <f t="shared" si="7"/>
        <v>-1.0000000000000001E-5</v>
      </c>
      <c r="T79" s="185">
        <f>IFERROR(IF($C79="",-0.00001,SUMIFS(Database!V:V,Database!$E:$E,$C79,Database!$A:$A,$D$1)),-0.00001)</f>
        <v>-1.0000000000000001E-5</v>
      </c>
      <c r="U79" s="185">
        <f>IFERROR(IF($C79="",-0.00001,SUMIFS(Database!W:W,Database!$E:$E,$C79,Database!$A:$A,$D$1)),-0.00001)</f>
        <v>-1.0000000000000001E-5</v>
      </c>
      <c r="V79" s="186">
        <f t="shared" si="8"/>
        <v>-1.0000000000000001E-5</v>
      </c>
      <c r="W79" s="187"/>
      <c r="X79" s="187"/>
      <c r="Y79" s="187"/>
      <c r="Z79" s="187"/>
      <c r="AA79" s="187"/>
      <c r="AB79" s="187"/>
      <c r="AC79" s="187"/>
      <c r="AD79" s="187"/>
      <c r="AE79" s="187"/>
    </row>
    <row r="80" spans="1:31" x14ac:dyDescent="0.25">
      <c r="A80" s="187"/>
      <c r="B80" s="187" t="str">
        <f>IF($C80="","",MAX($B$4:$B79)+1)</f>
        <v/>
      </c>
      <c r="C80" s="145"/>
      <c r="D80" s="183" t="str">
        <f>IFERROR(VLOOKUP($C80,Rosters!$C$4:$M$239,INDEX(Lists!$N$5:$O$80,MATCH($C80,Lists!$N$5:$N$80,FALSE),2)),"")</f>
        <v/>
      </c>
      <c r="E80" s="185">
        <f>IF($C80="",-0.00001,COUNTIFS(Database!E:E,$C80,Database!A:A,$D$1))</f>
        <v>-1.0000000000000001E-5</v>
      </c>
      <c r="F80" s="185">
        <f>IFERROR(IF($C80="",-0.00001,SUMIFS(Database!H:H,Database!$E:$E,$C80,Database!$A:$A,$D$1)),-0.00001)</f>
        <v>-1.0000000000000001E-5</v>
      </c>
      <c r="G80" s="185">
        <f>IFERROR(IF($C80="",-0.00001,SUMIFS(Database!I:I,Database!$E:$E,$C80,Database!$A:$A,$D$1)),-0.00001)</f>
        <v>-1.0000000000000001E-5</v>
      </c>
      <c r="H80" s="185">
        <f>IFERROR(IF($C80="",-0.00001,SUMIFS(Database!J:J,Database!$E:$E,$C80,Database!$A:$A,$D$1)),-0.00001)</f>
        <v>-1.0000000000000001E-5</v>
      </c>
      <c r="I80" s="185">
        <f>IFERROR(IF($C80="",-0.00001,SUMIFS(Database!K:K,Database!$E:$E,$C80,Database!$A:$A,$D$1)),-0.00001)</f>
        <v>-1.0000000000000001E-5</v>
      </c>
      <c r="J80" s="185">
        <f>IFERROR(IF($C80="",-0.00001,SUMIFS(Database!L:L,Database!$E:$E,$C80,Database!$A:$A,$D$1)),-0.00001)</f>
        <v>-1.0000000000000001E-5</v>
      </c>
      <c r="K80" s="185">
        <f>IFERROR(IF($C80="",-0.00001,SUMIFS(Database!M:M,Database!$E:$E,$C80,Database!$A:$A,$D$1)),-0.00001)</f>
        <v>-1.0000000000000001E-5</v>
      </c>
      <c r="L80" s="185">
        <f>IFERROR(IF($C80="",-0.00001,SUMIFS(Database!N:N,Database!$E:$E,$C80,Database!$A:$A,$D$1)),-0.00001)</f>
        <v>-1.0000000000000001E-5</v>
      </c>
      <c r="M80" s="185">
        <f>IFERROR(IF($C80="",-0.00001,SUMIFS(Database!O:O,Database!$E:$E,$C80,Database!$A:$A,$D$1)),-0.00001)</f>
        <v>-1.0000000000000001E-5</v>
      </c>
      <c r="N80" s="185">
        <f>IFERROR(IF($C80="",-0.00001,SUMIFS(Database!P:P,Database!$E:$E,$C80,Database!$A:$A,$D$1)),-0.00001)</f>
        <v>-1.0000000000000001E-5</v>
      </c>
      <c r="O80" s="185">
        <f>IFERROR(IF($C80="",-0.00001,SUMIFS(Database!Q:Q,Database!$E:$E,$C80,Database!$A:$A,$D$1)),-0.00001)</f>
        <v>-1.0000000000000001E-5</v>
      </c>
      <c r="P80" s="186">
        <f t="shared" si="6"/>
        <v>-1.0000000000000001E-5</v>
      </c>
      <c r="Q80" s="185">
        <f>IFERROR(IF($C80="",-0.00001,SUMIFS(Database!S:S,Database!$E:$E,$C80,Database!$A:$A,$D$1)),-0.00001)</f>
        <v>-1.0000000000000001E-5</v>
      </c>
      <c r="R80" s="185">
        <f>IFERROR(IF($C80="",-0.00001,SUMIFS(Database!T:T,Database!$E:$E,$C80,Database!$A:$A,$D$1)),-0.00001)</f>
        <v>-1.0000000000000001E-5</v>
      </c>
      <c r="S80" s="186">
        <f t="shared" si="7"/>
        <v>-1.0000000000000001E-5</v>
      </c>
      <c r="T80" s="185">
        <f>IFERROR(IF($C80="",-0.00001,SUMIFS(Database!V:V,Database!$E:$E,$C80,Database!$A:$A,$D$1)),-0.00001)</f>
        <v>-1.0000000000000001E-5</v>
      </c>
      <c r="U80" s="185">
        <f>IFERROR(IF($C80="",-0.00001,SUMIFS(Database!W:W,Database!$E:$E,$C80,Database!$A:$A,$D$1)),-0.00001)</f>
        <v>-1.0000000000000001E-5</v>
      </c>
      <c r="V80" s="186">
        <f t="shared" si="8"/>
        <v>-1.0000000000000001E-5</v>
      </c>
      <c r="W80" s="187"/>
      <c r="X80" s="187"/>
      <c r="Y80" s="187"/>
      <c r="Z80" s="187"/>
      <c r="AA80" s="187"/>
      <c r="AB80" s="187"/>
      <c r="AC80" s="187"/>
      <c r="AD80" s="187"/>
      <c r="AE80" s="187"/>
    </row>
    <row r="81" spans="1:31" x14ac:dyDescent="0.25">
      <c r="A81" s="187"/>
      <c r="B81" s="187"/>
      <c r="C81" s="187"/>
      <c r="D81" s="187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90"/>
      <c r="Q81" s="189"/>
      <c r="R81" s="189"/>
      <c r="S81" s="190"/>
      <c r="T81" s="189"/>
      <c r="U81" s="189"/>
      <c r="V81" s="190"/>
      <c r="W81" s="187"/>
      <c r="X81" s="187"/>
      <c r="Y81" s="187"/>
      <c r="Z81" s="187"/>
      <c r="AA81" s="187"/>
      <c r="AB81" s="187"/>
      <c r="AC81" s="187"/>
      <c r="AD81" s="187"/>
      <c r="AE81" s="187"/>
    </row>
    <row r="82" spans="1:31" x14ac:dyDescent="0.25">
      <c r="A82" s="187"/>
      <c r="B82" s="187"/>
      <c r="C82" s="187"/>
      <c r="D82" s="187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90"/>
      <c r="Q82" s="189"/>
      <c r="R82" s="189"/>
      <c r="S82" s="190"/>
      <c r="T82" s="189"/>
      <c r="U82" s="189"/>
      <c r="V82" s="190"/>
      <c r="W82" s="187"/>
      <c r="X82" s="187"/>
      <c r="Y82" s="187"/>
      <c r="Z82" s="187"/>
      <c r="AA82" s="187"/>
      <c r="AB82" s="187"/>
      <c r="AC82" s="187"/>
      <c r="AD82" s="187"/>
      <c r="AE82" s="187"/>
    </row>
  </sheetData>
  <sheetProtection algorithmName="SHA-512" hashValue="o8IowuDWRnAWXrxUiJya1cI6IyTEfe8TLgHEIqT9tUJFb0rFwfNbAy7PtzN0IHFjs4rOz60PcJZWZ4/Fa7s2Xw==" saltValue="gxNQQzVPCo9QtoPdze9pBA==" spinCount="100000" sheet="1" objects="1" scenarios="1" selectLockedCells="1"/>
  <conditionalFormatting sqref="E4:V80">
    <cfRule type="cellIs" dxfId="24" priority="1" operator="equal">
      <formula>-0.00001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Input Error" error="Season was not entered correctly. Please enter by typing &quot;Season&quot; follwed by the number. ie) Season 1" promptTitle="Enter Season" xr:uid="{00000000-0002-0000-0700-000000000000}">
          <x14:formula1>
            <xm:f>Lists!$Q$5:$Q$14</xm:f>
          </x14:formula1>
          <xm:sqref>D1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00B0F0"/>
  </sheetPr>
  <dimension ref="A1:AE254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" sqref="C4"/>
    </sheetView>
  </sheetViews>
  <sheetFormatPr defaultColWidth="8.85546875" defaultRowHeight="15" x14ac:dyDescent="0.25"/>
  <cols>
    <col min="1" max="2" width="2.85546875" customWidth="1"/>
    <col min="3" max="3" width="18.7109375" bestFit="1" customWidth="1"/>
    <col min="4" max="4" width="19.42578125" bestFit="1" customWidth="1"/>
    <col min="5" max="15" width="7.85546875" style="1" customWidth="1"/>
    <col min="16" max="16" width="7.85546875" style="105" customWidth="1"/>
    <col min="17" max="18" width="7.85546875" style="1" customWidth="1"/>
    <col min="19" max="19" width="7.85546875" style="105" customWidth="1"/>
    <col min="20" max="21" width="7.85546875" style="1" customWidth="1"/>
    <col min="22" max="22" width="7.85546875" style="105" customWidth="1"/>
  </cols>
  <sheetData>
    <row r="1" spans="1:31" ht="60" customHeight="1" x14ac:dyDescent="0.4">
      <c r="A1" s="187"/>
      <c r="B1" s="187"/>
      <c r="C1" s="437" t="s">
        <v>139</v>
      </c>
      <c r="D1" s="437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90"/>
      <c r="Q1" s="189"/>
      <c r="R1" s="189"/>
      <c r="S1" s="190"/>
      <c r="T1" s="189"/>
      <c r="U1" s="189"/>
      <c r="V1" s="190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 x14ac:dyDescent="0.25">
      <c r="A2" s="187"/>
      <c r="B2" s="187"/>
      <c r="C2" s="187"/>
      <c r="D2" s="187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90" t="s">
        <v>154</v>
      </c>
      <c r="Q2" s="189"/>
      <c r="R2" s="189"/>
      <c r="S2" s="190"/>
      <c r="T2" s="189"/>
      <c r="U2" s="189"/>
      <c r="V2" s="190"/>
      <c r="W2" s="187"/>
      <c r="X2" s="187"/>
      <c r="Y2" s="187"/>
      <c r="Z2" s="187"/>
      <c r="AA2" s="187"/>
      <c r="AB2" s="187"/>
      <c r="AC2" s="187"/>
      <c r="AD2" s="187"/>
      <c r="AE2" s="187"/>
    </row>
    <row r="3" spans="1:31" s="178" customFormat="1" ht="32.25" thickBot="1" x14ac:dyDescent="0.3">
      <c r="A3" s="188"/>
      <c r="B3" s="188"/>
      <c r="C3" s="179" t="s">
        <v>0</v>
      </c>
      <c r="D3" s="180" t="s">
        <v>70</v>
      </c>
      <c r="E3" s="180" t="s">
        <v>71</v>
      </c>
      <c r="F3" s="180" t="s">
        <v>72</v>
      </c>
      <c r="G3" s="180" t="s">
        <v>73</v>
      </c>
      <c r="H3" s="180" t="s">
        <v>74</v>
      </c>
      <c r="I3" s="180" t="s">
        <v>75</v>
      </c>
      <c r="J3" s="180" t="s">
        <v>76</v>
      </c>
      <c r="K3" s="180" t="s">
        <v>77</v>
      </c>
      <c r="L3" s="180" t="s">
        <v>78</v>
      </c>
      <c r="M3" s="180" t="s">
        <v>79</v>
      </c>
      <c r="N3" s="180" t="s">
        <v>80</v>
      </c>
      <c r="O3" s="180" t="s">
        <v>124</v>
      </c>
      <c r="P3" s="181" t="s">
        <v>82</v>
      </c>
      <c r="Q3" s="180" t="s">
        <v>125</v>
      </c>
      <c r="R3" s="180" t="s">
        <v>126</v>
      </c>
      <c r="S3" s="181" t="s">
        <v>85</v>
      </c>
      <c r="T3" s="180" t="s">
        <v>127</v>
      </c>
      <c r="U3" s="180" t="s">
        <v>128</v>
      </c>
      <c r="V3" s="182" t="s">
        <v>88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7"/>
      <c r="B4" s="187">
        <v>1</v>
      </c>
      <c r="C4" s="183" t="s">
        <v>17</v>
      </c>
      <c r="D4" s="184" t="str">
        <f>VLOOKUP($C4,Rosters!$C$4:$M$239,Lists!$O23,FALSE)</f>
        <v>Pistons</v>
      </c>
      <c r="E4" s="185">
        <f>IF($C4="",-0.00001,MAX(SUMIFS(Database!G:G,Database!$E:$E,$C4)))</f>
        <v>4</v>
      </c>
      <c r="F4" s="185">
        <f>IFERROR(IF($C4="",-0.00001,SUMIFS(Database!H:H,Database!$E:$E,$C4)),-0.00001)</f>
        <v>12</v>
      </c>
      <c r="G4" s="185">
        <f>IFERROR(IF($C4="",-0.00001,SUMIFS(Database!I:I,Database!$E:$E,$C4)),-0.00001)</f>
        <v>33</v>
      </c>
      <c r="H4" s="185">
        <f>IFERROR(IF($C4="",-0.00001,SUMIFS(Database!J:J,Database!$E:$E,$C4)),-0.00001)</f>
        <v>1</v>
      </c>
      <c r="I4" s="185">
        <f>IFERROR(IF($C4="",-0.00001,SUMIFS(Database!K:K,Database!$E:$E,$C4)),-0.00001)</f>
        <v>3</v>
      </c>
      <c r="J4" s="185">
        <f>IFERROR(IF($C4="",-0.00001,SUMIFS(Database!L:L,Database!$E:$E,$C4)),-0.00001)</f>
        <v>2</v>
      </c>
      <c r="K4" s="185">
        <f>IFERROR(IF($C4="",-0.00001,SUMIFS(Database!M:M,Database!$E:$E,$C4)),-0.00001)</f>
        <v>5</v>
      </c>
      <c r="L4" s="185">
        <f>IFERROR(IF($C4="",-0.00001,SUMIFS(Database!N:N,Database!$E:$E,$C4)),-0.00001)</f>
        <v>2</v>
      </c>
      <c r="M4" s="185">
        <f>IFERROR(IF($C4="",-0.00001,SUMIFS(Database!O:O,Database!$E:$E,$C4)),-0.00001)</f>
        <v>31</v>
      </c>
      <c r="N4" s="185">
        <f>IFERROR(IF($C4="",-0.00001,SUMIFS(Database!P:P,Database!$E:$E,$C4)),-0.00001)</f>
        <v>0</v>
      </c>
      <c r="O4" s="185">
        <f>IFERROR(IF($C4="",-0.00001,SUMIFS(Database!Q:Q,Database!$E:$E,$C4)),-0.00001)</f>
        <v>6</v>
      </c>
      <c r="P4" s="186">
        <f t="shared" ref="P4:P67" si="0">IFERROR(IF($C4="",-0.00001,$N4/$O4),-0.00001)</f>
        <v>0</v>
      </c>
      <c r="Q4" s="185">
        <f>IFERROR(IF($C4="",-0.00001,SUMIFS(Database!S:S,Database!$E:$E,$C4)),-0.00001)</f>
        <v>6</v>
      </c>
      <c r="R4" s="185">
        <f>IFERROR(IF($C4="",-0.00001,SUMIFS(Database!T:T,Database!$E:$E,$C4)),-0.00001)</f>
        <v>19</v>
      </c>
      <c r="S4" s="186">
        <f t="shared" ref="S4:S67" si="1">IFERROR(IF($C4="",-0.00001,$Q4/$R4),-0.00001)</f>
        <v>0.31578947368421051</v>
      </c>
      <c r="T4" s="185">
        <f>IFERROR(IF($C4="",-0.00001,SUMIFS(Database!V:V,Database!$E:$E,$C4)),-0.00001)</f>
        <v>0</v>
      </c>
      <c r="U4" s="185">
        <f>IFERROR(IF($C4="",-0.00001,SUMIFS(Database!W:W,Database!$E:$E,$C4)),-0.00001)</f>
        <v>0</v>
      </c>
      <c r="V4" s="186">
        <f t="shared" ref="V4:V67" si="2">IFERROR(IF($C4="",-0.00001,$T4/$U4),-0.00001)</f>
        <v>-1.0000000000000001E-5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187"/>
      <c r="B5" s="187">
        <f>IF($C5="","",MAX($B$4:$B4)+1)</f>
        <v>2</v>
      </c>
      <c r="C5" s="183" t="s">
        <v>20</v>
      </c>
      <c r="D5" s="183" t="str">
        <f>VLOOKUP($C5,Rosters!$C$4:$M$239,Lists!$O6,FALSE)</f>
        <v>Lightning</v>
      </c>
      <c r="E5" s="185">
        <f>IF($C5="",-0.00001,COUNTIF(Database!E:E,$C5))</f>
        <v>4</v>
      </c>
      <c r="F5" s="185">
        <f>IFERROR(IF($C5="",-0.00001,SUMIFS(Database!H:H,Database!$E:$E,$C5)),-0.00001)</f>
        <v>62</v>
      </c>
      <c r="G5" s="185">
        <f>IFERROR(IF($C5="",-0.00001,SUMIFS(Database!I:I,Database!$E:$E,$C5)),-0.00001)</f>
        <v>21</v>
      </c>
      <c r="H5" s="185">
        <f>IFERROR(IF($C5="",-0.00001,SUMIFS(Database!J:J,Database!$E:$E,$C5)),-0.00001)</f>
        <v>8</v>
      </c>
      <c r="I5" s="185">
        <f>IFERROR(IF($C5="",-0.00001,SUMIFS(Database!K:K,Database!$E:$E,$C5)),-0.00001)</f>
        <v>8</v>
      </c>
      <c r="J5" s="185">
        <f>IFERROR(IF($C5="",-0.00001,SUMIFS(Database!L:L,Database!$E:$E,$C5)),-0.00001)</f>
        <v>1</v>
      </c>
      <c r="K5" s="185">
        <f>IFERROR(IF($C5="",-0.00001,SUMIFS(Database!M:M,Database!$E:$E,$C5)),-0.00001)</f>
        <v>3</v>
      </c>
      <c r="L5" s="185">
        <f>IFERROR(IF($C5="",-0.00001,SUMIFS(Database!N:N,Database!$E:$E,$C5)),-0.00001)</f>
        <v>8</v>
      </c>
      <c r="M5" s="185">
        <f>IFERROR(IF($C5="",-0.00001,SUMIFS(Database!O:O,Database!$E:$E,$C5)),-0.00001)</f>
        <v>13</v>
      </c>
      <c r="N5" s="185">
        <f>IFERROR(IF($C5="",-0.00001,SUMIFS(Database!P:P,Database!$E:$E,$C5)),-0.00001)</f>
        <v>7</v>
      </c>
      <c r="O5" s="185">
        <f>IFERROR(IF($C5="",-0.00001,SUMIFS(Database!Q:Q,Database!$E:$E,$C5)),-0.00001)</f>
        <v>25</v>
      </c>
      <c r="P5" s="186">
        <f t="shared" si="0"/>
        <v>0.28000000000000003</v>
      </c>
      <c r="Q5" s="185">
        <f>IFERROR(IF($C5="",-0.00001,SUMIFS(Database!S:S,Database!$E:$E,$C5)),-0.00001)</f>
        <v>27</v>
      </c>
      <c r="R5" s="185">
        <f>IFERROR(IF($C5="",-0.00001,SUMIFS(Database!T:T,Database!$E:$E,$C5)),-0.00001)</f>
        <v>70</v>
      </c>
      <c r="S5" s="186">
        <f t="shared" si="1"/>
        <v>0.38571428571428573</v>
      </c>
      <c r="T5" s="185">
        <f>IFERROR(IF($C5="",-0.00001,SUMIFS(Database!V:V,Database!$E:$E,$C5)),-0.00001)</f>
        <v>1</v>
      </c>
      <c r="U5" s="185">
        <f>IFERROR(IF($C5="",-0.00001,SUMIFS(Database!W:W,Database!$E:$E,$C5)),-0.00001)</f>
        <v>1</v>
      </c>
      <c r="V5" s="186">
        <f t="shared" si="2"/>
        <v>1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187"/>
      <c r="B6" s="187">
        <f>IF($C6="","",MAX($B$4:$B5)+1)</f>
        <v>3</v>
      </c>
      <c r="C6" s="183" t="s">
        <v>14</v>
      </c>
      <c r="D6" s="183" t="str">
        <f>VLOOKUP($C6,Rosters!$C$4:$M$239,Lists!$O22,FALSE)</f>
        <v>Pistons</v>
      </c>
      <c r="E6" s="185">
        <f>IF($C6="",-0.00001,COUNTIF(Database!E:E,$C6))</f>
        <v>3</v>
      </c>
      <c r="F6" s="185">
        <f>IFERROR(IF($C6="",-0.00001,SUMIFS(Database!H:H,Database!$E:$E,$C6)),-0.00001)</f>
        <v>42</v>
      </c>
      <c r="G6" s="185">
        <f>IFERROR(IF($C6="",-0.00001,SUMIFS(Database!I:I,Database!$E:$E,$C6)),-0.00001)</f>
        <v>22</v>
      </c>
      <c r="H6" s="185">
        <f>IFERROR(IF($C6="",-0.00001,SUMIFS(Database!J:J,Database!$E:$E,$C6)),-0.00001)</f>
        <v>5</v>
      </c>
      <c r="I6" s="185">
        <f>IFERROR(IF($C6="",-0.00001,SUMIFS(Database!K:K,Database!$E:$E,$C6)),-0.00001)</f>
        <v>3</v>
      </c>
      <c r="J6" s="185">
        <f>IFERROR(IF($C6="",-0.00001,SUMIFS(Database!L:L,Database!$E:$E,$C6)),-0.00001)</f>
        <v>1</v>
      </c>
      <c r="K6" s="185">
        <f>IFERROR(IF($C6="",-0.00001,SUMIFS(Database!M:M,Database!$E:$E,$C6)),-0.00001)</f>
        <v>2</v>
      </c>
      <c r="L6" s="185">
        <f>IFERROR(IF($C6="",-0.00001,SUMIFS(Database!N:N,Database!$E:$E,$C6)),-0.00001)</f>
        <v>7</v>
      </c>
      <c r="M6" s="185">
        <f>IFERROR(IF($C6="",-0.00001,SUMIFS(Database!O:O,Database!$E:$E,$C6)),-0.00001)</f>
        <v>15</v>
      </c>
      <c r="N6" s="185">
        <f>IFERROR(IF($C6="",-0.00001,SUMIFS(Database!P:P,Database!$E:$E,$C6)),-0.00001)</f>
        <v>10</v>
      </c>
      <c r="O6" s="185">
        <f>IFERROR(IF($C6="",-0.00001,SUMIFS(Database!Q:Q,Database!$E:$E,$C6)),-0.00001)</f>
        <v>33</v>
      </c>
      <c r="P6" s="186">
        <f t="shared" si="0"/>
        <v>0.30303030303030304</v>
      </c>
      <c r="Q6" s="185">
        <f>IFERROR(IF($C6="",-0.00001,SUMIFS(Database!S:S,Database!$E:$E,$C6)),-0.00001)</f>
        <v>16</v>
      </c>
      <c r="R6" s="185">
        <f>IFERROR(IF($C6="",-0.00001,SUMIFS(Database!T:T,Database!$E:$E,$C6)),-0.00001)</f>
        <v>52</v>
      </c>
      <c r="S6" s="186">
        <f t="shared" si="1"/>
        <v>0.30769230769230771</v>
      </c>
      <c r="T6" s="185">
        <f>IFERROR(IF($C6="",-0.00001,SUMIFS(Database!V:V,Database!$E:$E,$C6)),-0.00001)</f>
        <v>0</v>
      </c>
      <c r="U6" s="185">
        <f>IFERROR(IF($C6="",-0.00001,SUMIFS(Database!W:W,Database!$E:$E,$C6)),-0.00001)</f>
        <v>1</v>
      </c>
      <c r="V6" s="186">
        <f t="shared" si="2"/>
        <v>0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187"/>
      <c r="B7" s="187">
        <f>IF($C7="","",MAX($B$4:$B6)+1)</f>
        <v>4</v>
      </c>
      <c r="C7" s="183" t="s">
        <v>24</v>
      </c>
      <c r="D7" s="183" t="str">
        <f>VLOOKUP($C7,Rosters!$C$4:$M$239,Lists!$O25,FALSE)</f>
        <v>Lightning</v>
      </c>
      <c r="E7" s="185">
        <f>IF($C7="",-0.00001,COUNTIF(Database!E:E,$C7))</f>
        <v>10</v>
      </c>
      <c r="F7" s="185">
        <f>IFERROR(IF($C7="",-0.00001,SUMIFS(Database!H:H,Database!$E:$E,$C7)),-0.00001)</f>
        <v>48</v>
      </c>
      <c r="G7" s="185">
        <f>IFERROR(IF($C7="",-0.00001,SUMIFS(Database!I:I,Database!$E:$E,$C7)),-0.00001)</f>
        <v>36</v>
      </c>
      <c r="H7" s="185">
        <f>IFERROR(IF($C7="",-0.00001,SUMIFS(Database!J:J,Database!$E:$E,$C7)),-0.00001)</f>
        <v>10</v>
      </c>
      <c r="I7" s="185">
        <f>IFERROR(IF($C7="",-0.00001,SUMIFS(Database!K:K,Database!$E:$E,$C7)),-0.00001)</f>
        <v>4</v>
      </c>
      <c r="J7" s="185">
        <f>IFERROR(IF($C7="",-0.00001,SUMIFS(Database!L:L,Database!$E:$E,$C7)),-0.00001)</f>
        <v>1</v>
      </c>
      <c r="K7" s="185">
        <f>IFERROR(IF($C7="",-0.00001,SUMIFS(Database!M:M,Database!$E:$E,$C7)),-0.00001)</f>
        <v>15</v>
      </c>
      <c r="L7" s="185">
        <f>IFERROR(IF($C7="",-0.00001,SUMIFS(Database!N:N,Database!$E:$E,$C7)),-0.00001)</f>
        <v>11</v>
      </c>
      <c r="M7" s="185">
        <f>IFERROR(IF($C7="",-0.00001,SUMIFS(Database!O:O,Database!$E:$E,$C7)),-0.00001)</f>
        <v>25</v>
      </c>
      <c r="N7" s="185">
        <f>IFERROR(IF($C7="",-0.00001,SUMIFS(Database!P:P,Database!$E:$E,$C7)),-0.00001)</f>
        <v>0</v>
      </c>
      <c r="O7" s="185">
        <f>IFERROR(IF($C7="",-0.00001,SUMIFS(Database!Q:Q,Database!$E:$E,$C7)),-0.00001)</f>
        <v>0</v>
      </c>
      <c r="P7" s="186">
        <f t="shared" si="0"/>
        <v>-1.0000000000000001E-5</v>
      </c>
      <c r="Q7" s="185">
        <f>IFERROR(IF($C7="",-0.00001,SUMIFS(Database!S:S,Database!$E:$E,$C7)),-0.00001)</f>
        <v>25</v>
      </c>
      <c r="R7" s="185">
        <f>IFERROR(IF($C7="",-0.00001,SUMIFS(Database!T:T,Database!$E:$E,$C7)),-0.00001)</f>
        <v>49</v>
      </c>
      <c r="S7" s="186">
        <f t="shared" si="1"/>
        <v>0.51020408163265307</v>
      </c>
      <c r="T7" s="185">
        <f>IFERROR(IF($C7="",-0.00001,SUMIFS(Database!V:V,Database!$E:$E,$C7)),-0.00001)</f>
        <v>0</v>
      </c>
      <c r="U7" s="185">
        <f>IFERROR(IF($C7="",-0.00001,SUMIFS(Database!W:W,Database!$E:$E,$C7)),-0.00001)</f>
        <v>9</v>
      </c>
      <c r="V7" s="186">
        <f t="shared" si="2"/>
        <v>0</v>
      </c>
      <c r="W7" s="187"/>
      <c r="X7" s="187"/>
      <c r="Y7" s="187"/>
      <c r="Z7" s="187"/>
      <c r="AA7" s="187"/>
      <c r="AB7" s="187"/>
      <c r="AC7" s="187"/>
      <c r="AD7" s="187"/>
      <c r="AE7" s="187"/>
    </row>
    <row r="8" spans="1:31" x14ac:dyDescent="0.25">
      <c r="A8" s="187"/>
      <c r="B8" s="187">
        <f>IF($C8="","",MAX($B$4:$B7)+1)</f>
        <v>5</v>
      </c>
      <c r="C8" s="183" t="s">
        <v>26</v>
      </c>
      <c r="D8" s="183" t="str">
        <f>VLOOKUP($C8,Rosters!$C$4:$M$239,Lists!$O9,FALSE)</f>
        <v>Hoopers</v>
      </c>
      <c r="E8" s="185">
        <f>IF($C8="",-0.00001,COUNTIF(Database!E:E,$C8))</f>
        <v>4</v>
      </c>
      <c r="F8" s="185">
        <f>IFERROR(IF($C8="",-0.00001,SUMIFS(Database!H:H,Database!$E:$E,$C8)),-0.00001)</f>
        <v>78</v>
      </c>
      <c r="G8" s="185">
        <f>IFERROR(IF($C8="",-0.00001,SUMIFS(Database!I:I,Database!$E:$E,$C8)),-0.00001)</f>
        <v>27</v>
      </c>
      <c r="H8" s="185">
        <f>IFERROR(IF($C8="",-0.00001,SUMIFS(Database!J:J,Database!$E:$E,$C8)),-0.00001)</f>
        <v>8</v>
      </c>
      <c r="I8" s="185">
        <f>IFERROR(IF($C8="",-0.00001,SUMIFS(Database!K:K,Database!$E:$E,$C8)),-0.00001)</f>
        <v>2</v>
      </c>
      <c r="J8" s="185">
        <f>IFERROR(IF($C8="",-0.00001,SUMIFS(Database!L:L,Database!$E:$E,$C8)),-0.00001)</f>
        <v>0</v>
      </c>
      <c r="K8" s="185">
        <f>IFERROR(IF($C8="",-0.00001,SUMIFS(Database!M:M,Database!$E:$E,$C8)),-0.00001)</f>
        <v>4</v>
      </c>
      <c r="L8" s="185">
        <f>IFERROR(IF($C8="",-0.00001,SUMIFS(Database!N:N,Database!$E:$E,$C8)),-0.00001)</f>
        <v>13</v>
      </c>
      <c r="M8" s="185">
        <f>IFERROR(IF($C8="",-0.00001,SUMIFS(Database!O:O,Database!$E:$E,$C8)),-0.00001)</f>
        <v>14</v>
      </c>
      <c r="N8" s="185">
        <f>IFERROR(IF($C8="",-0.00001,SUMIFS(Database!P:P,Database!$E:$E,$C8)),-0.00001)</f>
        <v>15</v>
      </c>
      <c r="O8" s="185">
        <f>IFERROR(IF($C8="",-0.00001,SUMIFS(Database!Q:Q,Database!$E:$E,$C8)),-0.00001)</f>
        <v>42</v>
      </c>
      <c r="P8" s="186">
        <f t="shared" si="0"/>
        <v>0.35714285714285715</v>
      </c>
      <c r="Q8" s="185">
        <f>IFERROR(IF($C8="",-0.00001,SUMIFS(Database!S:S,Database!$E:$E,$C8)),-0.00001)</f>
        <v>30</v>
      </c>
      <c r="R8" s="185">
        <f>IFERROR(IF($C8="",-0.00001,SUMIFS(Database!T:T,Database!$E:$E,$C8)),-0.00001)</f>
        <v>88</v>
      </c>
      <c r="S8" s="186">
        <f t="shared" si="1"/>
        <v>0.34090909090909088</v>
      </c>
      <c r="T8" s="185">
        <f>IFERROR(IF($C8="",-0.00001,SUMIFS(Database!V:V,Database!$E:$E,$C8)),-0.00001)</f>
        <v>3</v>
      </c>
      <c r="U8" s="185">
        <f>IFERROR(IF($C8="",-0.00001,SUMIFS(Database!W:W,Database!$E:$E,$C8)),-0.00001)</f>
        <v>4</v>
      </c>
      <c r="V8" s="186">
        <f t="shared" si="2"/>
        <v>0.75</v>
      </c>
      <c r="W8" s="187"/>
      <c r="X8" s="187"/>
      <c r="Y8" s="187"/>
      <c r="Z8" s="187"/>
      <c r="AA8" s="187"/>
      <c r="AB8" s="187"/>
      <c r="AC8" s="187"/>
      <c r="AD8" s="187"/>
      <c r="AE8" s="187"/>
    </row>
    <row r="9" spans="1:31" x14ac:dyDescent="0.25">
      <c r="A9" s="187"/>
      <c r="B9" s="187">
        <f>IF($C9="","",MAX($B$4:$B8)+1)</f>
        <v>6</v>
      </c>
      <c r="C9" s="183" t="s">
        <v>33</v>
      </c>
      <c r="D9" s="183" t="str">
        <f>VLOOKUP($C9,Rosters!$C$4:$M$239,Lists!$O21,FALSE)</f>
        <v>Vandals</v>
      </c>
      <c r="E9" s="185">
        <f>IF($C9="",-0.00001,COUNTIF(Database!E:E,$C9))</f>
        <v>4</v>
      </c>
      <c r="F9" s="185">
        <f>IFERROR(IF($C9="",-0.00001,SUMIFS(Database!H:H,Database!$E:$E,$C9)),-0.00001)</f>
        <v>51</v>
      </c>
      <c r="G9" s="185">
        <f>IFERROR(IF($C9="",-0.00001,SUMIFS(Database!I:I,Database!$E:$E,$C9)),-0.00001)</f>
        <v>59</v>
      </c>
      <c r="H9" s="185">
        <f>IFERROR(IF($C9="",-0.00001,SUMIFS(Database!J:J,Database!$E:$E,$C9)),-0.00001)</f>
        <v>10</v>
      </c>
      <c r="I9" s="185">
        <f>IFERROR(IF($C9="",-0.00001,SUMIFS(Database!K:K,Database!$E:$E,$C9)),-0.00001)</f>
        <v>19</v>
      </c>
      <c r="J9" s="185">
        <f>IFERROR(IF($C9="",-0.00001,SUMIFS(Database!L:L,Database!$E:$E,$C9)),-0.00001)</f>
        <v>4</v>
      </c>
      <c r="K9" s="185">
        <f>IFERROR(IF($C9="",-0.00001,SUMIFS(Database!M:M,Database!$E:$E,$C9)),-0.00001)</f>
        <v>14</v>
      </c>
      <c r="L9" s="185">
        <f>IFERROR(IF($C9="",-0.00001,SUMIFS(Database!N:N,Database!$E:$E,$C9)),-0.00001)</f>
        <v>7</v>
      </c>
      <c r="M9" s="185">
        <f>IFERROR(IF($C9="",-0.00001,SUMIFS(Database!O:O,Database!$E:$E,$C9)),-0.00001)</f>
        <v>41</v>
      </c>
      <c r="N9" s="185">
        <f>IFERROR(IF($C9="",-0.00001,SUMIFS(Database!P:P,Database!$E:$E,$C9)),-0.00001)</f>
        <v>6</v>
      </c>
      <c r="O9" s="185">
        <f>IFERROR(IF($C9="",-0.00001,SUMIFS(Database!Q:Q,Database!$E:$E,$C9)),-0.00001)</f>
        <v>24</v>
      </c>
      <c r="P9" s="186">
        <f t="shared" si="0"/>
        <v>0.25</v>
      </c>
      <c r="Q9" s="185">
        <f>IFERROR(IF($C9="",-0.00001,SUMIFS(Database!S:S,Database!$E:$E,$C9)),-0.00001)</f>
        <v>22</v>
      </c>
      <c r="R9" s="185">
        <f>IFERROR(IF($C9="",-0.00001,SUMIFS(Database!T:T,Database!$E:$E,$C9)),-0.00001)</f>
        <v>63</v>
      </c>
      <c r="S9" s="186">
        <f t="shared" si="1"/>
        <v>0.34920634920634919</v>
      </c>
      <c r="T9" s="185">
        <f>IFERROR(IF($C9="",-0.00001,SUMIFS(Database!V:V,Database!$E:$E,$C9)),-0.00001)</f>
        <v>1</v>
      </c>
      <c r="U9" s="185">
        <f>IFERROR(IF($C9="",-0.00001,SUMIFS(Database!W:W,Database!$E:$E,$C9)),-0.00001)</f>
        <v>2</v>
      </c>
      <c r="V9" s="186">
        <f t="shared" si="2"/>
        <v>0.5</v>
      </c>
      <c r="W9" s="187"/>
      <c r="X9" s="187"/>
      <c r="Y9" s="187"/>
      <c r="Z9" s="187"/>
      <c r="AA9" s="187"/>
      <c r="AB9" s="187"/>
      <c r="AC9" s="187"/>
      <c r="AD9" s="187"/>
      <c r="AE9" s="187"/>
    </row>
    <row r="10" spans="1:31" x14ac:dyDescent="0.25">
      <c r="A10" s="187"/>
      <c r="B10" s="187">
        <f>IF($C10="","",MAX($B$4:$B9)+1)</f>
        <v>7</v>
      </c>
      <c r="C10" s="183" t="s">
        <v>21</v>
      </c>
      <c r="D10" s="183" t="str">
        <f>VLOOKUP($C10,Rosters!$C$4:$M$239,Lists!$O35,FALSE)</f>
        <v>Lightning</v>
      </c>
      <c r="E10" s="185">
        <f>IF($C10="",-0.00001,COUNTIF(Database!E:E,$C10))</f>
        <v>4</v>
      </c>
      <c r="F10" s="185">
        <f>IFERROR(IF($C10="",-0.00001,SUMIFS(Database!H:H,Database!$E:$E,$C10)),-0.00001)</f>
        <v>36</v>
      </c>
      <c r="G10" s="185">
        <f>IFERROR(IF($C10="",-0.00001,SUMIFS(Database!I:I,Database!$E:$E,$C10)),-0.00001)</f>
        <v>28</v>
      </c>
      <c r="H10" s="185">
        <f>IFERROR(IF($C10="",-0.00001,SUMIFS(Database!J:J,Database!$E:$E,$C10)),-0.00001)</f>
        <v>2</v>
      </c>
      <c r="I10" s="185">
        <f>IFERROR(IF($C10="",-0.00001,SUMIFS(Database!K:K,Database!$E:$E,$C10)),-0.00001)</f>
        <v>2</v>
      </c>
      <c r="J10" s="185">
        <f>IFERROR(IF($C10="",-0.00001,SUMIFS(Database!L:L,Database!$E:$E,$C10)),-0.00001)</f>
        <v>0</v>
      </c>
      <c r="K10" s="185">
        <f>IFERROR(IF($C10="",-0.00001,SUMIFS(Database!M:M,Database!$E:$E,$C10)),-0.00001)</f>
        <v>4</v>
      </c>
      <c r="L10" s="185">
        <f>IFERROR(IF($C10="",-0.00001,SUMIFS(Database!N:N,Database!$E:$E,$C10)),-0.00001)</f>
        <v>10</v>
      </c>
      <c r="M10" s="185">
        <f>IFERROR(IF($C10="",-0.00001,SUMIFS(Database!O:O,Database!$E:$E,$C10)),-0.00001)</f>
        <v>18</v>
      </c>
      <c r="N10" s="185">
        <f>IFERROR(IF($C10="",-0.00001,SUMIFS(Database!P:P,Database!$E:$E,$C10)),-0.00001)</f>
        <v>1</v>
      </c>
      <c r="O10" s="185">
        <f>IFERROR(IF($C10="",-0.00001,SUMIFS(Database!Q:Q,Database!$E:$E,$C10)),-0.00001)</f>
        <v>5</v>
      </c>
      <c r="P10" s="186">
        <f t="shared" si="0"/>
        <v>0.2</v>
      </c>
      <c r="Q10" s="185">
        <f>IFERROR(IF($C10="",-0.00001,SUMIFS(Database!S:S,Database!$E:$E,$C10)),-0.00001)</f>
        <v>16</v>
      </c>
      <c r="R10" s="185">
        <f>IFERROR(IF($C10="",-0.00001,SUMIFS(Database!T:T,Database!$E:$E,$C10)),-0.00001)</f>
        <v>49</v>
      </c>
      <c r="S10" s="186">
        <f t="shared" si="1"/>
        <v>0.32653061224489793</v>
      </c>
      <c r="T10" s="185">
        <f>IFERROR(IF($C10="",-0.00001,SUMIFS(Database!V:V,Database!$E:$E,$C10)),-0.00001)</f>
        <v>3</v>
      </c>
      <c r="U10" s="185">
        <f>IFERROR(IF($C10="",-0.00001,SUMIFS(Database!W:W,Database!$E:$E,$C10)),-0.00001)</f>
        <v>3</v>
      </c>
      <c r="V10" s="186">
        <f t="shared" si="2"/>
        <v>1</v>
      </c>
      <c r="W10" s="187"/>
      <c r="X10" s="187"/>
      <c r="Y10" s="187"/>
      <c r="Z10" s="187"/>
      <c r="AA10" s="187"/>
      <c r="AB10" s="187"/>
      <c r="AC10" s="187"/>
      <c r="AD10" s="187"/>
      <c r="AE10" s="187"/>
    </row>
    <row r="11" spans="1:31" x14ac:dyDescent="0.25">
      <c r="A11" s="187"/>
      <c r="B11" s="187">
        <f>IF($C11="","",MAX($B$4:$B10)+1)</f>
        <v>8</v>
      </c>
      <c r="C11" s="183" t="s">
        <v>16</v>
      </c>
      <c r="D11" s="183" t="str">
        <f>VLOOKUP($C11,Rosters!$C$4:$M$239,Lists!$O26,FALSE)</f>
        <v>Pistons</v>
      </c>
      <c r="E11" s="185">
        <f>IF($C11="",-0.00001,COUNTIF(Database!E:E,$C11))</f>
        <v>7</v>
      </c>
      <c r="F11" s="185">
        <f>IFERROR(IF($C11="",-0.00001,SUMIFS(Database!H:H,Database!$E:$E,$C11)),-0.00001)</f>
        <v>72</v>
      </c>
      <c r="G11" s="185">
        <f>IFERROR(IF($C11="",-0.00001,SUMIFS(Database!I:I,Database!$E:$E,$C11)),-0.00001)</f>
        <v>42</v>
      </c>
      <c r="H11" s="185">
        <f>IFERROR(IF($C11="",-0.00001,SUMIFS(Database!J:J,Database!$E:$E,$C11)),-0.00001)</f>
        <v>9</v>
      </c>
      <c r="I11" s="185">
        <f>IFERROR(IF($C11="",-0.00001,SUMIFS(Database!K:K,Database!$E:$E,$C11)),-0.00001)</f>
        <v>8</v>
      </c>
      <c r="J11" s="185">
        <f>IFERROR(IF($C11="",-0.00001,SUMIFS(Database!L:L,Database!$E:$E,$C11)),-0.00001)</f>
        <v>7</v>
      </c>
      <c r="K11" s="185">
        <f>IFERROR(IF($C11="",-0.00001,SUMIFS(Database!M:M,Database!$E:$E,$C11)),-0.00001)</f>
        <v>8</v>
      </c>
      <c r="L11" s="185">
        <f>IFERROR(IF($C11="",-0.00001,SUMIFS(Database!N:N,Database!$E:$E,$C11)),-0.00001)</f>
        <v>12</v>
      </c>
      <c r="M11" s="185">
        <f>IFERROR(IF($C11="",-0.00001,SUMIFS(Database!O:O,Database!$E:$E,$C11)),-0.00001)</f>
        <v>30</v>
      </c>
      <c r="N11" s="185">
        <f>IFERROR(IF($C11="",-0.00001,SUMIFS(Database!P:P,Database!$E:$E,$C11)),-0.00001)</f>
        <v>7</v>
      </c>
      <c r="O11" s="185">
        <f>IFERROR(IF($C11="",-0.00001,SUMIFS(Database!Q:Q,Database!$E:$E,$C11)),-0.00001)</f>
        <v>20</v>
      </c>
      <c r="P11" s="186">
        <f t="shared" si="0"/>
        <v>0.35</v>
      </c>
      <c r="Q11" s="185">
        <f>IFERROR(IF($C11="",-0.00001,SUMIFS(Database!S:S,Database!$E:$E,$C11)),-0.00001)</f>
        <v>29</v>
      </c>
      <c r="R11" s="185">
        <f>IFERROR(IF($C11="",-0.00001,SUMIFS(Database!T:T,Database!$E:$E,$C11)),-0.00001)</f>
        <v>62</v>
      </c>
      <c r="S11" s="186">
        <f t="shared" si="1"/>
        <v>0.46774193548387094</v>
      </c>
      <c r="T11" s="185">
        <f>IFERROR(IF($C11="",-0.00001,SUMIFS(Database!V:V,Database!$E:$E,$C11)),-0.00001)</f>
        <v>5</v>
      </c>
      <c r="U11" s="185">
        <f>IFERROR(IF($C11="",-0.00001,SUMIFS(Database!W:W,Database!$E:$E,$C11)),-0.00001)</f>
        <v>8</v>
      </c>
      <c r="V11" s="186">
        <f t="shared" si="2"/>
        <v>0.625</v>
      </c>
      <c r="W11" s="187"/>
      <c r="X11" s="187"/>
      <c r="Y11" s="187"/>
      <c r="Z11" s="187"/>
      <c r="AA11" s="187"/>
      <c r="AB11" s="187"/>
      <c r="AC11" s="187"/>
      <c r="AD11" s="187"/>
      <c r="AE11" s="187"/>
    </row>
    <row r="12" spans="1:31" x14ac:dyDescent="0.25">
      <c r="A12" s="187"/>
      <c r="B12" s="187">
        <f>IF($C12="","",MAX($B$4:$B11)+1)</f>
        <v>9</v>
      </c>
      <c r="C12" s="183" t="s">
        <v>27</v>
      </c>
      <c r="D12" s="183" t="str">
        <f>VLOOKUP($C12,Rosters!$C$4:$M$239,Lists!$O7,FALSE)</f>
        <v>Hoopers</v>
      </c>
      <c r="E12" s="185">
        <f>IF($C12="",-0.00001,COUNTIF(Database!E:E,$C12))</f>
        <v>11</v>
      </c>
      <c r="F12" s="185">
        <f>IFERROR(IF($C12="",-0.00001,SUMIFS(Database!H:H,Database!$E:$E,$C12)),-0.00001)</f>
        <v>128</v>
      </c>
      <c r="G12" s="185">
        <f>IFERROR(IF($C12="",-0.00001,SUMIFS(Database!I:I,Database!$E:$E,$C12)),-0.00001)</f>
        <v>54</v>
      </c>
      <c r="H12" s="185">
        <f>IFERROR(IF($C12="",-0.00001,SUMIFS(Database!J:J,Database!$E:$E,$C12)),-0.00001)</f>
        <v>14</v>
      </c>
      <c r="I12" s="185">
        <f>IFERROR(IF($C12="",-0.00001,SUMIFS(Database!K:K,Database!$E:$E,$C12)),-0.00001)</f>
        <v>17</v>
      </c>
      <c r="J12" s="185">
        <f>IFERROR(IF($C12="",-0.00001,SUMIFS(Database!L:L,Database!$E:$E,$C12)),-0.00001)</f>
        <v>2</v>
      </c>
      <c r="K12" s="185">
        <f>IFERROR(IF($C12="",-0.00001,SUMIFS(Database!M:M,Database!$E:$E,$C12)),-0.00001)</f>
        <v>23</v>
      </c>
      <c r="L12" s="185">
        <f>IFERROR(IF($C12="",-0.00001,SUMIFS(Database!N:N,Database!$E:$E,$C12)),-0.00001)</f>
        <v>22</v>
      </c>
      <c r="M12" s="185">
        <f>IFERROR(IF($C12="",-0.00001,SUMIFS(Database!O:O,Database!$E:$E,$C12)),-0.00001)</f>
        <v>32</v>
      </c>
      <c r="N12" s="185">
        <f>IFERROR(IF($C12="",-0.00001,SUMIFS(Database!P:P,Database!$E:$E,$C12)),-0.00001)</f>
        <v>12</v>
      </c>
      <c r="O12" s="185">
        <f>IFERROR(IF($C12="",-0.00001,SUMIFS(Database!Q:Q,Database!$E:$E,$C12)),-0.00001)</f>
        <v>63</v>
      </c>
      <c r="P12" s="186">
        <f t="shared" si="0"/>
        <v>0.19047619047619047</v>
      </c>
      <c r="Q12" s="185">
        <f>IFERROR(IF($C12="",-0.00001,SUMIFS(Database!S:S,Database!$E:$E,$C12)),-0.00001)</f>
        <v>55</v>
      </c>
      <c r="R12" s="185">
        <f>IFERROR(IF($C12="",-0.00001,SUMIFS(Database!T:T,Database!$E:$E,$C12)),-0.00001)</f>
        <v>188</v>
      </c>
      <c r="S12" s="186">
        <f t="shared" si="1"/>
        <v>0.29255319148936171</v>
      </c>
      <c r="T12" s="185">
        <f>IFERROR(IF($C12="",-0.00001,SUMIFS(Database!V:V,Database!$E:$E,$C12)),-0.00001)</f>
        <v>6</v>
      </c>
      <c r="U12" s="185">
        <f>IFERROR(IF($C12="",-0.00001,SUMIFS(Database!W:W,Database!$E:$E,$C12)),-0.00001)</f>
        <v>15</v>
      </c>
      <c r="V12" s="186">
        <f t="shared" si="2"/>
        <v>0.4</v>
      </c>
      <c r="W12" s="187"/>
      <c r="X12" s="187"/>
      <c r="Y12" s="187"/>
      <c r="Z12" s="187"/>
      <c r="AA12" s="187"/>
      <c r="AB12" s="187"/>
      <c r="AC12" s="187"/>
      <c r="AD12" s="187"/>
      <c r="AE12" s="187"/>
    </row>
    <row r="13" spans="1:31" x14ac:dyDescent="0.25">
      <c r="A13" s="187"/>
      <c r="B13" s="187">
        <f>IF($C13="","",MAX($B$4:$B12)+1)</f>
        <v>10</v>
      </c>
      <c r="C13" s="183" t="s">
        <v>7</v>
      </c>
      <c r="D13" s="183" t="str">
        <f>VLOOKUP($C13,Rosters!$C$4:$M$239,Lists!$O30,FALSE)</f>
        <v>Wombats</v>
      </c>
      <c r="E13" s="185">
        <f>IF($C13="",-0.00001,COUNTIF(Database!E:E,$C13))</f>
        <v>10</v>
      </c>
      <c r="F13" s="185">
        <f>IFERROR(IF($C13="",-0.00001,SUMIFS(Database!H:H,Database!$E:$E,$C13)),-0.00001)</f>
        <v>145</v>
      </c>
      <c r="G13" s="185">
        <f>IFERROR(IF($C13="",-0.00001,SUMIFS(Database!I:I,Database!$E:$E,$C13)),-0.00001)</f>
        <v>60</v>
      </c>
      <c r="H13" s="185">
        <f>IFERROR(IF($C13="",-0.00001,SUMIFS(Database!J:J,Database!$E:$E,$C13)),-0.00001)</f>
        <v>23</v>
      </c>
      <c r="I13" s="185">
        <f>IFERROR(IF($C13="",-0.00001,SUMIFS(Database!K:K,Database!$E:$E,$C13)),-0.00001)</f>
        <v>15</v>
      </c>
      <c r="J13" s="185">
        <f>IFERROR(IF($C13="",-0.00001,SUMIFS(Database!L:L,Database!$E:$E,$C13)),-0.00001)</f>
        <v>2</v>
      </c>
      <c r="K13" s="185">
        <f>IFERROR(IF($C13="",-0.00001,SUMIFS(Database!M:M,Database!$E:$E,$C13)),-0.00001)</f>
        <v>25</v>
      </c>
      <c r="L13" s="185">
        <f>IFERROR(IF($C13="",-0.00001,SUMIFS(Database!N:N,Database!$E:$E,$C13)),-0.00001)</f>
        <v>17</v>
      </c>
      <c r="M13" s="185">
        <f>IFERROR(IF($C13="",-0.00001,SUMIFS(Database!O:O,Database!$E:$E,$C13)),-0.00001)</f>
        <v>43</v>
      </c>
      <c r="N13" s="185">
        <f>IFERROR(IF($C13="",-0.00001,SUMIFS(Database!P:P,Database!$E:$E,$C13)),-0.00001)</f>
        <v>19</v>
      </c>
      <c r="O13" s="185">
        <f>IFERROR(IF($C13="",-0.00001,SUMIFS(Database!Q:Q,Database!$E:$E,$C13)),-0.00001)</f>
        <v>49</v>
      </c>
      <c r="P13" s="186">
        <f t="shared" si="0"/>
        <v>0.38775510204081631</v>
      </c>
      <c r="Q13" s="185">
        <f>IFERROR(IF($C13="",-0.00001,SUMIFS(Database!S:S,Database!$E:$E,$C13)),-0.00001)</f>
        <v>55</v>
      </c>
      <c r="R13" s="185">
        <f>IFERROR(IF($C13="",-0.00001,SUMIFS(Database!T:T,Database!$E:$E,$C13)),-0.00001)</f>
        <v>135</v>
      </c>
      <c r="S13" s="186">
        <f t="shared" si="1"/>
        <v>0.40740740740740738</v>
      </c>
      <c r="T13" s="185">
        <f>IFERROR(IF($C13="",-0.00001,SUMIFS(Database!V:V,Database!$E:$E,$C13)),-0.00001)</f>
        <v>16</v>
      </c>
      <c r="U13" s="185">
        <f>IFERROR(IF($C13="",-0.00001,SUMIFS(Database!W:W,Database!$E:$E,$C13)),-0.00001)</f>
        <v>29</v>
      </c>
      <c r="V13" s="186">
        <f t="shared" si="2"/>
        <v>0.55172413793103448</v>
      </c>
      <c r="W13" s="187"/>
      <c r="X13" s="187"/>
      <c r="Y13" s="187"/>
      <c r="Z13" s="187"/>
      <c r="AA13" s="187"/>
      <c r="AB13" s="187"/>
      <c r="AC13" s="187"/>
      <c r="AD13" s="187"/>
      <c r="AE13" s="187"/>
    </row>
    <row r="14" spans="1:31" x14ac:dyDescent="0.25">
      <c r="A14" s="187"/>
      <c r="B14" s="187">
        <f>IF($C14="","",MAX($B$4:$B13)+1)</f>
        <v>11</v>
      </c>
      <c r="C14" s="183" t="s">
        <v>4</v>
      </c>
      <c r="D14" s="183" t="str">
        <f>VLOOKUP($C14,Rosters!$C$4:$M$239,Lists!$O34,FALSE)</f>
        <v>Mustangs</v>
      </c>
      <c r="E14" s="185">
        <f>IF($C14="",-0.00001,COUNTIF(Database!E:E,$C14))</f>
        <v>12</v>
      </c>
      <c r="F14" s="185">
        <f>IFERROR(IF($C14="",-0.00001,SUMIFS(Database!H:H,Database!$E:$E,$C14)),-0.00001)</f>
        <v>74</v>
      </c>
      <c r="G14" s="185">
        <f>IFERROR(IF($C14="",-0.00001,SUMIFS(Database!I:I,Database!$E:$E,$C14)),-0.00001)</f>
        <v>67</v>
      </c>
      <c r="H14" s="185">
        <f>IFERROR(IF($C14="",-0.00001,SUMIFS(Database!J:J,Database!$E:$E,$C14)),-0.00001)</f>
        <v>26</v>
      </c>
      <c r="I14" s="185">
        <f>IFERROR(IF($C14="",-0.00001,SUMIFS(Database!K:K,Database!$E:$E,$C14)),-0.00001)</f>
        <v>8</v>
      </c>
      <c r="J14" s="185">
        <f>IFERROR(IF($C14="",-0.00001,SUMIFS(Database!L:L,Database!$E:$E,$C14)),-0.00001)</f>
        <v>1</v>
      </c>
      <c r="K14" s="185">
        <f>IFERROR(IF($C14="",-0.00001,SUMIFS(Database!M:M,Database!$E:$E,$C14)),-0.00001)</f>
        <v>25</v>
      </c>
      <c r="L14" s="185">
        <f>IFERROR(IF($C14="",-0.00001,SUMIFS(Database!N:N,Database!$E:$E,$C14)),-0.00001)</f>
        <v>14</v>
      </c>
      <c r="M14" s="185">
        <f>IFERROR(IF($C14="",-0.00001,SUMIFS(Database!O:O,Database!$E:$E,$C14)),-0.00001)</f>
        <v>44</v>
      </c>
      <c r="N14" s="185">
        <f>IFERROR(IF($C14="",-0.00001,SUMIFS(Database!P:P,Database!$E:$E,$C14)),-0.00001)</f>
        <v>14</v>
      </c>
      <c r="O14" s="185">
        <f>IFERROR(IF($C14="",-0.00001,SUMIFS(Database!Q:Q,Database!$E:$E,$C14)),-0.00001)</f>
        <v>59</v>
      </c>
      <c r="P14" s="186">
        <f t="shared" si="0"/>
        <v>0.23728813559322035</v>
      </c>
      <c r="Q14" s="185">
        <f>IFERROR(IF($C14="",-0.00001,SUMIFS(Database!S:S,Database!$E:$E,$C14)),-0.00001)</f>
        <v>30</v>
      </c>
      <c r="R14" s="185">
        <f>IFERROR(IF($C14="",-0.00001,SUMIFS(Database!T:T,Database!$E:$E,$C14)),-0.00001)</f>
        <v>93</v>
      </c>
      <c r="S14" s="186">
        <f t="shared" si="1"/>
        <v>0.32258064516129031</v>
      </c>
      <c r="T14" s="185">
        <f>IFERROR(IF($C14="",-0.00001,SUMIFS(Database!V:V,Database!$E:$E,$C14)),-0.00001)</f>
        <v>2</v>
      </c>
      <c r="U14" s="185">
        <f>IFERROR(IF($C14="",-0.00001,SUMIFS(Database!W:W,Database!$E:$E,$C14)),-0.00001)</f>
        <v>5</v>
      </c>
      <c r="V14" s="186">
        <f t="shared" si="2"/>
        <v>0.4</v>
      </c>
      <c r="W14" s="187"/>
      <c r="X14" s="187"/>
      <c r="Y14" s="187"/>
      <c r="Z14" s="187"/>
      <c r="AA14" s="187"/>
      <c r="AB14" s="187"/>
      <c r="AC14" s="187"/>
      <c r="AD14" s="187"/>
      <c r="AE14" s="187"/>
    </row>
    <row r="15" spans="1:31" x14ac:dyDescent="0.25">
      <c r="A15" s="187"/>
      <c r="B15" s="187">
        <f>IF($C15="","",MAX($B$4:$B14)+1)</f>
        <v>12</v>
      </c>
      <c r="C15" s="183" t="s">
        <v>6</v>
      </c>
      <c r="D15" s="183" t="str">
        <f>VLOOKUP($C15,Rosters!$C$4:$M$239,Lists!$O17,FALSE)</f>
        <v>Mustangs</v>
      </c>
      <c r="E15" s="185">
        <f>IF($C15="",-0.00001,COUNTIF(Database!E:E,$C15))</f>
        <v>3</v>
      </c>
      <c r="F15" s="185">
        <f>IFERROR(IF($C15="",-0.00001,SUMIFS(Database!H:H,Database!$E:$E,$C15)),-0.00001)</f>
        <v>22</v>
      </c>
      <c r="G15" s="185">
        <f>IFERROR(IF($C15="",-0.00001,SUMIFS(Database!I:I,Database!$E:$E,$C15)),-0.00001)</f>
        <v>21</v>
      </c>
      <c r="H15" s="185">
        <f>IFERROR(IF($C15="",-0.00001,SUMIFS(Database!J:J,Database!$E:$E,$C15)),-0.00001)</f>
        <v>8</v>
      </c>
      <c r="I15" s="185">
        <f>IFERROR(IF($C15="",-0.00001,SUMIFS(Database!K:K,Database!$E:$E,$C15)),-0.00001)</f>
        <v>1</v>
      </c>
      <c r="J15" s="185">
        <f>IFERROR(IF($C15="",-0.00001,SUMIFS(Database!L:L,Database!$E:$E,$C15)),-0.00001)</f>
        <v>0</v>
      </c>
      <c r="K15" s="185">
        <f>IFERROR(IF($C15="",-0.00001,SUMIFS(Database!M:M,Database!$E:$E,$C15)),-0.00001)</f>
        <v>3</v>
      </c>
      <c r="L15" s="185">
        <f>IFERROR(IF($C15="",-0.00001,SUMIFS(Database!N:N,Database!$E:$E,$C15)),-0.00001)</f>
        <v>8</v>
      </c>
      <c r="M15" s="185">
        <f>IFERROR(IF($C15="",-0.00001,SUMIFS(Database!O:O,Database!$E:$E,$C15)),-0.00001)</f>
        <v>13</v>
      </c>
      <c r="N15" s="185">
        <f>IFERROR(IF($C15="",-0.00001,SUMIFS(Database!P:P,Database!$E:$E,$C15)),-0.00001)</f>
        <v>2</v>
      </c>
      <c r="O15" s="185">
        <f>IFERROR(IF($C15="",-0.00001,SUMIFS(Database!Q:Q,Database!$E:$E,$C15)),-0.00001)</f>
        <v>11</v>
      </c>
      <c r="P15" s="186">
        <f t="shared" si="0"/>
        <v>0.18181818181818182</v>
      </c>
      <c r="Q15" s="185">
        <f>IFERROR(IF($C15="",-0.00001,SUMIFS(Database!S:S,Database!$E:$E,$C15)),-0.00001)</f>
        <v>10</v>
      </c>
      <c r="R15" s="185">
        <f>IFERROR(IF($C15="",-0.00001,SUMIFS(Database!T:T,Database!$E:$E,$C15)),-0.00001)</f>
        <v>26</v>
      </c>
      <c r="S15" s="186">
        <f t="shared" si="1"/>
        <v>0.38461538461538464</v>
      </c>
      <c r="T15" s="185">
        <f>IFERROR(IF($C15="",-0.00001,SUMIFS(Database!V:V,Database!$E:$E,$C15)),-0.00001)</f>
        <v>0</v>
      </c>
      <c r="U15" s="185">
        <f>IFERROR(IF($C15="",-0.00001,SUMIFS(Database!W:W,Database!$E:$E,$C15)),-0.00001)</f>
        <v>0</v>
      </c>
      <c r="V15" s="186">
        <f t="shared" si="2"/>
        <v>-1.0000000000000001E-5</v>
      </c>
      <c r="W15" s="187"/>
      <c r="X15" s="187"/>
      <c r="Y15" s="187"/>
      <c r="Z15" s="187"/>
      <c r="AA15" s="187"/>
      <c r="AB15" s="187"/>
      <c r="AC15" s="187"/>
      <c r="AD15" s="187"/>
      <c r="AE15" s="187"/>
    </row>
    <row r="16" spans="1:31" x14ac:dyDescent="0.25">
      <c r="A16" s="187"/>
      <c r="B16" s="187">
        <f>IF($C16="","",MAX($B$4:$B15)+1)</f>
        <v>13</v>
      </c>
      <c r="C16" s="183" t="s">
        <v>9</v>
      </c>
      <c r="D16" s="183" t="str">
        <f>VLOOKUP($C16,Rosters!$C$4:$M$239,Lists!$O10,FALSE)</f>
        <v>Wombats</v>
      </c>
      <c r="E16" s="185">
        <f>IF($C16="",-0.00001,COUNTIF(Database!E:E,$C16))</f>
        <v>11</v>
      </c>
      <c r="F16" s="185">
        <f>IFERROR(IF($C16="",-0.00001,SUMIFS(Database!H:H,Database!$E:$E,$C16)),-0.00001)</f>
        <v>156</v>
      </c>
      <c r="G16" s="185">
        <f>IFERROR(IF($C16="",-0.00001,SUMIFS(Database!I:I,Database!$E:$E,$C16)),-0.00001)</f>
        <v>67</v>
      </c>
      <c r="H16" s="185">
        <f>IFERROR(IF($C16="",-0.00001,SUMIFS(Database!J:J,Database!$E:$E,$C16)),-0.00001)</f>
        <v>18</v>
      </c>
      <c r="I16" s="185">
        <f>IFERROR(IF($C16="",-0.00001,SUMIFS(Database!K:K,Database!$E:$E,$C16)),-0.00001)</f>
        <v>8</v>
      </c>
      <c r="J16" s="185">
        <f>IFERROR(IF($C16="",-0.00001,SUMIFS(Database!L:L,Database!$E:$E,$C16)),-0.00001)</f>
        <v>4</v>
      </c>
      <c r="K16" s="185">
        <f>IFERROR(IF($C16="",-0.00001,SUMIFS(Database!M:M,Database!$E:$E,$C16)),-0.00001)</f>
        <v>28</v>
      </c>
      <c r="L16" s="185">
        <f>IFERROR(IF($C16="",-0.00001,SUMIFS(Database!N:N,Database!$E:$E,$C16)),-0.00001)</f>
        <v>13</v>
      </c>
      <c r="M16" s="185">
        <f>IFERROR(IF($C16="",-0.00001,SUMIFS(Database!O:O,Database!$E:$E,$C16)),-0.00001)</f>
        <v>54</v>
      </c>
      <c r="N16" s="185">
        <f>IFERROR(IF($C16="",-0.00001,SUMIFS(Database!P:P,Database!$E:$E,$C16)),-0.00001)</f>
        <v>29</v>
      </c>
      <c r="O16" s="185">
        <f>IFERROR(IF($C16="",-0.00001,SUMIFS(Database!Q:Q,Database!$E:$E,$C16)),-0.00001)</f>
        <v>93</v>
      </c>
      <c r="P16" s="186">
        <f t="shared" si="0"/>
        <v>0.31182795698924731</v>
      </c>
      <c r="Q16" s="185">
        <f>IFERROR(IF($C16="",-0.00001,SUMIFS(Database!S:S,Database!$E:$E,$C16)),-0.00001)</f>
        <v>60</v>
      </c>
      <c r="R16" s="185">
        <f>IFERROR(IF($C16="",-0.00001,SUMIFS(Database!T:T,Database!$E:$E,$C16)),-0.00001)</f>
        <v>153</v>
      </c>
      <c r="S16" s="186">
        <f t="shared" si="1"/>
        <v>0.39215686274509803</v>
      </c>
      <c r="T16" s="185">
        <f>IFERROR(IF($C16="",-0.00001,SUMIFS(Database!V:V,Database!$E:$E,$C16)),-0.00001)</f>
        <v>7</v>
      </c>
      <c r="U16" s="185">
        <f>IFERROR(IF($C16="",-0.00001,SUMIFS(Database!W:W,Database!$E:$E,$C16)),-0.00001)</f>
        <v>16</v>
      </c>
      <c r="V16" s="186">
        <f t="shared" si="2"/>
        <v>0.4375</v>
      </c>
      <c r="W16" s="187"/>
      <c r="X16" s="187"/>
      <c r="Y16" s="187"/>
      <c r="Z16" s="187"/>
      <c r="AA16" s="187"/>
      <c r="AB16" s="187"/>
      <c r="AC16" s="187"/>
      <c r="AD16" s="187"/>
      <c r="AE16" s="187"/>
    </row>
    <row r="17" spans="1:31" x14ac:dyDescent="0.25">
      <c r="A17" s="187"/>
      <c r="B17" s="187">
        <f>IF($C17="","",MAX($B$4:$B16)+1)</f>
        <v>14</v>
      </c>
      <c r="C17" s="183" t="s">
        <v>18</v>
      </c>
      <c r="D17" s="183" t="str">
        <f>VLOOKUP($C17,Rosters!$C$4:$M$239,Lists!$O24,FALSE)</f>
        <v>Pistons</v>
      </c>
      <c r="E17" s="185">
        <f>IF($C17="",-0.00001,COUNTIF(Database!E:E,$C17))</f>
        <v>11</v>
      </c>
      <c r="F17" s="185">
        <f>IFERROR(IF($C17="",-0.00001,SUMIFS(Database!H:H,Database!$E:$E,$C17)),-0.00001)</f>
        <v>28</v>
      </c>
      <c r="G17" s="185">
        <f>IFERROR(IF($C17="",-0.00001,SUMIFS(Database!I:I,Database!$E:$E,$C17)),-0.00001)</f>
        <v>50</v>
      </c>
      <c r="H17" s="185">
        <f>IFERROR(IF($C17="",-0.00001,SUMIFS(Database!J:J,Database!$E:$E,$C17)),-0.00001)</f>
        <v>3</v>
      </c>
      <c r="I17" s="185">
        <f>IFERROR(IF($C17="",-0.00001,SUMIFS(Database!K:K,Database!$E:$E,$C17)),-0.00001)</f>
        <v>5</v>
      </c>
      <c r="J17" s="185">
        <f>IFERROR(IF($C17="",-0.00001,SUMIFS(Database!L:L,Database!$E:$E,$C17)),-0.00001)</f>
        <v>1</v>
      </c>
      <c r="K17" s="185">
        <f>IFERROR(IF($C17="",-0.00001,SUMIFS(Database!M:M,Database!$E:$E,$C17)),-0.00001)</f>
        <v>14</v>
      </c>
      <c r="L17" s="185">
        <f>IFERROR(IF($C17="",-0.00001,SUMIFS(Database!N:N,Database!$E:$E,$C17)),-0.00001)</f>
        <v>15</v>
      </c>
      <c r="M17" s="185">
        <f>IFERROR(IF($C17="",-0.00001,SUMIFS(Database!O:O,Database!$E:$E,$C17)),-0.00001)</f>
        <v>35</v>
      </c>
      <c r="N17" s="185">
        <f>IFERROR(IF($C17="",-0.00001,SUMIFS(Database!P:P,Database!$E:$E,$C17)),-0.00001)</f>
        <v>2</v>
      </c>
      <c r="O17" s="185">
        <f>IFERROR(IF($C17="",-0.00001,SUMIFS(Database!Q:Q,Database!$E:$E,$C17)),-0.00001)</f>
        <v>19</v>
      </c>
      <c r="P17" s="186">
        <f t="shared" si="0"/>
        <v>0.10526315789473684</v>
      </c>
      <c r="Q17" s="185">
        <f>IFERROR(IF($C17="",-0.00001,SUMIFS(Database!S:S,Database!$E:$E,$C17)),-0.00001)</f>
        <v>13</v>
      </c>
      <c r="R17" s="185">
        <f>IFERROR(IF($C17="",-0.00001,SUMIFS(Database!T:T,Database!$E:$E,$C17)),-0.00001)</f>
        <v>40</v>
      </c>
      <c r="S17" s="186">
        <f t="shared" si="1"/>
        <v>0.32500000000000001</v>
      </c>
      <c r="T17" s="185">
        <f>IFERROR(IF($C17="",-0.00001,SUMIFS(Database!V:V,Database!$E:$E,$C17)),-0.00001)</f>
        <v>0</v>
      </c>
      <c r="U17" s="185">
        <f>IFERROR(IF($C17="",-0.00001,SUMIFS(Database!W:W,Database!$E:$E,$C17)),-0.00001)</f>
        <v>0</v>
      </c>
      <c r="V17" s="186">
        <f t="shared" si="2"/>
        <v>-1.0000000000000001E-5</v>
      </c>
      <c r="W17" s="187"/>
      <c r="X17" s="187"/>
      <c r="Y17" s="187"/>
      <c r="Z17" s="187"/>
      <c r="AA17" s="187"/>
      <c r="AB17" s="187"/>
      <c r="AC17" s="187"/>
      <c r="AD17" s="187"/>
      <c r="AE17" s="187"/>
    </row>
    <row r="18" spans="1:31" x14ac:dyDescent="0.25">
      <c r="A18" s="187"/>
      <c r="B18" s="187">
        <f>IF($C18="","",MAX($B$4:$B17)+1)</f>
        <v>15</v>
      </c>
      <c r="C18" s="183" t="s">
        <v>30</v>
      </c>
      <c r="D18" s="183" t="str">
        <f>VLOOKUP($C18,Rosters!$C$4:$M$239,Lists!$O13,FALSE)</f>
        <v>Wombats</v>
      </c>
      <c r="E18" s="185">
        <f>IF($C18="",-0.00001,COUNTIF(Database!E:E,$C18))</f>
        <v>11</v>
      </c>
      <c r="F18" s="185">
        <f>IFERROR(IF($C18="",-0.00001,SUMIFS(Database!H:H,Database!$E:$E,$C18)),-0.00001)</f>
        <v>30</v>
      </c>
      <c r="G18" s="185">
        <f>IFERROR(IF($C18="",-0.00001,SUMIFS(Database!I:I,Database!$E:$E,$C18)),-0.00001)</f>
        <v>31</v>
      </c>
      <c r="H18" s="185">
        <f>IFERROR(IF($C18="",-0.00001,SUMIFS(Database!J:J,Database!$E:$E,$C18)),-0.00001)</f>
        <v>6</v>
      </c>
      <c r="I18" s="185">
        <f>IFERROR(IF($C18="",-0.00001,SUMIFS(Database!K:K,Database!$E:$E,$C18)),-0.00001)</f>
        <v>3</v>
      </c>
      <c r="J18" s="185">
        <f>IFERROR(IF($C18="",-0.00001,SUMIFS(Database!L:L,Database!$E:$E,$C18)),-0.00001)</f>
        <v>1</v>
      </c>
      <c r="K18" s="185">
        <f>IFERROR(IF($C18="",-0.00001,SUMIFS(Database!M:M,Database!$E:$E,$C18)),-0.00001)</f>
        <v>13</v>
      </c>
      <c r="L18" s="185">
        <f>IFERROR(IF($C18="",-0.00001,SUMIFS(Database!N:N,Database!$E:$E,$C18)),-0.00001)</f>
        <v>8</v>
      </c>
      <c r="M18" s="185">
        <f>IFERROR(IF($C18="",-0.00001,SUMIFS(Database!O:O,Database!$E:$E,$C18)),-0.00001)</f>
        <v>23</v>
      </c>
      <c r="N18" s="185">
        <f>IFERROR(IF($C18="",-0.00001,SUMIFS(Database!P:P,Database!$E:$E,$C18)),-0.00001)</f>
        <v>6</v>
      </c>
      <c r="O18" s="185">
        <f>IFERROR(IF($C18="",-0.00001,SUMIFS(Database!Q:Q,Database!$E:$E,$C18)),-0.00001)</f>
        <v>33</v>
      </c>
      <c r="P18" s="186">
        <f t="shared" si="0"/>
        <v>0.18181818181818182</v>
      </c>
      <c r="Q18" s="185">
        <f>IFERROR(IF($C18="",-0.00001,SUMIFS(Database!S:S,Database!$E:$E,$C18)),-0.00001)</f>
        <v>12</v>
      </c>
      <c r="R18" s="185">
        <f>IFERROR(IF($C18="",-0.00001,SUMIFS(Database!T:T,Database!$E:$E,$C18)),-0.00001)</f>
        <v>46</v>
      </c>
      <c r="S18" s="186">
        <f t="shared" si="1"/>
        <v>0.2608695652173913</v>
      </c>
      <c r="T18" s="185">
        <f>IFERROR(IF($C18="",-0.00001,SUMIFS(Database!V:V,Database!$E:$E,$C18)),-0.00001)</f>
        <v>0</v>
      </c>
      <c r="U18" s="185">
        <f>IFERROR(IF($C18="",-0.00001,SUMIFS(Database!W:W,Database!$E:$E,$C18)),-0.00001)</f>
        <v>2</v>
      </c>
      <c r="V18" s="186">
        <f t="shared" si="2"/>
        <v>0</v>
      </c>
      <c r="W18" s="187"/>
      <c r="X18" s="187"/>
      <c r="Y18" s="187"/>
      <c r="Z18" s="187"/>
      <c r="AA18" s="187"/>
      <c r="AB18" s="187"/>
      <c r="AC18" s="187"/>
      <c r="AD18" s="187"/>
      <c r="AE18" s="187"/>
    </row>
    <row r="19" spans="1:31" x14ac:dyDescent="0.25">
      <c r="A19" s="187"/>
      <c r="B19" s="187">
        <f>IF($C19="","",MAX($B$4:$B18)+1)</f>
        <v>16</v>
      </c>
      <c r="C19" s="183" t="s">
        <v>10</v>
      </c>
      <c r="D19" s="183" t="str">
        <f>VLOOKUP($C19,Rosters!$C$4:$M$239,Lists!$O20,FALSE)</f>
        <v>Wombats</v>
      </c>
      <c r="E19" s="185">
        <f>IF($C19="",-0.00001,COUNTIF(Database!E:E,$C19))</f>
        <v>4</v>
      </c>
      <c r="F19" s="185">
        <f>IFERROR(IF($C19="",-0.00001,SUMIFS(Database!H:H,Database!$E:$E,$C19)),-0.00001)</f>
        <v>18</v>
      </c>
      <c r="G19" s="185">
        <f>IFERROR(IF($C19="",-0.00001,SUMIFS(Database!I:I,Database!$E:$E,$C19)),-0.00001)</f>
        <v>15</v>
      </c>
      <c r="H19" s="185">
        <f>IFERROR(IF($C19="",-0.00001,SUMIFS(Database!J:J,Database!$E:$E,$C19)),-0.00001)</f>
        <v>4</v>
      </c>
      <c r="I19" s="185">
        <f>IFERROR(IF($C19="",-0.00001,SUMIFS(Database!K:K,Database!$E:$E,$C19)),-0.00001)</f>
        <v>3</v>
      </c>
      <c r="J19" s="185">
        <f>IFERROR(IF($C19="",-0.00001,SUMIFS(Database!L:L,Database!$E:$E,$C19)),-0.00001)</f>
        <v>0</v>
      </c>
      <c r="K19" s="185">
        <f>IFERROR(IF($C19="",-0.00001,SUMIFS(Database!M:M,Database!$E:$E,$C19)),-0.00001)</f>
        <v>7</v>
      </c>
      <c r="L19" s="185">
        <f>IFERROR(IF($C19="",-0.00001,SUMIFS(Database!N:N,Database!$E:$E,$C19)),-0.00001)</f>
        <v>4</v>
      </c>
      <c r="M19" s="185">
        <f>IFERROR(IF($C19="",-0.00001,SUMIFS(Database!O:O,Database!$E:$E,$C19)),-0.00001)</f>
        <v>11</v>
      </c>
      <c r="N19" s="185">
        <f>IFERROR(IF($C19="",-0.00001,SUMIFS(Database!P:P,Database!$E:$E,$C19)),-0.00001)</f>
        <v>6</v>
      </c>
      <c r="O19" s="185">
        <f>IFERROR(IF($C19="",-0.00001,SUMIFS(Database!Q:Q,Database!$E:$E,$C19)),-0.00001)</f>
        <v>19</v>
      </c>
      <c r="P19" s="186">
        <f t="shared" si="0"/>
        <v>0.31578947368421051</v>
      </c>
      <c r="Q19" s="185">
        <f>IFERROR(IF($C19="",-0.00001,SUMIFS(Database!S:S,Database!$E:$E,$C19)),-0.00001)</f>
        <v>6</v>
      </c>
      <c r="R19" s="185">
        <f>IFERROR(IF($C19="",-0.00001,SUMIFS(Database!T:T,Database!$E:$E,$C19)),-0.00001)</f>
        <v>29</v>
      </c>
      <c r="S19" s="186">
        <f t="shared" si="1"/>
        <v>0.20689655172413793</v>
      </c>
      <c r="T19" s="185">
        <f>IFERROR(IF($C19="",-0.00001,SUMIFS(Database!V:V,Database!$E:$E,$C19)),-0.00001)</f>
        <v>0</v>
      </c>
      <c r="U19" s="185">
        <f>IFERROR(IF($C19="",-0.00001,SUMIFS(Database!W:W,Database!$E:$E,$C19)),-0.00001)</f>
        <v>0</v>
      </c>
      <c r="V19" s="186">
        <f t="shared" si="2"/>
        <v>-1.0000000000000001E-5</v>
      </c>
      <c r="W19" s="187"/>
      <c r="X19" s="187"/>
      <c r="Y19" s="187"/>
      <c r="Z19" s="187"/>
      <c r="AA19" s="187"/>
      <c r="AB19" s="187"/>
      <c r="AC19" s="187"/>
      <c r="AD19" s="187"/>
      <c r="AE19" s="187"/>
    </row>
    <row r="20" spans="1:31" x14ac:dyDescent="0.25">
      <c r="A20" s="187"/>
      <c r="B20" s="187">
        <f>IF($C20="","",MAX($B$4:$B19)+1)</f>
        <v>17</v>
      </c>
      <c r="C20" s="183" t="s">
        <v>8</v>
      </c>
      <c r="D20" s="183" t="str">
        <f>VLOOKUP($C20,Rosters!$C$4:$M$239,Lists!$O12,FALSE)</f>
        <v>Wombats</v>
      </c>
      <c r="E20" s="185">
        <f>IF($C20="",-0.00001,COUNTIF(Database!E:E,$C20))</f>
        <v>4</v>
      </c>
      <c r="F20" s="185">
        <f>IFERROR(IF($C20="",-0.00001,SUMIFS(Database!H:H,Database!$E:$E,$C20)),-0.00001)</f>
        <v>95</v>
      </c>
      <c r="G20" s="185">
        <f>IFERROR(IF($C20="",-0.00001,SUMIFS(Database!I:I,Database!$E:$E,$C20)),-0.00001)</f>
        <v>22</v>
      </c>
      <c r="H20" s="185">
        <f>IFERROR(IF($C20="",-0.00001,SUMIFS(Database!J:J,Database!$E:$E,$C20)),-0.00001)</f>
        <v>14</v>
      </c>
      <c r="I20" s="185">
        <f>IFERROR(IF($C20="",-0.00001,SUMIFS(Database!K:K,Database!$E:$E,$C20)),-0.00001)</f>
        <v>2</v>
      </c>
      <c r="J20" s="185">
        <f>IFERROR(IF($C20="",-0.00001,SUMIFS(Database!L:L,Database!$E:$E,$C20)),-0.00001)</f>
        <v>0</v>
      </c>
      <c r="K20" s="185">
        <f>IFERROR(IF($C20="",-0.00001,SUMIFS(Database!M:M,Database!$E:$E,$C20)),-0.00001)</f>
        <v>15</v>
      </c>
      <c r="L20" s="185">
        <f>IFERROR(IF($C20="",-0.00001,SUMIFS(Database!N:N,Database!$E:$E,$C20)),-0.00001)</f>
        <v>10</v>
      </c>
      <c r="M20" s="185">
        <f>IFERROR(IF($C20="",-0.00001,SUMIFS(Database!O:O,Database!$E:$E,$C20)),-0.00001)</f>
        <v>12</v>
      </c>
      <c r="N20" s="185">
        <f>IFERROR(IF($C20="",-0.00001,SUMIFS(Database!P:P,Database!$E:$E,$C20)),-0.00001)</f>
        <v>12</v>
      </c>
      <c r="O20" s="185">
        <f>IFERROR(IF($C20="",-0.00001,SUMIFS(Database!Q:Q,Database!$E:$E,$C20)),-0.00001)</f>
        <v>39</v>
      </c>
      <c r="P20" s="186">
        <f t="shared" si="0"/>
        <v>0.30769230769230771</v>
      </c>
      <c r="Q20" s="185">
        <f>IFERROR(IF($C20="",-0.00001,SUMIFS(Database!S:S,Database!$E:$E,$C20)),-0.00001)</f>
        <v>36</v>
      </c>
      <c r="R20" s="185">
        <f>IFERROR(IF($C20="",-0.00001,SUMIFS(Database!T:T,Database!$E:$E,$C20)),-0.00001)</f>
        <v>95</v>
      </c>
      <c r="S20" s="186">
        <f t="shared" si="1"/>
        <v>0.37894736842105264</v>
      </c>
      <c r="T20" s="185">
        <f>IFERROR(IF($C20="",-0.00001,SUMIFS(Database!V:V,Database!$E:$E,$C20)),-0.00001)</f>
        <v>11</v>
      </c>
      <c r="U20" s="185">
        <f>IFERROR(IF($C20="",-0.00001,SUMIFS(Database!W:W,Database!$E:$E,$C20)),-0.00001)</f>
        <v>21</v>
      </c>
      <c r="V20" s="186">
        <f t="shared" si="2"/>
        <v>0.52380952380952384</v>
      </c>
      <c r="W20" s="187"/>
      <c r="X20" s="187"/>
      <c r="Y20" s="187"/>
      <c r="Z20" s="187"/>
      <c r="AA20" s="187"/>
      <c r="AB20" s="187"/>
      <c r="AC20" s="187"/>
      <c r="AD20" s="187"/>
      <c r="AE20" s="187"/>
    </row>
    <row r="21" spans="1:31" x14ac:dyDescent="0.25">
      <c r="A21" s="187"/>
      <c r="B21" s="187">
        <f>IF($C21="","",MAX($B$4:$B20)+1)</f>
        <v>18</v>
      </c>
      <c r="C21" s="183" t="s">
        <v>31</v>
      </c>
      <c r="D21" s="183" t="str">
        <f>VLOOKUP($C21,Rosters!$C$4:$M$239,Lists!$O28,FALSE)</f>
        <v>Vandals</v>
      </c>
      <c r="E21" s="185">
        <f>IF($C21="",-0.00001,COUNTIF(Database!E:E,$C21))</f>
        <v>11</v>
      </c>
      <c r="F21" s="185">
        <f>IFERROR(IF($C21="",-0.00001,SUMIFS(Database!H:H,Database!$E:$E,$C21)),-0.00001)</f>
        <v>210</v>
      </c>
      <c r="G21" s="185">
        <f>IFERROR(IF($C21="",-0.00001,SUMIFS(Database!I:I,Database!$E:$E,$C21)),-0.00001)</f>
        <v>62</v>
      </c>
      <c r="H21" s="185">
        <f>IFERROR(IF($C21="",-0.00001,SUMIFS(Database!J:J,Database!$E:$E,$C21)),-0.00001)</f>
        <v>19</v>
      </c>
      <c r="I21" s="185">
        <f>IFERROR(IF($C21="",-0.00001,SUMIFS(Database!K:K,Database!$E:$E,$C21)),-0.00001)</f>
        <v>9</v>
      </c>
      <c r="J21" s="185">
        <f>IFERROR(IF($C21="",-0.00001,SUMIFS(Database!L:L,Database!$E:$E,$C21)),-0.00001)</f>
        <v>6</v>
      </c>
      <c r="K21" s="185">
        <f>IFERROR(IF($C21="",-0.00001,SUMIFS(Database!M:M,Database!$E:$E,$C21)),-0.00001)</f>
        <v>38</v>
      </c>
      <c r="L21" s="185">
        <f>IFERROR(IF($C21="",-0.00001,SUMIFS(Database!N:N,Database!$E:$E,$C21)),-0.00001)</f>
        <v>17</v>
      </c>
      <c r="M21" s="185">
        <f>IFERROR(IF($C21="",-0.00001,SUMIFS(Database!O:O,Database!$E:$E,$C21)),-0.00001)</f>
        <v>41</v>
      </c>
      <c r="N21" s="185">
        <f>IFERROR(IF($C21="",-0.00001,SUMIFS(Database!P:P,Database!$E:$E,$C21)),-0.00001)</f>
        <v>18</v>
      </c>
      <c r="O21" s="185">
        <f>IFERROR(IF($C21="",-0.00001,SUMIFS(Database!Q:Q,Database!$E:$E,$C21)),-0.00001)</f>
        <v>80</v>
      </c>
      <c r="P21" s="186">
        <f t="shared" si="0"/>
        <v>0.22500000000000001</v>
      </c>
      <c r="Q21" s="185">
        <f>IFERROR(IF($C21="",-0.00001,SUMIFS(Database!S:S,Database!$E:$E,$C21)),-0.00001)</f>
        <v>77</v>
      </c>
      <c r="R21" s="185">
        <f>IFERROR(IF($C21="",-0.00001,SUMIFS(Database!T:T,Database!$E:$E,$C21)),-0.00001)</f>
        <v>211</v>
      </c>
      <c r="S21" s="186">
        <f t="shared" si="1"/>
        <v>0.36492890995260663</v>
      </c>
      <c r="T21" s="185">
        <f>IFERROR(IF($C21="",-0.00001,SUMIFS(Database!V:V,Database!$E:$E,$C21)),-0.00001)</f>
        <v>32</v>
      </c>
      <c r="U21" s="185">
        <f>IFERROR(IF($C21="",-0.00001,SUMIFS(Database!W:W,Database!$E:$E,$C21)),-0.00001)</f>
        <v>49</v>
      </c>
      <c r="V21" s="186">
        <f t="shared" si="2"/>
        <v>0.65306122448979587</v>
      </c>
      <c r="W21" s="187"/>
      <c r="X21" s="187"/>
      <c r="Y21" s="187"/>
      <c r="Z21" s="187"/>
      <c r="AA21" s="187"/>
      <c r="AB21" s="187"/>
      <c r="AC21" s="187"/>
      <c r="AD21" s="187"/>
      <c r="AE21" s="187"/>
    </row>
    <row r="22" spans="1:31" x14ac:dyDescent="0.25">
      <c r="A22" s="187"/>
      <c r="B22" s="187">
        <f>IF($C22="","",MAX($B$4:$B21)+1)</f>
        <v>19</v>
      </c>
      <c r="C22" s="183" t="s">
        <v>19</v>
      </c>
      <c r="D22" s="183" t="str">
        <f>VLOOKUP($C22,Rosters!$C$4:$M$239,Lists!$O29,FALSE)</f>
        <v>Lightning</v>
      </c>
      <c r="E22" s="185">
        <f>IF($C22="",-0.00001,COUNTIF(Database!E:E,$C22))</f>
        <v>12</v>
      </c>
      <c r="F22" s="185">
        <f>IFERROR(IF($C22="",-0.00001,SUMIFS(Database!H:H,Database!$E:$E,$C22)),-0.00001)</f>
        <v>200</v>
      </c>
      <c r="G22" s="185">
        <f>IFERROR(IF($C22="",-0.00001,SUMIFS(Database!I:I,Database!$E:$E,$C22)),-0.00001)</f>
        <v>114</v>
      </c>
      <c r="H22" s="185">
        <f>IFERROR(IF($C22="",-0.00001,SUMIFS(Database!J:J,Database!$E:$E,$C22)),-0.00001)</f>
        <v>48</v>
      </c>
      <c r="I22" s="185">
        <f>IFERROR(IF($C22="",-0.00001,SUMIFS(Database!K:K,Database!$E:$E,$C22)),-0.00001)</f>
        <v>40</v>
      </c>
      <c r="J22" s="185">
        <f>IFERROR(IF($C22="",-0.00001,SUMIFS(Database!L:L,Database!$E:$E,$C22)),-0.00001)</f>
        <v>27</v>
      </c>
      <c r="K22" s="185">
        <f>IFERROR(IF($C22="",-0.00001,SUMIFS(Database!M:M,Database!$E:$E,$C22)),-0.00001)</f>
        <v>30</v>
      </c>
      <c r="L22" s="185">
        <f>IFERROR(IF($C22="",-0.00001,SUMIFS(Database!N:N,Database!$E:$E,$C22)),-0.00001)</f>
        <v>30</v>
      </c>
      <c r="M22" s="185">
        <f>IFERROR(IF($C22="",-0.00001,SUMIFS(Database!O:O,Database!$E:$E,$C22)),-0.00001)</f>
        <v>84</v>
      </c>
      <c r="N22" s="185">
        <f>IFERROR(IF($C22="",-0.00001,SUMIFS(Database!P:P,Database!$E:$E,$C22)),-0.00001)</f>
        <v>9</v>
      </c>
      <c r="O22" s="185">
        <f>IFERROR(IF($C22="",-0.00001,SUMIFS(Database!Q:Q,Database!$E:$E,$C22)),-0.00001)</f>
        <v>33</v>
      </c>
      <c r="P22" s="186">
        <f t="shared" si="0"/>
        <v>0.27272727272727271</v>
      </c>
      <c r="Q22" s="185">
        <f>IFERROR(IF($C22="",-0.00001,SUMIFS(Database!S:S,Database!$E:$E,$C22)),-0.00001)</f>
        <v>76</v>
      </c>
      <c r="R22" s="185">
        <f>IFERROR(IF($C22="",-0.00001,SUMIFS(Database!T:T,Database!$E:$E,$C22)),-0.00001)</f>
        <v>165</v>
      </c>
      <c r="S22" s="186">
        <f t="shared" si="1"/>
        <v>0.46060606060606063</v>
      </c>
      <c r="T22" s="185">
        <f>IFERROR(IF($C22="",-0.00001,SUMIFS(Database!V:V,Database!$E:$E,$C22)),-0.00001)</f>
        <v>39</v>
      </c>
      <c r="U22" s="185">
        <f>IFERROR(IF($C22="",-0.00001,SUMIFS(Database!W:W,Database!$E:$E,$C22)),-0.00001)</f>
        <v>58</v>
      </c>
      <c r="V22" s="186">
        <f t="shared" si="2"/>
        <v>0.67241379310344829</v>
      </c>
      <c r="W22" s="187"/>
      <c r="X22" s="187"/>
      <c r="Y22" s="187"/>
      <c r="Z22" s="187"/>
      <c r="AA22" s="187"/>
      <c r="AB22" s="187"/>
      <c r="AC22" s="187"/>
      <c r="AD22" s="187"/>
      <c r="AE22" s="187"/>
    </row>
    <row r="23" spans="1:31" x14ac:dyDescent="0.25">
      <c r="A23" s="187"/>
      <c r="B23" s="187">
        <f>IF($C23="","",MAX($B$4:$B22)+1)</f>
        <v>20</v>
      </c>
      <c r="C23" s="183" t="s">
        <v>32</v>
      </c>
      <c r="D23" s="183" t="str">
        <f>VLOOKUP($C23,Rosters!$C$4:$M$239,Lists!$O33,FALSE)</f>
        <v>Vandals</v>
      </c>
      <c r="E23" s="185">
        <f>IF($C23="",-0.00001,COUNTIF(Database!E:E,$C23))</f>
        <v>11</v>
      </c>
      <c r="F23" s="185">
        <f>IFERROR(IF($C23="",-0.00001,SUMIFS(Database!H:H,Database!$E:$E,$C23)),-0.00001)</f>
        <v>130</v>
      </c>
      <c r="G23" s="185">
        <f>IFERROR(IF($C23="",-0.00001,SUMIFS(Database!I:I,Database!$E:$E,$C23)),-0.00001)</f>
        <v>76</v>
      </c>
      <c r="H23" s="185">
        <f>IFERROR(IF($C23="",-0.00001,SUMIFS(Database!J:J,Database!$E:$E,$C23)),-0.00001)</f>
        <v>28</v>
      </c>
      <c r="I23" s="185">
        <f>IFERROR(IF($C23="",-0.00001,SUMIFS(Database!K:K,Database!$E:$E,$C23)),-0.00001)</f>
        <v>22</v>
      </c>
      <c r="J23" s="185">
        <f>IFERROR(IF($C23="",-0.00001,SUMIFS(Database!L:L,Database!$E:$E,$C23)),-0.00001)</f>
        <v>14</v>
      </c>
      <c r="K23" s="185">
        <f>IFERROR(IF($C23="",-0.00001,SUMIFS(Database!M:M,Database!$E:$E,$C23)),-0.00001)</f>
        <v>18</v>
      </c>
      <c r="L23" s="185">
        <f>IFERROR(IF($C23="",-0.00001,SUMIFS(Database!N:N,Database!$E:$E,$C23)),-0.00001)</f>
        <v>32</v>
      </c>
      <c r="M23" s="185">
        <f>IFERROR(IF($C23="",-0.00001,SUMIFS(Database!O:O,Database!$E:$E,$C23)),-0.00001)</f>
        <v>44</v>
      </c>
      <c r="N23" s="185">
        <f>IFERROR(IF($C23="",-0.00001,SUMIFS(Database!P:P,Database!$E:$E,$C23)),-0.00001)</f>
        <v>14</v>
      </c>
      <c r="O23" s="185">
        <f>IFERROR(IF($C23="",-0.00001,SUMIFS(Database!Q:Q,Database!$E:$E,$C23)),-0.00001)</f>
        <v>49</v>
      </c>
      <c r="P23" s="186">
        <f t="shared" si="0"/>
        <v>0.2857142857142857</v>
      </c>
      <c r="Q23" s="185">
        <f>IFERROR(IF($C23="",-0.00001,SUMIFS(Database!S:S,Database!$E:$E,$C23)),-0.00001)</f>
        <v>50</v>
      </c>
      <c r="R23" s="185">
        <f>IFERROR(IF($C23="",-0.00001,SUMIFS(Database!T:T,Database!$E:$E,$C23)),-0.00001)</f>
        <v>142</v>
      </c>
      <c r="S23" s="186">
        <f t="shared" si="1"/>
        <v>0.352112676056338</v>
      </c>
      <c r="T23" s="185">
        <f>IFERROR(IF($C23="",-0.00001,SUMIFS(Database!V:V,Database!$E:$E,$C23)),-0.00001)</f>
        <v>16</v>
      </c>
      <c r="U23" s="185">
        <f>IFERROR(IF($C23="",-0.00001,SUMIFS(Database!W:W,Database!$E:$E,$C23)),-0.00001)</f>
        <v>24</v>
      </c>
      <c r="V23" s="186">
        <f t="shared" si="2"/>
        <v>0.66666666666666663</v>
      </c>
      <c r="W23" s="187"/>
      <c r="X23" s="187"/>
      <c r="Y23" s="187"/>
      <c r="Z23" s="187"/>
      <c r="AA23" s="187"/>
      <c r="AB23" s="187"/>
      <c r="AC23" s="187"/>
      <c r="AD23" s="187"/>
      <c r="AE23" s="187"/>
    </row>
    <row r="24" spans="1:31" x14ac:dyDescent="0.25">
      <c r="A24" s="187"/>
      <c r="B24" s="187">
        <f>IF($C24="","",MAX($B$4:$B23)+1)</f>
        <v>21</v>
      </c>
      <c r="C24" s="183" t="s">
        <v>2</v>
      </c>
      <c r="D24" s="183" t="str">
        <f>VLOOKUP($C24,Rosters!$C$4:$M$239,Lists!$O38,FALSE)</f>
        <v>Mustangs</v>
      </c>
      <c r="E24" s="185">
        <f>IF($C24="",-0.00001,COUNTIF(Database!E:E,$C24))</f>
        <v>11</v>
      </c>
      <c r="F24" s="185">
        <f>IFERROR(IF($C24="",-0.00001,SUMIFS(Database!H:H,Database!$E:$E,$C24)),-0.00001)</f>
        <v>231</v>
      </c>
      <c r="G24" s="185">
        <f>IFERROR(IF($C24="",-0.00001,SUMIFS(Database!I:I,Database!$E:$E,$C24)),-0.00001)</f>
        <v>62</v>
      </c>
      <c r="H24" s="185">
        <f>IFERROR(IF($C24="",-0.00001,SUMIFS(Database!J:J,Database!$E:$E,$C24)),-0.00001)</f>
        <v>26</v>
      </c>
      <c r="I24" s="185">
        <f>IFERROR(IF($C24="",-0.00001,SUMIFS(Database!K:K,Database!$E:$E,$C24)),-0.00001)</f>
        <v>29</v>
      </c>
      <c r="J24" s="185">
        <f>IFERROR(IF($C24="",-0.00001,SUMIFS(Database!L:L,Database!$E:$E,$C24)),-0.00001)</f>
        <v>2</v>
      </c>
      <c r="K24" s="185">
        <f>IFERROR(IF($C24="",-0.00001,SUMIFS(Database!M:M,Database!$E:$E,$C24)),-0.00001)</f>
        <v>28</v>
      </c>
      <c r="L24" s="185">
        <f>IFERROR(IF($C24="",-0.00001,SUMIFS(Database!N:N,Database!$E:$E,$C24)),-0.00001)</f>
        <v>15</v>
      </c>
      <c r="M24" s="185">
        <f>IFERROR(IF($C24="",-0.00001,SUMIFS(Database!O:O,Database!$E:$E,$C24)),-0.00001)</f>
        <v>44</v>
      </c>
      <c r="N24" s="185">
        <f>IFERROR(IF($C24="",-0.00001,SUMIFS(Database!P:P,Database!$E:$E,$C24)),-0.00001)</f>
        <v>38</v>
      </c>
      <c r="O24" s="185">
        <f>IFERROR(IF($C24="",-0.00001,SUMIFS(Database!Q:Q,Database!$E:$E,$C24)),-0.00001)</f>
        <v>93</v>
      </c>
      <c r="P24" s="186">
        <f t="shared" si="0"/>
        <v>0.40860215053763443</v>
      </c>
      <c r="Q24" s="185">
        <f>IFERROR(IF($C24="",-0.00001,SUMIFS(Database!S:S,Database!$E:$E,$C24)),-0.00001)</f>
        <v>88</v>
      </c>
      <c r="R24" s="185">
        <f>IFERROR(IF($C24="",-0.00001,SUMIFS(Database!T:T,Database!$E:$E,$C24)),-0.00001)</f>
        <v>182</v>
      </c>
      <c r="S24" s="186">
        <f t="shared" si="1"/>
        <v>0.48351648351648352</v>
      </c>
      <c r="T24" s="185">
        <f>IFERROR(IF($C24="",-0.00001,SUMIFS(Database!V:V,Database!$E:$E,$C24)),-0.00001)</f>
        <v>17</v>
      </c>
      <c r="U24" s="185">
        <f>IFERROR(IF($C24="",-0.00001,SUMIFS(Database!W:W,Database!$E:$E,$C24)),-0.00001)</f>
        <v>25</v>
      </c>
      <c r="V24" s="186">
        <f t="shared" si="2"/>
        <v>0.68</v>
      </c>
      <c r="W24" s="187"/>
      <c r="X24" s="187"/>
      <c r="Y24" s="187"/>
      <c r="Z24" s="187"/>
      <c r="AA24" s="187"/>
      <c r="AB24" s="187"/>
      <c r="AC24" s="187"/>
      <c r="AD24" s="187"/>
      <c r="AE24" s="187"/>
    </row>
    <row r="25" spans="1:31" x14ac:dyDescent="0.25">
      <c r="A25" s="187"/>
      <c r="B25" s="187">
        <f>IF($C25="","",MAX($B$4:$B24)+1)</f>
        <v>22</v>
      </c>
      <c r="C25" s="183" t="s">
        <v>1</v>
      </c>
      <c r="D25" s="183" t="str">
        <f>VLOOKUP($C25,Rosters!$C$4:$M$239,Lists!$O15,FALSE)</f>
        <v>Mustangs</v>
      </c>
      <c r="E25" s="185">
        <f>IF($C25="",-0.00001,COUNTIF(Database!E:E,$C25))</f>
        <v>11</v>
      </c>
      <c r="F25" s="185">
        <f>IFERROR(IF($C25="",-0.00001,SUMIFS(Database!H:H,Database!$E:$E,$C25)),-0.00001)</f>
        <v>241</v>
      </c>
      <c r="G25" s="185">
        <f>IFERROR(IF($C25="",-0.00001,SUMIFS(Database!I:I,Database!$E:$E,$C25)),-0.00001)</f>
        <v>143</v>
      </c>
      <c r="H25" s="185">
        <f>IFERROR(IF($C25="",-0.00001,SUMIFS(Database!J:J,Database!$E:$E,$C25)),-0.00001)</f>
        <v>50</v>
      </c>
      <c r="I25" s="185">
        <f>IFERROR(IF($C25="",-0.00001,SUMIFS(Database!K:K,Database!$E:$E,$C25)),-0.00001)</f>
        <v>21</v>
      </c>
      <c r="J25" s="185">
        <f>IFERROR(IF($C25="",-0.00001,SUMIFS(Database!L:L,Database!$E:$E,$C25)),-0.00001)</f>
        <v>5</v>
      </c>
      <c r="K25" s="185">
        <f>IFERROR(IF($C25="",-0.00001,SUMIFS(Database!M:M,Database!$E:$E,$C25)),-0.00001)</f>
        <v>61</v>
      </c>
      <c r="L25" s="185">
        <f>IFERROR(IF($C25="",-0.00001,SUMIFS(Database!N:N,Database!$E:$E,$C25)),-0.00001)</f>
        <v>37</v>
      </c>
      <c r="M25" s="185">
        <f>IFERROR(IF($C25="",-0.00001,SUMIFS(Database!O:O,Database!$E:$E,$C25)),-0.00001)</f>
        <v>89</v>
      </c>
      <c r="N25" s="185">
        <f>IFERROR(IF($C25="",-0.00001,SUMIFS(Database!P:P,Database!$E:$E,$C25)),-0.00001)</f>
        <v>28</v>
      </c>
      <c r="O25" s="185">
        <f>IFERROR(IF($C25="",-0.00001,SUMIFS(Database!Q:Q,Database!$E:$E,$C25)),-0.00001)</f>
        <v>90</v>
      </c>
      <c r="P25" s="186">
        <f t="shared" si="0"/>
        <v>0.31111111111111112</v>
      </c>
      <c r="Q25" s="185">
        <f>IFERROR(IF($C25="",-0.00001,SUMIFS(Database!S:S,Database!$E:$E,$C25)),-0.00001)</f>
        <v>94</v>
      </c>
      <c r="R25" s="185">
        <f>IFERROR(IF($C25="",-0.00001,SUMIFS(Database!T:T,Database!$E:$E,$C25)),-0.00001)</f>
        <v>239</v>
      </c>
      <c r="S25" s="186">
        <f t="shared" si="1"/>
        <v>0.39330543933054396</v>
      </c>
      <c r="T25" s="185">
        <f>IFERROR(IF($C25="",-0.00001,SUMIFS(Database!V:V,Database!$E:$E,$C25)),-0.00001)</f>
        <v>24</v>
      </c>
      <c r="U25" s="185">
        <f>IFERROR(IF($C25="",-0.00001,SUMIFS(Database!W:W,Database!$E:$E,$C25)),-0.00001)</f>
        <v>35</v>
      </c>
      <c r="V25" s="186">
        <f t="shared" si="2"/>
        <v>0.68571428571428572</v>
      </c>
      <c r="W25" s="187"/>
      <c r="X25" s="187"/>
      <c r="Y25" s="187"/>
      <c r="Z25" s="187"/>
      <c r="AA25" s="187"/>
      <c r="AB25" s="187"/>
      <c r="AC25" s="187"/>
      <c r="AD25" s="187"/>
      <c r="AE25" s="187"/>
    </row>
    <row r="26" spans="1:31" x14ac:dyDescent="0.25">
      <c r="A26" s="187"/>
      <c r="B26" s="187">
        <f>IF($C26="","",MAX($B$4:$B25)+1)</f>
        <v>23</v>
      </c>
      <c r="C26" s="183" t="s">
        <v>35</v>
      </c>
      <c r="D26" s="183" t="str">
        <f>VLOOKUP($C26,Rosters!$C$4:$M$239,Lists!$O11,FALSE)</f>
        <v>Vandals</v>
      </c>
      <c r="E26" s="185">
        <f>IF($C26="",-0.00001,COUNTIF(Database!E:E,$C26))</f>
        <v>11</v>
      </c>
      <c r="F26" s="185">
        <f>IFERROR(IF($C26="",-0.00001,SUMIFS(Database!H:H,Database!$E:$E,$C26)),-0.00001)</f>
        <v>40</v>
      </c>
      <c r="G26" s="185">
        <f>IFERROR(IF($C26="",-0.00001,SUMIFS(Database!I:I,Database!$E:$E,$C26)),-0.00001)</f>
        <v>51</v>
      </c>
      <c r="H26" s="185">
        <f>IFERROR(IF($C26="",-0.00001,SUMIFS(Database!J:J,Database!$E:$E,$C26)),-0.00001)</f>
        <v>11</v>
      </c>
      <c r="I26" s="185">
        <f>IFERROR(IF($C26="",-0.00001,SUMIFS(Database!K:K,Database!$E:$E,$C26)),-0.00001)</f>
        <v>6</v>
      </c>
      <c r="J26" s="185">
        <f>IFERROR(IF($C26="",-0.00001,SUMIFS(Database!L:L,Database!$E:$E,$C26)),-0.00001)</f>
        <v>2</v>
      </c>
      <c r="K26" s="185">
        <f>IFERROR(IF($C26="",-0.00001,SUMIFS(Database!M:M,Database!$E:$E,$C26)),-0.00001)</f>
        <v>6</v>
      </c>
      <c r="L26" s="185">
        <f>IFERROR(IF($C26="",-0.00001,SUMIFS(Database!N:N,Database!$E:$E,$C26)),-0.00001)</f>
        <v>6</v>
      </c>
      <c r="M26" s="185">
        <f>IFERROR(IF($C26="",-0.00001,SUMIFS(Database!O:O,Database!$E:$E,$C26)),-0.00001)</f>
        <v>43</v>
      </c>
      <c r="N26" s="185">
        <f>IFERROR(IF($C26="",-0.00001,SUMIFS(Database!P:P,Database!$E:$E,$C26)),-0.00001)</f>
        <v>6</v>
      </c>
      <c r="O26" s="185">
        <f>IFERROR(IF($C26="",-0.00001,SUMIFS(Database!Q:Q,Database!$E:$E,$C26)),-0.00001)</f>
        <v>27</v>
      </c>
      <c r="P26" s="186">
        <f t="shared" si="0"/>
        <v>0.22222222222222221</v>
      </c>
      <c r="Q26" s="185">
        <f>IFERROR(IF($C26="",-0.00001,SUMIFS(Database!S:S,Database!$E:$E,$C26)),-0.00001)</f>
        <v>17</v>
      </c>
      <c r="R26" s="185">
        <f>IFERROR(IF($C26="",-0.00001,SUMIFS(Database!T:T,Database!$E:$E,$C26)),-0.00001)</f>
        <v>46</v>
      </c>
      <c r="S26" s="186">
        <f t="shared" si="1"/>
        <v>0.36956521739130432</v>
      </c>
      <c r="T26" s="185">
        <f>IFERROR(IF($C26="",-0.00001,SUMIFS(Database!V:V,Database!$E:$E,$C26)),-0.00001)</f>
        <v>1</v>
      </c>
      <c r="U26" s="185">
        <f>IFERROR(IF($C26="",-0.00001,SUMIFS(Database!W:W,Database!$E:$E,$C26)),-0.00001)</f>
        <v>1</v>
      </c>
      <c r="V26" s="186">
        <f t="shared" si="2"/>
        <v>1</v>
      </c>
      <c r="W26" s="187"/>
      <c r="X26" s="187"/>
      <c r="Y26" s="187"/>
      <c r="Z26" s="187"/>
      <c r="AA26" s="187"/>
      <c r="AB26" s="187"/>
      <c r="AC26" s="187"/>
      <c r="AD26" s="187"/>
      <c r="AE26" s="187"/>
    </row>
    <row r="27" spans="1:31" x14ac:dyDescent="0.25">
      <c r="A27" s="187"/>
      <c r="B27" s="187">
        <f>IF($C27="","",MAX($B$4:$B26)+1)</f>
        <v>24</v>
      </c>
      <c r="C27" s="183" t="s">
        <v>23</v>
      </c>
      <c r="D27" s="183" t="str">
        <f>VLOOKUP($C27,Rosters!$C$4:$M$239,Lists!$O32,FALSE)</f>
        <v>Lightning</v>
      </c>
      <c r="E27" s="185">
        <f>IF($C27="",-0.00001,COUNTIF(Database!E:E,$C27))</f>
        <v>4</v>
      </c>
      <c r="F27" s="185">
        <f>IFERROR(IF($C27="",-0.00001,SUMIFS(Database!H:H,Database!$E:$E,$C27)),-0.00001)</f>
        <v>37</v>
      </c>
      <c r="G27" s="185">
        <f>IFERROR(IF($C27="",-0.00001,SUMIFS(Database!I:I,Database!$E:$E,$C27)),-0.00001)</f>
        <v>21</v>
      </c>
      <c r="H27" s="185">
        <f>IFERROR(IF($C27="",-0.00001,SUMIFS(Database!J:J,Database!$E:$E,$C27)),-0.00001)</f>
        <v>11</v>
      </c>
      <c r="I27" s="185">
        <f>IFERROR(IF($C27="",-0.00001,SUMIFS(Database!K:K,Database!$E:$E,$C27)),-0.00001)</f>
        <v>8</v>
      </c>
      <c r="J27" s="185">
        <f>IFERROR(IF($C27="",-0.00001,SUMIFS(Database!L:L,Database!$E:$E,$C27)),-0.00001)</f>
        <v>0</v>
      </c>
      <c r="K27" s="185">
        <f>IFERROR(IF($C27="",-0.00001,SUMIFS(Database!M:M,Database!$E:$E,$C27)),-0.00001)</f>
        <v>9</v>
      </c>
      <c r="L27" s="185">
        <f>IFERROR(IF($C27="",-0.00001,SUMIFS(Database!N:N,Database!$E:$E,$C27)),-0.00001)</f>
        <v>4</v>
      </c>
      <c r="M27" s="185">
        <f>IFERROR(IF($C27="",-0.00001,SUMIFS(Database!O:O,Database!$E:$E,$C27)),-0.00001)</f>
        <v>17</v>
      </c>
      <c r="N27" s="185">
        <f>IFERROR(IF($C27="",-0.00001,SUMIFS(Database!P:P,Database!$E:$E,$C27)),-0.00001)</f>
        <v>5</v>
      </c>
      <c r="O27" s="185">
        <f>IFERROR(IF($C27="",-0.00001,SUMIFS(Database!Q:Q,Database!$E:$E,$C27)),-0.00001)</f>
        <v>19</v>
      </c>
      <c r="P27" s="186">
        <f t="shared" si="0"/>
        <v>0.26315789473684209</v>
      </c>
      <c r="Q27" s="185">
        <f>IFERROR(IF($C27="",-0.00001,SUMIFS(Database!S:S,Database!$E:$E,$C27)),-0.00001)</f>
        <v>16</v>
      </c>
      <c r="R27" s="185">
        <f>IFERROR(IF($C27="",-0.00001,SUMIFS(Database!T:T,Database!$E:$E,$C27)),-0.00001)</f>
        <v>41</v>
      </c>
      <c r="S27" s="186">
        <f t="shared" si="1"/>
        <v>0.3902439024390244</v>
      </c>
      <c r="T27" s="185">
        <f>IFERROR(IF($C27="",-0.00001,SUMIFS(Database!V:V,Database!$E:$E,$C27)),-0.00001)</f>
        <v>0</v>
      </c>
      <c r="U27" s="185">
        <f>IFERROR(IF($C27="",-0.00001,SUMIFS(Database!W:W,Database!$E:$E,$C27)),-0.00001)</f>
        <v>0</v>
      </c>
      <c r="V27" s="186">
        <f t="shared" si="2"/>
        <v>-1.0000000000000001E-5</v>
      </c>
      <c r="W27" s="187"/>
      <c r="X27" s="187"/>
      <c r="Y27" s="187"/>
      <c r="Z27" s="187"/>
      <c r="AA27" s="187"/>
      <c r="AB27" s="187"/>
      <c r="AC27" s="187"/>
      <c r="AD27" s="187"/>
      <c r="AE27" s="187"/>
    </row>
    <row r="28" spans="1:31" x14ac:dyDescent="0.25">
      <c r="A28" s="187"/>
      <c r="B28" s="187">
        <f>IF($C28="","",MAX($B$4:$B27)+1)</f>
        <v>25</v>
      </c>
      <c r="C28" s="183" t="s">
        <v>3</v>
      </c>
      <c r="D28" s="183" t="str">
        <f>VLOOKUP($C28,Rosters!$C$4:$M$239,Lists!$O8,FALSE)</f>
        <v>Mustangs</v>
      </c>
      <c r="E28" s="185">
        <f>IF($C28="",-0.00001,COUNTIF(Database!E:E,$C28))</f>
        <v>3</v>
      </c>
      <c r="F28" s="185">
        <f>IFERROR(IF($C28="",-0.00001,SUMIFS(Database!H:H,Database!$E:$E,$C28)),-0.00001)</f>
        <v>35</v>
      </c>
      <c r="G28" s="185">
        <f>IFERROR(IF($C28="",-0.00001,SUMIFS(Database!I:I,Database!$E:$E,$C28)),-0.00001)</f>
        <v>16</v>
      </c>
      <c r="H28" s="185">
        <f>IFERROR(IF($C28="",-0.00001,SUMIFS(Database!J:J,Database!$E:$E,$C28)),-0.00001)</f>
        <v>6</v>
      </c>
      <c r="I28" s="185">
        <f>IFERROR(IF($C28="",-0.00001,SUMIFS(Database!K:K,Database!$E:$E,$C28)),-0.00001)</f>
        <v>7</v>
      </c>
      <c r="J28" s="185">
        <f>IFERROR(IF($C28="",-0.00001,SUMIFS(Database!L:L,Database!$E:$E,$C28)),-0.00001)</f>
        <v>1</v>
      </c>
      <c r="K28" s="185">
        <f>IFERROR(IF($C28="",-0.00001,SUMIFS(Database!M:M,Database!$E:$E,$C28)),-0.00001)</f>
        <v>4</v>
      </c>
      <c r="L28" s="185">
        <f>IFERROR(IF($C28="",-0.00001,SUMIFS(Database!N:N,Database!$E:$E,$C28)),-0.00001)</f>
        <v>1</v>
      </c>
      <c r="M28" s="185">
        <f>IFERROR(IF($C28="",-0.00001,SUMIFS(Database!O:O,Database!$E:$E,$C28)),-0.00001)</f>
        <v>11</v>
      </c>
      <c r="N28" s="185">
        <f>IFERROR(IF($C28="",-0.00001,SUMIFS(Database!P:P,Database!$E:$E,$C28)),-0.00001)</f>
        <v>5</v>
      </c>
      <c r="O28" s="185">
        <f>IFERROR(IF($C28="",-0.00001,SUMIFS(Database!Q:Q,Database!$E:$E,$C28)),-0.00001)</f>
        <v>24</v>
      </c>
      <c r="P28" s="186">
        <f t="shared" si="0"/>
        <v>0.20833333333333334</v>
      </c>
      <c r="Q28" s="185">
        <f>IFERROR(IF($C28="",-0.00001,SUMIFS(Database!S:S,Database!$E:$E,$C28)),-0.00001)</f>
        <v>15</v>
      </c>
      <c r="R28" s="185">
        <f>IFERROR(IF($C28="",-0.00001,SUMIFS(Database!T:T,Database!$E:$E,$C28)),-0.00001)</f>
        <v>42</v>
      </c>
      <c r="S28" s="186">
        <f t="shared" si="1"/>
        <v>0.35714285714285715</v>
      </c>
      <c r="T28" s="185">
        <f>IFERROR(IF($C28="",-0.00001,SUMIFS(Database!V:V,Database!$E:$E,$C28)),-0.00001)</f>
        <v>0</v>
      </c>
      <c r="U28" s="185">
        <f>IFERROR(IF($C28="",-0.00001,SUMIFS(Database!W:W,Database!$E:$E,$C28)),-0.00001)</f>
        <v>0</v>
      </c>
      <c r="V28" s="186">
        <f t="shared" si="2"/>
        <v>-1.0000000000000001E-5</v>
      </c>
      <c r="W28" s="187"/>
      <c r="X28" s="187"/>
      <c r="Y28" s="187"/>
      <c r="Z28" s="187"/>
      <c r="AA28" s="187"/>
      <c r="AB28" s="187"/>
      <c r="AC28" s="187"/>
      <c r="AD28" s="187"/>
      <c r="AE28" s="187"/>
    </row>
    <row r="29" spans="1:31" x14ac:dyDescent="0.25">
      <c r="A29" s="187"/>
      <c r="B29" s="187">
        <f>IF($C29="","",MAX($B$4:$B28)+1)</f>
        <v>26</v>
      </c>
      <c r="C29" s="183" t="s">
        <v>25</v>
      </c>
      <c r="D29" s="183" t="str">
        <f>VLOOKUP($C29,Rosters!$C$4:$M$239,Lists!$O14,FALSE)</f>
        <v>Hoopers</v>
      </c>
      <c r="E29" s="185">
        <f>IF($C29="",-0.00001,COUNTIF(Database!E:E,$C29))</f>
        <v>11</v>
      </c>
      <c r="F29" s="185">
        <f>IFERROR(IF($C29="",-0.00001,SUMIFS(Database!H:H,Database!$E:$E,$C29)),-0.00001)</f>
        <v>87</v>
      </c>
      <c r="G29" s="185">
        <f>IFERROR(IF($C29="",-0.00001,SUMIFS(Database!I:I,Database!$E:$E,$C29)),-0.00001)</f>
        <v>73</v>
      </c>
      <c r="H29" s="185">
        <f>IFERROR(IF($C29="",-0.00001,SUMIFS(Database!J:J,Database!$E:$E,$C29)),-0.00001)</f>
        <v>20</v>
      </c>
      <c r="I29" s="185">
        <f>IFERROR(IF($C29="",-0.00001,SUMIFS(Database!K:K,Database!$E:$E,$C29)),-0.00001)</f>
        <v>26</v>
      </c>
      <c r="J29" s="185">
        <f>IFERROR(IF($C29="",-0.00001,SUMIFS(Database!L:L,Database!$E:$E,$C29)),-0.00001)</f>
        <v>1</v>
      </c>
      <c r="K29" s="185">
        <f>IFERROR(IF($C29="",-0.00001,SUMIFS(Database!M:M,Database!$E:$E,$C29)),-0.00001)</f>
        <v>10</v>
      </c>
      <c r="L29" s="185">
        <f>IFERROR(IF($C29="",-0.00001,SUMIFS(Database!N:N,Database!$E:$E,$C29)),-0.00001)</f>
        <v>5</v>
      </c>
      <c r="M29" s="185">
        <f>IFERROR(IF($C29="",-0.00001,SUMIFS(Database!O:O,Database!$E:$E,$C29)),-0.00001)</f>
        <v>67</v>
      </c>
      <c r="N29" s="185">
        <f>IFERROR(IF($C29="",-0.00001,SUMIFS(Database!P:P,Database!$E:$E,$C29)),-0.00001)</f>
        <v>14</v>
      </c>
      <c r="O29" s="185">
        <f>IFERROR(IF($C29="",-0.00001,SUMIFS(Database!Q:Q,Database!$E:$E,$C29)),-0.00001)</f>
        <v>34</v>
      </c>
      <c r="P29" s="186">
        <f t="shared" si="0"/>
        <v>0.41176470588235292</v>
      </c>
      <c r="Q29" s="185">
        <f>IFERROR(IF($C29="",-0.00001,SUMIFS(Database!S:S,Database!$E:$E,$C29)),-0.00001)</f>
        <v>33</v>
      </c>
      <c r="R29" s="185">
        <f>IFERROR(IF($C29="",-0.00001,SUMIFS(Database!T:T,Database!$E:$E,$C29)),-0.00001)</f>
        <v>85</v>
      </c>
      <c r="S29" s="186">
        <f t="shared" si="1"/>
        <v>0.38823529411764707</v>
      </c>
      <c r="T29" s="185">
        <f>IFERROR(IF($C29="",-0.00001,SUMIFS(Database!V:V,Database!$E:$E,$C29)),-0.00001)</f>
        <v>8</v>
      </c>
      <c r="U29" s="185">
        <f>IFERROR(IF($C29="",-0.00001,SUMIFS(Database!W:W,Database!$E:$E,$C29)),-0.00001)</f>
        <v>18</v>
      </c>
      <c r="V29" s="186">
        <f t="shared" si="2"/>
        <v>0.44444444444444442</v>
      </c>
      <c r="W29" s="187"/>
      <c r="X29" s="187"/>
      <c r="Y29" s="187"/>
      <c r="Z29" s="187"/>
      <c r="AA29" s="187"/>
      <c r="AB29" s="187"/>
      <c r="AC29" s="187"/>
      <c r="AD29" s="187"/>
      <c r="AE29" s="187"/>
    </row>
    <row r="30" spans="1:31" x14ac:dyDescent="0.25">
      <c r="A30" s="187"/>
      <c r="B30" s="187">
        <f>IF($C30="","",MAX($B$4:$B29)+1)</f>
        <v>27</v>
      </c>
      <c r="C30" s="183" t="s">
        <v>29</v>
      </c>
      <c r="D30" s="183" t="str">
        <f>VLOOKUP($C30,Rosters!$C$4:$M$239,Lists!$O40,FALSE)</f>
        <v>Hoopers</v>
      </c>
      <c r="E30" s="185">
        <f>IF($C30="",-0.00001,COUNTIF(Database!E:E,$C30))</f>
        <v>3</v>
      </c>
      <c r="F30" s="185">
        <f>IFERROR(IF($C30="",-0.00001,SUMIFS(Database!H:H,Database!$E:$E,$C30)),-0.00001)</f>
        <v>15</v>
      </c>
      <c r="G30" s="185">
        <f>IFERROR(IF($C30="",-0.00001,SUMIFS(Database!I:I,Database!$E:$E,$C30)),-0.00001)</f>
        <v>28</v>
      </c>
      <c r="H30" s="185">
        <f>IFERROR(IF($C30="",-0.00001,SUMIFS(Database!J:J,Database!$E:$E,$C30)),-0.00001)</f>
        <v>6</v>
      </c>
      <c r="I30" s="185">
        <f>IFERROR(IF($C30="",-0.00001,SUMIFS(Database!K:K,Database!$E:$E,$C30)),-0.00001)</f>
        <v>4</v>
      </c>
      <c r="J30" s="185">
        <f>IFERROR(IF($C30="",-0.00001,SUMIFS(Database!L:L,Database!$E:$E,$C30)),-0.00001)</f>
        <v>1</v>
      </c>
      <c r="K30" s="185">
        <f>IFERROR(IF($C30="",-0.00001,SUMIFS(Database!M:M,Database!$E:$E,$C30)),-0.00001)</f>
        <v>9</v>
      </c>
      <c r="L30" s="185">
        <f>IFERROR(IF($C30="",-0.00001,SUMIFS(Database!N:N,Database!$E:$E,$C30)),-0.00001)</f>
        <v>14</v>
      </c>
      <c r="M30" s="185">
        <f>IFERROR(IF($C30="",-0.00001,SUMIFS(Database!O:O,Database!$E:$E,$C30)),-0.00001)</f>
        <v>14</v>
      </c>
      <c r="N30" s="185">
        <f>IFERROR(IF($C30="",-0.00001,SUMIFS(Database!P:P,Database!$E:$E,$C30)),-0.00001)</f>
        <v>1</v>
      </c>
      <c r="O30" s="185">
        <f>IFERROR(IF($C30="",-0.00001,SUMIFS(Database!Q:Q,Database!$E:$E,$C30)),-0.00001)</f>
        <v>7</v>
      </c>
      <c r="P30" s="186">
        <f t="shared" si="0"/>
        <v>0.14285714285714285</v>
      </c>
      <c r="Q30" s="185">
        <f>IFERROR(IF($C30="",-0.00001,SUMIFS(Database!S:S,Database!$E:$E,$C30)),-0.00001)</f>
        <v>7</v>
      </c>
      <c r="R30" s="185">
        <f>IFERROR(IF($C30="",-0.00001,SUMIFS(Database!T:T,Database!$E:$E,$C30)),-0.00001)</f>
        <v>28</v>
      </c>
      <c r="S30" s="186">
        <f t="shared" si="1"/>
        <v>0.25</v>
      </c>
      <c r="T30" s="185">
        <f>IFERROR(IF($C30="",-0.00001,SUMIFS(Database!V:V,Database!$E:$E,$C30)),-0.00001)</f>
        <v>0</v>
      </c>
      <c r="U30" s="185">
        <f>IFERROR(IF($C30="",-0.00001,SUMIFS(Database!W:W,Database!$E:$E,$C30)),-0.00001)</f>
        <v>4</v>
      </c>
      <c r="V30" s="186">
        <f t="shared" si="2"/>
        <v>0</v>
      </c>
      <c r="W30" s="187"/>
      <c r="X30" s="187"/>
      <c r="Y30" s="187"/>
      <c r="Z30" s="187"/>
      <c r="AA30" s="187"/>
      <c r="AB30" s="187"/>
      <c r="AC30" s="187"/>
      <c r="AD30" s="187"/>
      <c r="AE30" s="187"/>
    </row>
    <row r="31" spans="1:31" x14ac:dyDescent="0.25">
      <c r="A31" s="187"/>
      <c r="B31" s="187">
        <f>IF($C31="","",MAX($B$4:$B30)+1)</f>
        <v>28</v>
      </c>
      <c r="C31" s="183" t="s">
        <v>28</v>
      </c>
      <c r="D31" s="183" t="str">
        <f>VLOOKUP($C31,Rosters!$C$4:$M$239,Lists!$O31,FALSE)</f>
        <v>Hoopers</v>
      </c>
      <c r="E31" s="185">
        <f>IF($C31="",-0.00001,COUNTIF(Database!E:E,$C31))</f>
        <v>11</v>
      </c>
      <c r="F31" s="185">
        <f>IFERROR(IF($C31="",-0.00001,SUMIFS(Database!H:H,Database!$E:$E,$C31)),-0.00001)</f>
        <v>73</v>
      </c>
      <c r="G31" s="185">
        <f>IFERROR(IF($C31="",-0.00001,SUMIFS(Database!I:I,Database!$E:$E,$C31)),-0.00001)</f>
        <v>39</v>
      </c>
      <c r="H31" s="185">
        <f>IFERROR(IF($C31="",-0.00001,SUMIFS(Database!J:J,Database!$E:$E,$C31)),-0.00001)</f>
        <v>9</v>
      </c>
      <c r="I31" s="185">
        <f>IFERROR(IF($C31="",-0.00001,SUMIFS(Database!K:K,Database!$E:$E,$C31)),-0.00001)</f>
        <v>12</v>
      </c>
      <c r="J31" s="185">
        <f>IFERROR(IF($C31="",-0.00001,SUMIFS(Database!L:L,Database!$E:$E,$C31)),-0.00001)</f>
        <v>1</v>
      </c>
      <c r="K31" s="185">
        <f>IFERROR(IF($C31="",-0.00001,SUMIFS(Database!M:M,Database!$E:$E,$C31)),-0.00001)</f>
        <v>3</v>
      </c>
      <c r="L31" s="185">
        <f>IFERROR(IF($C31="",-0.00001,SUMIFS(Database!N:N,Database!$E:$E,$C31)),-0.00001)</f>
        <v>8</v>
      </c>
      <c r="M31" s="185">
        <f>IFERROR(IF($C31="",-0.00001,SUMIFS(Database!O:O,Database!$E:$E,$C31)),-0.00001)</f>
        <v>31</v>
      </c>
      <c r="N31" s="185">
        <f>IFERROR(IF($C31="",-0.00001,SUMIFS(Database!P:P,Database!$E:$E,$C31)),-0.00001)</f>
        <v>20</v>
      </c>
      <c r="O31" s="185">
        <f>IFERROR(IF($C31="",-0.00001,SUMIFS(Database!Q:Q,Database!$E:$E,$C31)),-0.00001)</f>
        <v>51</v>
      </c>
      <c r="P31" s="186">
        <f t="shared" si="0"/>
        <v>0.39215686274509803</v>
      </c>
      <c r="Q31" s="185">
        <f>IFERROR(IF($C31="",-0.00001,SUMIFS(Database!S:S,Database!$E:$E,$C31)),-0.00001)</f>
        <v>23</v>
      </c>
      <c r="R31" s="185">
        <f>IFERROR(IF($C31="",-0.00001,SUMIFS(Database!T:T,Database!$E:$E,$C31)),-0.00001)</f>
        <v>58</v>
      </c>
      <c r="S31" s="186">
        <f t="shared" si="1"/>
        <v>0.39655172413793105</v>
      </c>
      <c r="T31" s="185">
        <f>IFERROR(IF($C31="",-0.00001,SUMIFS(Database!V:V,Database!$E:$E,$C31)),-0.00001)</f>
        <v>7</v>
      </c>
      <c r="U31" s="185">
        <f>IFERROR(IF($C31="",-0.00001,SUMIFS(Database!W:W,Database!$E:$E,$C31)),-0.00001)</f>
        <v>11</v>
      </c>
      <c r="V31" s="186">
        <f t="shared" si="2"/>
        <v>0.63636363636363635</v>
      </c>
      <c r="W31" s="187"/>
      <c r="X31" s="187"/>
      <c r="Y31" s="187"/>
      <c r="Z31" s="187"/>
      <c r="AA31" s="187"/>
      <c r="AB31" s="187"/>
      <c r="AC31" s="187"/>
      <c r="AD31" s="187"/>
      <c r="AE31" s="187"/>
    </row>
    <row r="32" spans="1:31" x14ac:dyDescent="0.25">
      <c r="A32" s="187"/>
      <c r="B32" s="187">
        <f>IF($C32="","",MAX($B$4:$B31)+1)</f>
        <v>29</v>
      </c>
      <c r="C32" s="183" t="s">
        <v>34</v>
      </c>
      <c r="D32" s="183" t="str">
        <f>VLOOKUP($C32,Rosters!$C$4:$M$239,Lists!$O18,FALSE)</f>
        <v>Vandals</v>
      </c>
      <c r="E32" s="185">
        <f>IF($C32="",-0.00001,COUNTIF(Database!E:E,$C32))</f>
        <v>3</v>
      </c>
      <c r="F32" s="185">
        <f>IFERROR(IF($C32="",-0.00001,SUMIFS(Database!H:H,Database!$E:$E,$C32)),-0.00001)</f>
        <v>42</v>
      </c>
      <c r="G32" s="185">
        <f>IFERROR(IF($C32="",-0.00001,SUMIFS(Database!I:I,Database!$E:$E,$C32)),-0.00001)</f>
        <v>30</v>
      </c>
      <c r="H32" s="185">
        <f>IFERROR(IF($C32="",-0.00001,SUMIFS(Database!J:J,Database!$E:$E,$C32)),-0.00001)</f>
        <v>6</v>
      </c>
      <c r="I32" s="185">
        <f>IFERROR(IF($C32="",-0.00001,SUMIFS(Database!K:K,Database!$E:$E,$C32)),-0.00001)</f>
        <v>8</v>
      </c>
      <c r="J32" s="185">
        <f>IFERROR(IF($C32="",-0.00001,SUMIFS(Database!L:L,Database!$E:$E,$C32)),-0.00001)</f>
        <v>0</v>
      </c>
      <c r="K32" s="185">
        <f>IFERROR(IF($C32="",-0.00001,SUMIFS(Database!M:M,Database!$E:$E,$C32)),-0.00001)</f>
        <v>13</v>
      </c>
      <c r="L32" s="185">
        <f>IFERROR(IF($C32="",-0.00001,SUMIFS(Database!N:N,Database!$E:$E,$C32)),-0.00001)</f>
        <v>7</v>
      </c>
      <c r="M32" s="185">
        <f>IFERROR(IF($C32="",-0.00001,SUMIFS(Database!O:O,Database!$E:$E,$C32)),-0.00001)</f>
        <v>12</v>
      </c>
      <c r="N32" s="185">
        <f>IFERROR(IF($C32="",-0.00001,SUMIFS(Database!P:P,Database!$E:$E,$C32)),-0.00001)</f>
        <v>2</v>
      </c>
      <c r="O32" s="185">
        <f>IFERROR(IF($C32="",-0.00001,SUMIFS(Database!Q:Q,Database!$E:$E,$C32)),-0.00001)</f>
        <v>8</v>
      </c>
      <c r="P32" s="186">
        <f t="shared" si="0"/>
        <v>0.25</v>
      </c>
      <c r="Q32" s="185">
        <f>IFERROR(IF($C32="",-0.00001,SUMIFS(Database!S:S,Database!$E:$E,$C32)),-0.00001)</f>
        <v>17</v>
      </c>
      <c r="R32" s="185">
        <f>IFERROR(IF($C32="",-0.00001,SUMIFS(Database!T:T,Database!$E:$E,$C32)),-0.00001)</f>
        <v>42</v>
      </c>
      <c r="S32" s="186">
        <f t="shared" si="1"/>
        <v>0.40476190476190477</v>
      </c>
      <c r="T32" s="185">
        <f>IFERROR(IF($C32="",-0.00001,SUMIFS(Database!V:V,Database!$E:$E,$C32)),-0.00001)</f>
        <v>6</v>
      </c>
      <c r="U32" s="185">
        <f>IFERROR(IF($C32="",-0.00001,SUMIFS(Database!W:W,Database!$E:$E,$C32)),-0.00001)</f>
        <v>7</v>
      </c>
      <c r="V32" s="186">
        <f t="shared" si="2"/>
        <v>0.8571428571428571</v>
      </c>
      <c r="W32" s="187"/>
      <c r="X32" s="187"/>
      <c r="Y32" s="187"/>
      <c r="Z32" s="187"/>
      <c r="AA32" s="187"/>
      <c r="AB32" s="187"/>
      <c r="AC32" s="187"/>
      <c r="AD32" s="187"/>
      <c r="AE32" s="187"/>
    </row>
    <row r="33" spans="1:31" x14ac:dyDescent="0.25">
      <c r="A33" s="187"/>
      <c r="B33" s="187">
        <f>IF($C33="","",MAX($B$4:$B32)+1)</f>
        <v>30</v>
      </c>
      <c r="C33" s="183" t="s">
        <v>15</v>
      </c>
      <c r="D33" s="183" t="str">
        <f>VLOOKUP($C33,Rosters!$C$4:$M$239,Lists!$O27,FALSE)</f>
        <v>Pistons</v>
      </c>
      <c r="E33" s="185">
        <f>IF($C33="",-0.00001,COUNTIF(Database!E:E,$C33))</f>
        <v>12</v>
      </c>
      <c r="F33" s="185">
        <f>IFERROR(IF($C33="",-0.00001,SUMIFS(Database!H:H,Database!$E:$E,$C33)),-0.00001)</f>
        <v>154</v>
      </c>
      <c r="G33" s="185">
        <f>IFERROR(IF($C33="",-0.00001,SUMIFS(Database!I:I,Database!$E:$E,$C33)),-0.00001)</f>
        <v>50</v>
      </c>
      <c r="H33" s="185">
        <f>IFERROR(IF($C33="",-0.00001,SUMIFS(Database!J:J,Database!$E:$E,$C33)),-0.00001)</f>
        <v>10</v>
      </c>
      <c r="I33" s="185">
        <f>IFERROR(IF($C33="",-0.00001,SUMIFS(Database!K:K,Database!$E:$E,$C33)),-0.00001)</f>
        <v>22</v>
      </c>
      <c r="J33" s="185">
        <f>IFERROR(IF($C33="",-0.00001,SUMIFS(Database!L:L,Database!$E:$E,$C33)),-0.00001)</f>
        <v>2</v>
      </c>
      <c r="K33" s="185">
        <f>IFERROR(IF($C33="",-0.00001,SUMIFS(Database!M:M,Database!$E:$E,$C33)),-0.00001)</f>
        <v>16</v>
      </c>
      <c r="L33" s="185">
        <f>IFERROR(IF($C33="",-0.00001,SUMIFS(Database!N:N,Database!$E:$E,$C33)),-0.00001)</f>
        <v>13</v>
      </c>
      <c r="M33" s="185">
        <f>IFERROR(IF($C33="",-0.00001,SUMIFS(Database!O:O,Database!$E:$E,$C33)),-0.00001)</f>
        <v>37</v>
      </c>
      <c r="N33" s="185">
        <f>IFERROR(IF($C33="",-0.00001,SUMIFS(Database!P:P,Database!$E:$E,$C33)),-0.00001)</f>
        <v>24</v>
      </c>
      <c r="O33" s="185">
        <f>IFERROR(IF($C33="",-0.00001,SUMIFS(Database!Q:Q,Database!$E:$E,$C33)),-0.00001)</f>
        <v>86</v>
      </c>
      <c r="P33" s="186">
        <f t="shared" si="0"/>
        <v>0.27906976744186046</v>
      </c>
      <c r="Q33" s="185">
        <f>IFERROR(IF($C33="",-0.00001,SUMIFS(Database!S:S,Database!$E:$E,$C33)),-0.00001)</f>
        <v>59</v>
      </c>
      <c r="R33" s="185">
        <f>IFERROR(IF($C33="",-0.00001,SUMIFS(Database!T:T,Database!$E:$E,$C33)),-0.00001)</f>
        <v>173</v>
      </c>
      <c r="S33" s="186">
        <f t="shared" si="1"/>
        <v>0.34104046242774566</v>
      </c>
      <c r="T33" s="185">
        <f>IFERROR(IF($C33="",-0.00001,SUMIFS(Database!V:V,Database!$E:$E,$C33)),-0.00001)</f>
        <v>8</v>
      </c>
      <c r="U33" s="185">
        <f>IFERROR(IF($C33="",-0.00001,SUMIFS(Database!W:W,Database!$E:$E,$C33)),-0.00001)</f>
        <v>17</v>
      </c>
      <c r="V33" s="186">
        <f t="shared" si="2"/>
        <v>0.47058823529411764</v>
      </c>
      <c r="W33" s="187"/>
      <c r="X33" s="187"/>
      <c r="Y33" s="187"/>
      <c r="Z33" s="187"/>
      <c r="AA33" s="187"/>
      <c r="AB33" s="187"/>
      <c r="AC33" s="187"/>
      <c r="AD33" s="187"/>
      <c r="AE33" s="187"/>
    </row>
    <row r="34" spans="1:31" x14ac:dyDescent="0.25">
      <c r="A34" s="187"/>
      <c r="B34" s="187">
        <f>IF($C34="","",MAX($B$4:$B33)+1)</f>
        <v>31</v>
      </c>
      <c r="C34" s="183" t="s">
        <v>13</v>
      </c>
      <c r="D34" s="183" t="str">
        <f>VLOOKUP($C34,Rosters!$C$4:$M$239,Lists!$O5,FALSE)</f>
        <v>Pistons</v>
      </c>
      <c r="E34" s="185">
        <f>IF($C34="",-0.00001,COUNTIF(Database!E:E,$C34))</f>
        <v>12</v>
      </c>
      <c r="F34" s="185">
        <f>IFERROR(IF($C34="",-0.00001,SUMIFS(Database!H:H,Database!$E:$E,$C34)),-0.00001)</f>
        <v>119</v>
      </c>
      <c r="G34" s="185">
        <f>IFERROR(IF($C34="",-0.00001,SUMIFS(Database!I:I,Database!$E:$E,$C34)),-0.00001)</f>
        <v>46</v>
      </c>
      <c r="H34" s="185">
        <f>IFERROR(IF($C34="",-0.00001,SUMIFS(Database!J:J,Database!$E:$E,$C34)),-0.00001)</f>
        <v>23</v>
      </c>
      <c r="I34" s="185">
        <f>IFERROR(IF($C34="",-0.00001,SUMIFS(Database!K:K,Database!$E:$E,$C34)),-0.00001)</f>
        <v>14</v>
      </c>
      <c r="J34" s="185">
        <f>IFERROR(IF($C34="",-0.00001,SUMIFS(Database!L:L,Database!$E:$E,$C34)),-0.00001)</f>
        <v>0</v>
      </c>
      <c r="K34" s="185">
        <f>IFERROR(IF($C34="",-0.00001,SUMIFS(Database!M:M,Database!$E:$E,$C34)),-0.00001)</f>
        <v>41</v>
      </c>
      <c r="L34" s="185">
        <f>IFERROR(IF($C34="",-0.00001,SUMIFS(Database!N:N,Database!$E:$E,$C34)),-0.00001)</f>
        <v>11</v>
      </c>
      <c r="M34" s="185">
        <f>IFERROR(IF($C34="",-0.00001,SUMIFS(Database!O:O,Database!$E:$E,$C34)),-0.00001)</f>
        <v>35</v>
      </c>
      <c r="N34" s="185">
        <f>IFERROR(IF($C34="",-0.00001,SUMIFS(Database!P:P,Database!$E:$E,$C34)),-0.00001)</f>
        <v>10</v>
      </c>
      <c r="O34" s="185">
        <f>IFERROR(IF($C34="",-0.00001,SUMIFS(Database!Q:Q,Database!$E:$E,$C34)),-0.00001)</f>
        <v>33</v>
      </c>
      <c r="P34" s="186">
        <f t="shared" si="0"/>
        <v>0.30303030303030304</v>
      </c>
      <c r="Q34" s="185">
        <f>IFERROR(IF($C34="",-0.00001,SUMIFS(Database!S:S,Database!$E:$E,$C34)),-0.00001)</f>
        <v>50</v>
      </c>
      <c r="R34" s="185">
        <f>IFERROR(IF($C34="",-0.00001,SUMIFS(Database!T:T,Database!$E:$E,$C34)),-0.00001)</f>
        <v>155</v>
      </c>
      <c r="S34" s="186">
        <f t="shared" si="1"/>
        <v>0.32258064516129031</v>
      </c>
      <c r="T34" s="185">
        <f>IFERROR(IF($C34="",-0.00001,SUMIFS(Database!V:V,Database!$E:$E,$C34)),-0.00001)</f>
        <v>9</v>
      </c>
      <c r="U34" s="185">
        <f>IFERROR(IF($C34="",-0.00001,SUMIFS(Database!W:W,Database!$E:$E,$C34)),-0.00001)</f>
        <v>15</v>
      </c>
      <c r="V34" s="186">
        <f t="shared" si="2"/>
        <v>0.6</v>
      </c>
      <c r="W34" s="187"/>
      <c r="X34" s="187"/>
      <c r="Y34" s="187"/>
      <c r="Z34" s="187"/>
      <c r="AA34" s="187"/>
      <c r="AB34" s="187"/>
      <c r="AC34" s="187"/>
      <c r="AD34" s="187"/>
      <c r="AE34" s="187"/>
    </row>
    <row r="35" spans="1:31" x14ac:dyDescent="0.25">
      <c r="A35" s="187"/>
      <c r="B35" s="187">
        <f>IF($C35="","",MAX($B$4:$B34)+1)</f>
        <v>32</v>
      </c>
      <c r="C35" s="183" t="s">
        <v>36</v>
      </c>
      <c r="D35" s="183" t="str">
        <f>VLOOKUP($C35,Rosters!$C$4:$M$239,Lists!$O16,FALSE)</f>
        <v>Vandals</v>
      </c>
      <c r="E35" s="185">
        <f>IF($C35="",-0.00001,COUNTIF(Database!E:E,$C35))</f>
        <v>11</v>
      </c>
      <c r="F35" s="185">
        <f>IFERROR(IF($C35="",-0.00001,SUMIFS(Database!H:H,Database!$E:$E,$C35)),-0.00001)</f>
        <v>22</v>
      </c>
      <c r="G35" s="185">
        <f>IFERROR(IF($C35="",-0.00001,SUMIFS(Database!I:I,Database!$E:$E,$C35)),-0.00001)</f>
        <v>36</v>
      </c>
      <c r="H35" s="185">
        <f>IFERROR(IF($C35="",-0.00001,SUMIFS(Database!J:J,Database!$E:$E,$C35)),-0.00001)</f>
        <v>9</v>
      </c>
      <c r="I35" s="185">
        <f>IFERROR(IF($C35="",-0.00001,SUMIFS(Database!K:K,Database!$E:$E,$C35)),-0.00001)</f>
        <v>5</v>
      </c>
      <c r="J35" s="185">
        <f>IFERROR(IF($C35="",-0.00001,SUMIFS(Database!L:L,Database!$E:$E,$C35)),-0.00001)</f>
        <v>3</v>
      </c>
      <c r="K35" s="185">
        <f>IFERROR(IF($C35="",-0.00001,SUMIFS(Database!M:M,Database!$E:$E,$C35)),-0.00001)</f>
        <v>19</v>
      </c>
      <c r="L35" s="185">
        <f>IFERROR(IF($C35="",-0.00001,SUMIFS(Database!N:N,Database!$E:$E,$C35)),-0.00001)</f>
        <v>8</v>
      </c>
      <c r="M35" s="185">
        <f>IFERROR(IF($C35="",-0.00001,SUMIFS(Database!O:O,Database!$E:$E,$C35)),-0.00001)</f>
        <v>22</v>
      </c>
      <c r="N35" s="185">
        <f>IFERROR(IF($C35="",-0.00001,SUMIFS(Database!P:P,Database!$E:$E,$C35)),-0.00001)</f>
        <v>4</v>
      </c>
      <c r="O35" s="185">
        <f>IFERROR(IF($C35="",-0.00001,SUMIFS(Database!Q:Q,Database!$E:$E,$C35)),-0.00001)</f>
        <v>29</v>
      </c>
      <c r="P35" s="186">
        <f t="shared" si="0"/>
        <v>0.13793103448275862</v>
      </c>
      <c r="Q35" s="185">
        <f>IFERROR(IF($C35="",-0.00001,SUMIFS(Database!S:S,Database!$E:$E,$C35)),-0.00001)</f>
        <v>9</v>
      </c>
      <c r="R35" s="185">
        <f>IFERROR(IF($C35="",-0.00001,SUMIFS(Database!T:T,Database!$E:$E,$C35)),-0.00001)</f>
        <v>37</v>
      </c>
      <c r="S35" s="186">
        <f t="shared" si="1"/>
        <v>0.24324324324324326</v>
      </c>
      <c r="T35" s="185">
        <f>IFERROR(IF($C35="",-0.00001,SUMIFS(Database!V:V,Database!$E:$E,$C35)),-0.00001)</f>
        <v>0</v>
      </c>
      <c r="U35" s="185">
        <f>IFERROR(IF($C35="",-0.00001,SUMIFS(Database!W:W,Database!$E:$E,$C35)),-0.00001)</f>
        <v>0</v>
      </c>
      <c r="V35" s="186">
        <f t="shared" si="2"/>
        <v>-1.0000000000000001E-5</v>
      </c>
      <c r="W35" s="187"/>
      <c r="X35" s="187"/>
      <c r="Y35" s="187"/>
      <c r="Z35" s="187"/>
      <c r="AA35" s="187"/>
      <c r="AB35" s="187"/>
      <c r="AC35" s="187"/>
      <c r="AD35" s="187"/>
      <c r="AE35" s="187"/>
    </row>
    <row r="36" spans="1:31" x14ac:dyDescent="0.25">
      <c r="A36" s="187"/>
      <c r="B36" s="187">
        <f>IF($C36="","",MAX($B$4:$B35)+1)</f>
        <v>33</v>
      </c>
      <c r="C36" s="183" t="s">
        <v>12</v>
      </c>
      <c r="D36" s="183" t="str">
        <f>VLOOKUP($C36,Rosters!$C$4:$M$239,Lists!$O37,FALSE)</f>
        <v>Hoopers</v>
      </c>
      <c r="E36" s="185">
        <f>IF($C36="",-0.00001,COUNTIF(Database!E:E,$C36))</f>
        <v>10</v>
      </c>
      <c r="F36" s="185">
        <f>IFERROR(IF($C36="",-0.00001,SUMIFS(Database!H:H,Database!$E:$E,$C36)),-0.00001)</f>
        <v>15</v>
      </c>
      <c r="G36" s="185">
        <f>IFERROR(IF($C36="",-0.00001,SUMIFS(Database!I:I,Database!$E:$E,$C36)),-0.00001)</f>
        <v>37</v>
      </c>
      <c r="H36" s="185">
        <f>IFERROR(IF($C36="",-0.00001,SUMIFS(Database!J:J,Database!$E:$E,$C36)),-0.00001)</f>
        <v>4</v>
      </c>
      <c r="I36" s="185">
        <f>IFERROR(IF($C36="",-0.00001,SUMIFS(Database!K:K,Database!$E:$E,$C36)),-0.00001)</f>
        <v>5</v>
      </c>
      <c r="J36" s="185">
        <f>IFERROR(IF($C36="",-0.00001,SUMIFS(Database!L:L,Database!$E:$E,$C36)),-0.00001)</f>
        <v>6</v>
      </c>
      <c r="K36" s="185">
        <f>IFERROR(IF($C36="",-0.00001,SUMIFS(Database!M:M,Database!$E:$E,$C36)),-0.00001)</f>
        <v>14</v>
      </c>
      <c r="L36" s="185">
        <f>IFERROR(IF($C36="",-0.00001,SUMIFS(Database!N:N,Database!$E:$E,$C36)),-0.00001)</f>
        <v>20</v>
      </c>
      <c r="M36" s="185">
        <f>IFERROR(IF($C36="",-0.00001,SUMIFS(Database!O:O,Database!$E:$E,$C36)),-0.00001)</f>
        <v>17</v>
      </c>
      <c r="N36" s="185">
        <f>IFERROR(IF($C36="",-0.00001,SUMIFS(Database!P:P,Database!$E:$E,$C36)),-0.00001)</f>
        <v>1</v>
      </c>
      <c r="O36" s="185">
        <f>IFERROR(IF($C36="",-0.00001,SUMIFS(Database!Q:Q,Database!$E:$E,$C36)),-0.00001)</f>
        <v>5</v>
      </c>
      <c r="P36" s="186">
        <f t="shared" si="0"/>
        <v>0.2</v>
      </c>
      <c r="Q36" s="185">
        <f>IFERROR(IF($C36="",-0.00001,SUMIFS(Database!S:S,Database!$E:$E,$C36)),-0.00001)</f>
        <v>6</v>
      </c>
      <c r="R36" s="185">
        <f>IFERROR(IF($C36="",-0.00001,SUMIFS(Database!T:T,Database!$E:$E,$C36)),-0.00001)</f>
        <v>24</v>
      </c>
      <c r="S36" s="186">
        <f t="shared" si="1"/>
        <v>0.25</v>
      </c>
      <c r="T36" s="185">
        <f>IFERROR(IF($C36="",-0.00001,SUMIFS(Database!V:V,Database!$E:$E,$C36)),-0.00001)</f>
        <v>2</v>
      </c>
      <c r="U36" s="185">
        <f>IFERROR(IF($C36="",-0.00001,SUMIFS(Database!W:W,Database!$E:$E,$C36)),-0.00001)</f>
        <v>2</v>
      </c>
      <c r="V36" s="186">
        <f t="shared" si="2"/>
        <v>1</v>
      </c>
      <c r="W36" s="187"/>
      <c r="X36" s="187"/>
      <c r="Y36" s="187"/>
      <c r="Z36" s="187"/>
      <c r="AA36" s="187"/>
      <c r="AB36" s="187"/>
      <c r="AC36" s="187"/>
      <c r="AD36" s="187"/>
      <c r="AE36" s="187"/>
    </row>
    <row r="37" spans="1:31" x14ac:dyDescent="0.25">
      <c r="A37" s="187"/>
      <c r="B37" s="187">
        <f>IF($C37="","",MAX($B$4:$B36)+1)</f>
        <v>34</v>
      </c>
      <c r="C37" s="183" t="s">
        <v>5</v>
      </c>
      <c r="D37" s="183" t="str">
        <f>VLOOKUP($C37,Rosters!$C$4:$M$239,Lists!$O19,FALSE)</f>
        <v>Mustangs</v>
      </c>
      <c r="E37" s="185">
        <f>IF($C37="",-0.00001,COUNTIF(Database!E:E,$C37))</f>
        <v>4</v>
      </c>
      <c r="F37" s="185">
        <f>IFERROR(IF($C37="",-0.00001,SUMIFS(Database!H:H,Database!$E:$E,$C37)),-0.00001)</f>
        <v>30</v>
      </c>
      <c r="G37" s="185">
        <f>IFERROR(IF($C37="",-0.00001,SUMIFS(Database!I:I,Database!$E:$E,$C37)),-0.00001)</f>
        <v>17</v>
      </c>
      <c r="H37" s="185">
        <f>IFERROR(IF($C37="",-0.00001,SUMIFS(Database!J:J,Database!$E:$E,$C37)),-0.00001)</f>
        <v>0</v>
      </c>
      <c r="I37" s="185">
        <f>IFERROR(IF($C37="",-0.00001,SUMIFS(Database!K:K,Database!$E:$E,$C37)),-0.00001)</f>
        <v>6</v>
      </c>
      <c r="J37" s="185">
        <f>IFERROR(IF($C37="",-0.00001,SUMIFS(Database!L:L,Database!$E:$E,$C37)),-0.00001)</f>
        <v>3</v>
      </c>
      <c r="K37" s="185">
        <f>IFERROR(IF($C37="",-0.00001,SUMIFS(Database!M:M,Database!$E:$E,$C37)),-0.00001)</f>
        <v>2</v>
      </c>
      <c r="L37" s="185">
        <f>IFERROR(IF($C37="",-0.00001,SUMIFS(Database!N:N,Database!$E:$E,$C37)),-0.00001)</f>
        <v>3</v>
      </c>
      <c r="M37" s="185">
        <f>IFERROR(IF($C37="",-0.00001,SUMIFS(Database!O:O,Database!$E:$E,$C37)),-0.00001)</f>
        <v>10</v>
      </c>
      <c r="N37" s="185">
        <f>IFERROR(IF($C37="",-0.00001,SUMIFS(Database!P:P,Database!$E:$E,$C37)),-0.00001)</f>
        <v>2</v>
      </c>
      <c r="O37" s="185">
        <f>IFERROR(IF($C37="",-0.00001,SUMIFS(Database!Q:Q,Database!$E:$E,$C37)),-0.00001)</f>
        <v>8</v>
      </c>
      <c r="P37" s="186">
        <f t="shared" si="0"/>
        <v>0.25</v>
      </c>
      <c r="Q37" s="185">
        <f>IFERROR(IF($C37="",-0.00001,SUMIFS(Database!S:S,Database!$E:$E,$C37)),-0.00001)</f>
        <v>12</v>
      </c>
      <c r="R37" s="185">
        <f>IFERROR(IF($C37="",-0.00001,SUMIFS(Database!T:T,Database!$E:$E,$C37)),-0.00001)</f>
        <v>28</v>
      </c>
      <c r="S37" s="186">
        <f t="shared" si="1"/>
        <v>0.42857142857142855</v>
      </c>
      <c r="T37" s="185">
        <f>IFERROR(IF($C37="",-0.00001,SUMIFS(Database!V:V,Database!$E:$E,$C37)),-0.00001)</f>
        <v>4</v>
      </c>
      <c r="U37" s="185">
        <f>IFERROR(IF($C37="",-0.00001,SUMIFS(Database!W:W,Database!$E:$E,$C37)),-0.00001)</f>
        <v>5</v>
      </c>
      <c r="V37" s="186">
        <f t="shared" si="2"/>
        <v>0.8</v>
      </c>
      <c r="W37" s="187"/>
      <c r="X37" s="187"/>
      <c r="Y37" s="187"/>
      <c r="Z37" s="187"/>
      <c r="AA37" s="187"/>
      <c r="AB37" s="187"/>
      <c r="AC37" s="187"/>
      <c r="AD37" s="187"/>
      <c r="AE37" s="187"/>
    </row>
    <row r="38" spans="1:31" x14ac:dyDescent="0.25">
      <c r="A38" s="187"/>
      <c r="B38" s="187">
        <f>IF($C38="","",MAX($B$4:$B37)+1)</f>
        <v>35</v>
      </c>
      <c r="C38" s="183" t="s">
        <v>22</v>
      </c>
      <c r="D38" s="183" t="str">
        <f>VLOOKUP($C38,Rosters!$C$4:$M$239,Lists!$O36,FALSE)</f>
        <v>Lightning</v>
      </c>
      <c r="E38" s="185">
        <f>IF($C38="",-0.00001,COUNTIF(Database!E:E,$C38))</f>
        <v>2</v>
      </c>
      <c r="F38" s="185">
        <f>IFERROR(IF($C38="",-0.00001,SUMIFS(Database!H:H,Database!$E:$E,$C38)),-0.00001)</f>
        <v>35</v>
      </c>
      <c r="G38" s="185">
        <f>IFERROR(IF($C38="",-0.00001,SUMIFS(Database!I:I,Database!$E:$E,$C38)),-0.00001)</f>
        <v>14</v>
      </c>
      <c r="H38" s="185">
        <f>IFERROR(IF($C38="",-0.00001,SUMIFS(Database!J:J,Database!$E:$E,$C38)),-0.00001)</f>
        <v>6</v>
      </c>
      <c r="I38" s="185">
        <f>IFERROR(IF($C38="",-0.00001,SUMIFS(Database!K:K,Database!$E:$E,$C38)),-0.00001)</f>
        <v>5</v>
      </c>
      <c r="J38" s="185">
        <f>IFERROR(IF($C38="",-0.00001,SUMIFS(Database!L:L,Database!$E:$E,$C38)),-0.00001)</f>
        <v>0</v>
      </c>
      <c r="K38" s="185">
        <f>IFERROR(IF($C38="",-0.00001,SUMIFS(Database!M:M,Database!$E:$E,$C38)),-0.00001)</f>
        <v>5</v>
      </c>
      <c r="L38" s="185">
        <f>IFERROR(IF($C38="",-0.00001,SUMIFS(Database!N:N,Database!$E:$E,$C38)),-0.00001)</f>
        <v>2</v>
      </c>
      <c r="M38" s="185">
        <f>IFERROR(IF($C38="",-0.00001,SUMIFS(Database!O:O,Database!$E:$E,$C38)),-0.00001)</f>
        <v>12</v>
      </c>
      <c r="N38" s="185">
        <f>IFERROR(IF($C38="",-0.00001,SUMIFS(Database!P:P,Database!$E:$E,$C38)),-0.00001)</f>
        <v>8</v>
      </c>
      <c r="O38" s="185">
        <f>IFERROR(IF($C38="",-0.00001,SUMIFS(Database!Q:Q,Database!$E:$E,$C38)),-0.00001)</f>
        <v>22</v>
      </c>
      <c r="P38" s="186">
        <f t="shared" si="0"/>
        <v>0.36363636363636365</v>
      </c>
      <c r="Q38" s="185">
        <f>IFERROR(IF($C38="",-0.00001,SUMIFS(Database!S:S,Database!$E:$E,$C38)),-0.00001)</f>
        <v>13</v>
      </c>
      <c r="R38" s="185">
        <f>IFERROR(IF($C38="",-0.00001,SUMIFS(Database!T:T,Database!$E:$E,$C38)),-0.00001)</f>
        <v>32</v>
      </c>
      <c r="S38" s="186">
        <f t="shared" si="1"/>
        <v>0.40625</v>
      </c>
      <c r="T38" s="185">
        <f>IFERROR(IF($C38="",-0.00001,SUMIFS(Database!V:V,Database!$E:$E,$C38)),-0.00001)</f>
        <v>1</v>
      </c>
      <c r="U38" s="185">
        <f>IFERROR(IF($C38="",-0.00001,SUMIFS(Database!W:W,Database!$E:$E,$C38)),-0.00001)</f>
        <v>2</v>
      </c>
      <c r="V38" s="186">
        <f t="shared" si="2"/>
        <v>0.5</v>
      </c>
      <c r="W38" s="187"/>
      <c r="X38" s="187"/>
      <c r="Y38" s="187"/>
      <c r="Z38" s="187"/>
      <c r="AA38" s="187"/>
      <c r="AB38" s="187"/>
      <c r="AC38" s="187"/>
      <c r="AD38" s="187"/>
      <c r="AE38" s="187"/>
    </row>
    <row r="39" spans="1:31" x14ac:dyDescent="0.25">
      <c r="A39" s="187"/>
      <c r="B39" s="187">
        <f>IF($C39="","",MAX($B$4:$B38)+1)</f>
        <v>36</v>
      </c>
      <c r="C39" s="183" t="s">
        <v>11</v>
      </c>
      <c r="D39" s="183" t="str">
        <f>VLOOKUP($C39,Rosters!$C$4:$M$239,Lists!$O39,FALSE)</f>
        <v>Wombats</v>
      </c>
      <c r="E39" s="185">
        <f>IF($C39="",-0.00001,COUNTIF(Database!E:E,$C39))</f>
        <v>10</v>
      </c>
      <c r="F39" s="185">
        <f>IFERROR(IF($C39="",-0.00001,SUMIFS(Database!H:H,Database!$E:$E,$C39)),-0.00001)</f>
        <v>31</v>
      </c>
      <c r="G39" s="185">
        <f>IFERROR(IF($C39="",-0.00001,SUMIFS(Database!I:I,Database!$E:$E,$C39)),-0.00001)</f>
        <v>52</v>
      </c>
      <c r="H39" s="185">
        <f>IFERROR(IF($C39="",-0.00001,SUMIFS(Database!J:J,Database!$E:$E,$C39)),-0.00001)</f>
        <v>9</v>
      </c>
      <c r="I39" s="185">
        <f>IFERROR(IF($C39="",-0.00001,SUMIFS(Database!K:K,Database!$E:$E,$C39)),-0.00001)</f>
        <v>10</v>
      </c>
      <c r="J39" s="185">
        <f>IFERROR(IF($C39="",-0.00001,SUMIFS(Database!L:L,Database!$E:$E,$C39)),-0.00001)</f>
        <v>5</v>
      </c>
      <c r="K39" s="185">
        <f>IFERROR(IF($C39="",-0.00001,SUMIFS(Database!M:M,Database!$E:$E,$C39)),-0.00001)</f>
        <v>10</v>
      </c>
      <c r="L39" s="185">
        <f>IFERROR(IF($C39="",-0.00001,SUMIFS(Database!N:N,Database!$E:$E,$C39)),-0.00001)</f>
        <v>10</v>
      </c>
      <c r="M39" s="185">
        <f>IFERROR(IF($C39="",-0.00001,SUMIFS(Database!O:O,Database!$E:$E,$C39)),-0.00001)</f>
        <v>42</v>
      </c>
      <c r="N39" s="185">
        <f>IFERROR(IF($C39="",-0.00001,SUMIFS(Database!P:P,Database!$E:$E,$C39)),-0.00001)</f>
        <v>5</v>
      </c>
      <c r="O39" s="185">
        <f>IFERROR(IF($C39="",-0.00001,SUMIFS(Database!Q:Q,Database!$E:$E,$C39)),-0.00001)</f>
        <v>23</v>
      </c>
      <c r="P39" s="186">
        <f t="shared" si="0"/>
        <v>0.21739130434782608</v>
      </c>
      <c r="Q39" s="185">
        <f>IFERROR(IF($C39="",-0.00001,SUMIFS(Database!S:S,Database!$E:$E,$C39)),-0.00001)</f>
        <v>13</v>
      </c>
      <c r="R39" s="185">
        <f>IFERROR(IF($C39="",-0.00001,SUMIFS(Database!T:T,Database!$E:$E,$C39)),-0.00001)</f>
        <v>38</v>
      </c>
      <c r="S39" s="186">
        <f t="shared" si="1"/>
        <v>0.34210526315789475</v>
      </c>
      <c r="T39" s="185">
        <f>IFERROR(IF($C39="",-0.00001,SUMIFS(Database!V:V,Database!$E:$E,$C39)),-0.00001)</f>
        <v>1</v>
      </c>
      <c r="U39" s="185">
        <f>IFERROR(IF($C39="",-0.00001,SUMIFS(Database!W:W,Database!$E:$E,$C39)),-0.00001)</f>
        <v>2</v>
      </c>
      <c r="V39" s="186">
        <f t="shared" si="2"/>
        <v>0.5</v>
      </c>
      <c r="W39" s="187"/>
      <c r="X39" s="187"/>
      <c r="Y39" s="187"/>
      <c r="Z39" s="187"/>
      <c r="AA39" s="187"/>
      <c r="AB39" s="187"/>
      <c r="AC39" s="187"/>
      <c r="AD39" s="187"/>
      <c r="AE39" s="187"/>
    </row>
    <row r="40" spans="1:31" x14ac:dyDescent="0.25">
      <c r="A40" s="187"/>
      <c r="B40" s="187">
        <f>IF($C40="","",MAX($B$4:$B39)+1)</f>
        <v>37</v>
      </c>
      <c r="C40" s="183" t="s">
        <v>100</v>
      </c>
      <c r="D40" s="183"/>
      <c r="E40" s="185">
        <f>IF($C40="",-0.00001,COUNTIF(Database!E:E,$C40))</f>
        <v>8</v>
      </c>
      <c r="F40" s="185">
        <f>IFERROR(IF($C40="",-0.00001,SUMIFS(Database!H:H,Database!$E:$E,$C40)),-0.00001)</f>
        <v>18</v>
      </c>
      <c r="G40" s="185">
        <f>IFERROR(IF($C40="",-0.00001,SUMIFS(Database!I:I,Database!$E:$E,$C40)),-0.00001)</f>
        <v>24</v>
      </c>
      <c r="H40" s="185">
        <f>IFERROR(IF($C40="",-0.00001,SUMIFS(Database!J:J,Database!$E:$E,$C40)),-0.00001)</f>
        <v>3</v>
      </c>
      <c r="I40" s="185">
        <f>IFERROR(IF($C40="",-0.00001,SUMIFS(Database!K:K,Database!$E:$E,$C40)),-0.00001)</f>
        <v>13</v>
      </c>
      <c r="J40" s="185">
        <f>IFERROR(IF($C40="",-0.00001,SUMIFS(Database!L:L,Database!$E:$E,$C40)),-0.00001)</f>
        <v>7</v>
      </c>
      <c r="K40" s="185">
        <f>IFERROR(IF($C40="",-0.00001,SUMIFS(Database!M:M,Database!$E:$E,$C40)),-0.00001)</f>
        <v>11</v>
      </c>
      <c r="L40" s="185">
        <f>IFERROR(IF($C40="",-0.00001,SUMIFS(Database!N:N,Database!$E:$E,$C40)),-0.00001)</f>
        <v>10</v>
      </c>
      <c r="M40" s="185">
        <f>IFERROR(IF($C40="",-0.00001,SUMIFS(Database!O:O,Database!$E:$E,$C40)),-0.00001)</f>
        <v>14</v>
      </c>
      <c r="N40" s="185">
        <f>IFERROR(IF($C40="",-0.00001,SUMIFS(Database!P:P,Database!$E:$E,$C40)),-0.00001)</f>
        <v>2</v>
      </c>
      <c r="O40" s="185">
        <f>IFERROR(IF($C40="",-0.00001,SUMIFS(Database!Q:Q,Database!$E:$E,$C40)),-0.00001)</f>
        <v>11</v>
      </c>
      <c r="P40" s="186">
        <f t="shared" si="0"/>
        <v>0.18181818181818182</v>
      </c>
      <c r="Q40" s="185">
        <f>IFERROR(IF($C40="",-0.00001,SUMIFS(Database!S:S,Database!$E:$E,$C40)),-0.00001)</f>
        <v>8</v>
      </c>
      <c r="R40" s="185">
        <f>IFERROR(IF($C40="",-0.00001,SUMIFS(Database!T:T,Database!$E:$E,$C40)),-0.00001)</f>
        <v>28</v>
      </c>
      <c r="S40" s="186">
        <f t="shared" si="1"/>
        <v>0.2857142857142857</v>
      </c>
      <c r="T40" s="185">
        <f>IFERROR(IF($C40="",-0.00001,SUMIFS(Database!V:V,Database!$E:$E,$C40)),-0.00001)</f>
        <v>0</v>
      </c>
      <c r="U40" s="185">
        <f>IFERROR(IF($C40="",-0.00001,SUMIFS(Database!W:W,Database!$E:$E,$C40)),-0.00001)</f>
        <v>0</v>
      </c>
      <c r="V40" s="186">
        <f t="shared" si="2"/>
        <v>-1.0000000000000001E-5</v>
      </c>
      <c r="W40" s="187"/>
      <c r="X40" s="187"/>
      <c r="Y40" s="187"/>
      <c r="Z40" s="187"/>
      <c r="AA40" s="187"/>
      <c r="AB40" s="187"/>
      <c r="AC40" s="187"/>
      <c r="AD40" s="187"/>
      <c r="AE40" s="187"/>
    </row>
    <row r="41" spans="1:31" x14ac:dyDescent="0.25">
      <c r="A41" s="187"/>
      <c r="B41" s="187">
        <f>IF($C41="","",MAX($B$4:$B40)+1)</f>
        <v>38</v>
      </c>
      <c r="C41" s="183" t="s">
        <v>99</v>
      </c>
      <c r="D41" s="183"/>
      <c r="E41" s="185">
        <f>IF($C41="",-0.00001,COUNTIF(Database!E:E,$C41))</f>
        <v>8</v>
      </c>
      <c r="F41" s="185">
        <f>IFERROR(IF($C41="",-0.00001,SUMIFS(Database!H:H,Database!$E:$E,$C41)),-0.00001)</f>
        <v>52</v>
      </c>
      <c r="G41" s="185">
        <f>IFERROR(IF($C41="",-0.00001,SUMIFS(Database!I:I,Database!$E:$E,$C41)),-0.00001)</f>
        <v>58</v>
      </c>
      <c r="H41" s="185">
        <f>IFERROR(IF($C41="",-0.00001,SUMIFS(Database!J:J,Database!$E:$E,$C41)),-0.00001)</f>
        <v>3</v>
      </c>
      <c r="I41" s="185">
        <f>IFERROR(IF($C41="",-0.00001,SUMIFS(Database!K:K,Database!$E:$E,$C41)),-0.00001)</f>
        <v>6</v>
      </c>
      <c r="J41" s="185">
        <f>IFERROR(IF($C41="",-0.00001,SUMIFS(Database!L:L,Database!$E:$E,$C41)),-0.00001)</f>
        <v>1</v>
      </c>
      <c r="K41" s="185">
        <f>IFERROR(IF($C41="",-0.00001,SUMIFS(Database!M:M,Database!$E:$E,$C41)),-0.00001)</f>
        <v>13</v>
      </c>
      <c r="L41" s="185">
        <f>IFERROR(IF($C41="",-0.00001,SUMIFS(Database!N:N,Database!$E:$E,$C41)),-0.00001)</f>
        <v>24</v>
      </c>
      <c r="M41" s="185">
        <f>IFERROR(IF($C41="",-0.00001,SUMIFS(Database!O:O,Database!$E:$E,$C41)),-0.00001)</f>
        <v>34</v>
      </c>
      <c r="N41" s="185">
        <f>IFERROR(IF($C41="",-0.00001,SUMIFS(Database!P:P,Database!$E:$E,$C41)),-0.00001)</f>
        <v>0</v>
      </c>
      <c r="O41" s="185">
        <f>IFERROR(IF($C41="",-0.00001,SUMIFS(Database!Q:Q,Database!$E:$E,$C41)),-0.00001)</f>
        <v>1</v>
      </c>
      <c r="P41" s="186">
        <f t="shared" si="0"/>
        <v>0</v>
      </c>
      <c r="Q41" s="185">
        <f>IFERROR(IF($C41="",-0.00001,SUMIFS(Database!S:S,Database!$E:$E,$C41)),-0.00001)</f>
        <v>24</v>
      </c>
      <c r="R41" s="185">
        <f>IFERROR(IF($C41="",-0.00001,SUMIFS(Database!T:T,Database!$E:$E,$C41)),-0.00001)</f>
        <v>57</v>
      </c>
      <c r="S41" s="186">
        <f t="shared" si="1"/>
        <v>0.42105263157894735</v>
      </c>
      <c r="T41" s="185">
        <f>IFERROR(IF($C41="",-0.00001,SUMIFS(Database!V:V,Database!$E:$E,$C41)),-0.00001)</f>
        <v>4</v>
      </c>
      <c r="U41" s="185">
        <f>IFERROR(IF($C41="",-0.00001,SUMIFS(Database!W:W,Database!$E:$E,$C41)),-0.00001)</f>
        <v>11</v>
      </c>
      <c r="V41" s="186">
        <f t="shared" si="2"/>
        <v>0.36363636363636365</v>
      </c>
      <c r="W41" s="187"/>
      <c r="X41" s="187"/>
      <c r="Y41" s="187"/>
      <c r="Z41" s="187"/>
      <c r="AA41" s="187"/>
      <c r="AB41" s="187"/>
      <c r="AC41" s="187"/>
      <c r="AD41" s="187"/>
      <c r="AE41" s="187"/>
    </row>
    <row r="42" spans="1:31" x14ac:dyDescent="0.25">
      <c r="A42" s="187"/>
      <c r="B42" s="187">
        <f>IF($C42="","",MAX($B$4:$B41)+1)</f>
        <v>39</v>
      </c>
      <c r="C42" s="183" t="s">
        <v>101</v>
      </c>
      <c r="D42" s="183"/>
      <c r="E42" s="185">
        <f>IF($C42="",-0.00001,COUNTIF(Database!E:E,$C42))</f>
        <v>6</v>
      </c>
      <c r="F42" s="185">
        <f>IFERROR(IF($C42="",-0.00001,SUMIFS(Database!H:H,Database!$E:$E,$C42)),-0.00001)</f>
        <v>15</v>
      </c>
      <c r="G42" s="185">
        <f>IFERROR(IF($C42="",-0.00001,SUMIFS(Database!I:I,Database!$E:$E,$C42)),-0.00001)</f>
        <v>21</v>
      </c>
      <c r="H42" s="185">
        <f>IFERROR(IF($C42="",-0.00001,SUMIFS(Database!J:J,Database!$E:$E,$C42)),-0.00001)</f>
        <v>1</v>
      </c>
      <c r="I42" s="185">
        <f>IFERROR(IF($C42="",-0.00001,SUMIFS(Database!K:K,Database!$E:$E,$C42)),-0.00001)</f>
        <v>4</v>
      </c>
      <c r="J42" s="185">
        <f>IFERROR(IF($C42="",-0.00001,SUMIFS(Database!L:L,Database!$E:$E,$C42)),-0.00001)</f>
        <v>2</v>
      </c>
      <c r="K42" s="185">
        <f>IFERROR(IF($C42="",-0.00001,SUMIFS(Database!M:M,Database!$E:$E,$C42)),-0.00001)</f>
        <v>4</v>
      </c>
      <c r="L42" s="185">
        <f>IFERROR(IF($C42="",-0.00001,SUMIFS(Database!N:N,Database!$E:$E,$C42)),-0.00001)</f>
        <v>2</v>
      </c>
      <c r="M42" s="185">
        <f>IFERROR(IF($C42="",-0.00001,SUMIFS(Database!O:O,Database!$E:$E,$C42)),-0.00001)</f>
        <v>19</v>
      </c>
      <c r="N42" s="185">
        <f>IFERROR(IF($C42="",-0.00001,SUMIFS(Database!P:P,Database!$E:$E,$C42)),-0.00001)</f>
        <v>2</v>
      </c>
      <c r="O42" s="185">
        <f>IFERROR(IF($C42="",-0.00001,SUMIFS(Database!Q:Q,Database!$E:$E,$C42)),-0.00001)</f>
        <v>7</v>
      </c>
      <c r="P42" s="186">
        <f t="shared" si="0"/>
        <v>0.2857142857142857</v>
      </c>
      <c r="Q42" s="185">
        <f>IFERROR(IF($C42="",-0.00001,SUMIFS(Database!S:S,Database!$E:$E,$C42)),-0.00001)</f>
        <v>6</v>
      </c>
      <c r="R42" s="185">
        <f>IFERROR(IF($C42="",-0.00001,SUMIFS(Database!T:T,Database!$E:$E,$C42)),-0.00001)</f>
        <v>20</v>
      </c>
      <c r="S42" s="186">
        <f t="shared" si="1"/>
        <v>0.3</v>
      </c>
      <c r="T42" s="185">
        <f>IFERROR(IF($C42="",-0.00001,SUMIFS(Database!V:V,Database!$E:$E,$C42)),-0.00001)</f>
        <v>1</v>
      </c>
      <c r="U42" s="185">
        <f>IFERROR(IF($C42="",-0.00001,SUMIFS(Database!W:W,Database!$E:$E,$C42)),-0.00001)</f>
        <v>2</v>
      </c>
      <c r="V42" s="186">
        <f t="shared" si="2"/>
        <v>0.5</v>
      </c>
      <c r="W42" s="187"/>
      <c r="X42" s="187"/>
      <c r="Y42" s="187"/>
      <c r="Z42" s="187"/>
      <c r="AA42" s="187"/>
      <c r="AB42" s="187"/>
      <c r="AC42" s="187"/>
      <c r="AD42" s="187"/>
      <c r="AE42" s="187"/>
    </row>
    <row r="43" spans="1:31" x14ac:dyDescent="0.25">
      <c r="A43" s="187"/>
      <c r="B43" s="187">
        <f>IF($C43="","",MAX($B$4:$B42)+1)</f>
        <v>40</v>
      </c>
      <c r="C43" s="183" t="s">
        <v>102</v>
      </c>
      <c r="D43" s="183"/>
      <c r="E43" s="185">
        <f>IF($C43="",-0.00001,COUNTIF(Database!E:E,$C43))</f>
        <v>8</v>
      </c>
      <c r="F43" s="185">
        <f>IFERROR(IF($C43="",-0.00001,SUMIFS(Database!H:H,Database!$E:$E,$C43)),-0.00001)</f>
        <v>9</v>
      </c>
      <c r="G43" s="185">
        <f>IFERROR(IF($C43="",-0.00001,SUMIFS(Database!I:I,Database!$E:$E,$C43)),-0.00001)</f>
        <v>38</v>
      </c>
      <c r="H43" s="185">
        <f>IFERROR(IF($C43="",-0.00001,SUMIFS(Database!J:J,Database!$E:$E,$C43)),-0.00001)</f>
        <v>2</v>
      </c>
      <c r="I43" s="185">
        <f>IFERROR(IF($C43="",-0.00001,SUMIFS(Database!K:K,Database!$E:$E,$C43)),-0.00001)</f>
        <v>1</v>
      </c>
      <c r="J43" s="185">
        <f>IFERROR(IF($C43="",-0.00001,SUMIFS(Database!L:L,Database!$E:$E,$C43)),-0.00001)</f>
        <v>2</v>
      </c>
      <c r="K43" s="185">
        <f>IFERROR(IF($C43="",-0.00001,SUMIFS(Database!M:M,Database!$E:$E,$C43)),-0.00001)</f>
        <v>4</v>
      </c>
      <c r="L43" s="185">
        <f>IFERROR(IF($C43="",-0.00001,SUMIFS(Database!N:N,Database!$E:$E,$C43)),-0.00001)</f>
        <v>9</v>
      </c>
      <c r="M43" s="185">
        <f>IFERROR(IF($C43="",-0.00001,SUMIFS(Database!O:O,Database!$E:$E,$C43)),-0.00001)</f>
        <v>29</v>
      </c>
      <c r="N43" s="185">
        <f>IFERROR(IF($C43="",-0.00001,SUMIFS(Database!P:P,Database!$E:$E,$C43)),-0.00001)</f>
        <v>1</v>
      </c>
      <c r="O43" s="185">
        <f>IFERROR(IF($C43="",-0.00001,SUMIFS(Database!Q:Q,Database!$E:$E,$C43)),-0.00001)</f>
        <v>10</v>
      </c>
      <c r="P43" s="186">
        <f t="shared" si="0"/>
        <v>0.1</v>
      </c>
      <c r="Q43" s="185">
        <f>IFERROR(IF($C43="",-0.00001,SUMIFS(Database!S:S,Database!$E:$E,$C43)),-0.00001)</f>
        <v>4</v>
      </c>
      <c r="R43" s="185">
        <f>IFERROR(IF($C43="",-0.00001,SUMIFS(Database!T:T,Database!$E:$E,$C43)),-0.00001)</f>
        <v>20</v>
      </c>
      <c r="S43" s="186">
        <f t="shared" si="1"/>
        <v>0.2</v>
      </c>
      <c r="T43" s="185">
        <f>IFERROR(IF($C43="",-0.00001,SUMIFS(Database!V:V,Database!$E:$E,$C43)),-0.00001)</f>
        <v>0</v>
      </c>
      <c r="U43" s="185">
        <f>IFERROR(IF($C43="",-0.00001,SUMIFS(Database!W:W,Database!$E:$E,$C43)),-0.00001)</f>
        <v>0</v>
      </c>
      <c r="V43" s="186">
        <f t="shared" si="2"/>
        <v>-1.0000000000000001E-5</v>
      </c>
      <c r="W43" s="187"/>
      <c r="X43" s="187"/>
      <c r="Y43" s="187"/>
      <c r="Z43" s="187"/>
      <c r="AA43" s="187"/>
      <c r="AB43" s="187"/>
      <c r="AC43" s="187"/>
      <c r="AD43" s="187"/>
      <c r="AE43" s="187"/>
    </row>
    <row r="44" spans="1:31" x14ac:dyDescent="0.25">
      <c r="A44" s="187"/>
      <c r="B44" s="187">
        <f>IF($C44="","",MAX($B$4:$B43)+1)</f>
        <v>41</v>
      </c>
      <c r="C44" s="183" t="s">
        <v>212</v>
      </c>
      <c r="D44" s="183"/>
      <c r="E44" s="185">
        <f>IF($C44="",-0.00001,COUNTIF(Database!E:E,$C44))</f>
        <v>0</v>
      </c>
      <c r="F44" s="185">
        <f>IFERROR(IF($C44="",-0.00001,SUMIFS(Database!H:H,Database!$E:$E,$C44)),-0.00001)</f>
        <v>0</v>
      </c>
      <c r="G44" s="185">
        <f>IFERROR(IF($C44="",-0.00001,SUMIFS(Database!I:I,Database!$E:$E,$C44)),-0.00001)</f>
        <v>0</v>
      </c>
      <c r="H44" s="185">
        <f>IFERROR(IF($C44="",-0.00001,SUMIFS(Database!J:J,Database!$E:$E,$C44)),-0.00001)</f>
        <v>0</v>
      </c>
      <c r="I44" s="185">
        <f>IFERROR(IF($C44="",-0.00001,SUMIFS(Database!K:K,Database!$E:$E,$C44)),-0.00001)</f>
        <v>0</v>
      </c>
      <c r="J44" s="185">
        <f>IFERROR(IF($C44="",-0.00001,SUMIFS(Database!L:L,Database!$E:$E,$C44)),-0.00001)</f>
        <v>0</v>
      </c>
      <c r="K44" s="185">
        <f>IFERROR(IF($C44="",-0.00001,SUMIFS(Database!M:M,Database!$E:$E,$C44)),-0.00001)</f>
        <v>0</v>
      </c>
      <c r="L44" s="185">
        <f>IFERROR(IF($C44="",-0.00001,SUMIFS(Database!N:N,Database!$E:$E,$C44)),-0.00001)</f>
        <v>0</v>
      </c>
      <c r="M44" s="185">
        <f>IFERROR(IF($C44="",-0.00001,SUMIFS(Database!O:O,Database!$E:$E,$C44)),-0.00001)</f>
        <v>0</v>
      </c>
      <c r="N44" s="185">
        <f>IFERROR(IF($C44="",-0.00001,SUMIFS(Database!P:P,Database!$E:$E,$C44)),-0.00001)</f>
        <v>0</v>
      </c>
      <c r="O44" s="185">
        <f>IFERROR(IF($C44="",-0.00001,SUMIFS(Database!Q:Q,Database!$E:$E,$C44)),-0.00001)</f>
        <v>0</v>
      </c>
      <c r="P44" s="186">
        <f t="shared" si="0"/>
        <v>-1.0000000000000001E-5</v>
      </c>
      <c r="Q44" s="185">
        <f>IFERROR(IF($C44="",-0.00001,SUMIFS(Database!S:S,Database!$E:$E,$C44)),-0.00001)</f>
        <v>0</v>
      </c>
      <c r="R44" s="185">
        <f>IFERROR(IF($C44="",-0.00001,SUMIFS(Database!T:T,Database!$E:$E,$C44)),-0.00001)</f>
        <v>0</v>
      </c>
      <c r="S44" s="186">
        <f t="shared" si="1"/>
        <v>-1.0000000000000001E-5</v>
      </c>
      <c r="T44" s="185">
        <f>IFERROR(IF($C44="",-0.00001,SUMIFS(Database!V:V,Database!$E:$E,$C44)),-0.00001)</f>
        <v>0</v>
      </c>
      <c r="U44" s="185">
        <f>IFERROR(IF($C44="",-0.00001,SUMIFS(Database!W:W,Database!$E:$E,$C44)),-0.00001)</f>
        <v>0</v>
      </c>
      <c r="V44" s="186">
        <f t="shared" si="2"/>
        <v>-1.0000000000000001E-5</v>
      </c>
      <c r="W44" s="187"/>
      <c r="X44" s="187"/>
      <c r="Y44" s="187"/>
      <c r="Z44" s="187"/>
      <c r="AA44" s="187"/>
      <c r="AB44" s="187"/>
      <c r="AC44" s="187"/>
      <c r="AD44" s="187"/>
      <c r="AE44" s="187"/>
    </row>
    <row r="45" spans="1:31" x14ac:dyDescent="0.25">
      <c r="A45" s="187"/>
      <c r="B45" s="187">
        <f>IF($C45="","",MAX($B$4:$B44)+1)</f>
        <v>42</v>
      </c>
      <c r="C45" s="183" t="s">
        <v>230</v>
      </c>
      <c r="D45" s="183"/>
      <c r="E45" s="185">
        <f>IF($C45="",-0.00001,COUNTIF(Database!E:E,$C45))</f>
        <v>2</v>
      </c>
      <c r="F45" s="185">
        <f>IFERROR(IF($C45="",-0.00001,SUMIFS(Database!H:H,Database!$E:$E,$C45)),-0.00001)</f>
        <v>10</v>
      </c>
      <c r="G45" s="185">
        <f>IFERROR(IF($C45="",-0.00001,SUMIFS(Database!I:I,Database!$E:$E,$C45)),-0.00001)</f>
        <v>20</v>
      </c>
      <c r="H45" s="185">
        <f>IFERROR(IF($C45="",-0.00001,SUMIFS(Database!J:J,Database!$E:$E,$C45)),-0.00001)</f>
        <v>0</v>
      </c>
      <c r="I45" s="185">
        <f>IFERROR(IF($C45="",-0.00001,SUMIFS(Database!K:K,Database!$E:$E,$C45)),-0.00001)</f>
        <v>0</v>
      </c>
      <c r="J45" s="185">
        <f>IFERROR(IF($C45="",-0.00001,SUMIFS(Database!L:L,Database!$E:$E,$C45)),-0.00001)</f>
        <v>1</v>
      </c>
      <c r="K45" s="185">
        <f>IFERROR(IF($C45="",-0.00001,SUMIFS(Database!M:M,Database!$E:$E,$C45)),-0.00001)</f>
        <v>7</v>
      </c>
      <c r="L45" s="185">
        <f>IFERROR(IF($C45="",-0.00001,SUMIFS(Database!N:N,Database!$E:$E,$C45)),-0.00001)</f>
        <v>8</v>
      </c>
      <c r="M45" s="185">
        <f>IFERROR(IF($C45="",-0.00001,SUMIFS(Database!O:O,Database!$E:$E,$C45)),-0.00001)</f>
        <v>12</v>
      </c>
      <c r="N45" s="185">
        <f>IFERROR(IF($C45="",-0.00001,SUMIFS(Database!P:P,Database!$E:$E,$C45)),-0.00001)</f>
        <v>0</v>
      </c>
      <c r="O45" s="185">
        <f>IFERROR(IF($C45="",-0.00001,SUMIFS(Database!Q:Q,Database!$E:$E,$C45)),-0.00001)</f>
        <v>0</v>
      </c>
      <c r="P45" s="186">
        <f t="shared" si="0"/>
        <v>-1.0000000000000001E-5</v>
      </c>
      <c r="Q45" s="185">
        <f>IFERROR(IF($C45="",-0.00001,SUMIFS(Database!S:S,Database!$E:$E,$C45)),-0.00001)</f>
        <v>5</v>
      </c>
      <c r="R45" s="185">
        <f>IFERROR(IF($C45="",-0.00001,SUMIFS(Database!T:T,Database!$E:$E,$C45)),-0.00001)</f>
        <v>18</v>
      </c>
      <c r="S45" s="186">
        <f t="shared" si="1"/>
        <v>0.27777777777777779</v>
      </c>
      <c r="T45" s="185">
        <f>IFERROR(IF($C45="",-0.00001,SUMIFS(Database!V:V,Database!$E:$E,$C45)),-0.00001)</f>
        <v>0</v>
      </c>
      <c r="U45" s="185">
        <f>IFERROR(IF($C45="",-0.00001,SUMIFS(Database!W:W,Database!$E:$E,$C45)),-0.00001)</f>
        <v>2</v>
      </c>
      <c r="V45" s="186">
        <f t="shared" si="2"/>
        <v>0</v>
      </c>
      <c r="W45" s="187"/>
      <c r="X45" s="187"/>
      <c r="Y45" s="187"/>
      <c r="Z45" s="187"/>
      <c r="AA45" s="187"/>
      <c r="AB45" s="187"/>
      <c r="AC45" s="187"/>
      <c r="AD45" s="187"/>
      <c r="AE45" s="187"/>
    </row>
    <row r="46" spans="1:31" x14ac:dyDescent="0.25">
      <c r="A46" s="187"/>
      <c r="B46" s="187" t="str">
        <f>IF($C46="","",MAX($B$4:$B45)+1)</f>
        <v/>
      </c>
      <c r="C46" s="183"/>
      <c r="D46" s="183"/>
      <c r="E46" s="185">
        <f>IF($C46="",-0.00001,COUNTIF(Database!E:E,$C46))</f>
        <v>-1.0000000000000001E-5</v>
      </c>
      <c r="F46" s="185">
        <f>IFERROR(IF($C46="",-0.00001,SUMIFS(Database!H:H,Database!$E:$E,$C46)),-0.00001)</f>
        <v>-1.0000000000000001E-5</v>
      </c>
      <c r="G46" s="185">
        <f>IFERROR(IF($C46="",-0.00001,SUMIFS(Database!I:I,Database!$E:$E,$C46)),-0.00001)</f>
        <v>-1.0000000000000001E-5</v>
      </c>
      <c r="H46" s="185">
        <f>IFERROR(IF($C46="",-0.00001,SUMIFS(Database!J:J,Database!$E:$E,$C46)),-0.00001)</f>
        <v>-1.0000000000000001E-5</v>
      </c>
      <c r="I46" s="185">
        <f>IFERROR(IF($C46="",-0.00001,SUMIFS(Database!K:K,Database!$E:$E,$C46)),-0.00001)</f>
        <v>-1.0000000000000001E-5</v>
      </c>
      <c r="J46" s="185">
        <f>IFERROR(IF($C46="",-0.00001,SUMIFS(Database!L:L,Database!$E:$E,$C46)),-0.00001)</f>
        <v>-1.0000000000000001E-5</v>
      </c>
      <c r="K46" s="185">
        <f>IFERROR(IF($C46="",-0.00001,SUMIFS(Database!M:M,Database!$E:$E,$C46)),-0.00001)</f>
        <v>-1.0000000000000001E-5</v>
      </c>
      <c r="L46" s="185">
        <f>IFERROR(IF($C46="",-0.00001,SUMIFS(Database!N:N,Database!$E:$E,$C46)),-0.00001)</f>
        <v>-1.0000000000000001E-5</v>
      </c>
      <c r="M46" s="185">
        <f>IFERROR(IF($C46="",-0.00001,SUMIFS(Database!O:O,Database!$E:$E,$C46)),-0.00001)</f>
        <v>-1.0000000000000001E-5</v>
      </c>
      <c r="N46" s="185">
        <f>IFERROR(IF($C46="",-0.00001,SUMIFS(Database!P:P,Database!$E:$E,$C46)),-0.00001)</f>
        <v>-1.0000000000000001E-5</v>
      </c>
      <c r="O46" s="185">
        <f>IFERROR(IF($C46="",-0.00001,SUMIFS(Database!Q:Q,Database!$E:$E,$C46)),-0.00001)</f>
        <v>-1.0000000000000001E-5</v>
      </c>
      <c r="P46" s="186">
        <f t="shared" si="0"/>
        <v>-1.0000000000000001E-5</v>
      </c>
      <c r="Q46" s="185">
        <f>IFERROR(IF($C46="",-0.00001,SUMIFS(Database!S:S,Database!$E:$E,$C46)),-0.00001)</f>
        <v>-1.0000000000000001E-5</v>
      </c>
      <c r="R46" s="185">
        <f>IFERROR(IF($C46="",-0.00001,SUMIFS(Database!T:T,Database!$E:$E,$C46)),-0.00001)</f>
        <v>-1.0000000000000001E-5</v>
      </c>
      <c r="S46" s="186">
        <f t="shared" si="1"/>
        <v>-1.0000000000000001E-5</v>
      </c>
      <c r="T46" s="185">
        <f>IFERROR(IF($C46="",-0.00001,SUMIFS(Database!V:V,Database!$E:$E,$C46)),-0.00001)</f>
        <v>-1.0000000000000001E-5</v>
      </c>
      <c r="U46" s="185">
        <f>IFERROR(IF($C46="",-0.00001,SUMIFS(Database!W:W,Database!$E:$E,$C46)),-0.00001)</f>
        <v>-1.0000000000000001E-5</v>
      </c>
      <c r="V46" s="186">
        <f t="shared" si="2"/>
        <v>-1.0000000000000001E-5</v>
      </c>
      <c r="W46" s="187"/>
      <c r="X46" s="187"/>
      <c r="Y46" s="187"/>
      <c r="Z46" s="187"/>
      <c r="AA46" s="187"/>
      <c r="AB46" s="187"/>
      <c r="AC46" s="187"/>
      <c r="AD46" s="187"/>
      <c r="AE46" s="187"/>
    </row>
    <row r="47" spans="1:31" x14ac:dyDescent="0.25">
      <c r="A47" s="187"/>
      <c r="B47" s="187" t="str">
        <f>IF($C47="","",MAX($B$4:$B46)+1)</f>
        <v/>
      </c>
      <c r="C47" s="183"/>
      <c r="D47" s="183"/>
      <c r="E47" s="185">
        <f>IF($C47="",-0.00001,COUNTIF(Database!E:E,$C47))</f>
        <v>-1.0000000000000001E-5</v>
      </c>
      <c r="F47" s="185">
        <f>IFERROR(IF($C47="",-0.00001,SUMIFS(Database!H:H,Database!$E:$E,$C47)),-0.00001)</f>
        <v>-1.0000000000000001E-5</v>
      </c>
      <c r="G47" s="185">
        <f>IFERROR(IF($C47="",-0.00001,SUMIFS(Database!I:I,Database!$E:$E,$C47)),-0.00001)</f>
        <v>-1.0000000000000001E-5</v>
      </c>
      <c r="H47" s="185">
        <f>IFERROR(IF($C47="",-0.00001,SUMIFS(Database!J:J,Database!$E:$E,$C47)),-0.00001)</f>
        <v>-1.0000000000000001E-5</v>
      </c>
      <c r="I47" s="185">
        <f>IFERROR(IF($C47="",-0.00001,SUMIFS(Database!K:K,Database!$E:$E,$C47)),-0.00001)</f>
        <v>-1.0000000000000001E-5</v>
      </c>
      <c r="J47" s="185">
        <f>IFERROR(IF($C47="",-0.00001,SUMIFS(Database!L:L,Database!$E:$E,$C47)),-0.00001)</f>
        <v>-1.0000000000000001E-5</v>
      </c>
      <c r="K47" s="185">
        <f>IFERROR(IF($C47="",-0.00001,SUMIFS(Database!M:M,Database!$E:$E,$C47)),-0.00001)</f>
        <v>-1.0000000000000001E-5</v>
      </c>
      <c r="L47" s="185">
        <f>IFERROR(IF($C47="",-0.00001,SUMIFS(Database!N:N,Database!$E:$E,$C47)),-0.00001)</f>
        <v>-1.0000000000000001E-5</v>
      </c>
      <c r="M47" s="185">
        <f>IFERROR(IF($C47="",-0.00001,SUMIFS(Database!O:O,Database!$E:$E,$C47)),-0.00001)</f>
        <v>-1.0000000000000001E-5</v>
      </c>
      <c r="N47" s="185">
        <f>IFERROR(IF($C47="",-0.00001,SUMIFS(Database!P:P,Database!$E:$E,$C47)),-0.00001)</f>
        <v>-1.0000000000000001E-5</v>
      </c>
      <c r="O47" s="185">
        <f>IFERROR(IF($C47="",-0.00001,SUMIFS(Database!Q:Q,Database!$E:$E,$C47)),-0.00001)</f>
        <v>-1.0000000000000001E-5</v>
      </c>
      <c r="P47" s="186">
        <f t="shared" si="0"/>
        <v>-1.0000000000000001E-5</v>
      </c>
      <c r="Q47" s="185">
        <f>IFERROR(IF($C47="",-0.00001,SUMIFS(Database!S:S,Database!$E:$E,$C47)),-0.00001)</f>
        <v>-1.0000000000000001E-5</v>
      </c>
      <c r="R47" s="185">
        <f>IFERROR(IF($C47="",-0.00001,SUMIFS(Database!T:T,Database!$E:$E,$C47)),-0.00001)</f>
        <v>-1.0000000000000001E-5</v>
      </c>
      <c r="S47" s="186">
        <f t="shared" si="1"/>
        <v>-1.0000000000000001E-5</v>
      </c>
      <c r="T47" s="185">
        <f>IFERROR(IF($C47="",-0.00001,SUMIFS(Database!V:V,Database!$E:$E,$C47)),-0.00001)</f>
        <v>-1.0000000000000001E-5</v>
      </c>
      <c r="U47" s="185">
        <f>IFERROR(IF($C47="",-0.00001,SUMIFS(Database!W:W,Database!$E:$E,$C47)),-0.00001)</f>
        <v>-1.0000000000000001E-5</v>
      </c>
      <c r="V47" s="186">
        <f t="shared" si="2"/>
        <v>-1.0000000000000001E-5</v>
      </c>
      <c r="W47" s="187"/>
      <c r="X47" s="187"/>
      <c r="Y47" s="187"/>
      <c r="Z47" s="187"/>
      <c r="AA47" s="187"/>
      <c r="AB47" s="187"/>
      <c r="AC47" s="187"/>
      <c r="AD47" s="187"/>
      <c r="AE47" s="187"/>
    </row>
    <row r="48" spans="1:31" x14ac:dyDescent="0.25">
      <c r="A48" s="187"/>
      <c r="B48" s="187" t="str">
        <f>IF($C48="","",MAX($B$4:$B47)+1)</f>
        <v/>
      </c>
      <c r="C48" s="183"/>
      <c r="D48" s="183"/>
      <c r="E48" s="185">
        <f>IF($C48="",-0.00001,COUNTIF(Database!E:E,$C48))</f>
        <v>-1.0000000000000001E-5</v>
      </c>
      <c r="F48" s="185">
        <f>IFERROR(IF($C48="",-0.00001,SUMIFS(Database!H:H,Database!$E:$E,$C48)),-0.00001)</f>
        <v>-1.0000000000000001E-5</v>
      </c>
      <c r="G48" s="185">
        <f>IFERROR(IF($C48="",-0.00001,SUMIFS(Database!I:I,Database!$E:$E,$C48)),-0.00001)</f>
        <v>-1.0000000000000001E-5</v>
      </c>
      <c r="H48" s="185">
        <f>IFERROR(IF($C48="",-0.00001,SUMIFS(Database!J:J,Database!$E:$E,$C48)),-0.00001)</f>
        <v>-1.0000000000000001E-5</v>
      </c>
      <c r="I48" s="185">
        <f>IFERROR(IF($C48="",-0.00001,SUMIFS(Database!K:K,Database!$E:$E,$C48)),-0.00001)</f>
        <v>-1.0000000000000001E-5</v>
      </c>
      <c r="J48" s="185">
        <f>IFERROR(IF($C48="",-0.00001,SUMIFS(Database!L:L,Database!$E:$E,$C48)),-0.00001)</f>
        <v>-1.0000000000000001E-5</v>
      </c>
      <c r="K48" s="185">
        <f>IFERROR(IF($C48="",-0.00001,SUMIFS(Database!M:M,Database!$E:$E,$C48)),-0.00001)</f>
        <v>-1.0000000000000001E-5</v>
      </c>
      <c r="L48" s="185">
        <f>IFERROR(IF($C48="",-0.00001,SUMIFS(Database!N:N,Database!$E:$E,$C48)),-0.00001)</f>
        <v>-1.0000000000000001E-5</v>
      </c>
      <c r="M48" s="185">
        <f>IFERROR(IF($C48="",-0.00001,SUMIFS(Database!O:O,Database!$E:$E,$C48)),-0.00001)</f>
        <v>-1.0000000000000001E-5</v>
      </c>
      <c r="N48" s="185">
        <f>IFERROR(IF($C48="",-0.00001,SUMIFS(Database!P:P,Database!$E:$E,$C48)),-0.00001)</f>
        <v>-1.0000000000000001E-5</v>
      </c>
      <c r="O48" s="185">
        <f>IFERROR(IF($C48="",-0.00001,SUMIFS(Database!Q:Q,Database!$E:$E,$C48)),-0.00001)</f>
        <v>-1.0000000000000001E-5</v>
      </c>
      <c r="P48" s="186">
        <f t="shared" si="0"/>
        <v>-1.0000000000000001E-5</v>
      </c>
      <c r="Q48" s="185">
        <f>IFERROR(IF($C48="",-0.00001,SUMIFS(Database!S:S,Database!$E:$E,$C48)),-0.00001)</f>
        <v>-1.0000000000000001E-5</v>
      </c>
      <c r="R48" s="185">
        <f>IFERROR(IF($C48="",-0.00001,SUMIFS(Database!T:T,Database!$E:$E,$C48)),-0.00001)</f>
        <v>-1.0000000000000001E-5</v>
      </c>
      <c r="S48" s="186">
        <f t="shared" si="1"/>
        <v>-1.0000000000000001E-5</v>
      </c>
      <c r="T48" s="185">
        <f>IFERROR(IF($C48="",-0.00001,SUMIFS(Database!V:V,Database!$E:$E,$C48)),-0.00001)</f>
        <v>-1.0000000000000001E-5</v>
      </c>
      <c r="U48" s="185">
        <f>IFERROR(IF($C48="",-0.00001,SUMIFS(Database!W:W,Database!$E:$E,$C48)),-0.00001)</f>
        <v>-1.0000000000000001E-5</v>
      </c>
      <c r="V48" s="186">
        <f t="shared" si="2"/>
        <v>-1.0000000000000001E-5</v>
      </c>
      <c r="W48" s="187"/>
      <c r="X48" s="187"/>
      <c r="Y48" s="187"/>
      <c r="Z48" s="187"/>
      <c r="AA48" s="187"/>
      <c r="AB48" s="187"/>
      <c r="AC48" s="187"/>
      <c r="AD48" s="187"/>
      <c r="AE48" s="187"/>
    </row>
    <row r="49" spans="1:31" x14ac:dyDescent="0.25">
      <c r="A49" s="187"/>
      <c r="B49" s="187" t="str">
        <f>IF($C49="","",MAX($B$4:$B48)+1)</f>
        <v/>
      </c>
      <c r="C49" s="183"/>
      <c r="D49" s="183"/>
      <c r="E49" s="185">
        <f>IF($C49="",-0.00001,COUNTIF(Database!E:E,$C49))</f>
        <v>-1.0000000000000001E-5</v>
      </c>
      <c r="F49" s="185">
        <f>IFERROR(IF($C49="",-0.00001,SUMIFS(Database!H:H,Database!$E:$E,$C49)),-0.00001)</f>
        <v>-1.0000000000000001E-5</v>
      </c>
      <c r="G49" s="185">
        <f>IFERROR(IF($C49="",-0.00001,SUMIFS(Database!I:I,Database!$E:$E,$C49)),-0.00001)</f>
        <v>-1.0000000000000001E-5</v>
      </c>
      <c r="H49" s="185">
        <f>IFERROR(IF($C49="",-0.00001,SUMIFS(Database!J:J,Database!$E:$E,$C49)),-0.00001)</f>
        <v>-1.0000000000000001E-5</v>
      </c>
      <c r="I49" s="185">
        <f>IFERROR(IF($C49="",-0.00001,SUMIFS(Database!K:K,Database!$E:$E,$C49)),-0.00001)</f>
        <v>-1.0000000000000001E-5</v>
      </c>
      <c r="J49" s="185">
        <f>IFERROR(IF($C49="",-0.00001,SUMIFS(Database!L:L,Database!$E:$E,$C49)),-0.00001)</f>
        <v>-1.0000000000000001E-5</v>
      </c>
      <c r="K49" s="185">
        <f>IFERROR(IF($C49="",-0.00001,SUMIFS(Database!M:M,Database!$E:$E,$C49)),-0.00001)</f>
        <v>-1.0000000000000001E-5</v>
      </c>
      <c r="L49" s="185">
        <f>IFERROR(IF($C49="",-0.00001,SUMIFS(Database!N:N,Database!$E:$E,$C49)),-0.00001)</f>
        <v>-1.0000000000000001E-5</v>
      </c>
      <c r="M49" s="185">
        <f>IFERROR(IF($C49="",-0.00001,SUMIFS(Database!O:O,Database!$E:$E,$C49)),-0.00001)</f>
        <v>-1.0000000000000001E-5</v>
      </c>
      <c r="N49" s="185">
        <f>IFERROR(IF($C49="",-0.00001,SUMIFS(Database!P:P,Database!$E:$E,$C49)),-0.00001)</f>
        <v>-1.0000000000000001E-5</v>
      </c>
      <c r="O49" s="185">
        <f>IFERROR(IF($C49="",-0.00001,SUMIFS(Database!Q:Q,Database!$E:$E,$C49)),-0.00001)</f>
        <v>-1.0000000000000001E-5</v>
      </c>
      <c r="P49" s="186">
        <f t="shared" si="0"/>
        <v>-1.0000000000000001E-5</v>
      </c>
      <c r="Q49" s="185">
        <f>IFERROR(IF($C49="",-0.00001,SUMIFS(Database!S:S,Database!$E:$E,$C49)),-0.00001)</f>
        <v>-1.0000000000000001E-5</v>
      </c>
      <c r="R49" s="185">
        <f>IFERROR(IF($C49="",-0.00001,SUMIFS(Database!T:T,Database!$E:$E,$C49)),-0.00001)</f>
        <v>-1.0000000000000001E-5</v>
      </c>
      <c r="S49" s="186">
        <f t="shared" si="1"/>
        <v>-1.0000000000000001E-5</v>
      </c>
      <c r="T49" s="185">
        <f>IFERROR(IF($C49="",-0.00001,SUMIFS(Database!V:V,Database!$E:$E,$C49)),-0.00001)</f>
        <v>-1.0000000000000001E-5</v>
      </c>
      <c r="U49" s="185">
        <f>IFERROR(IF($C49="",-0.00001,SUMIFS(Database!W:W,Database!$E:$E,$C49)),-0.00001)</f>
        <v>-1.0000000000000001E-5</v>
      </c>
      <c r="V49" s="186">
        <f t="shared" si="2"/>
        <v>-1.0000000000000001E-5</v>
      </c>
      <c r="W49" s="187"/>
      <c r="X49" s="187"/>
      <c r="Y49" s="187"/>
      <c r="Z49" s="187"/>
      <c r="AA49" s="187"/>
      <c r="AB49" s="187"/>
      <c r="AC49" s="187"/>
      <c r="AD49" s="187"/>
      <c r="AE49" s="187"/>
    </row>
    <row r="50" spans="1:31" x14ac:dyDescent="0.25">
      <c r="A50" s="187"/>
      <c r="B50" s="187" t="str">
        <f>IF($C50="","",MAX($B$4:$B49)+1)</f>
        <v/>
      </c>
      <c r="C50" s="183"/>
      <c r="D50" s="183"/>
      <c r="E50" s="185">
        <f>IF($C50="",-0.00001,COUNTIF(Database!E:E,$C50))</f>
        <v>-1.0000000000000001E-5</v>
      </c>
      <c r="F50" s="185">
        <f>IFERROR(IF($C50="",-0.00001,SUMIFS(Database!H:H,Database!$E:$E,$C50)),-0.00001)</f>
        <v>-1.0000000000000001E-5</v>
      </c>
      <c r="G50" s="185">
        <f>IFERROR(IF($C50="",-0.00001,SUMIFS(Database!I:I,Database!$E:$E,$C50)),-0.00001)</f>
        <v>-1.0000000000000001E-5</v>
      </c>
      <c r="H50" s="185">
        <f>IFERROR(IF($C50="",-0.00001,SUMIFS(Database!J:J,Database!$E:$E,$C50)),-0.00001)</f>
        <v>-1.0000000000000001E-5</v>
      </c>
      <c r="I50" s="185">
        <f>IFERROR(IF($C50="",-0.00001,SUMIFS(Database!K:K,Database!$E:$E,$C50)),-0.00001)</f>
        <v>-1.0000000000000001E-5</v>
      </c>
      <c r="J50" s="185">
        <f>IFERROR(IF($C50="",-0.00001,SUMIFS(Database!L:L,Database!$E:$E,$C50)),-0.00001)</f>
        <v>-1.0000000000000001E-5</v>
      </c>
      <c r="K50" s="185">
        <f>IFERROR(IF($C50="",-0.00001,SUMIFS(Database!M:M,Database!$E:$E,$C50)),-0.00001)</f>
        <v>-1.0000000000000001E-5</v>
      </c>
      <c r="L50" s="185">
        <f>IFERROR(IF($C50="",-0.00001,SUMIFS(Database!N:N,Database!$E:$E,$C50)),-0.00001)</f>
        <v>-1.0000000000000001E-5</v>
      </c>
      <c r="M50" s="185">
        <f>IFERROR(IF($C50="",-0.00001,SUMIFS(Database!O:O,Database!$E:$E,$C50)),-0.00001)</f>
        <v>-1.0000000000000001E-5</v>
      </c>
      <c r="N50" s="185">
        <f>IFERROR(IF($C50="",-0.00001,SUMIFS(Database!P:P,Database!$E:$E,$C50)),-0.00001)</f>
        <v>-1.0000000000000001E-5</v>
      </c>
      <c r="O50" s="185">
        <f>IFERROR(IF($C50="",-0.00001,SUMIFS(Database!Q:Q,Database!$E:$E,$C50)),-0.00001)</f>
        <v>-1.0000000000000001E-5</v>
      </c>
      <c r="P50" s="186">
        <f t="shared" si="0"/>
        <v>-1.0000000000000001E-5</v>
      </c>
      <c r="Q50" s="185">
        <f>IFERROR(IF($C50="",-0.00001,SUMIFS(Database!S:S,Database!$E:$E,$C50)),-0.00001)</f>
        <v>-1.0000000000000001E-5</v>
      </c>
      <c r="R50" s="185">
        <f>IFERROR(IF($C50="",-0.00001,SUMIFS(Database!T:T,Database!$E:$E,$C50)),-0.00001)</f>
        <v>-1.0000000000000001E-5</v>
      </c>
      <c r="S50" s="186">
        <f t="shared" si="1"/>
        <v>-1.0000000000000001E-5</v>
      </c>
      <c r="T50" s="185">
        <f>IFERROR(IF($C50="",-0.00001,SUMIFS(Database!V:V,Database!$E:$E,$C50)),-0.00001)</f>
        <v>-1.0000000000000001E-5</v>
      </c>
      <c r="U50" s="185">
        <f>IFERROR(IF($C50="",-0.00001,SUMIFS(Database!W:W,Database!$E:$E,$C50)),-0.00001)</f>
        <v>-1.0000000000000001E-5</v>
      </c>
      <c r="V50" s="186">
        <f t="shared" si="2"/>
        <v>-1.0000000000000001E-5</v>
      </c>
      <c r="W50" s="187"/>
      <c r="X50" s="187"/>
      <c r="Y50" s="187"/>
      <c r="Z50" s="187"/>
      <c r="AA50" s="187"/>
      <c r="AB50" s="187"/>
      <c r="AC50" s="187"/>
      <c r="AD50" s="187"/>
      <c r="AE50" s="187"/>
    </row>
    <row r="51" spans="1:31" x14ac:dyDescent="0.25">
      <c r="A51" s="187"/>
      <c r="B51" s="187" t="str">
        <f>IF($C51="","",MAX($B$4:$B50)+1)</f>
        <v/>
      </c>
      <c r="C51" s="183"/>
      <c r="D51" s="183"/>
      <c r="E51" s="185">
        <f>IF($C51="",-0.00001,COUNTIF(Database!E:E,$C51))</f>
        <v>-1.0000000000000001E-5</v>
      </c>
      <c r="F51" s="185">
        <f>IFERROR(IF($C51="",-0.00001,SUMIFS(Database!H:H,Database!$E:$E,$C51)),-0.00001)</f>
        <v>-1.0000000000000001E-5</v>
      </c>
      <c r="G51" s="185">
        <f>IFERROR(IF($C51="",-0.00001,SUMIFS(Database!I:I,Database!$E:$E,$C51)),-0.00001)</f>
        <v>-1.0000000000000001E-5</v>
      </c>
      <c r="H51" s="185">
        <f>IFERROR(IF($C51="",-0.00001,SUMIFS(Database!J:J,Database!$E:$E,$C51)),-0.00001)</f>
        <v>-1.0000000000000001E-5</v>
      </c>
      <c r="I51" s="185">
        <f>IFERROR(IF($C51="",-0.00001,SUMIFS(Database!K:K,Database!$E:$E,$C51)),-0.00001)</f>
        <v>-1.0000000000000001E-5</v>
      </c>
      <c r="J51" s="185">
        <f>IFERROR(IF($C51="",-0.00001,SUMIFS(Database!L:L,Database!$E:$E,$C51)),-0.00001)</f>
        <v>-1.0000000000000001E-5</v>
      </c>
      <c r="K51" s="185">
        <f>IFERROR(IF($C51="",-0.00001,SUMIFS(Database!M:M,Database!$E:$E,$C51)),-0.00001)</f>
        <v>-1.0000000000000001E-5</v>
      </c>
      <c r="L51" s="185">
        <f>IFERROR(IF($C51="",-0.00001,SUMIFS(Database!N:N,Database!$E:$E,$C51)),-0.00001)</f>
        <v>-1.0000000000000001E-5</v>
      </c>
      <c r="M51" s="185">
        <f>IFERROR(IF($C51="",-0.00001,SUMIFS(Database!O:O,Database!$E:$E,$C51)),-0.00001)</f>
        <v>-1.0000000000000001E-5</v>
      </c>
      <c r="N51" s="185">
        <f>IFERROR(IF($C51="",-0.00001,SUMIFS(Database!P:P,Database!$E:$E,$C51)),-0.00001)</f>
        <v>-1.0000000000000001E-5</v>
      </c>
      <c r="O51" s="185">
        <f>IFERROR(IF($C51="",-0.00001,SUMIFS(Database!Q:Q,Database!$E:$E,$C51)),-0.00001)</f>
        <v>-1.0000000000000001E-5</v>
      </c>
      <c r="P51" s="186">
        <f t="shared" si="0"/>
        <v>-1.0000000000000001E-5</v>
      </c>
      <c r="Q51" s="185">
        <f>IFERROR(IF($C51="",-0.00001,SUMIFS(Database!S:S,Database!$E:$E,$C51)),-0.00001)</f>
        <v>-1.0000000000000001E-5</v>
      </c>
      <c r="R51" s="185">
        <f>IFERROR(IF($C51="",-0.00001,SUMIFS(Database!T:T,Database!$E:$E,$C51)),-0.00001)</f>
        <v>-1.0000000000000001E-5</v>
      </c>
      <c r="S51" s="186">
        <f t="shared" si="1"/>
        <v>-1.0000000000000001E-5</v>
      </c>
      <c r="T51" s="185">
        <f>IFERROR(IF($C51="",-0.00001,SUMIFS(Database!V:V,Database!$E:$E,$C51)),-0.00001)</f>
        <v>-1.0000000000000001E-5</v>
      </c>
      <c r="U51" s="185">
        <f>IFERROR(IF($C51="",-0.00001,SUMIFS(Database!W:W,Database!$E:$E,$C51)),-0.00001)</f>
        <v>-1.0000000000000001E-5</v>
      </c>
      <c r="V51" s="186">
        <f t="shared" si="2"/>
        <v>-1.0000000000000001E-5</v>
      </c>
      <c r="W51" s="187"/>
      <c r="X51" s="187"/>
      <c r="Y51" s="187"/>
      <c r="Z51" s="187"/>
      <c r="AA51" s="187"/>
      <c r="AB51" s="187"/>
      <c r="AC51" s="187"/>
      <c r="AD51" s="187"/>
      <c r="AE51" s="187"/>
    </row>
    <row r="52" spans="1:31" x14ac:dyDescent="0.25">
      <c r="A52" s="187"/>
      <c r="B52" s="187" t="str">
        <f>IF($C52="","",MAX($B$4:$B51)+1)</f>
        <v/>
      </c>
      <c r="C52" s="183"/>
      <c r="D52" s="183"/>
      <c r="E52" s="185">
        <f>IF($C52="",-0.00001,COUNTIF(Database!E:E,$C52))</f>
        <v>-1.0000000000000001E-5</v>
      </c>
      <c r="F52" s="185">
        <f>IFERROR(IF($C52="",-0.00001,SUMIFS(Database!H:H,Database!$E:$E,$C52)),-0.00001)</f>
        <v>-1.0000000000000001E-5</v>
      </c>
      <c r="G52" s="185">
        <f>IFERROR(IF($C52="",-0.00001,SUMIFS(Database!I:I,Database!$E:$E,$C52)),-0.00001)</f>
        <v>-1.0000000000000001E-5</v>
      </c>
      <c r="H52" s="185">
        <f>IFERROR(IF($C52="",-0.00001,SUMIFS(Database!J:J,Database!$E:$E,$C52)),-0.00001)</f>
        <v>-1.0000000000000001E-5</v>
      </c>
      <c r="I52" s="185">
        <f>IFERROR(IF($C52="",-0.00001,SUMIFS(Database!K:K,Database!$E:$E,$C52)),-0.00001)</f>
        <v>-1.0000000000000001E-5</v>
      </c>
      <c r="J52" s="185">
        <f>IFERROR(IF($C52="",-0.00001,SUMIFS(Database!L:L,Database!$E:$E,$C52)),-0.00001)</f>
        <v>-1.0000000000000001E-5</v>
      </c>
      <c r="K52" s="185">
        <f>IFERROR(IF($C52="",-0.00001,SUMIFS(Database!M:M,Database!$E:$E,$C52)),-0.00001)</f>
        <v>-1.0000000000000001E-5</v>
      </c>
      <c r="L52" s="185">
        <f>IFERROR(IF($C52="",-0.00001,SUMIFS(Database!N:N,Database!$E:$E,$C52)),-0.00001)</f>
        <v>-1.0000000000000001E-5</v>
      </c>
      <c r="M52" s="185">
        <f>IFERROR(IF($C52="",-0.00001,SUMIFS(Database!O:O,Database!$E:$E,$C52)),-0.00001)</f>
        <v>-1.0000000000000001E-5</v>
      </c>
      <c r="N52" s="185">
        <f>IFERROR(IF($C52="",-0.00001,SUMIFS(Database!P:P,Database!$E:$E,$C52)),-0.00001)</f>
        <v>-1.0000000000000001E-5</v>
      </c>
      <c r="O52" s="185">
        <f>IFERROR(IF($C52="",-0.00001,SUMIFS(Database!Q:Q,Database!$E:$E,$C52)),-0.00001)</f>
        <v>-1.0000000000000001E-5</v>
      </c>
      <c r="P52" s="186">
        <f t="shared" si="0"/>
        <v>-1.0000000000000001E-5</v>
      </c>
      <c r="Q52" s="185">
        <f>IFERROR(IF($C52="",-0.00001,SUMIFS(Database!S:S,Database!$E:$E,$C52)),-0.00001)</f>
        <v>-1.0000000000000001E-5</v>
      </c>
      <c r="R52" s="185">
        <f>IFERROR(IF($C52="",-0.00001,SUMIFS(Database!T:T,Database!$E:$E,$C52)),-0.00001)</f>
        <v>-1.0000000000000001E-5</v>
      </c>
      <c r="S52" s="186">
        <f t="shared" si="1"/>
        <v>-1.0000000000000001E-5</v>
      </c>
      <c r="T52" s="185">
        <f>IFERROR(IF($C52="",-0.00001,SUMIFS(Database!V:V,Database!$E:$E,$C52)),-0.00001)</f>
        <v>-1.0000000000000001E-5</v>
      </c>
      <c r="U52" s="185">
        <f>IFERROR(IF($C52="",-0.00001,SUMIFS(Database!W:W,Database!$E:$E,$C52)),-0.00001)</f>
        <v>-1.0000000000000001E-5</v>
      </c>
      <c r="V52" s="186">
        <f t="shared" si="2"/>
        <v>-1.0000000000000001E-5</v>
      </c>
      <c r="W52" s="187"/>
      <c r="X52" s="187"/>
      <c r="Y52" s="187"/>
      <c r="Z52" s="187"/>
      <c r="AA52" s="187"/>
      <c r="AB52" s="187"/>
      <c r="AC52" s="187"/>
      <c r="AD52" s="187"/>
      <c r="AE52" s="187"/>
    </row>
    <row r="53" spans="1:31" x14ac:dyDescent="0.25">
      <c r="A53" s="187"/>
      <c r="B53" s="187" t="str">
        <f>IF($C53="","",MAX($B$4:$B52)+1)</f>
        <v/>
      </c>
      <c r="C53" s="183"/>
      <c r="D53" s="183"/>
      <c r="E53" s="185">
        <f>IF($C53="",-0.00001,COUNTIF(Database!E:E,$C53))</f>
        <v>-1.0000000000000001E-5</v>
      </c>
      <c r="F53" s="185">
        <f>IFERROR(IF($C53="",-0.00001,SUMIFS(Database!H:H,Database!$E:$E,$C53)),-0.00001)</f>
        <v>-1.0000000000000001E-5</v>
      </c>
      <c r="G53" s="185">
        <f>IFERROR(IF($C53="",-0.00001,SUMIFS(Database!I:I,Database!$E:$E,$C53)),-0.00001)</f>
        <v>-1.0000000000000001E-5</v>
      </c>
      <c r="H53" s="185">
        <f>IFERROR(IF($C53="",-0.00001,SUMIFS(Database!J:J,Database!$E:$E,$C53)),-0.00001)</f>
        <v>-1.0000000000000001E-5</v>
      </c>
      <c r="I53" s="185">
        <f>IFERROR(IF($C53="",-0.00001,SUMIFS(Database!K:K,Database!$E:$E,$C53)),-0.00001)</f>
        <v>-1.0000000000000001E-5</v>
      </c>
      <c r="J53" s="185">
        <f>IFERROR(IF($C53="",-0.00001,SUMIFS(Database!L:L,Database!$E:$E,$C53)),-0.00001)</f>
        <v>-1.0000000000000001E-5</v>
      </c>
      <c r="K53" s="185">
        <f>IFERROR(IF($C53="",-0.00001,SUMIFS(Database!M:M,Database!$E:$E,$C53)),-0.00001)</f>
        <v>-1.0000000000000001E-5</v>
      </c>
      <c r="L53" s="185">
        <f>IFERROR(IF($C53="",-0.00001,SUMIFS(Database!N:N,Database!$E:$E,$C53)),-0.00001)</f>
        <v>-1.0000000000000001E-5</v>
      </c>
      <c r="M53" s="185">
        <f>IFERROR(IF($C53="",-0.00001,SUMIFS(Database!O:O,Database!$E:$E,$C53)),-0.00001)</f>
        <v>-1.0000000000000001E-5</v>
      </c>
      <c r="N53" s="185">
        <f>IFERROR(IF($C53="",-0.00001,SUMIFS(Database!P:P,Database!$E:$E,$C53)),-0.00001)</f>
        <v>-1.0000000000000001E-5</v>
      </c>
      <c r="O53" s="185">
        <f>IFERROR(IF($C53="",-0.00001,SUMIFS(Database!Q:Q,Database!$E:$E,$C53)),-0.00001)</f>
        <v>-1.0000000000000001E-5</v>
      </c>
      <c r="P53" s="186">
        <f t="shared" si="0"/>
        <v>-1.0000000000000001E-5</v>
      </c>
      <c r="Q53" s="185">
        <f>IFERROR(IF($C53="",-0.00001,SUMIFS(Database!S:S,Database!$E:$E,$C53)),-0.00001)</f>
        <v>-1.0000000000000001E-5</v>
      </c>
      <c r="R53" s="185">
        <f>IFERROR(IF($C53="",-0.00001,SUMIFS(Database!T:T,Database!$E:$E,$C53)),-0.00001)</f>
        <v>-1.0000000000000001E-5</v>
      </c>
      <c r="S53" s="186">
        <f t="shared" si="1"/>
        <v>-1.0000000000000001E-5</v>
      </c>
      <c r="T53" s="185">
        <f>IFERROR(IF($C53="",-0.00001,SUMIFS(Database!V:V,Database!$E:$E,$C53)),-0.00001)</f>
        <v>-1.0000000000000001E-5</v>
      </c>
      <c r="U53" s="185">
        <f>IFERROR(IF($C53="",-0.00001,SUMIFS(Database!W:W,Database!$E:$E,$C53)),-0.00001)</f>
        <v>-1.0000000000000001E-5</v>
      </c>
      <c r="V53" s="186">
        <f t="shared" si="2"/>
        <v>-1.0000000000000001E-5</v>
      </c>
      <c r="W53" s="187"/>
      <c r="X53" s="187"/>
      <c r="Y53" s="187"/>
      <c r="Z53" s="187"/>
      <c r="AA53" s="187"/>
      <c r="AB53" s="187"/>
      <c r="AC53" s="187"/>
      <c r="AD53" s="187"/>
      <c r="AE53" s="187"/>
    </row>
    <row r="54" spans="1:31" x14ac:dyDescent="0.25">
      <c r="A54" s="187"/>
      <c r="B54" s="187" t="str">
        <f>IF($C54="","",MAX($B$4:$B53)+1)</f>
        <v/>
      </c>
      <c r="C54" s="183"/>
      <c r="D54" s="183"/>
      <c r="E54" s="185">
        <f>IF($C54="",-0.00001,COUNTIF(Database!E:E,$C54))</f>
        <v>-1.0000000000000001E-5</v>
      </c>
      <c r="F54" s="185">
        <f>IFERROR(IF($C54="",-0.00001,SUMIFS(Database!H:H,Database!$E:$E,$C54)),-0.00001)</f>
        <v>-1.0000000000000001E-5</v>
      </c>
      <c r="G54" s="185">
        <f>IFERROR(IF($C54="",-0.00001,SUMIFS(Database!I:I,Database!$E:$E,$C54)),-0.00001)</f>
        <v>-1.0000000000000001E-5</v>
      </c>
      <c r="H54" s="185">
        <f>IFERROR(IF($C54="",-0.00001,SUMIFS(Database!J:J,Database!$E:$E,$C54)),-0.00001)</f>
        <v>-1.0000000000000001E-5</v>
      </c>
      <c r="I54" s="185">
        <f>IFERROR(IF($C54="",-0.00001,SUMIFS(Database!K:K,Database!$E:$E,$C54)),-0.00001)</f>
        <v>-1.0000000000000001E-5</v>
      </c>
      <c r="J54" s="185">
        <f>IFERROR(IF($C54="",-0.00001,SUMIFS(Database!L:L,Database!$E:$E,$C54)),-0.00001)</f>
        <v>-1.0000000000000001E-5</v>
      </c>
      <c r="K54" s="185">
        <f>IFERROR(IF($C54="",-0.00001,SUMIFS(Database!M:M,Database!$E:$E,$C54)),-0.00001)</f>
        <v>-1.0000000000000001E-5</v>
      </c>
      <c r="L54" s="185">
        <f>IFERROR(IF($C54="",-0.00001,SUMIFS(Database!N:N,Database!$E:$E,$C54)),-0.00001)</f>
        <v>-1.0000000000000001E-5</v>
      </c>
      <c r="M54" s="185">
        <f>IFERROR(IF($C54="",-0.00001,SUMIFS(Database!O:O,Database!$E:$E,$C54)),-0.00001)</f>
        <v>-1.0000000000000001E-5</v>
      </c>
      <c r="N54" s="185">
        <f>IFERROR(IF($C54="",-0.00001,SUMIFS(Database!P:P,Database!$E:$E,$C54)),-0.00001)</f>
        <v>-1.0000000000000001E-5</v>
      </c>
      <c r="O54" s="185">
        <f>IFERROR(IF($C54="",-0.00001,SUMIFS(Database!Q:Q,Database!$E:$E,$C54)),-0.00001)</f>
        <v>-1.0000000000000001E-5</v>
      </c>
      <c r="P54" s="186">
        <f t="shared" si="0"/>
        <v>-1.0000000000000001E-5</v>
      </c>
      <c r="Q54" s="185">
        <f>IFERROR(IF($C54="",-0.00001,SUMIFS(Database!S:S,Database!$E:$E,$C54)),-0.00001)</f>
        <v>-1.0000000000000001E-5</v>
      </c>
      <c r="R54" s="185">
        <f>IFERROR(IF($C54="",-0.00001,SUMIFS(Database!T:T,Database!$E:$E,$C54)),-0.00001)</f>
        <v>-1.0000000000000001E-5</v>
      </c>
      <c r="S54" s="186">
        <f t="shared" si="1"/>
        <v>-1.0000000000000001E-5</v>
      </c>
      <c r="T54" s="185">
        <f>IFERROR(IF($C54="",-0.00001,SUMIFS(Database!V:V,Database!$E:$E,$C54)),-0.00001)</f>
        <v>-1.0000000000000001E-5</v>
      </c>
      <c r="U54" s="185">
        <f>IFERROR(IF($C54="",-0.00001,SUMIFS(Database!W:W,Database!$E:$E,$C54)),-0.00001)</f>
        <v>-1.0000000000000001E-5</v>
      </c>
      <c r="V54" s="186">
        <f t="shared" si="2"/>
        <v>-1.0000000000000001E-5</v>
      </c>
      <c r="W54" s="187"/>
      <c r="X54" s="187"/>
      <c r="Y54" s="187"/>
      <c r="Z54" s="187"/>
      <c r="AA54" s="187"/>
      <c r="AB54" s="187"/>
      <c r="AC54" s="187"/>
      <c r="AD54" s="187"/>
      <c r="AE54" s="187"/>
    </row>
    <row r="55" spans="1:31" x14ac:dyDescent="0.25">
      <c r="A55" s="187"/>
      <c r="B55" s="187" t="str">
        <f>IF($C55="","",MAX($B$4:$B54)+1)</f>
        <v/>
      </c>
      <c r="C55" s="183"/>
      <c r="D55" s="183"/>
      <c r="E55" s="185">
        <f>IF($C55="",-0.00001,COUNTIF(Database!E:E,$C55))</f>
        <v>-1.0000000000000001E-5</v>
      </c>
      <c r="F55" s="185">
        <f>IFERROR(IF($C55="",-0.00001,SUMIFS(Database!H:H,Database!$E:$E,$C55)),-0.00001)</f>
        <v>-1.0000000000000001E-5</v>
      </c>
      <c r="G55" s="185">
        <f>IFERROR(IF($C55="",-0.00001,SUMIFS(Database!I:I,Database!$E:$E,$C55)),-0.00001)</f>
        <v>-1.0000000000000001E-5</v>
      </c>
      <c r="H55" s="185">
        <f>IFERROR(IF($C55="",-0.00001,SUMIFS(Database!J:J,Database!$E:$E,$C55)),-0.00001)</f>
        <v>-1.0000000000000001E-5</v>
      </c>
      <c r="I55" s="185">
        <f>IFERROR(IF($C55="",-0.00001,SUMIFS(Database!K:K,Database!$E:$E,$C55)),-0.00001)</f>
        <v>-1.0000000000000001E-5</v>
      </c>
      <c r="J55" s="185">
        <f>IFERROR(IF($C55="",-0.00001,SUMIFS(Database!L:L,Database!$E:$E,$C55)),-0.00001)</f>
        <v>-1.0000000000000001E-5</v>
      </c>
      <c r="K55" s="185">
        <f>IFERROR(IF($C55="",-0.00001,SUMIFS(Database!M:M,Database!$E:$E,$C55)),-0.00001)</f>
        <v>-1.0000000000000001E-5</v>
      </c>
      <c r="L55" s="185">
        <f>IFERROR(IF($C55="",-0.00001,SUMIFS(Database!N:N,Database!$E:$E,$C55)),-0.00001)</f>
        <v>-1.0000000000000001E-5</v>
      </c>
      <c r="M55" s="185">
        <f>IFERROR(IF($C55="",-0.00001,SUMIFS(Database!O:O,Database!$E:$E,$C55)),-0.00001)</f>
        <v>-1.0000000000000001E-5</v>
      </c>
      <c r="N55" s="185">
        <f>IFERROR(IF($C55="",-0.00001,SUMIFS(Database!P:P,Database!$E:$E,$C55)),-0.00001)</f>
        <v>-1.0000000000000001E-5</v>
      </c>
      <c r="O55" s="185">
        <f>IFERROR(IF($C55="",-0.00001,SUMIFS(Database!Q:Q,Database!$E:$E,$C55)),-0.00001)</f>
        <v>-1.0000000000000001E-5</v>
      </c>
      <c r="P55" s="186">
        <f t="shared" si="0"/>
        <v>-1.0000000000000001E-5</v>
      </c>
      <c r="Q55" s="185">
        <f>IFERROR(IF($C55="",-0.00001,SUMIFS(Database!S:S,Database!$E:$E,$C55)),-0.00001)</f>
        <v>-1.0000000000000001E-5</v>
      </c>
      <c r="R55" s="185">
        <f>IFERROR(IF($C55="",-0.00001,SUMIFS(Database!T:T,Database!$E:$E,$C55)),-0.00001)</f>
        <v>-1.0000000000000001E-5</v>
      </c>
      <c r="S55" s="186">
        <f t="shared" si="1"/>
        <v>-1.0000000000000001E-5</v>
      </c>
      <c r="T55" s="185">
        <f>IFERROR(IF($C55="",-0.00001,SUMIFS(Database!V:V,Database!$E:$E,$C55)),-0.00001)</f>
        <v>-1.0000000000000001E-5</v>
      </c>
      <c r="U55" s="185">
        <f>IFERROR(IF($C55="",-0.00001,SUMIFS(Database!W:W,Database!$E:$E,$C55)),-0.00001)</f>
        <v>-1.0000000000000001E-5</v>
      </c>
      <c r="V55" s="186">
        <f t="shared" si="2"/>
        <v>-1.0000000000000001E-5</v>
      </c>
      <c r="W55" s="187"/>
      <c r="X55" s="187"/>
      <c r="Y55" s="187"/>
      <c r="Z55" s="187"/>
      <c r="AA55" s="187"/>
      <c r="AB55" s="187"/>
      <c r="AC55" s="187"/>
      <c r="AD55" s="187"/>
      <c r="AE55" s="187"/>
    </row>
    <row r="56" spans="1:31" x14ac:dyDescent="0.25">
      <c r="A56" s="187"/>
      <c r="B56" s="187" t="str">
        <f>IF($C56="","",MAX($B$4:$B55)+1)</f>
        <v/>
      </c>
      <c r="C56" s="183"/>
      <c r="D56" s="183"/>
      <c r="E56" s="185">
        <f>IF($C56="",-0.00001,COUNTIF(Database!E:E,$C56))</f>
        <v>-1.0000000000000001E-5</v>
      </c>
      <c r="F56" s="185">
        <f>IFERROR(IF($C56="",-0.00001,SUMIFS(Database!H:H,Database!$E:$E,$C56)),-0.00001)</f>
        <v>-1.0000000000000001E-5</v>
      </c>
      <c r="G56" s="185">
        <f>IFERROR(IF($C56="",-0.00001,SUMIFS(Database!I:I,Database!$E:$E,$C56)),-0.00001)</f>
        <v>-1.0000000000000001E-5</v>
      </c>
      <c r="H56" s="185">
        <f>IFERROR(IF($C56="",-0.00001,SUMIFS(Database!J:J,Database!$E:$E,$C56)),-0.00001)</f>
        <v>-1.0000000000000001E-5</v>
      </c>
      <c r="I56" s="185">
        <f>IFERROR(IF($C56="",-0.00001,SUMIFS(Database!K:K,Database!$E:$E,$C56)),-0.00001)</f>
        <v>-1.0000000000000001E-5</v>
      </c>
      <c r="J56" s="185">
        <f>IFERROR(IF($C56="",-0.00001,SUMIFS(Database!L:L,Database!$E:$E,$C56)),-0.00001)</f>
        <v>-1.0000000000000001E-5</v>
      </c>
      <c r="K56" s="185">
        <f>IFERROR(IF($C56="",-0.00001,SUMIFS(Database!M:M,Database!$E:$E,$C56)),-0.00001)</f>
        <v>-1.0000000000000001E-5</v>
      </c>
      <c r="L56" s="185">
        <f>IFERROR(IF($C56="",-0.00001,SUMIFS(Database!N:N,Database!$E:$E,$C56)),-0.00001)</f>
        <v>-1.0000000000000001E-5</v>
      </c>
      <c r="M56" s="185">
        <f>IFERROR(IF($C56="",-0.00001,SUMIFS(Database!O:O,Database!$E:$E,$C56)),-0.00001)</f>
        <v>-1.0000000000000001E-5</v>
      </c>
      <c r="N56" s="185">
        <f>IFERROR(IF($C56="",-0.00001,SUMIFS(Database!P:P,Database!$E:$E,$C56)),-0.00001)</f>
        <v>-1.0000000000000001E-5</v>
      </c>
      <c r="O56" s="185">
        <f>IFERROR(IF($C56="",-0.00001,SUMIFS(Database!Q:Q,Database!$E:$E,$C56)),-0.00001)</f>
        <v>-1.0000000000000001E-5</v>
      </c>
      <c r="P56" s="186">
        <f t="shared" si="0"/>
        <v>-1.0000000000000001E-5</v>
      </c>
      <c r="Q56" s="185">
        <f>IFERROR(IF($C56="",-0.00001,SUMIFS(Database!S:S,Database!$E:$E,$C56)),-0.00001)</f>
        <v>-1.0000000000000001E-5</v>
      </c>
      <c r="R56" s="185">
        <f>IFERROR(IF($C56="",-0.00001,SUMIFS(Database!T:T,Database!$E:$E,$C56)),-0.00001)</f>
        <v>-1.0000000000000001E-5</v>
      </c>
      <c r="S56" s="186">
        <f t="shared" si="1"/>
        <v>-1.0000000000000001E-5</v>
      </c>
      <c r="T56" s="185">
        <f>IFERROR(IF($C56="",-0.00001,SUMIFS(Database!V:V,Database!$E:$E,$C56)),-0.00001)</f>
        <v>-1.0000000000000001E-5</v>
      </c>
      <c r="U56" s="185">
        <f>IFERROR(IF($C56="",-0.00001,SUMIFS(Database!W:W,Database!$E:$E,$C56)),-0.00001)</f>
        <v>-1.0000000000000001E-5</v>
      </c>
      <c r="V56" s="186">
        <f t="shared" si="2"/>
        <v>-1.0000000000000001E-5</v>
      </c>
      <c r="W56" s="187"/>
      <c r="X56" s="187"/>
      <c r="Y56" s="187"/>
      <c r="Z56" s="187"/>
      <c r="AA56" s="187"/>
      <c r="AB56" s="187"/>
      <c r="AC56" s="187"/>
      <c r="AD56" s="187"/>
      <c r="AE56" s="187"/>
    </row>
    <row r="57" spans="1:31" x14ac:dyDescent="0.25">
      <c r="A57" s="187"/>
      <c r="B57" s="187" t="str">
        <f>IF($C57="","",MAX($B$4:$B56)+1)</f>
        <v/>
      </c>
      <c r="C57" s="183"/>
      <c r="D57" s="183"/>
      <c r="E57" s="185">
        <f>IF($C57="",-0.00001,COUNTIF(Database!E:E,$C57))</f>
        <v>-1.0000000000000001E-5</v>
      </c>
      <c r="F57" s="185">
        <f>IFERROR(IF($C57="",-0.00001,SUMIFS(Database!H:H,Database!$E:$E,$C57)),-0.00001)</f>
        <v>-1.0000000000000001E-5</v>
      </c>
      <c r="G57" s="185">
        <f>IFERROR(IF($C57="",-0.00001,SUMIFS(Database!I:I,Database!$E:$E,$C57)),-0.00001)</f>
        <v>-1.0000000000000001E-5</v>
      </c>
      <c r="H57" s="185">
        <f>IFERROR(IF($C57="",-0.00001,SUMIFS(Database!J:J,Database!$E:$E,$C57)),-0.00001)</f>
        <v>-1.0000000000000001E-5</v>
      </c>
      <c r="I57" s="185">
        <f>IFERROR(IF($C57="",-0.00001,SUMIFS(Database!K:K,Database!$E:$E,$C57)),-0.00001)</f>
        <v>-1.0000000000000001E-5</v>
      </c>
      <c r="J57" s="185">
        <f>IFERROR(IF($C57="",-0.00001,SUMIFS(Database!L:L,Database!$E:$E,$C57)),-0.00001)</f>
        <v>-1.0000000000000001E-5</v>
      </c>
      <c r="K57" s="185">
        <f>IFERROR(IF($C57="",-0.00001,SUMIFS(Database!M:M,Database!$E:$E,$C57)),-0.00001)</f>
        <v>-1.0000000000000001E-5</v>
      </c>
      <c r="L57" s="185">
        <f>IFERROR(IF($C57="",-0.00001,SUMIFS(Database!N:N,Database!$E:$E,$C57)),-0.00001)</f>
        <v>-1.0000000000000001E-5</v>
      </c>
      <c r="M57" s="185">
        <f>IFERROR(IF($C57="",-0.00001,SUMIFS(Database!O:O,Database!$E:$E,$C57)),-0.00001)</f>
        <v>-1.0000000000000001E-5</v>
      </c>
      <c r="N57" s="185">
        <f>IFERROR(IF($C57="",-0.00001,SUMIFS(Database!P:P,Database!$E:$E,$C57)),-0.00001)</f>
        <v>-1.0000000000000001E-5</v>
      </c>
      <c r="O57" s="185">
        <f>IFERROR(IF($C57="",-0.00001,SUMIFS(Database!Q:Q,Database!$E:$E,$C57)),-0.00001)</f>
        <v>-1.0000000000000001E-5</v>
      </c>
      <c r="P57" s="186">
        <f t="shared" si="0"/>
        <v>-1.0000000000000001E-5</v>
      </c>
      <c r="Q57" s="185">
        <f>IFERROR(IF($C57="",-0.00001,SUMIFS(Database!S:S,Database!$E:$E,$C57)),-0.00001)</f>
        <v>-1.0000000000000001E-5</v>
      </c>
      <c r="R57" s="185">
        <f>IFERROR(IF($C57="",-0.00001,SUMIFS(Database!T:T,Database!$E:$E,$C57)),-0.00001)</f>
        <v>-1.0000000000000001E-5</v>
      </c>
      <c r="S57" s="186">
        <f t="shared" si="1"/>
        <v>-1.0000000000000001E-5</v>
      </c>
      <c r="T57" s="185">
        <f>IFERROR(IF($C57="",-0.00001,SUMIFS(Database!V:V,Database!$E:$E,$C57)),-0.00001)</f>
        <v>-1.0000000000000001E-5</v>
      </c>
      <c r="U57" s="185">
        <f>IFERROR(IF($C57="",-0.00001,SUMIFS(Database!W:W,Database!$E:$E,$C57)),-0.00001)</f>
        <v>-1.0000000000000001E-5</v>
      </c>
      <c r="V57" s="186">
        <f t="shared" si="2"/>
        <v>-1.0000000000000001E-5</v>
      </c>
      <c r="W57" s="187"/>
      <c r="X57" s="187"/>
      <c r="Y57" s="187"/>
      <c r="Z57" s="187"/>
      <c r="AA57" s="187"/>
      <c r="AB57" s="187"/>
      <c r="AC57" s="187"/>
      <c r="AD57" s="187"/>
      <c r="AE57" s="187"/>
    </row>
    <row r="58" spans="1:31" x14ac:dyDescent="0.25">
      <c r="A58" s="187"/>
      <c r="B58" s="187" t="str">
        <f>IF($C58="","",MAX($B$4:$B57)+1)</f>
        <v/>
      </c>
      <c r="C58" s="183"/>
      <c r="D58" s="183"/>
      <c r="E58" s="185">
        <f>IF($C58="",-0.00001,COUNTIF(Database!E:E,$C58))</f>
        <v>-1.0000000000000001E-5</v>
      </c>
      <c r="F58" s="185">
        <f>IFERROR(IF($C58="",-0.00001,SUMIFS(Database!H:H,Database!$E:$E,$C58)),-0.00001)</f>
        <v>-1.0000000000000001E-5</v>
      </c>
      <c r="G58" s="185">
        <f>IFERROR(IF($C58="",-0.00001,SUMIFS(Database!I:I,Database!$E:$E,$C58)),-0.00001)</f>
        <v>-1.0000000000000001E-5</v>
      </c>
      <c r="H58" s="185">
        <f>IFERROR(IF($C58="",-0.00001,SUMIFS(Database!J:J,Database!$E:$E,$C58)),-0.00001)</f>
        <v>-1.0000000000000001E-5</v>
      </c>
      <c r="I58" s="185">
        <f>IFERROR(IF($C58="",-0.00001,SUMIFS(Database!K:K,Database!$E:$E,$C58)),-0.00001)</f>
        <v>-1.0000000000000001E-5</v>
      </c>
      <c r="J58" s="185">
        <f>IFERROR(IF($C58="",-0.00001,SUMIFS(Database!L:L,Database!$E:$E,$C58)),-0.00001)</f>
        <v>-1.0000000000000001E-5</v>
      </c>
      <c r="K58" s="185">
        <f>IFERROR(IF($C58="",-0.00001,SUMIFS(Database!M:M,Database!$E:$E,$C58)),-0.00001)</f>
        <v>-1.0000000000000001E-5</v>
      </c>
      <c r="L58" s="185">
        <f>IFERROR(IF($C58="",-0.00001,SUMIFS(Database!N:N,Database!$E:$E,$C58)),-0.00001)</f>
        <v>-1.0000000000000001E-5</v>
      </c>
      <c r="M58" s="185">
        <f>IFERROR(IF($C58="",-0.00001,SUMIFS(Database!O:O,Database!$E:$E,$C58)),-0.00001)</f>
        <v>-1.0000000000000001E-5</v>
      </c>
      <c r="N58" s="185">
        <f>IFERROR(IF($C58="",-0.00001,SUMIFS(Database!P:P,Database!$E:$E,$C58)),-0.00001)</f>
        <v>-1.0000000000000001E-5</v>
      </c>
      <c r="O58" s="185">
        <f>IFERROR(IF($C58="",-0.00001,SUMIFS(Database!Q:Q,Database!$E:$E,$C58)),-0.00001)</f>
        <v>-1.0000000000000001E-5</v>
      </c>
      <c r="P58" s="186">
        <f t="shared" si="0"/>
        <v>-1.0000000000000001E-5</v>
      </c>
      <c r="Q58" s="185">
        <f>IFERROR(IF($C58="",-0.00001,SUMIFS(Database!S:S,Database!$E:$E,$C58)),-0.00001)</f>
        <v>-1.0000000000000001E-5</v>
      </c>
      <c r="R58" s="185">
        <f>IFERROR(IF($C58="",-0.00001,SUMIFS(Database!T:T,Database!$E:$E,$C58)),-0.00001)</f>
        <v>-1.0000000000000001E-5</v>
      </c>
      <c r="S58" s="186">
        <f t="shared" si="1"/>
        <v>-1.0000000000000001E-5</v>
      </c>
      <c r="T58" s="185">
        <f>IFERROR(IF($C58="",-0.00001,SUMIFS(Database!V:V,Database!$E:$E,$C58)),-0.00001)</f>
        <v>-1.0000000000000001E-5</v>
      </c>
      <c r="U58" s="185">
        <f>IFERROR(IF($C58="",-0.00001,SUMIFS(Database!W:W,Database!$E:$E,$C58)),-0.00001)</f>
        <v>-1.0000000000000001E-5</v>
      </c>
      <c r="V58" s="186">
        <f t="shared" si="2"/>
        <v>-1.0000000000000001E-5</v>
      </c>
      <c r="W58" s="187"/>
      <c r="X58" s="187"/>
      <c r="Y58" s="187"/>
      <c r="Z58" s="187"/>
      <c r="AA58" s="187"/>
      <c r="AB58" s="187"/>
      <c r="AC58" s="187"/>
      <c r="AD58" s="187"/>
      <c r="AE58" s="187"/>
    </row>
    <row r="59" spans="1:31" x14ac:dyDescent="0.25">
      <c r="A59" s="187"/>
      <c r="B59" s="187" t="str">
        <f>IF($C59="","",MAX($B$4:$B58)+1)</f>
        <v/>
      </c>
      <c r="C59" s="183"/>
      <c r="D59" s="183"/>
      <c r="E59" s="185">
        <f>IF($C59="",-0.00001,COUNTIF(Database!E:E,$C59))</f>
        <v>-1.0000000000000001E-5</v>
      </c>
      <c r="F59" s="185">
        <f>IFERROR(IF($C59="",-0.00001,SUMIFS(Database!H:H,Database!$E:$E,$C59)),-0.00001)</f>
        <v>-1.0000000000000001E-5</v>
      </c>
      <c r="G59" s="185">
        <f>IFERROR(IF($C59="",-0.00001,SUMIFS(Database!I:I,Database!$E:$E,$C59)),-0.00001)</f>
        <v>-1.0000000000000001E-5</v>
      </c>
      <c r="H59" s="185">
        <f>IFERROR(IF($C59="",-0.00001,SUMIFS(Database!J:J,Database!$E:$E,$C59)),-0.00001)</f>
        <v>-1.0000000000000001E-5</v>
      </c>
      <c r="I59" s="185">
        <f>IFERROR(IF($C59="",-0.00001,SUMIFS(Database!K:K,Database!$E:$E,$C59)),-0.00001)</f>
        <v>-1.0000000000000001E-5</v>
      </c>
      <c r="J59" s="185">
        <f>IFERROR(IF($C59="",-0.00001,SUMIFS(Database!L:L,Database!$E:$E,$C59)),-0.00001)</f>
        <v>-1.0000000000000001E-5</v>
      </c>
      <c r="K59" s="185">
        <f>IFERROR(IF($C59="",-0.00001,SUMIFS(Database!M:M,Database!$E:$E,$C59)),-0.00001)</f>
        <v>-1.0000000000000001E-5</v>
      </c>
      <c r="L59" s="185">
        <f>IFERROR(IF($C59="",-0.00001,SUMIFS(Database!N:N,Database!$E:$E,$C59)),-0.00001)</f>
        <v>-1.0000000000000001E-5</v>
      </c>
      <c r="M59" s="185">
        <f>IFERROR(IF($C59="",-0.00001,SUMIFS(Database!O:O,Database!$E:$E,$C59)),-0.00001)</f>
        <v>-1.0000000000000001E-5</v>
      </c>
      <c r="N59" s="185">
        <f>IFERROR(IF($C59="",-0.00001,SUMIFS(Database!P:P,Database!$E:$E,$C59)),-0.00001)</f>
        <v>-1.0000000000000001E-5</v>
      </c>
      <c r="O59" s="185">
        <f>IFERROR(IF($C59="",-0.00001,SUMIFS(Database!Q:Q,Database!$E:$E,$C59)),-0.00001)</f>
        <v>-1.0000000000000001E-5</v>
      </c>
      <c r="P59" s="186">
        <f t="shared" si="0"/>
        <v>-1.0000000000000001E-5</v>
      </c>
      <c r="Q59" s="185">
        <f>IFERROR(IF($C59="",-0.00001,SUMIFS(Database!S:S,Database!$E:$E,$C59)),-0.00001)</f>
        <v>-1.0000000000000001E-5</v>
      </c>
      <c r="R59" s="185">
        <f>IFERROR(IF($C59="",-0.00001,SUMIFS(Database!T:T,Database!$E:$E,$C59)),-0.00001)</f>
        <v>-1.0000000000000001E-5</v>
      </c>
      <c r="S59" s="186">
        <f t="shared" si="1"/>
        <v>-1.0000000000000001E-5</v>
      </c>
      <c r="T59" s="185">
        <f>IFERROR(IF($C59="",-0.00001,SUMIFS(Database!V:V,Database!$E:$E,$C59)),-0.00001)</f>
        <v>-1.0000000000000001E-5</v>
      </c>
      <c r="U59" s="185">
        <f>IFERROR(IF($C59="",-0.00001,SUMIFS(Database!W:W,Database!$E:$E,$C59)),-0.00001)</f>
        <v>-1.0000000000000001E-5</v>
      </c>
      <c r="V59" s="186">
        <f t="shared" si="2"/>
        <v>-1.0000000000000001E-5</v>
      </c>
      <c r="W59" s="187"/>
      <c r="X59" s="187"/>
      <c r="Y59" s="187"/>
      <c r="Z59" s="187"/>
      <c r="AA59" s="187"/>
      <c r="AB59" s="187"/>
      <c r="AC59" s="187"/>
      <c r="AD59" s="187"/>
      <c r="AE59" s="187"/>
    </row>
    <row r="60" spans="1:31" x14ac:dyDescent="0.25">
      <c r="A60" s="187"/>
      <c r="B60" s="187" t="str">
        <f>IF($C60="","",MAX($B$4:$B59)+1)</f>
        <v/>
      </c>
      <c r="C60" s="183"/>
      <c r="D60" s="183"/>
      <c r="E60" s="185">
        <f>IF($C60="",-0.00001,COUNTIF(Database!E:E,$C60))</f>
        <v>-1.0000000000000001E-5</v>
      </c>
      <c r="F60" s="185">
        <f>IFERROR(IF($C60="",-0.00001,SUMIFS(Database!H:H,Database!$E:$E,$C60)),-0.00001)</f>
        <v>-1.0000000000000001E-5</v>
      </c>
      <c r="G60" s="185">
        <f>IFERROR(IF($C60="",-0.00001,SUMIFS(Database!I:I,Database!$E:$E,$C60)),-0.00001)</f>
        <v>-1.0000000000000001E-5</v>
      </c>
      <c r="H60" s="185">
        <f>IFERROR(IF($C60="",-0.00001,SUMIFS(Database!J:J,Database!$E:$E,$C60)),-0.00001)</f>
        <v>-1.0000000000000001E-5</v>
      </c>
      <c r="I60" s="185">
        <f>IFERROR(IF($C60="",-0.00001,SUMIFS(Database!K:K,Database!$E:$E,$C60)),-0.00001)</f>
        <v>-1.0000000000000001E-5</v>
      </c>
      <c r="J60" s="185">
        <f>IFERROR(IF($C60="",-0.00001,SUMIFS(Database!L:L,Database!$E:$E,$C60)),-0.00001)</f>
        <v>-1.0000000000000001E-5</v>
      </c>
      <c r="K60" s="185">
        <f>IFERROR(IF($C60="",-0.00001,SUMIFS(Database!M:M,Database!$E:$E,$C60)),-0.00001)</f>
        <v>-1.0000000000000001E-5</v>
      </c>
      <c r="L60" s="185">
        <f>IFERROR(IF($C60="",-0.00001,SUMIFS(Database!N:N,Database!$E:$E,$C60)),-0.00001)</f>
        <v>-1.0000000000000001E-5</v>
      </c>
      <c r="M60" s="185">
        <f>IFERROR(IF($C60="",-0.00001,SUMIFS(Database!O:O,Database!$E:$E,$C60)),-0.00001)</f>
        <v>-1.0000000000000001E-5</v>
      </c>
      <c r="N60" s="185">
        <f>IFERROR(IF($C60="",-0.00001,SUMIFS(Database!P:P,Database!$E:$E,$C60)),-0.00001)</f>
        <v>-1.0000000000000001E-5</v>
      </c>
      <c r="O60" s="185">
        <f>IFERROR(IF($C60="",-0.00001,SUMIFS(Database!Q:Q,Database!$E:$E,$C60)),-0.00001)</f>
        <v>-1.0000000000000001E-5</v>
      </c>
      <c r="P60" s="186">
        <f t="shared" si="0"/>
        <v>-1.0000000000000001E-5</v>
      </c>
      <c r="Q60" s="185">
        <f>IFERROR(IF($C60="",-0.00001,SUMIFS(Database!S:S,Database!$E:$E,$C60)),-0.00001)</f>
        <v>-1.0000000000000001E-5</v>
      </c>
      <c r="R60" s="185">
        <f>IFERROR(IF($C60="",-0.00001,SUMIFS(Database!T:T,Database!$E:$E,$C60)),-0.00001)</f>
        <v>-1.0000000000000001E-5</v>
      </c>
      <c r="S60" s="186">
        <f t="shared" si="1"/>
        <v>-1.0000000000000001E-5</v>
      </c>
      <c r="T60" s="185">
        <f>IFERROR(IF($C60="",-0.00001,SUMIFS(Database!V:V,Database!$E:$E,$C60)),-0.00001)</f>
        <v>-1.0000000000000001E-5</v>
      </c>
      <c r="U60" s="185">
        <f>IFERROR(IF($C60="",-0.00001,SUMIFS(Database!W:W,Database!$E:$E,$C60)),-0.00001)</f>
        <v>-1.0000000000000001E-5</v>
      </c>
      <c r="V60" s="186">
        <f t="shared" si="2"/>
        <v>-1.0000000000000001E-5</v>
      </c>
      <c r="W60" s="187"/>
      <c r="X60" s="187"/>
      <c r="Y60" s="187"/>
      <c r="Z60" s="187"/>
      <c r="AA60" s="187"/>
      <c r="AB60" s="187"/>
      <c r="AC60" s="187"/>
      <c r="AD60" s="187"/>
      <c r="AE60" s="187"/>
    </row>
    <row r="61" spans="1:31" x14ac:dyDescent="0.25">
      <c r="A61" s="187"/>
      <c r="B61" s="187" t="str">
        <f>IF($C61="","",MAX($B$4:$B60)+1)</f>
        <v/>
      </c>
      <c r="C61" s="183"/>
      <c r="D61" s="183"/>
      <c r="E61" s="185">
        <f>IF($C61="",-0.00001,COUNTIF(Database!E:E,$C61))</f>
        <v>-1.0000000000000001E-5</v>
      </c>
      <c r="F61" s="185">
        <f>IFERROR(IF($C61="",-0.00001,SUMIFS(Database!H:H,Database!$E:$E,$C61)),-0.00001)</f>
        <v>-1.0000000000000001E-5</v>
      </c>
      <c r="G61" s="185">
        <f>IFERROR(IF($C61="",-0.00001,SUMIFS(Database!I:I,Database!$E:$E,$C61)),-0.00001)</f>
        <v>-1.0000000000000001E-5</v>
      </c>
      <c r="H61" s="185">
        <f>IFERROR(IF($C61="",-0.00001,SUMIFS(Database!J:J,Database!$E:$E,$C61)),-0.00001)</f>
        <v>-1.0000000000000001E-5</v>
      </c>
      <c r="I61" s="185">
        <f>IFERROR(IF($C61="",-0.00001,SUMIFS(Database!K:K,Database!$E:$E,$C61)),-0.00001)</f>
        <v>-1.0000000000000001E-5</v>
      </c>
      <c r="J61" s="185">
        <f>IFERROR(IF($C61="",-0.00001,SUMIFS(Database!L:L,Database!$E:$E,$C61)),-0.00001)</f>
        <v>-1.0000000000000001E-5</v>
      </c>
      <c r="K61" s="185">
        <f>IFERROR(IF($C61="",-0.00001,SUMIFS(Database!M:M,Database!$E:$E,$C61)),-0.00001)</f>
        <v>-1.0000000000000001E-5</v>
      </c>
      <c r="L61" s="185">
        <f>IFERROR(IF($C61="",-0.00001,SUMIFS(Database!N:N,Database!$E:$E,$C61)),-0.00001)</f>
        <v>-1.0000000000000001E-5</v>
      </c>
      <c r="M61" s="185">
        <f>IFERROR(IF($C61="",-0.00001,SUMIFS(Database!O:O,Database!$E:$E,$C61)),-0.00001)</f>
        <v>-1.0000000000000001E-5</v>
      </c>
      <c r="N61" s="185">
        <f>IFERROR(IF($C61="",-0.00001,SUMIFS(Database!P:P,Database!$E:$E,$C61)),-0.00001)</f>
        <v>-1.0000000000000001E-5</v>
      </c>
      <c r="O61" s="185">
        <f>IFERROR(IF($C61="",-0.00001,SUMIFS(Database!Q:Q,Database!$E:$E,$C61)),-0.00001)</f>
        <v>-1.0000000000000001E-5</v>
      </c>
      <c r="P61" s="186">
        <f t="shared" si="0"/>
        <v>-1.0000000000000001E-5</v>
      </c>
      <c r="Q61" s="185">
        <f>IFERROR(IF($C61="",-0.00001,SUMIFS(Database!S:S,Database!$E:$E,$C61)),-0.00001)</f>
        <v>-1.0000000000000001E-5</v>
      </c>
      <c r="R61" s="185">
        <f>IFERROR(IF($C61="",-0.00001,SUMIFS(Database!T:T,Database!$E:$E,$C61)),-0.00001)</f>
        <v>-1.0000000000000001E-5</v>
      </c>
      <c r="S61" s="186">
        <f t="shared" si="1"/>
        <v>-1.0000000000000001E-5</v>
      </c>
      <c r="T61" s="185">
        <f>IFERROR(IF($C61="",-0.00001,SUMIFS(Database!V:V,Database!$E:$E,$C61)),-0.00001)</f>
        <v>-1.0000000000000001E-5</v>
      </c>
      <c r="U61" s="185">
        <f>IFERROR(IF($C61="",-0.00001,SUMIFS(Database!W:W,Database!$E:$E,$C61)),-0.00001)</f>
        <v>-1.0000000000000001E-5</v>
      </c>
      <c r="V61" s="186">
        <f t="shared" si="2"/>
        <v>-1.0000000000000001E-5</v>
      </c>
      <c r="W61" s="187"/>
      <c r="X61" s="187"/>
      <c r="Y61" s="187"/>
      <c r="Z61" s="187"/>
      <c r="AA61" s="187"/>
      <c r="AB61" s="187"/>
      <c r="AC61" s="187"/>
      <c r="AD61" s="187"/>
      <c r="AE61" s="187"/>
    </row>
    <row r="62" spans="1:31" x14ac:dyDescent="0.25">
      <c r="A62" s="187"/>
      <c r="B62" s="187" t="str">
        <f>IF($C62="","",MAX($B$4:$B61)+1)</f>
        <v/>
      </c>
      <c r="C62" s="183"/>
      <c r="D62" s="183"/>
      <c r="E62" s="185">
        <f>IF($C62="",-0.00001,COUNTIF(Database!E:E,$C62))</f>
        <v>-1.0000000000000001E-5</v>
      </c>
      <c r="F62" s="185">
        <f>IFERROR(IF($C62="",-0.00001,SUMIFS(Database!H:H,Database!$E:$E,$C62)),-0.00001)</f>
        <v>-1.0000000000000001E-5</v>
      </c>
      <c r="G62" s="185">
        <f>IFERROR(IF($C62="",-0.00001,SUMIFS(Database!I:I,Database!$E:$E,$C62)),-0.00001)</f>
        <v>-1.0000000000000001E-5</v>
      </c>
      <c r="H62" s="185">
        <f>IFERROR(IF($C62="",-0.00001,SUMIFS(Database!J:J,Database!$E:$E,$C62)),-0.00001)</f>
        <v>-1.0000000000000001E-5</v>
      </c>
      <c r="I62" s="185">
        <f>IFERROR(IF($C62="",-0.00001,SUMIFS(Database!K:K,Database!$E:$E,$C62)),-0.00001)</f>
        <v>-1.0000000000000001E-5</v>
      </c>
      <c r="J62" s="185">
        <f>IFERROR(IF($C62="",-0.00001,SUMIFS(Database!L:L,Database!$E:$E,$C62)),-0.00001)</f>
        <v>-1.0000000000000001E-5</v>
      </c>
      <c r="K62" s="185">
        <f>IFERROR(IF($C62="",-0.00001,SUMIFS(Database!M:M,Database!$E:$E,$C62)),-0.00001)</f>
        <v>-1.0000000000000001E-5</v>
      </c>
      <c r="L62" s="185">
        <f>IFERROR(IF($C62="",-0.00001,SUMIFS(Database!N:N,Database!$E:$E,$C62)),-0.00001)</f>
        <v>-1.0000000000000001E-5</v>
      </c>
      <c r="M62" s="185">
        <f>IFERROR(IF($C62="",-0.00001,SUMIFS(Database!O:O,Database!$E:$E,$C62)),-0.00001)</f>
        <v>-1.0000000000000001E-5</v>
      </c>
      <c r="N62" s="185">
        <f>IFERROR(IF($C62="",-0.00001,SUMIFS(Database!P:P,Database!$E:$E,$C62)),-0.00001)</f>
        <v>-1.0000000000000001E-5</v>
      </c>
      <c r="O62" s="185">
        <f>IFERROR(IF($C62="",-0.00001,SUMIFS(Database!Q:Q,Database!$E:$E,$C62)),-0.00001)</f>
        <v>-1.0000000000000001E-5</v>
      </c>
      <c r="P62" s="186">
        <f t="shared" si="0"/>
        <v>-1.0000000000000001E-5</v>
      </c>
      <c r="Q62" s="185">
        <f>IFERROR(IF($C62="",-0.00001,SUMIFS(Database!S:S,Database!$E:$E,$C62)),-0.00001)</f>
        <v>-1.0000000000000001E-5</v>
      </c>
      <c r="R62" s="185">
        <f>IFERROR(IF($C62="",-0.00001,SUMIFS(Database!T:T,Database!$E:$E,$C62)),-0.00001)</f>
        <v>-1.0000000000000001E-5</v>
      </c>
      <c r="S62" s="186">
        <f t="shared" si="1"/>
        <v>-1.0000000000000001E-5</v>
      </c>
      <c r="T62" s="185">
        <f>IFERROR(IF($C62="",-0.00001,SUMIFS(Database!V:V,Database!$E:$E,$C62)),-0.00001)</f>
        <v>-1.0000000000000001E-5</v>
      </c>
      <c r="U62" s="185">
        <f>IFERROR(IF($C62="",-0.00001,SUMIFS(Database!W:W,Database!$E:$E,$C62)),-0.00001)</f>
        <v>-1.0000000000000001E-5</v>
      </c>
      <c r="V62" s="186">
        <f t="shared" si="2"/>
        <v>-1.0000000000000001E-5</v>
      </c>
      <c r="W62" s="187"/>
      <c r="X62" s="187"/>
      <c r="Y62" s="187"/>
      <c r="Z62" s="187"/>
      <c r="AA62" s="187"/>
      <c r="AB62" s="187"/>
      <c r="AC62" s="187"/>
      <c r="AD62" s="187"/>
      <c r="AE62" s="187"/>
    </row>
    <row r="63" spans="1:31" x14ac:dyDescent="0.25">
      <c r="A63" s="187"/>
      <c r="B63" s="187" t="str">
        <f>IF($C63="","",MAX($B$4:$B62)+1)</f>
        <v/>
      </c>
      <c r="C63" s="183"/>
      <c r="D63" s="183"/>
      <c r="E63" s="185">
        <f>IF($C63="",-0.00001,COUNTIF(Database!E:E,$C63))</f>
        <v>-1.0000000000000001E-5</v>
      </c>
      <c r="F63" s="185">
        <f>IFERROR(IF($C63="",-0.00001,SUMIFS(Database!H:H,Database!$E:$E,$C63)),-0.00001)</f>
        <v>-1.0000000000000001E-5</v>
      </c>
      <c r="G63" s="185">
        <f>IFERROR(IF($C63="",-0.00001,SUMIFS(Database!I:I,Database!$E:$E,$C63)),-0.00001)</f>
        <v>-1.0000000000000001E-5</v>
      </c>
      <c r="H63" s="185">
        <f>IFERROR(IF($C63="",-0.00001,SUMIFS(Database!J:J,Database!$E:$E,$C63)),-0.00001)</f>
        <v>-1.0000000000000001E-5</v>
      </c>
      <c r="I63" s="185">
        <f>IFERROR(IF($C63="",-0.00001,SUMIFS(Database!K:K,Database!$E:$E,$C63)),-0.00001)</f>
        <v>-1.0000000000000001E-5</v>
      </c>
      <c r="J63" s="185">
        <f>IFERROR(IF($C63="",-0.00001,SUMIFS(Database!L:L,Database!$E:$E,$C63)),-0.00001)</f>
        <v>-1.0000000000000001E-5</v>
      </c>
      <c r="K63" s="185">
        <f>IFERROR(IF($C63="",-0.00001,SUMIFS(Database!M:M,Database!$E:$E,$C63)),-0.00001)</f>
        <v>-1.0000000000000001E-5</v>
      </c>
      <c r="L63" s="185">
        <f>IFERROR(IF($C63="",-0.00001,SUMIFS(Database!N:N,Database!$E:$E,$C63)),-0.00001)</f>
        <v>-1.0000000000000001E-5</v>
      </c>
      <c r="M63" s="185">
        <f>IFERROR(IF($C63="",-0.00001,SUMIFS(Database!O:O,Database!$E:$E,$C63)),-0.00001)</f>
        <v>-1.0000000000000001E-5</v>
      </c>
      <c r="N63" s="185">
        <f>IFERROR(IF($C63="",-0.00001,SUMIFS(Database!P:P,Database!$E:$E,$C63)),-0.00001)</f>
        <v>-1.0000000000000001E-5</v>
      </c>
      <c r="O63" s="185">
        <f>IFERROR(IF($C63="",-0.00001,SUMIFS(Database!Q:Q,Database!$E:$E,$C63)),-0.00001)</f>
        <v>-1.0000000000000001E-5</v>
      </c>
      <c r="P63" s="186">
        <f t="shared" si="0"/>
        <v>-1.0000000000000001E-5</v>
      </c>
      <c r="Q63" s="185">
        <f>IFERROR(IF($C63="",-0.00001,SUMIFS(Database!S:S,Database!$E:$E,$C63)),-0.00001)</f>
        <v>-1.0000000000000001E-5</v>
      </c>
      <c r="R63" s="185">
        <f>IFERROR(IF($C63="",-0.00001,SUMIFS(Database!T:T,Database!$E:$E,$C63)),-0.00001)</f>
        <v>-1.0000000000000001E-5</v>
      </c>
      <c r="S63" s="186">
        <f t="shared" si="1"/>
        <v>-1.0000000000000001E-5</v>
      </c>
      <c r="T63" s="185">
        <f>IFERROR(IF($C63="",-0.00001,SUMIFS(Database!V:V,Database!$E:$E,$C63)),-0.00001)</f>
        <v>-1.0000000000000001E-5</v>
      </c>
      <c r="U63" s="185">
        <f>IFERROR(IF($C63="",-0.00001,SUMIFS(Database!W:W,Database!$E:$E,$C63)),-0.00001)</f>
        <v>-1.0000000000000001E-5</v>
      </c>
      <c r="V63" s="186">
        <f t="shared" si="2"/>
        <v>-1.0000000000000001E-5</v>
      </c>
      <c r="W63" s="187"/>
      <c r="X63" s="187"/>
      <c r="Y63" s="187"/>
      <c r="Z63" s="187"/>
      <c r="AA63" s="187"/>
      <c r="AB63" s="187"/>
      <c r="AC63" s="187"/>
      <c r="AD63" s="187"/>
      <c r="AE63" s="187"/>
    </row>
    <row r="64" spans="1:31" x14ac:dyDescent="0.25">
      <c r="A64" s="187"/>
      <c r="B64" s="187" t="str">
        <f>IF($C64="","",MAX($B$4:$B63)+1)</f>
        <v/>
      </c>
      <c r="C64" s="183"/>
      <c r="D64" s="183"/>
      <c r="E64" s="185">
        <f>IF($C64="",-0.00001,COUNTIF(Database!E:E,$C64))</f>
        <v>-1.0000000000000001E-5</v>
      </c>
      <c r="F64" s="185">
        <f>IFERROR(IF($C64="",-0.00001,SUMIFS(Database!H:H,Database!$E:$E,$C64)),-0.00001)</f>
        <v>-1.0000000000000001E-5</v>
      </c>
      <c r="G64" s="185">
        <f>IFERROR(IF($C64="",-0.00001,SUMIFS(Database!I:I,Database!$E:$E,$C64)),-0.00001)</f>
        <v>-1.0000000000000001E-5</v>
      </c>
      <c r="H64" s="185">
        <f>IFERROR(IF($C64="",-0.00001,SUMIFS(Database!J:J,Database!$E:$E,$C64)),-0.00001)</f>
        <v>-1.0000000000000001E-5</v>
      </c>
      <c r="I64" s="185">
        <f>IFERROR(IF($C64="",-0.00001,SUMIFS(Database!K:K,Database!$E:$E,$C64)),-0.00001)</f>
        <v>-1.0000000000000001E-5</v>
      </c>
      <c r="J64" s="185">
        <f>IFERROR(IF($C64="",-0.00001,SUMIFS(Database!L:L,Database!$E:$E,$C64)),-0.00001)</f>
        <v>-1.0000000000000001E-5</v>
      </c>
      <c r="K64" s="185">
        <f>IFERROR(IF($C64="",-0.00001,SUMIFS(Database!M:M,Database!$E:$E,$C64)),-0.00001)</f>
        <v>-1.0000000000000001E-5</v>
      </c>
      <c r="L64" s="185">
        <f>IFERROR(IF($C64="",-0.00001,SUMIFS(Database!N:N,Database!$E:$E,$C64)),-0.00001)</f>
        <v>-1.0000000000000001E-5</v>
      </c>
      <c r="M64" s="185">
        <f>IFERROR(IF($C64="",-0.00001,SUMIFS(Database!O:O,Database!$E:$E,$C64)),-0.00001)</f>
        <v>-1.0000000000000001E-5</v>
      </c>
      <c r="N64" s="185">
        <f>IFERROR(IF($C64="",-0.00001,SUMIFS(Database!P:P,Database!$E:$E,$C64)),-0.00001)</f>
        <v>-1.0000000000000001E-5</v>
      </c>
      <c r="O64" s="185">
        <f>IFERROR(IF($C64="",-0.00001,SUMIFS(Database!Q:Q,Database!$E:$E,$C64)),-0.00001)</f>
        <v>-1.0000000000000001E-5</v>
      </c>
      <c r="P64" s="186">
        <f t="shared" si="0"/>
        <v>-1.0000000000000001E-5</v>
      </c>
      <c r="Q64" s="185">
        <f>IFERROR(IF($C64="",-0.00001,SUMIFS(Database!S:S,Database!$E:$E,$C64)),-0.00001)</f>
        <v>-1.0000000000000001E-5</v>
      </c>
      <c r="R64" s="185">
        <f>IFERROR(IF($C64="",-0.00001,SUMIFS(Database!T:T,Database!$E:$E,$C64)),-0.00001)</f>
        <v>-1.0000000000000001E-5</v>
      </c>
      <c r="S64" s="186">
        <f t="shared" si="1"/>
        <v>-1.0000000000000001E-5</v>
      </c>
      <c r="T64" s="185">
        <f>IFERROR(IF($C64="",-0.00001,SUMIFS(Database!V:V,Database!$E:$E,$C64)),-0.00001)</f>
        <v>-1.0000000000000001E-5</v>
      </c>
      <c r="U64" s="185">
        <f>IFERROR(IF($C64="",-0.00001,SUMIFS(Database!W:W,Database!$E:$E,$C64)),-0.00001)</f>
        <v>-1.0000000000000001E-5</v>
      </c>
      <c r="V64" s="186">
        <f t="shared" si="2"/>
        <v>-1.0000000000000001E-5</v>
      </c>
      <c r="W64" s="187"/>
      <c r="X64" s="187"/>
      <c r="Y64" s="187"/>
      <c r="Z64" s="187"/>
      <c r="AA64" s="187"/>
      <c r="AB64" s="187"/>
      <c r="AC64" s="187"/>
      <c r="AD64" s="187"/>
      <c r="AE64" s="187"/>
    </row>
    <row r="65" spans="1:31" x14ac:dyDescent="0.25">
      <c r="A65" s="187"/>
      <c r="B65" s="187" t="str">
        <f>IF($C65="","",MAX($B$4:$B64)+1)</f>
        <v/>
      </c>
      <c r="C65" s="183"/>
      <c r="D65" s="183"/>
      <c r="E65" s="185">
        <f>IF($C65="",-0.00001,COUNTIF(Database!E:E,$C65))</f>
        <v>-1.0000000000000001E-5</v>
      </c>
      <c r="F65" s="185">
        <f>IFERROR(IF($C65="",-0.00001,SUMIFS(Database!H:H,Database!$E:$E,$C65)),-0.00001)</f>
        <v>-1.0000000000000001E-5</v>
      </c>
      <c r="G65" s="185">
        <f>IFERROR(IF($C65="",-0.00001,SUMIFS(Database!I:I,Database!$E:$E,$C65)),-0.00001)</f>
        <v>-1.0000000000000001E-5</v>
      </c>
      <c r="H65" s="185">
        <f>IFERROR(IF($C65="",-0.00001,SUMIFS(Database!J:J,Database!$E:$E,$C65)),-0.00001)</f>
        <v>-1.0000000000000001E-5</v>
      </c>
      <c r="I65" s="185">
        <f>IFERROR(IF($C65="",-0.00001,SUMIFS(Database!K:K,Database!$E:$E,$C65)),-0.00001)</f>
        <v>-1.0000000000000001E-5</v>
      </c>
      <c r="J65" s="185">
        <f>IFERROR(IF($C65="",-0.00001,SUMIFS(Database!L:L,Database!$E:$E,$C65)),-0.00001)</f>
        <v>-1.0000000000000001E-5</v>
      </c>
      <c r="K65" s="185">
        <f>IFERROR(IF($C65="",-0.00001,SUMIFS(Database!M:M,Database!$E:$E,$C65)),-0.00001)</f>
        <v>-1.0000000000000001E-5</v>
      </c>
      <c r="L65" s="185">
        <f>IFERROR(IF($C65="",-0.00001,SUMIFS(Database!N:N,Database!$E:$E,$C65)),-0.00001)</f>
        <v>-1.0000000000000001E-5</v>
      </c>
      <c r="M65" s="185">
        <f>IFERROR(IF($C65="",-0.00001,SUMIFS(Database!O:O,Database!$E:$E,$C65)),-0.00001)</f>
        <v>-1.0000000000000001E-5</v>
      </c>
      <c r="N65" s="185">
        <f>IFERROR(IF($C65="",-0.00001,SUMIFS(Database!P:P,Database!$E:$E,$C65)),-0.00001)</f>
        <v>-1.0000000000000001E-5</v>
      </c>
      <c r="O65" s="185">
        <f>IFERROR(IF($C65="",-0.00001,SUMIFS(Database!Q:Q,Database!$E:$E,$C65)),-0.00001)</f>
        <v>-1.0000000000000001E-5</v>
      </c>
      <c r="P65" s="186">
        <f t="shared" si="0"/>
        <v>-1.0000000000000001E-5</v>
      </c>
      <c r="Q65" s="185">
        <f>IFERROR(IF($C65="",-0.00001,SUMIFS(Database!S:S,Database!$E:$E,$C65)),-0.00001)</f>
        <v>-1.0000000000000001E-5</v>
      </c>
      <c r="R65" s="185">
        <f>IFERROR(IF($C65="",-0.00001,SUMIFS(Database!T:T,Database!$E:$E,$C65)),-0.00001)</f>
        <v>-1.0000000000000001E-5</v>
      </c>
      <c r="S65" s="186">
        <f t="shared" si="1"/>
        <v>-1.0000000000000001E-5</v>
      </c>
      <c r="T65" s="185">
        <f>IFERROR(IF($C65="",-0.00001,SUMIFS(Database!V:V,Database!$E:$E,$C65)),-0.00001)</f>
        <v>-1.0000000000000001E-5</v>
      </c>
      <c r="U65" s="185">
        <f>IFERROR(IF($C65="",-0.00001,SUMIFS(Database!W:W,Database!$E:$E,$C65)),-0.00001)</f>
        <v>-1.0000000000000001E-5</v>
      </c>
      <c r="V65" s="186">
        <f t="shared" si="2"/>
        <v>-1.0000000000000001E-5</v>
      </c>
      <c r="W65" s="187"/>
      <c r="X65" s="187"/>
      <c r="Y65" s="187"/>
      <c r="Z65" s="187"/>
      <c r="AA65" s="187"/>
      <c r="AB65" s="187"/>
      <c r="AC65" s="187"/>
      <c r="AD65" s="187"/>
      <c r="AE65" s="187"/>
    </row>
    <row r="66" spans="1:31" x14ac:dyDescent="0.25">
      <c r="A66" s="187"/>
      <c r="B66" s="187" t="str">
        <f>IF($C66="","",MAX($B$4:$B65)+1)</f>
        <v/>
      </c>
      <c r="C66" s="183"/>
      <c r="D66" s="183"/>
      <c r="E66" s="185">
        <f>IF($C66="",-0.00001,COUNTIF(Database!E:E,$C66))</f>
        <v>-1.0000000000000001E-5</v>
      </c>
      <c r="F66" s="185">
        <f>IFERROR(IF($C66="",-0.00001,SUMIFS(Database!H:H,Database!$E:$E,$C66)),-0.00001)</f>
        <v>-1.0000000000000001E-5</v>
      </c>
      <c r="G66" s="185">
        <f>IFERROR(IF($C66="",-0.00001,SUMIFS(Database!I:I,Database!$E:$E,$C66)),-0.00001)</f>
        <v>-1.0000000000000001E-5</v>
      </c>
      <c r="H66" s="185">
        <f>IFERROR(IF($C66="",-0.00001,SUMIFS(Database!J:J,Database!$E:$E,$C66)),-0.00001)</f>
        <v>-1.0000000000000001E-5</v>
      </c>
      <c r="I66" s="185">
        <f>IFERROR(IF($C66="",-0.00001,SUMIFS(Database!K:K,Database!$E:$E,$C66)),-0.00001)</f>
        <v>-1.0000000000000001E-5</v>
      </c>
      <c r="J66" s="185">
        <f>IFERROR(IF($C66="",-0.00001,SUMIFS(Database!L:L,Database!$E:$E,$C66)),-0.00001)</f>
        <v>-1.0000000000000001E-5</v>
      </c>
      <c r="K66" s="185">
        <f>IFERROR(IF($C66="",-0.00001,SUMIFS(Database!M:M,Database!$E:$E,$C66)),-0.00001)</f>
        <v>-1.0000000000000001E-5</v>
      </c>
      <c r="L66" s="185">
        <f>IFERROR(IF($C66="",-0.00001,SUMIFS(Database!N:N,Database!$E:$E,$C66)),-0.00001)</f>
        <v>-1.0000000000000001E-5</v>
      </c>
      <c r="M66" s="185">
        <f>IFERROR(IF($C66="",-0.00001,SUMIFS(Database!O:O,Database!$E:$E,$C66)),-0.00001)</f>
        <v>-1.0000000000000001E-5</v>
      </c>
      <c r="N66" s="185">
        <f>IFERROR(IF($C66="",-0.00001,SUMIFS(Database!P:P,Database!$E:$E,$C66)),-0.00001)</f>
        <v>-1.0000000000000001E-5</v>
      </c>
      <c r="O66" s="185">
        <f>IFERROR(IF($C66="",-0.00001,SUMIFS(Database!Q:Q,Database!$E:$E,$C66)),-0.00001)</f>
        <v>-1.0000000000000001E-5</v>
      </c>
      <c r="P66" s="186">
        <f t="shared" si="0"/>
        <v>-1.0000000000000001E-5</v>
      </c>
      <c r="Q66" s="185">
        <f>IFERROR(IF($C66="",-0.00001,SUMIFS(Database!S:S,Database!$E:$E,$C66)),-0.00001)</f>
        <v>-1.0000000000000001E-5</v>
      </c>
      <c r="R66" s="185">
        <f>IFERROR(IF($C66="",-0.00001,SUMIFS(Database!T:T,Database!$E:$E,$C66)),-0.00001)</f>
        <v>-1.0000000000000001E-5</v>
      </c>
      <c r="S66" s="186">
        <f t="shared" si="1"/>
        <v>-1.0000000000000001E-5</v>
      </c>
      <c r="T66" s="185">
        <f>IFERROR(IF($C66="",-0.00001,SUMIFS(Database!V:V,Database!$E:$E,$C66)),-0.00001)</f>
        <v>-1.0000000000000001E-5</v>
      </c>
      <c r="U66" s="185">
        <f>IFERROR(IF($C66="",-0.00001,SUMIFS(Database!W:W,Database!$E:$E,$C66)),-0.00001)</f>
        <v>-1.0000000000000001E-5</v>
      </c>
      <c r="V66" s="186">
        <f t="shared" si="2"/>
        <v>-1.0000000000000001E-5</v>
      </c>
      <c r="W66" s="187"/>
      <c r="X66" s="187"/>
      <c r="Y66" s="187"/>
      <c r="Z66" s="187"/>
      <c r="AA66" s="187"/>
      <c r="AB66" s="187"/>
      <c r="AC66" s="187"/>
      <c r="AD66" s="187"/>
      <c r="AE66" s="187"/>
    </row>
    <row r="67" spans="1:31" x14ac:dyDescent="0.25">
      <c r="A67" s="187"/>
      <c r="B67" s="187" t="str">
        <f>IF($C67="","",MAX($B$4:$B66)+1)</f>
        <v/>
      </c>
      <c r="C67" s="183"/>
      <c r="D67" s="183"/>
      <c r="E67" s="185">
        <f>IF($C67="",-0.00001,COUNTIF(Database!E:E,$C67))</f>
        <v>-1.0000000000000001E-5</v>
      </c>
      <c r="F67" s="185">
        <f>IFERROR(IF($C67="",-0.00001,SUMIFS(Database!H:H,Database!$E:$E,$C67)),-0.00001)</f>
        <v>-1.0000000000000001E-5</v>
      </c>
      <c r="G67" s="185">
        <f>IFERROR(IF($C67="",-0.00001,SUMIFS(Database!I:I,Database!$E:$E,$C67)),-0.00001)</f>
        <v>-1.0000000000000001E-5</v>
      </c>
      <c r="H67" s="185">
        <f>IFERROR(IF($C67="",-0.00001,SUMIFS(Database!J:J,Database!$E:$E,$C67)),-0.00001)</f>
        <v>-1.0000000000000001E-5</v>
      </c>
      <c r="I67" s="185">
        <f>IFERROR(IF($C67="",-0.00001,SUMIFS(Database!K:K,Database!$E:$E,$C67)),-0.00001)</f>
        <v>-1.0000000000000001E-5</v>
      </c>
      <c r="J67" s="185">
        <f>IFERROR(IF($C67="",-0.00001,SUMIFS(Database!L:L,Database!$E:$E,$C67)),-0.00001)</f>
        <v>-1.0000000000000001E-5</v>
      </c>
      <c r="K67" s="185">
        <f>IFERROR(IF($C67="",-0.00001,SUMIFS(Database!M:M,Database!$E:$E,$C67)),-0.00001)</f>
        <v>-1.0000000000000001E-5</v>
      </c>
      <c r="L67" s="185">
        <f>IFERROR(IF($C67="",-0.00001,SUMIFS(Database!N:N,Database!$E:$E,$C67)),-0.00001)</f>
        <v>-1.0000000000000001E-5</v>
      </c>
      <c r="M67" s="185">
        <f>IFERROR(IF($C67="",-0.00001,SUMIFS(Database!O:O,Database!$E:$E,$C67)),-0.00001)</f>
        <v>-1.0000000000000001E-5</v>
      </c>
      <c r="N67" s="185">
        <f>IFERROR(IF($C67="",-0.00001,SUMIFS(Database!P:P,Database!$E:$E,$C67)),-0.00001)</f>
        <v>-1.0000000000000001E-5</v>
      </c>
      <c r="O67" s="185">
        <f>IFERROR(IF($C67="",-0.00001,SUMIFS(Database!Q:Q,Database!$E:$E,$C67)),-0.00001)</f>
        <v>-1.0000000000000001E-5</v>
      </c>
      <c r="P67" s="186">
        <f t="shared" si="0"/>
        <v>-1.0000000000000001E-5</v>
      </c>
      <c r="Q67" s="185">
        <f>IFERROR(IF($C67="",-0.00001,SUMIFS(Database!S:S,Database!$E:$E,$C67)),-0.00001)</f>
        <v>-1.0000000000000001E-5</v>
      </c>
      <c r="R67" s="185">
        <f>IFERROR(IF($C67="",-0.00001,SUMIFS(Database!T:T,Database!$E:$E,$C67)),-0.00001)</f>
        <v>-1.0000000000000001E-5</v>
      </c>
      <c r="S67" s="186">
        <f t="shared" si="1"/>
        <v>-1.0000000000000001E-5</v>
      </c>
      <c r="T67" s="185">
        <f>IFERROR(IF($C67="",-0.00001,SUMIFS(Database!V:V,Database!$E:$E,$C67)),-0.00001)</f>
        <v>-1.0000000000000001E-5</v>
      </c>
      <c r="U67" s="185">
        <f>IFERROR(IF($C67="",-0.00001,SUMIFS(Database!W:W,Database!$E:$E,$C67)),-0.00001)</f>
        <v>-1.0000000000000001E-5</v>
      </c>
      <c r="V67" s="186">
        <f t="shared" si="2"/>
        <v>-1.0000000000000001E-5</v>
      </c>
      <c r="W67" s="187"/>
      <c r="X67" s="187"/>
      <c r="Y67" s="187"/>
      <c r="Z67" s="187"/>
      <c r="AA67" s="187"/>
      <c r="AB67" s="187"/>
      <c r="AC67" s="187"/>
      <c r="AD67" s="187"/>
      <c r="AE67" s="187"/>
    </row>
    <row r="68" spans="1:31" x14ac:dyDescent="0.25">
      <c r="A68" s="187"/>
      <c r="B68" s="187" t="str">
        <f>IF($C68="","",MAX($B$4:$B67)+1)</f>
        <v/>
      </c>
      <c r="C68" s="183"/>
      <c r="D68" s="183"/>
      <c r="E68" s="185">
        <f>IF($C68="",-0.00001,COUNTIF(Database!E:E,$C68))</f>
        <v>-1.0000000000000001E-5</v>
      </c>
      <c r="F68" s="185">
        <f>IFERROR(IF($C68="",-0.00001,SUMIFS(Database!H:H,Database!$E:$E,$C68)),-0.00001)</f>
        <v>-1.0000000000000001E-5</v>
      </c>
      <c r="G68" s="185">
        <f>IFERROR(IF($C68="",-0.00001,SUMIFS(Database!I:I,Database!$E:$E,$C68)),-0.00001)</f>
        <v>-1.0000000000000001E-5</v>
      </c>
      <c r="H68" s="185">
        <f>IFERROR(IF($C68="",-0.00001,SUMIFS(Database!J:J,Database!$E:$E,$C68)),-0.00001)</f>
        <v>-1.0000000000000001E-5</v>
      </c>
      <c r="I68" s="185">
        <f>IFERROR(IF($C68="",-0.00001,SUMIFS(Database!K:K,Database!$E:$E,$C68)),-0.00001)</f>
        <v>-1.0000000000000001E-5</v>
      </c>
      <c r="J68" s="185">
        <f>IFERROR(IF($C68="",-0.00001,SUMIFS(Database!L:L,Database!$E:$E,$C68)),-0.00001)</f>
        <v>-1.0000000000000001E-5</v>
      </c>
      <c r="K68" s="185">
        <f>IFERROR(IF($C68="",-0.00001,SUMIFS(Database!M:M,Database!$E:$E,$C68)),-0.00001)</f>
        <v>-1.0000000000000001E-5</v>
      </c>
      <c r="L68" s="185">
        <f>IFERROR(IF($C68="",-0.00001,SUMIFS(Database!N:N,Database!$E:$E,$C68)),-0.00001)</f>
        <v>-1.0000000000000001E-5</v>
      </c>
      <c r="M68" s="185">
        <f>IFERROR(IF($C68="",-0.00001,SUMIFS(Database!O:O,Database!$E:$E,$C68)),-0.00001)</f>
        <v>-1.0000000000000001E-5</v>
      </c>
      <c r="N68" s="185">
        <f>IFERROR(IF($C68="",-0.00001,SUMIFS(Database!P:P,Database!$E:$E,$C68)),-0.00001)</f>
        <v>-1.0000000000000001E-5</v>
      </c>
      <c r="O68" s="185">
        <f>IFERROR(IF($C68="",-0.00001,SUMIFS(Database!Q:Q,Database!$E:$E,$C68)),-0.00001)</f>
        <v>-1.0000000000000001E-5</v>
      </c>
      <c r="P68" s="186">
        <f t="shared" ref="P68:P131" si="3">IFERROR(IF($C68="",-0.00001,$N68/$O68),-0.00001)</f>
        <v>-1.0000000000000001E-5</v>
      </c>
      <c r="Q68" s="185">
        <f>IFERROR(IF($C68="",-0.00001,SUMIFS(Database!S:S,Database!$E:$E,$C68)),-0.00001)</f>
        <v>-1.0000000000000001E-5</v>
      </c>
      <c r="R68" s="185">
        <f>IFERROR(IF($C68="",-0.00001,SUMIFS(Database!T:T,Database!$E:$E,$C68)),-0.00001)</f>
        <v>-1.0000000000000001E-5</v>
      </c>
      <c r="S68" s="186">
        <f t="shared" ref="S68:S131" si="4">IFERROR(IF($C68="",-0.00001,$Q68/$R68),-0.00001)</f>
        <v>-1.0000000000000001E-5</v>
      </c>
      <c r="T68" s="185">
        <f>IFERROR(IF($C68="",-0.00001,SUMIFS(Database!V:V,Database!$E:$E,$C68)),-0.00001)</f>
        <v>-1.0000000000000001E-5</v>
      </c>
      <c r="U68" s="185">
        <f>IFERROR(IF($C68="",-0.00001,SUMIFS(Database!W:W,Database!$E:$E,$C68)),-0.00001)</f>
        <v>-1.0000000000000001E-5</v>
      </c>
      <c r="V68" s="186">
        <f t="shared" ref="V68:V131" si="5">IFERROR(IF($C68="",-0.00001,$T68/$U68),-0.00001)</f>
        <v>-1.0000000000000001E-5</v>
      </c>
      <c r="W68" s="187"/>
      <c r="X68" s="187"/>
      <c r="Y68" s="187"/>
      <c r="Z68" s="187"/>
      <c r="AA68" s="187"/>
      <c r="AB68" s="187"/>
      <c r="AC68" s="187"/>
      <c r="AD68" s="187"/>
      <c r="AE68" s="187"/>
    </row>
    <row r="69" spans="1:31" x14ac:dyDescent="0.25">
      <c r="A69" s="187"/>
      <c r="B69" s="187" t="str">
        <f>IF($C69="","",MAX($B$4:$B68)+1)</f>
        <v/>
      </c>
      <c r="C69" s="183"/>
      <c r="D69" s="183"/>
      <c r="E69" s="185">
        <f>IF($C69="",-0.00001,COUNTIF(Database!E:E,$C69))</f>
        <v>-1.0000000000000001E-5</v>
      </c>
      <c r="F69" s="185">
        <f>IFERROR(IF($C69="",-0.00001,SUMIFS(Database!H:H,Database!$E:$E,$C69)),-0.00001)</f>
        <v>-1.0000000000000001E-5</v>
      </c>
      <c r="G69" s="185">
        <f>IFERROR(IF($C69="",-0.00001,SUMIFS(Database!I:I,Database!$E:$E,$C69)),-0.00001)</f>
        <v>-1.0000000000000001E-5</v>
      </c>
      <c r="H69" s="185">
        <f>IFERROR(IF($C69="",-0.00001,SUMIFS(Database!J:J,Database!$E:$E,$C69)),-0.00001)</f>
        <v>-1.0000000000000001E-5</v>
      </c>
      <c r="I69" s="185">
        <f>IFERROR(IF($C69="",-0.00001,SUMIFS(Database!K:K,Database!$E:$E,$C69)),-0.00001)</f>
        <v>-1.0000000000000001E-5</v>
      </c>
      <c r="J69" s="185">
        <f>IFERROR(IF($C69="",-0.00001,SUMIFS(Database!L:L,Database!$E:$E,$C69)),-0.00001)</f>
        <v>-1.0000000000000001E-5</v>
      </c>
      <c r="K69" s="185">
        <f>IFERROR(IF($C69="",-0.00001,SUMIFS(Database!M:M,Database!$E:$E,$C69)),-0.00001)</f>
        <v>-1.0000000000000001E-5</v>
      </c>
      <c r="L69" s="185">
        <f>IFERROR(IF($C69="",-0.00001,SUMIFS(Database!N:N,Database!$E:$E,$C69)),-0.00001)</f>
        <v>-1.0000000000000001E-5</v>
      </c>
      <c r="M69" s="185">
        <f>IFERROR(IF($C69="",-0.00001,SUMIFS(Database!O:O,Database!$E:$E,$C69)),-0.00001)</f>
        <v>-1.0000000000000001E-5</v>
      </c>
      <c r="N69" s="185">
        <f>IFERROR(IF($C69="",-0.00001,SUMIFS(Database!P:P,Database!$E:$E,$C69)),-0.00001)</f>
        <v>-1.0000000000000001E-5</v>
      </c>
      <c r="O69" s="185">
        <f>IFERROR(IF($C69="",-0.00001,SUMIFS(Database!Q:Q,Database!$E:$E,$C69)),-0.00001)</f>
        <v>-1.0000000000000001E-5</v>
      </c>
      <c r="P69" s="186">
        <f t="shared" si="3"/>
        <v>-1.0000000000000001E-5</v>
      </c>
      <c r="Q69" s="185">
        <f>IFERROR(IF($C69="",-0.00001,SUMIFS(Database!S:S,Database!$E:$E,$C69)),-0.00001)</f>
        <v>-1.0000000000000001E-5</v>
      </c>
      <c r="R69" s="185">
        <f>IFERROR(IF($C69="",-0.00001,SUMIFS(Database!T:T,Database!$E:$E,$C69)),-0.00001)</f>
        <v>-1.0000000000000001E-5</v>
      </c>
      <c r="S69" s="186">
        <f t="shared" si="4"/>
        <v>-1.0000000000000001E-5</v>
      </c>
      <c r="T69" s="185">
        <f>IFERROR(IF($C69="",-0.00001,SUMIFS(Database!V:V,Database!$E:$E,$C69)),-0.00001)</f>
        <v>-1.0000000000000001E-5</v>
      </c>
      <c r="U69" s="185">
        <f>IFERROR(IF($C69="",-0.00001,SUMIFS(Database!W:W,Database!$E:$E,$C69)),-0.00001)</f>
        <v>-1.0000000000000001E-5</v>
      </c>
      <c r="V69" s="186">
        <f t="shared" si="5"/>
        <v>-1.0000000000000001E-5</v>
      </c>
      <c r="W69" s="187"/>
      <c r="X69" s="187"/>
      <c r="Y69" s="187"/>
      <c r="Z69" s="187"/>
      <c r="AA69" s="187"/>
      <c r="AB69" s="187"/>
      <c r="AC69" s="187"/>
      <c r="AD69" s="187"/>
      <c r="AE69" s="187"/>
    </row>
    <row r="70" spans="1:31" x14ac:dyDescent="0.25">
      <c r="A70" s="187"/>
      <c r="B70" s="187" t="str">
        <f>IF($C70="","",MAX($B$4:$B69)+1)</f>
        <v/>
      </c>
      <c r="C70" s="183"/>
      <c r="D70" s="183"/>
      <c r="E70" s="185">
        <f>IF($C70="",-0.00001,COUNTIF(Database!E:E,$C70))</f>
        <v>-1.0000000000000001E-5</v>
      </c>
      <c r="F70" s="185">
        <f>IFERROR(IF($C70="",-0.00001,SUMIFS(Database!H:H,Database!$E:$E,$C70)),-0.00001)</f>
        <v>-1.0000000000000001E-5</v>
      </c>
      <c r="G70" s="185">
        <f>IFERROR(IF($C70="",-0.00001,SUMIFS(Database!I:I,Database!$E:$E,$C70)),-0.00001)</f>
        <v>-1.0000000000000001E-5</v>
      </c>
      <c r="H70" s="185">
        <f>IFERROR(IF($C70="",-0.00001,SUMIFS(Database!J:J,Database!$E:$E,$C70)),-0.00001)</f>
        <v>-1.0000000000000001E-5</v>
      </c>
      <c r="I70" s="185">
        <f>IFERROR(IF($C70="",-0.00001,SUMIFS(Database!K:K,Database!$E:$E,$C70)),-0.00001)</f>
        <v>-1.0000000000000001E-5</v>
      </c>
      <c r="J70" s="185">
        <f>IFERROR(IF($C70="",-0.00001,SUMIFS(Database!L:L,Database!$E:$E,$C70)),-0.00001)</f>
        <v>-1.0000000000000001E-5</v>
      </c>
      <c r="K70" s="185">
        <f>IFERROR(IF($C70="",-0.00001,SUMIFS(Database!M:M,Database!$E:$E,$C70)),-0.00001)</f>
        <v>-1.0000000000000001E-5</v>
      </c>
      <c r="L70" s="185">
        <f>IFERROR(IF($C70="",-0.00001,SUMIFS(Database!N:N,Database!$E:$E,$C70)),-0.00001)</f>
        <v>-1.0000000000000001E-5</v>
      </c>
      <c r="M70" s="185">
        <f>IFERROR(IF($C70="",-0.00001,SUMIFS(Database!O:O,Database!$E:$E,$C70)),-0.00001)</f>
        <v>-1.0000000000000001E-5</v>
      </c>
      <c r="N70" s="185">
        <f>IFERROR(IF($C70="",-0.00001,SUMIFS(Database!P:P,Database!$E:$E,$C70)),-0.00001)</f>
        <v>-1.0000000000000001E-5</v>
      </c>
      <c r="O70" s="185">
        <f>IFERROR(IF($C70="",-0.00001,SUMIFS(Database!Q:Q,Database!$E:$E,$C70)),-0.00001)</f>
        <v>-1.0000000000000001E-5</v>
      </c>
      <c r="P70" s="186">
        <f t="shared" si="3"/>
        <v>-1.0000000000000001E-5</v>
      </c>
      <c r="Q70" s="185">
        <f>IFERROR(IF($C70="",-0.00001,SUMIFS(Database!S:S,Database!$E:$E,$C70)),-0.00001)</f>
        <v>-1.0000000000000001E-5</v>
      </c>
      <c r="R70" s="185">
        <f>IFERROR(IF($C70="",-0.00001,SUMIFS(Database!T:T,Database!$E:$E,$C70)),-0.00001)</f>
        <v>-1.0000000000000001E-5</v>
      </c>
      <c r="S70" s="186">
        <f t="shared" si="4"/>
        <v>-1.0000000000000001E-5</v>
      </c>
      <c r="T70" s="185">
        <f>IFERROR(IF($C70="",-0.00001,SUMIFS(Database!V:V,Database!$E:$E,$C70)),-0.00001)</f>
        <v>-1.0000000000000001E-5</v>
      </c>
      <c r="U70" s="185">
        <f>IFERROR(IF($C70="",-0.00001,SUMIFS(Database!W:W,Database!$E:$E,$C70)),-0.00001)</f>
        <v>-1.0000000000000001E-5</v>
      </c>
      <c r="V70" s="186">
        <f t="shared" si="5"/>
        <v>-1.0000000000000001E-5</v>
      </c>
      <c r="W70" s="187"/>
      <c r="X70" s="187"/>
      <c r="Y70" s="187"/>
      <c r="Z70" s="187"/>
      <c r="AA70" s="187"/>
      <c r="AB70" s="187"/>
      <c r="AC70" s="187"/>
      <c r="AD70" s="187"/>
      <c r="AE70" s="187"/>
    </row>
    <row r="71" spans="1:31" x14ac:dyDescent="0.25">
      <c r="A71" s="187"/>
      <c r="B71" s="187" t="str">
        <f>IF($C71="","",MAX($B$4:$B70)+1)</f>
        <v/>
      </c>
      <c r="C71" s="183"/>
      <c r="D71" s="183"/>
      <c r="E71" s="185">
        <f>IF($C71="",-0.00001,COUNTIF(Database!E:E,$C71))</f>
        <v>-1.0000000000000001E-5</v>
      </c>
      <c r="F71" s="185">
        <f>IFERROR(IF($C71="",-0.00001,SUMIFS(Database!H:H,Database!$E:$E,$C71)),-0.00001)</f>
        <v>-1.0000000000000001E-5</v>
      </c>
      <c r="G71" s="185">
        <f>IFERROR(IF($C71="",-0.00001,SUMIFS(Database!I:I,Database!$E:$E,$C71)),-0.00001)</f>
        <v>-1.0000000000000001E-5</v>
      </c>
      <c r="H71" s="185">
        <f>IFERROR(IF($C71="",-0.00001,SUMIFS(Database!J:J,Database!$E:$E,$C71)),-0.00001)</f>
        <v>-1.0000000000000001E-5</v>
      </c>
      <c r="I71" s="185">
        <f>IFERROR(IF($C71="",-0.00001,SUMIFS(Database!K:K,Database!$E:$E,$C71)),-0.00001)</f>
        <v>-1.0000000000000001E-5</v>
      </c>
      <c r="J71" s="185">
        <f>IFERROR(IF($C71="",-0.00001,SUMIFS(Database!L:L,Database!$E:$E,$C71)),-0.00001)</f>
        <v>-1.0000000000000001E-5</v>
      </c>
      <c r="K71" s="185">
        <f>IFERROR(IF($C71="",-0.00001,SUMIFS(Database!M:M,Database!$E:$E,$C71)),-0.00001)</f>
        <v>-1.0000000000000001E-5</v>
      </c>
      <c r="L71" s="185">
        <f>IFERROR(IF($C71="",-0.00001,SUMIFS(Database!N:N,Database!$E:$E,$C71)),-0.00001)</f>
        <v>-1.0000000000000001E-5</v>
      </c>
      <c r="M71" s="185">
        <f>IFERROR(IF($C71="",-0.00001,SUMIFS(Database!O:O,Database!$E:$E,$C71)),-0.00001)</f>
        <v>-1.0000000000000001E-5</v>
      </c>
      <c r="N71" s="185">
        <f>IFERROR(IF($C71="",-0.00001,SUMIFS(Database!P:P,Database!$E:$E,$C71)),-0.00001)</f>
        <v>-1.0000000000000001E-5</v>
      </c>
      <c r="O71" s="185">
        <f>IFERROR(IF($C71="",-0.00001,SUMIFS(Database!Q:Q,Database!$E:$E,$C71)),-0.00001)</f>
        <v>-1.0000000000000001E-5</v>
      </c>
      <c r="P71" s="186">
        <f t="shared" si="3"/>
        <v>-1.0000000000000001E-5</v>
      </c>
      <c r="Q71" s="185">
        <f>IFERROR(IF($C71="",-0.00001,SUMIFS(Database!S:S,Database!$E:$E,$C71)),-0.00001)</f>
        <v>-1.0000000000000001E-5</v>
      </c>
      <c r="R71" s="185">
        <f>IFERROR(IF($C71="",-0.00001,SUMIFS(Database!T:T,Database!$E:$E,$C71)),-0.00001)</f>
        <v>-1.0000000000000001E-5</v>
      </c>
      <c r="S71" s="186">
        <f t="shared" si="4"/>
        <v>-1.0000000000000001E-5</v>
      </c>
      <c r="T71" s="185">
        <f>IFERROR(IF($C71="",-0.00001,SUMIFS(Database!V:V,Database!$E:$E,$C71)),-0.00001)</f>
        <v>-1.0000000000000001E-5</v>
      </c>
      <c r="U71" s="185">
        <f>IFERROR(IF($C71="",-0.00001,SUMIFS(Database!W:W,Database!$E:$E,$C71)),-0.00001)</f>
        <v>-1.0000000000000001E-5</v>
      </c>
      <c r="V71" s="186">
        <f t="shared" si="5"/>
        <v>-1.0000000000000001E-5</v>
      </c>
      <c r="W71" s="187"/>
      <c r="X71" s="187"/>
      <c r="Y71" s="187"/>
      <c r="Z71" s="187"/>
      <c r="AA71" s="187"/>
      <c r="AB71" s="187"/>
      <c r="AC71" s="187"/>
      <c r="AD71" s="187"/>
      <c r="AE71" s="187"/>
    </row>
    <row r="72" spans="1:31" x14ac:dyDescent="0.25">
      <c r="A72" s="187"/>
      <c r="B72" s="187" t="str">
        <f>IF($C72="","",MAX($B$4:$B71)+1)</f>
        <v/>
      </c>
      <c r="C72" s="183"/>
      <c r="D72" s="183"/>
      <c r="E72" s="185">
        <f>IF($C72="",-0.00001,COUNTIF(Database!E:E,$C72))</f>
        <v>-1.0000000000000001E-5</v>
      </c>
      <c r="F72" s="185">
        <f>IFERROR(IF($C72="",-0.00001,SUMIFS(Database!H:H,Database!$E:$E,$C72)),-0.00001)</f>
        <v>-1.0000000000000001E-5</v>
      </c>
      <c r="G72" s="185">
        <f>IFERROR(IF($C72="",-0.00001,SUMIFS(Database!I:I,Database!$E:$E,$C72)),-0.00001)</f>
        <v>-1.0000000000000001E-5</v>
      </c>
      <c r="H72" s="185">
        <f>IFERROR(IF($C72="",-0.00001,SUMIFS(Database!J:J,Database!$E:$E,$C72)),-0.00001)</f>
        <v>-1.0000000000000001E-5</v>
      </c>
      <c r="I72" s="185">
        <f>IFERROR(IF($C72="",-0.00001,SUMIFS(Database!K:K,Database!$E:$E,$C72)),-0.00001)</f>
        <v>-1.0000000000000001E-5</v>
      </c>
      <c r="J72" s="185">
        <f>IFERROR(IF($C72="",-0.00001,SUMIFS(Database!L:L,Database!$E:$E,$C72)),-0.00001)</f>
        <v>-1.0000000000000001E-5</v>
      </c>
      <c r="K72" s="185">
        <f>IFERROR(IF($C72="",-0.00001,SUMIFS(Database!M:M,Database!$E:$E,$C72)),-0.00001)</f>
        <v>-1.0000000000000001E-5</v>
      </c>
      <c r="L72" s="185">
        <f>IFERROR(IF($C72="",-0.00001,SUMIFS(Database!N:N,Database!$E:$E,$C72)),-0.00001)</f>
        <v>-1.0000000000000001E-5</v>
      </c>
      <c r="M72" s="185">
        <f>IFERROR(IF($C72="",-0.00001,SUMIFS(Database!O:O,Database!$E:$E,$C72)),-0.00001)</f>
        <v>-1.0000000000000001E-5</v>
      </c>
      <c r="N72" s="185">
        <f>IFERROR(IF($C72="",-0.00001,SUMIFS(Database!P:P,Database!$E:$E,$C72)),-0.00001)</f>
        <v>-1.0000000000000001E-5</v>
      </c>
      <c r="O72" s="185">
        <f>IFERROR(IF($C72="",-0.00001,SUMIFS(Database!Q:Q,Database!$E:$E,$C72)),-0.00001)</f>
        <v>-1.0000000000000001E-5</v>
      </c>
      <c r="P72" s="186">
        <f t="shared" si="3"/>
        <v>-1.0000000000000001E-5</v>
      </c>
      <c r="Q72" s="185">
        <f>IFERROR(IF($C72="",-0.00001,SUMIFS(Database!S:S,Database!$E:$E,$C72)),-0.00001)</f>
        <v>-1.0000000000000001E-5</v>
      </c>
      <c r="R72" s="185">
        <f>IFERROR(IF($C72="",-0.00001,SUMIFS(Database!T:T,Database!$E:$E,$C72)),-0.00001)</f>
        <v>-1.0000000000000001E-5</v>
      </c>
      <c r="S72" s="186">
        <f t="shared" si="4"/>
        <v>-1.0000000000000001E-5</v>
      </c>
      <c r="T72" s="185">
        <f>IFERROR(IF($C72="",-0.00001,SUMIFS(Database!V:V,Database!$E:$E,$C72)),-0.00001)</f>
        <v>-1.0000000000000001E-5</v>
      </c>
      <c r="U72" s="185">
        <f>IFERROR(IF($C72="",-0.00001,SUMIFS(Database!W:W,Database!$E:$E,$C72)),-0.00001)</f>
        <v>-1.0000000000000001E-5</v>
      </c>
      <c r="V72" s="186">
        <f t="shared" si="5"/>
        <v>-1.0000000000000001E-5</v>
      </c>
      <c r="W72" s="187"/>
      <c r="X72" s="187"/>
      <c r="Y72" s="187"/>
      <c r="Z72" s="187"/>
      <c r="AA72" s="187"/>
      <c r="AB72" s="187"/>
      <c r="AC72" s="187"/>
      <c r="AD72" s="187"/>
      <c r="AE72" s="187"/>
    </row>
    <row r="73" spans="1:31" x14ac:dyDescent="0.25">
      <c r="A73" s="187"/>
      <c r="B73" s="187" t="str">
        <f>IF($C73="","",MAX($B$4:$B72)+1)</f>
        <v/>
      </c>
      <c r="C73" s="183"/>
      <c r="D73" s="183"/>
      <c r="E73" s="185">
        <f>IF($C73="",-0.00001,COUNTIF(Database!E:E,$C73))</f>
        <v>-1.0000000000000001E-5</v>
      </c>
      <c r="F73" s="185">
        <f>IFERROR(IF($C73="",-0.00001,SUMIFS(Database!H:H,Database!$E:$E,$C73)),-0.00001)</f>
        <v>-1.0000000000000001E-5</v>
      </c>
      <c r="G73" s="185">
        <f>IFERROR(IF($C73="",-0.00001,SUMIFS(Database!I:I,Database!$E:$E,$C73)),-0.00001)</f>
        <v>-1.0000000000000001E-5</v>
      </c>
      <c r="H73" s="185">
        <f>IFERROR(IF($C73="",-0.00001,SUMIFS(Database!J:J,Database!$E:$E,$C73)),-0.00001)</f>
        <v>-1.0000000000000001E-5</v>
      </c>
      <c r="I73" s="185">
        <f>IFERROR(IF($C73="",-0.00001,SUMIFS(Database!K:K,Database!$E:$E,$C73)),-0.00001)</f>
        <v>-1.0000000000000001E-5</v>
      </c>
      <c r="J73" s="185">
        <f>IFERROR(IF($C73="",-0.00001,SUMIFS(Database!L:L,Database!$E:$E,$C73)),-0.00001)</f>
        <v>-1.0000000000000001E-5</v>
      </c>
      <c r="K73" s="185">
        <f>IFERROR(IF($C73="",-0.00001,SUMIFS(Database!M:M,Database!$E:$E,$C73)),-0.00001)</f>
        <v>-1.0000000000000001E-5</v>
      </c>
      <c r="L73" s="185">
        <f>IFERROR(IF($C73="",-0.00001,SUMIFS(Database!N:N,Database!$E:$E,$C73)),-0.00001)</f>
        <v>-1.0000000000000001E-5</v>
      </c>
      <c r="M73" s="185">
        <f>IFERROR(IF($C73="",-0.00001,SUMIFS(Database!O:O,Database!$E:$E,$C73)),-0.00001)</f>
        <v>-1.0000000000000001E-5</v>
      </c>
      <c r="N73" s="185">
        <f>IFERROR(IF($C73="",-0.00001,SUMIFS(Database!P:P,Database!$E:$E,$C73)),-0.00001)</f>
        <v>-1.0000000000000001E-5</v>
      </c>
      <c r="O73" s="185">
        <f>IFERROR(IF($C73="",-0.00001,SUMIFS(Database!Q:Q,Database!$E:$E,$C73)),-0.00001)</f>
        <v>-1.0000000000000001E-5</v>
      </c>
      <c r="P73" s="186">
        <f t="shared" si="3"/>
        <v>-1.0000000000000001E-5</v>
      </c>
      <c r="Q73" s="185">
        <f>IFERROR(IF($C73="",-0.00001,SUMIFS(Database!S:S,Database!$E:$E,$C73)),-0.00001)</f>
        <v>-1.0000000000000001E-5</v>
      </c>
      <c r="R73" s="185">
        <f>IFERROR(IF($C73="",-0.00001,SUMIFS(Database!T:T,Database!$E:$E,$C73)),-0.00001)</f>
        <v>-1.0000000000000001E-5</v>
      </c>
      <c r="S73" s="186">
        <f t="shared" si="4"/>
        <v>-1.0000000000000001E-5</v>
      </c>
      <c r="T73" s="185">
        <f>IFERROR(IF($C73="",-0.00001,SUMIFS(Database!V:V,Database!$E:$E,$C73)),-0.00001)</f>
        <v>-1.0000000000000001E-5</v>
      </c>
      <c r="U73" s="185">
        <f>IFERROR(IF($C73="",-0.00001,SUMIFS(Database!W:W,Database!$E:$E,$C73)),-0.00001)</f>
        <v>-1.0000000000000001E-5</v>
      </c>
      <c r="V73" s="186">
        <f t="shared" si="5"/>
        <v>-1.0000000000000001E-5</v>
      </c>
      <c r="W73" s="187"/>
      <c r="X73" s="187"/>
      <c r="Y73" s="187"/>
      <c r="Z73" s="187"/>
      <c r="AA73" s="187"/>
      <c r="AB73" s="187"/>
      <c r="AC73" s="187"/>
      <c r="AD73" s="187"/>
      <c r="AE73" s="187"/>
    </row>
    <row r="74" spans="1:31" x14ac:dyDescent="0.25">
      <c r="A74" s="187"/>
      <c r="B74" s="187" t="str">
        <f>IF($C74="","",MAX($B$4:$B73)+1)</f>
        <v/>
      </c>
      <c r="C74" s="183"/>
      <c r="D74" s="183"/>
      <c r="E74" s="185">
        <f>IF($C74="",-0.00001,COUNTIF(Database!E:E,$C74))</f>
        <v>-1.0000000000000001E-5</v>
      </c>
      <c r="F74" s="185">
        <f>IFERROR(IF($C74="",-0.00001,SUMIFS(Database!H:H,Database!$E:$E,$C74)),-0.00001)</f>
        <v>-1.0000000000000001E-5</v>
      </c>
      <c r="G74" s="185">
        <f>IFERROR(IF($C74="",-0.00001,SUMIFS(Database!I:I,Database!$E:$E,$C74)),-0.00001)</f>
        <v>-1.0000000000000001E-5</v>
      </c>
      <c r="H74" s="185">
        <f>IFERROR(IF($C74="",-0.00001,SUMIFS(Database!J:J,Database!$E:$E,$C74)),-0.00001)</f>
        <v>-1.0000000000000001E-5</v>
      </c>
      <c r="I74" s="185">
        <f>IFERROR(IF($C74="",-0.00001,SUMIFS(Database!K:K,Database!$E:$E,$C74)),-0.00001)</f>
        <v>-1.0000000000000001E-5</v>
      </c>
      <c r="J74" s="185">
        <f>IFERROR(IF($C74="",-0.00001,SUMIFS(Database!L:L,Database!$E:$E,$C74)),-0.00001)</f>
        <v>-1.0000000000000001E-5</v>
      </c>
      <c r="K74" s="185">
        <f>IFERROR(IF($C74="",-0.00001,SUMIFS(Database!M:M,Database!$E:$E,$C74)),-0.00001)</f>
        <v>-1.0000000000000001E-5</v>
      </c>
      <c r="L74" s="185">
        <f>IFERROR(IF($C74="",-0.00001,SUMIFS(Database!N:N,Database!$E:$E,$C74)),-0.00001)</f>
        <v>-1.0000000000000001E-5</v>
      </c>
      <c r="M74" s="185">
        <f>IFERROR(IF($C74="",-0.00001,SUMIFS(Database!O:O,Database!$E:$E,$C74)),-0.00001)</f>
        <v>-1.0000000000000001E-5</v>
      </c>
      <c r="N74" s="185">
        <f>IFERROR(IF($C74="",-0.00001,SUMIFS(Database!P:P,Database!$E:$E,$C74)),-0.00001)</f>
        <v>-1.0000000000000001E-5</v>
      </c>
      <c r="O74" s="185">
        <f>IFERROR(IF($C74="",-0.00001,SUMIFS(Database!Q:Q,Database!$E:$E,$C74)),-0.00001)</f>
        <v>-1.0000000000000001E-5</v>
      </c>
      <c r="P74" s="186">
        <f t="shared" si="3"/>
        <v>-1.0000000000000001E-5</v>
      </c>
      <c r="Q74" s="185">
        <f>IFERROR(IF($C74="",-0.00001,SUMIFS(Database!S:S,Database!$E:$E,$C74)),-0.00001)</f>
        <v>-1.0000000000000001E-5</v>
      </c>
      <c r="R74" s="185">
        <f>IFERROR(IF($C74="",-0.00001,SUMIFS(Database!T:T,Database!$E:$E,$C74)),-0.00001)</f>
        <v>-1.0000000000000001E-5</v>
      </c>
      <c r="S74" s="186">
        <f t="shared" si="4"/>
        <v>-1.0000000000000001E-5</v>
      </c>
      <c r="T74" s="185">
        <f>IFERROR(IF($C74="",-0.00001,SUMIFS(Database!V:V,Database!$E:$E,$C74)),-0.00001)</f>
        <v>-1.0000000000000001E-5</v>
      </c>
      <c r="U74" s="185">
        <f>IFERROR(IF($C74="",-0.00001,SUMIFS(Database!W:W,Database!$E:$E,$C74)),-0.00001)</f>
        <v>-1.0000000000000001E-5</v>
      </c>
      <c r="V74" s="186">
        <f t="shared" si="5"/>
        <v>-1.0000000000000001E-5</v>
      </c>
      <c r="W74" s="187"/>
      <c r="X74" s="187"/>
      <c r="Y74" s="187"/>
      <c r="Z74" s="187"/>
      <c r="AA74" s="187"/>
      <c r="AB74" s="187"/>
      <c r="AC74" s="187"/>
      <c r="AD74" s="187"/>
      <c r="AE74" s="187"/>
    </row>
    <row r="75" spans="1:31" x14ac:dyDescent="0.25">
      <c r="A75" s="187"/>
      <c r="B75" s="187" t="str">
        <f>IF($C75="","",MAX($B$4:$B74)+1)</f>
        <v/>
      </c>
      <c r="C75" s="183"/>
      <c r="D75" s="183"/>
      <c r="E75" s="185">
        <f>IF($C75="",-0.00001,COUNTIF(Database!E:E,$C75))</f>
        <v>-1.0000000000000001E-5</v>
      </c>
      <c r="F75" s="185">
        <f>IFERROR(IF($C75="",-0.00001,SUMIFS(Database!H:H,Database!$E:$E,$C75)),-0.00001)</f>
        <v>-1.0000000000000001E-5</v>
      </c>
      <c r="G75" s="185">
        <f>IFERROR(IF($C75="",-0.00001,SUMIFS(Database!I:I,Database!$E:$E,$C75)),-0.00001)</f>
        <v>-1.0000000000000001E-5</v>
      </c>
      <c r="H75" s="185">
        <f>IFERROR(IF($C75="",-0.00001,SUMIFS(Database!J:J,Database!$E:$E,$C75)),-0.00001)</f>
        <v>-1.0000000000000001E-5</v>
      </c>
      <c r="I75" s="185">
        <f>IFERROR(IF($C75="",-0.00001,SUMIFS(Database!K:K,Database!$E:$E,$C75)),-0.00001)</f>
        <v>-1.0000000000000001E-5</v>
      </c>
      <c r="J75" s="185">
        <f>IFERROR(IF($C75="",-0.00001,SUMIFS(Database!L:L,Database!$E:$E,$C75)),-0.00001)</f>
        <v>-1.0000000000000001E-5</v>
      </c>
      <c r="K75" s="185">
        <f>IFERROR(IF($C75="",-0.00001,SUMIFS(Database!M:M,Database!$E:$E,$C75)),-0.00001)</f>
        <v>-1.0000000000000001E-5</v>
      </c>
      <c r="L75" s="185">
        <f>IFERROR(IF($C75="",-0.00001,SUMIFS(Database!N:N,Database!$E:$E,$C75)),-0.00001)</f>
        <v>-1.0000000000000001E-5</v>
      </c>
      <c r="M75" s="185">
        <f>IFERROR(IF($C75="",-0.00001,SUMIFS(Database!O:O,Database!$E:$E,$C75)),-0.00001)</f>
        <v>-1.0000000000000001E-5</v>
      </c>
      <c r="N75" s="185">
        <f>IFERROR(IF($C75="",-0.00001,SUMIFS(Database!P:P,Database!$E:$E,$C75)),-0.00001)</f>
        <v>-1.0000000000000001E-5</v>
      </c>
      <c r="O75" s="185">
        <f>IFERROR(IF($C75="",-0.00001,SUMIFS(Database!Q:Q,Database!$E:$E,$C75)),-0.00001)</f>
        <v>-1.0000000000000001E-5</v>
      </c>
      <c r="P75" s="186">
        <f t="shared" si="3"/>
        <v>-1.0000000000000001E-5</v>
      </c>
      <c r="Q75" s="185">
        <f>IFERROR(IF($C75="",-0.00001,SUMIFS(Database!S:S,Database!$E:$E,$C75)),-0.00001)</f>
        <v>-1.0000000000000001E-5</v>
      </c>
      <c r="R75" s="185">
        <f>IFERROR(IF($C75="",-0.00001,SUMIFS(Database!T:T,Database!$E:$E,$C75)),-0.00001)</f>
        <v>-1.0000000000000001E-5</v>
      </c>
      <c r="S75" s="186">
        <f t="shared" si="4"/>
        <v>-1.0000000000000001E-5</v>
      </c>
      <c r="T75" s="185">
        <f>IFERROR(IF($C75="",-0.00001,SUMIFS(Database!V:V,Database!$E:$E,$C75)),-0.00001)</f>
        <v>-1.0000000000000001E-5</v>
      </c>
      <c r="U75" s="185">
        <f>IFERROR(IF($C75="",-0.00001,SUMIFS(Database!W:W,Database!$E:$E,$C75)),-0.00001)</f>
        <v>-1.0000000000000001E-5</v>
      </c>
      <c r="V75" s="186">
        <f t="shared" si="5"/>
        <v>-1.0000000000000001E-5</v>
      </c>
      <c r="W75" s="187"/>
      <c r="X75" s="187"/>
      <c r="Y75" s="187"/>
      <c r="Z75" s="187"/>
      <c r="AA75" s="187"/>
      <c r="AB75" s="187"/>
      <c r="AC75" s="187"/>
      <c r="AD75" s="187"/>
      <c r="AE75" s="187"/>
    </row>
    <row r="76" spans="1:31" x14ac:dyDescent="0.25">
      <c r="A76" s="187"/>
      <c r="B76" s="187" t="str">
        <f>IF($C76="","",MAX($B$4:$B75)+1)</f>
        <v/>
      </c>
      <c r="C76" s="183"/>
      <c r="D76" s="183"/>
      <c r="E76" s="185">
        <f>IF($C76="",-0.00001,COUNTIF(Database!E:E,$C76))</f>
        <v>-1.0000000000000001E-5</v>
      </c>
      <c r="F76" s="185">
        <f>IFERROR(IF($C76="",-0.00001,SUMIFS(Database!H:H,Database!$E:$E,$C76)),-0.00001)</f>
        <v>-1.0000000000000001E-5</v>
      </c>
      <c r="G76" s="185">
        <f>IFERROR(IF($C76="",-0.00001,SUMIFS(Database!I:I,Database!$E:$E,$C76)),-0.00001)</f>
        <v>-1.0000000000000001E-5</v>
      </c>
      <c r="H76" s="185">
        <f>IFERROR(IF($C76="",-0.00001,SUMIFS(Database!J:J,Database!$E:$E,$C76)),-0.00001)</f>
        <v>-1.0000000000000001E-5</v>
      </c>
      <c r="I76" s="185">
        <f>IFERROR(IF($C76="",-0.00001,SUMIFS(Database!K:K,Database!$E:$E,$C76)),-0.00001)</f>
        <v>-1.0000000000000001E-5</v>
      </c>
      <c r="J76" s="185">
        <f>IFERROR(IF($C76="",-0.00001,SUMIFS(Database!L:L,Database!$E:$E,$C76)),-0.00001)</f>
        <v>-1.0000000000000001E-5</v>
      </c>
      <c r="K76" s="185">
        <f>IFERROR(IF($C76="",-0.00001,SUMIFS(Database!M:M,Database!$E:$E,$C76)),-0.00001)</f>
        <v>-1.0000000000000001E-5</v>
      </c>
      <c r="L76" s="185">
        <f>IFERROR(IF($C76="",-0.00001,SUMIFS(Database!N:N,Database!$E:$E,$C76)),-0.00001)</f>
        <v>-1.0000000000000001E-5</v>
      </c>
      <c r="M76" s="185">
        <f>IFERROR(IF($C76="",-0.00001,SUMIFS(Database!O:O,Database!$E:$E,$C76)),-0.00001)</f>
        <v>-1.0000000000000001E-5</v>
      </c>
      <c r="N76" s="185">
        <f>IFERROR(IF($C76="",-0.00001,SUMIFS(Database!P:P,Database!$E:$E,$C76)),-0.00001)</f>
        <v>-1.0000000000000001E-5</v>
      </c>
      <c r="O76" s="185">
        <f>IFERROR(IF($C76="",-0.00001,SUMIFS(Database!Q:Q,Database!$E:$E,$C76)),-0.00001)</f>
        <v>-1.0000000000000001E-5</v>
      </c>
      <c r="P76" s="186">
        <f t="shared" si="3"/>
        <v>-1.0000000000000001E-5</v>
      </c>
      <c r="Q76" s="185">
        <f>IFERROR(IF($C76="",-0.00001,SUMIFS(Database!S:S,Database!$E:$E,$C76)),-0.00001)</f>
        <v>-1.0000000000000001E-5</v>
      </c>
      <c r="R76" s="185">
        <f>IFERROR(IF($C76="",-0.00001,SUMIFS(Database!T:T,Database!$E:$E,$C76)),-0.00001)</f>
        <v>-1.0000000000000001E-5</v>
      </c>
      <c r="S76" s="186">
        <f t="shared" si="4"/>
        <v>-1.0000000000000001E-5</v>
      </c>
      <c r="T76" s="185">
        <f>IFERROR(IF($C76="",-0.00001,SUMIFS(Database!V:V,Database!$E:$E,$C76)),-0.00001)</f>
        <v>-1.0000000000000001E-5</v>
      </c>
      <c r="U76" s="185">
        <f>IFERROR(IF($C76="",-0.00001,SUMIFS(Database!W:W,Database!$E:$E,$C76)),-0.00001)</f>
        <v>-1.0000000000000001E-5</v>
      </c>
      <c r="V76" s="186">
        <f t="shared" si="5"/>
        <v>-1.0000000000000001E-5</v>
      </c>
      <c r="W76" s="187"/>
      <c r="X76" s="187"/>
      <c r="Y76" s="187"/>
      <c r="Z76" s="187"/>
      <c r="AA76" s="187"/>
      <c r="AB76" s="187"/>
      <c r="AC76" s="187"/>
      <c r="AD76" s="187"/>
      <c r="AE76" s="187"/>
    </row>
    <row r="77" spans="1:31" x14ac:dyDescent="0.25">
      <c r="A77" s="187"/>
      <c r="B77" s="187" t="str">
        <f>IF($C77="","",MAX($B$4:$B76)+1)</f>
        <v/>
      </c>
      <c r="C77" s="183"/>
      <c r="D77" s="183"/>
      <c r="E77" s="185">
        <f>IF($C77="",-0.00001,COUNTIF(Database!E:E,$C77))</f>
        <v>-1.0000000000000001E-5</v>
      </c>
      <c r="F77" s="185">
        <f>IFERROR(IF($C77="",-0.00001,SUMIFS(Database!H:H,Database!$E:$E,$C77)),-0.00001)</f>
        <v>-1.0000000000000001E-5</v>
      </c>
      <c r="G77" s="185">
        <f>IFERROR(IF($C77="",-0.00001,SUMIFS(Database!I:I,Database!$E:$E,$C77)),-0.00001)</f>
        <v>-1.0000000000000001E-5</v>
      </c>
      <c r="H77" s="185">
        <f>IFERROR(IF($C77="",-0.00001,SUMIFS(Database!J:J,Database!$E:$E,$C77)),-0.00001)</f>
        <v>-1.0000000000000001E-5</v>
      </c>
      <c r="I77" s="185">
        <f>IFERROR(IF($C77="",-0.00001,SUMIFS(Database!K:K,Database!$E:$E,$C77)),-0.00001)</f>
        <v>-1.0000000000000001E-5</v>
      </c>
      <c r="J77" s="185">
        <f>IFERROR(IF($C77="",-0.00001,SUMIFS(Database!L:L,Database!$E:$E,$C77)),-0.00001)</f>
        <v>-1.0000000000000001E-5</v>
      </c>
      <c r="K77" s="185">
        <f>IFERROR(IF($C77="",-0.00001,SUMIFS(Database!M:M,Database!$E:$E,$C77)),-0.00001)</f>
        <v>-1.0000000000000001E-5</v>
      </c>
      <c r="L77" s="185">
        <f>IFERROR(IF($C77="",-0.00001,SUMIFS(Database!N:N,Database!$E:$E,$C77)),-0.00001)</f>
        <v>-1.0000000000000001E-5</v>
      </c>
      <c r="M77" s="185">
        <f>IFERROR(IF($C77="",-0.00001,SUMIFS(Database!O:O,Database!$E:$E,$C77)),-0.00001)</f>
        <v>-1.0000000000000001E-5</v>
      </c>
      <c r="N77" s="185">
        <f>IFERROR(IF($C77="",-0.00001,SUMIFS(Database!P:P,Database!$E:$E,$C77)),-0.00001)</f>
        <v>-1.0000000000000001E-5</v>
      </c>
      <c r="O77" s="185">
        <f>IFERROR(IF($C77="",-0.00001,SUMIFS(Database!Q:Q,Database!$E:$E,$C77)),-0.00001)</f>
        <v>-1.0000000000000001E-5</v>
      </c>
      <c r="P77" s="186">
        <f t="shared" si="3"/>
        <v>-1.0000000000000001E-5</v>
      </c>
      <c r="Q77" s="185">
        <f>IFERROR(IF($C77="",-0.00001,SUMIFS(Database!S:S,Database!$E:$E,$C77)),-0.00001)</f>
        <v>-1.0000000000000001E-5</v>
      </c>
      <c r="R77" s="185">
        <f>IFERROR(IF($C77="",-0.00001,SUMIFS(Database!T:T,Database!$E:$E,$C77)),-0.00001)</f>
        <v>-1.0000000000000001E-5</v>
      </c>
      <c r="S77" s="186">
        <f t="shared" si="4"/>
        <v>-1.0000000000000001E-5</v>
      </c>
      <c r="T77" s="185">
        <f>IFERROR(IF($C77="",-0.00001,SUMIFS(Database!V:V,Database!$E:$E,$C77)),-0.00001)</f>
        <v>-1.0000000000000001E-5</v>
      </c>
      <c r="U77" s="185">
        <f>IFERROR(IF($C77="",-0.00001,SUMIFS(Database!W:W,Database!$E:$E,$C77)),-0.00001)</f>
        <v>-1.0000000000000001E-5</v>
      </c>
      <c r="V77" s="186">
        <f t="shared" si="5"/>
        <v>-1.0000000000000001E-5</v>
      </c>
      <c r="W77" s="187"/>
      <c r="X77" s="187"/>
      <c r="Y77" s="187"/>
      <c r="Z77" s="187"/>
      <c r="AA77" s="187"/>
      <c r="AB77" s="187"/>
      <c r="AC77" s="187"/>
      <c r="AD77" s="187"/>
      <c r="AE77" s="187"/>
    </row>
    <row r="78" spans="1:31" x14ac:dyDescent="0.25">
      <c r="A78" s="187"/>
      <c r="B78" s="187" t="str">
        <f>IF($C78="","",MAX($B$4:$B77)+1)</f>
        <v/>
      </c>
      <c r="C78" s="183"/>
      <c r="D78" s="183"/>
      <c r="E78" s="185">
        <f>IF($C78="",-0.00001,COUNTIF(Database!E:E,$C78))</f>
        <v>-1.0000000000000001E-5</v>
      </c>
      <c r="F78" s="185">
        <f>IFERROR(IF($C78="",-0.00001,SUMIFS(Database!H:H,Database!$E:$E,$C78)),-0.00001)</f>
        <v>-1.0000000000000001E-5</v>
      </c>
      <c r="G78" s="185">
        <f>IFERROR(IF($C78="",-0.00001,SUMIFS(Database!I:I,Database!$E:$E,$C78)),-0.00001)</f>
        <v>-1.0000000000000001E-5</v>
      </c>
      <c r="H78" s="185">
        <f>IFERROR(IF($C78="",-0.00001,SUMIFS(Database!J:J,Database!$E:$E,$C78)),-0.00001)</f>
        <v>-1.0000000000000001E-5</v>
      </c>
      <c r="I78" s="185">
        <f>IFERROR(IF($C78="",-0.00001,SUMIFS(Database!K:K,Database!$E:$E,$C78)),-0.00001)</f>
        <v>-1.0000000000000001E-5</v>
      </c>
      <c r="J78" s="185">
        <f>IFERROR(IF($C78="",-0.00001,SUMIFS(Database!L:L,Database!$E:$E,$C78)),-0.00001)</f>
        <v>-1.0000000000000001E-5</v>
      </c>
      <c r="K78" s="185">
        <f>IFERROR(IF($C78="",-0.00001,SUMIFS(Database!M:M,Database!$E:$E,$C78)),-0.00001)</f>
        <v>-1.0000000000000001E-5</v>
      </c>
      <c r="L78" s="185">
        <f>IFERROR(IF($C78="",-0.00001,SUMIFS(Database!N:N,Database!$E:$E,$C78)),-0.00001)</f>
        <v>-1.0000000000000001E-5</v>
      </c>
      <c r="M78" s="185">
        <f>IFERROR(IF($C78="",-0.00001,SUMIFS(Database!O:O,Database!$E:$E,$C78)),-0.00001)</f>
        <v>-1.0000000000000001E-5</v>
      </c>
      <c r="N78" s="185">
        <f>IFERROR(IF($C78="",-0.00001,SUMIFS(Database!P:P,Database!$E:$E,$C78)),-0.00001)</f>
        <v>-1.0000000000000001E-5</v>
      </c>
      <c r="O78" s="185">
        <f>IFERROR(IF($C78="",-0.00001,SUMIFS(Database!Q:Q,Database!$E:$E,$C78)),-0.00001)</f>
        <v>-1.0000000000000001E-5</v>
      </c>
      <c r="P78" s="186">
        <f t="shared" si="3"/>
        <v>-1.0000000000000001E-5</v>
      </c>
      <c r="Q78" s="185">
        <f>IFERROR(IF($C78="",-0.00001,SUMIFS(Database!S:S,Database!$E:$E,$C78)),-0.00001)</f>
        <v>-1.0000000000000001E-5</v>
      </c>
      <c r="R78" s="185">
        <f>IFERROR(IF($C78="",-0.00001,SUMIFS(Database!T:T,Database!$E:$E,$C78)),-0.00001)</f>
        <v>-1.0000000000000001E-5</v>
      </c>
      <c r="S78" s="186">
        <f t="shared" si="4"/>
        <v>-1.0000000000000001E-5</v>
      </c>
      <c r="T78" s="185">
        <f>IFERROR(IF($C78="",-0.00001,SUMIFS(Database!V:V,Database!$E:$E,$C78)),-0.00001)</f>
        <v>-1.0000000000000001E-5</v>
      </c>
      <c r="U78" s="185">
        <f>IFERROR(IF($C78="",-0.00001,SUMIFS(Database!W:W,Database!$E:$E,$C78)),-0.00001)</f>
        <v>-1.0000000000000001E-5</v>
      </c>
      <c r="V78" s="186">
        <f t="shared" si="5"/>
        <v>-1.0000000000000001E-5</v>
      </c>
      <c r="W78" s="187"/>
      <c r="X78" s="187"/>
      <c r="Y78" s="187"/>
      <c r="Z78" s="187"/>
      <c r="AA78" s="187"/>
      <c r="AB78" s="187"/>
      <c r="AC78" s="187"/>
      <c r="AD78" s="187"/>
      <c r="AE78" s="187"/>
    </row>
    <row r="79" spans="1:31" x14ac:dyDescent="0.25">
      <c r="A79" s="187"/>
      <c r="B79" s="187" t="str">
        <f>IF($C79="","",MAX($B$4:$B78)+1)</f>
        <v/>
      </c>
      <c r="C79" s="183"/>
      <c r="D79" s="183"/>
      <c r="E79" s="185">
        <f>IF($C79="",-0.00001,COUNTIF(Database!E:E,$C79))</f>
        <v>-1.0000000000000001E-5</v>
      </c>
      <c r="F79" s="185">
        <f>IFERROR(IF($C79="",-0.00001,SUMIFS(Database!H:H,Database!$E:$E,$C79)),-0.00001)</f>
        <v>-1.0000000000000001E-5</v>
      </c>
      <c r="G79" s="185">
        <f>IFERROR(IF($C79="",-0.00001,SUMIFS(Database!I:I,Database!$E:$E,$C79)),-0.00001)</f>
        <v>-1.0000000000000001E-5</v>
      </c>
      <c r="H79" s="185">
        <f>IFERROR(IF($C79="",-0.00001,SUMIFS(Database!J:J,Database!$E:$E,$C79)),-0.00001)</f>
        <v>-1.0000000000000001E-5</v>
      </c>
      <c r="I79" s="185">
        <f>IFERROR(IF($C79="",-0.00001,SUMIFS(Database!K:K,Database!$E:$E,$C79)),-0.00001)</f>
        <v>-1.0000000000000001E-5</v>
      </c>
      <c r="J79" s="185">
        <f>IFERROR(IF($C79="",-0.00001,SUMIFS(Database!L:L,Database!$E:$E,$C79)),-0.00001)</f>
        <v>-1.0000000000000001E-5</v>
      </c>
      <c r="K79" s="185">
        <f>IFERROR(IF($C79="",-0.00001,SUMIFS(Database!M:M,Database!$E:$E,$C79)),-0.00001)</f>
        <v>-1.0000000000000001E-5</v>
      </c>
      <c r="L79" s="185">
        <f>IFERROR(IF($C79="",-0.00001,SUMIFS(Database!N:N,Database!$E:$E,$C79)),-0.00001)</f>
        <v>-1.0000000000000001E-5</v>
      </c>
      <c r="M79" s="185">
        <f>IFERROR(IF($C79="",-0.00001,SUMIFS(Database!O:O,Database!$E:$E,$C79)),-0.00001)</f>
        <v>-1.0000000000000001E-5</v>
      </c>
      <c r="N79" s="185">
        <f>IFERROR(IF($C79="",-0.00001,SUMIFS(Database!P:P,Database!$E:$E,$C79)),-0.00001)</f>
        <v>-1.0000000000000001E-5</v>
      </c>
      <c r="O79" s="185">
        <f>IFERROR(IF($C79="",-0.00001,SUMIFS(Database!Q:Q,Database!$E:$E,$C79)),-0.00001)</f>
        <v>-1.0000000000000001E-5</v>
      </c>
      <c r="P79" s="186">
        <f t="shared" si="3"/>
        <v>-1.0000000000000001E-5</v>
      </c>
      <c r="Q79" s="185">
        <f>IFERROR(IF($C79="",-0.00001,SUMIFS(Database!S:S,Database!$E:$E,$C79)),-0.00001)</f>
        <v>-1.0000000000000001E-5</v>
      </c>
      <c r="R79" s="185">
        <f>IFERROR(IF($C79="",-0.00001,SUMIFS(Database!T:T,Database!$E:$E,$C79)),-0.00001)</f>
        <v>-1.0000000000000001E-5</v>
      </c>
      <c r="S79" s="186">
        <f t="shared" si="4"/>
        <v>-1.0000000000000001E-5</v>
      </c>
      <c r="T79" s="185">
        <f>IFERROR(IF($C79="",-0.00001,SUMIFS(Database!V:V,Database!$E:$E,$C79)),-0.00001)</f>
        <v>-1.0000000000000001E-5</v>
      </c>
      <c r="U79" s="185">
        <f>IFERROR(IF($C79="",-0.00001,SUMIFS(Database!W:W,Database!$E:$E,$C79)),-0.00001)</f>
        <v>-1.0000000000000001E-5</v>
      </c>
      <c r="V79" s="186">
        <f t="shared" si="5"/>
        <v>-1.0000000000000001E-5</v>
      </c>
      <c r="W79" s="187"/>
      <c r="X79" s="187"/>
      <c r="Y79" s="187"/>
      <c r="Z79" s="187"/>
      <c r="AA79" s="187"/>
      <c r="AB79" s="187"/>
      <c r="AC79" s="187"/>
      <c r="AD79" s="187"/>
      <c r="AE79" s="187"/>
    </row>
    <row r="80" spans="1:31" x14ac:dyDescent="0.25">
      <c r="A80" s="187"/>
      <c r="B80" s="187" t="str">
        <f>IF($C80="","",MAX($B$4:$B79)+1)</f>
        <v/>
      </c>
      <c r="C80" s="183"/>
      <c r="D80" s="183"/>
      <c r="E80" s="185">
        <f>IF($C80="",-0.00001,COUNTIF(Database!E:E,$C80))</f>
        <v>-1.0000000000000001E-5</v>
      </c>
      <c r="F80" s="185">
        <f>IFERROR(IF($C80="",-0.00001,SUMIFS(Database!H:H,Database!$E:$E,$C80)),-0.00001)</f>
        <v>-1.0000000000000001E-5</v>
      </c>
      <c r="G80" s="185">
        <f>IFERROR(IF($C80="",-0.00001,SUMIFS(Database!I:I,Database!$E:$E,$C80)),-0.00001)</f>
        <v>-1.0000000000000001E-5</v>
      </c>
      <c r="H80" s="185">
        <f>IFERROR(IF($C80="",-0.00001,SUMIFS(Database!J:J,Database!$E:$E,$C80)),-0.00001)</f>
        <v>-1.0000000000000001E-5</v>
      </c>
      <c r="I80" s="185">
        <f>IFERROR(IF($C80="",-0.00001,SUMIFS(Database!K:K,Database!$E:$E,$C80)),-0.00001)</f>
        <v>-1.0000000000000001E-5</v>
      </c>
      <c r="J80" s="185">
        <f>IFERROR(IF($C80="",-0.00001,SUMIFS(Database!L:L,Database!$E:$E,$C80)),-0.00001)</f>
        <v>-1.0000000000000001E-5</v>
      </c>
      <c r="K80" s="185">
        <f>IFERROR(IF($C80="",-0.00001,SUMIFS(Database!M:M,Database!$E:$E,$C80)),-0.00001)</f>
        <v>-1.0000000000000001E-5</v>
      </c>
      <c r="L80" s="185">
        <f>IFERROR(IF($C80="",-0.00001,SUMIFS(Database!N:N,Database!$E:$E,$C80)),-0.00001)</f>
        <v>-1.0000000000000001E-5</v>
      </c>
      <c r="M80" s="185">
        <f>IFERROR(IF($C80="",-0.00001,SUMIFS(Database!O:O,Database!$E:$E,$C80)),-0.00001)</f>
        <v>-1.0000000000000001E-5</v>
      </c>
      <c r="N80" s="185">
        <f>IFERROR(IF($C80="",-0.00001,SUMIFS(Database!P:P,Database!$E:$E,$C80)),-0.00001)</f>
        <v>-1.0000000000000001E-5</v>
      </c>
      <c r="O80" s="185">
        <f>IFERROR(IF($C80="",-0.00001,SUMIFS(Database!Q:Q,Database!$E:$E,$C80)),-0.00001)</f>
        <v>-1.0000000000000001E-5</v>
      </c>
      <c r="P80" s="186">
        <f t="shared" si="3"/>
        <v>-1.0000000000000001E-5</v>
      </c>
      <c r="Q80" s="185">
        <f>IFERROR(IF($C80="",-0.00001,SUMIFS(Database!S:S,Database!$E:$E,$C80)),-0.00001)</f>
        <v>-1.0000000000000001E-5</v>
      </c>
      <c r="R80" s="185">
        <f>IFERROR(IF($C80="",-0.00001,SUMIFS(Database!T:T,Database!$E:$E,$C80)),-0.00001)</f>
        <v>-1.0000000000000001E-5</v>
      </c>
      <c r="S80" s="186">
        <f t="shared" si="4"/>
        <v>-1.0000000000000001E-5</v>
      </c>
      <c r="T80" s="185">
        <f>IFERROR(IF($C80="",-0.00001,SUMIFS(Database!V:V,Database!$E:$E,$C80)),-0.00001)</f>
        <v>-1.0000000000000001E-5</v>
      </c>
      <c r="U80" s="185">
        <f>IFERROR(IF($C80="",-0.00001,SUMIFS(Database!W:W,Database!$E:$E,$C80)),-0.00001)</f>
        <v>-1.0000000000000001E-5</v>
      </c>
      <c r="V80" s="186">
        <f t="shared" si="5"/>
        <v>-1.0000000000000001E-5</v>
      </c>
      <c r="W80" s="187"/>
      <c r="X80" s="187"/>
      <c r="Y80" s="187"/>
      <c r="Z80" s="187"/>
      <c r="AA80" s="187"/>
      <c r="AB80" s="187"/>
      <c r="AC80" s="187"/>
      <c r="AD80" s="187"/>
      <c r="AE80" s="187"/>
    </row>
    <row r="81" spans="1:31" x14ac:dyDescent="0.25">
      <c r="A81" s="187"/>
      <c r="B81" s="187" t="str">
        <f>IF($C81="","",MAX($B$4:$B80)+1)</f>
        <v/>
      </c>
      <c r="C81" s="183"/>
      <c r="D81" s="183"/>
      <c r="E81" s="185">
        <f>IF($C81="",-0.00001,COUNTIF(Database!E:E,$C81))</f>
        <v>-1.0000000000000001E-5</v>
      </c>
      <c r="F81" s="185">
        <f>IFERROR(IF($C81="",-0.00001,SUMIFS(Database!H:H,Database!$E:$E,$C81)),-0.00001)</f>
        <v>-1.0000000000000001E-5</v>
      </c>
      <c r="G81" s="185">
        <f>IFERROR(IF($C81="",-0.00001,SUMIFS(Database!I:I,Database!$E:$E,$C81)),-0.00001)</f>
        <v>-1.0000000000000001E-5</v>
      </c>
      <c r="H81" s="185">
        <f>IFERROR(IF($C81="",-0.00001,SUMIFS(Database!J:J,Database!$E:$E,$C81)),-0.00001)</f>
        <v>-1.0000000000000001E-5</v>
      </c>
      <c r="I81" s="185">
        <f>IFERROR(IF($C81="",-0.00001,SUMIFS(Database!K:K,Database!$E:$E,$C81)),-0.00001)</f>
        <v>-1.0000000000000001E-5</v>
      </c>
      <c r="J81" s="185">
        <f>IFERROR(IF($C81="",-0.00001,SUMIFS(Database!L:L,Database!$E:$E,$C81)),-0.00001)</f>
        <v>-1.0000000000000001E-5</v>
      </c>
      <c r="K81" s="185">
        <f>IFERROR(IF($C81="",-0.00001,SUMIFS(Database!M:M,Database!$E:$E,$C81)),-0.00001)</f>
        <v>-1.0000000000000001E-5</v>
      </c>
      <c r="L81" s="185">
        <f>IFERROR(IF($C81="",-0.00001,SUMIFS(Database!N:N,Database!$E:$E,$C81)),-0.00001)</f>
        <v>-1.0000000000000001E-5</v>
      </c>
      <c r="M81" s="185">
        <f>IFERROR(IF($C81="",-0.00001,SUMIFS(Database!O:O,Database!$E:$E,$C81)),-0.00001)</f>
        <v>-1.0000000000000001E-5</v>
      </c>
      <c r="N81" s="185">
        <f>IFERROR(IF($C81="",-0.00001,SUMIFS(Database!P:P,Database!$E:$E,$C81)),-0.00001)</f>
        <v>-1.0000000000000001E-5</v>
      </c>
      <c r="O81" s="185">
        <f>IFERROR(IF($C81="",-0.00001,SUMIFS(Database!Q:Q,Database!$E:$E,$C81)),-0.00001)</f>
        <v>-1.0000000000000001E-5</v>
      </c>
      <c r="P81" s="186">
        <f t="shared" si="3"/>
        <v>-1.0000000000000001E-5</v>
      </c>
      <c r="Q81" s="185">
        <f>IFERROR(IF($C81="",-0.00001,SUMIFS(Database!S:S,Database!$E:$E,$C81)),-0.00001)</f>
        <v>-1.0000000000000001E-5</v>
      </c>
      <c r="R81" s="185">
        <f>IFERROR(IF($C81="",-0.00001,SUMIFS(Database!T:T,Database!$E:$E,$C81)),-0.00001)</f>
        <v>-1.0000000000000001E-5</v>
      </c>
      <c r="S81" s="186">
        <f t="shared" si="4"/>
        <v>-1.0000000000000001E-5</v>
      </c>
      <c r="T81" s="185">
        <f>IFERROR(IF($C81="",-0.00001,SUMIFS(Database!V:V,Database!$E:$E,$C81)),-0.00001)</f>
        <v>-1.0000000000000001E-5</v>
      </c>
      <c r="U81" s="185">
        <f>IFERROR(IF($C81="",-0.00001,SUMIFS(Database!W:W,Database!$E:$E,$C81)),-0.00001)</f>
        <v>-1.0000000000000001E-5</v>
      </c>
      <c r="V81" s="186">
        <f t="shared" si="5"/>
        <v>-1.0000000000000001E-5</v>
      </c>
      <c r="W81" s="187"/>
      <c r="X81" s="187"/>
      <c r="Y81" s="187"/>
      <c r="Z81" s="187"/>
      <c r="AA81" s="187"/>
      <c r="AB81" s="187"/>
      <c r="AC81" s="187"/>
      <c r="AD81" s="187"/>
      <c r="AE81" s="187"/>
    </row>
    <row r="82" spans="1:31" x14ac:dyDescent="0.25">
      <c r="A82" s="187"/>
      <c r="B82" s="187" t="str">
        <f>IF($C82="","",MAX($B$4:$B81)+1)</f>
        <v/>
      </c>
      <c r="C82" s="183"/>
      <c r="D82" s="183"/>
      <c r="E82" s="185">
        <f>IF($C82="",-0.00001,COUNTIF(Database!E:E,$C82))</f>
        <v>-1.0000000000000001E-5</v>
      </c>
      <c r="F82" s="185">
        <f>IFERROR(IF($C82="",-0.00001,SUMIFS(Database!H:H,Database!$E:$E,$C82)),-0.00001)</f>
        <v>-1.0000000000000001E-5</v>
      </c>
      <c r="G82" s="185">
        <f>IFERROR(IF($C82="",-0.00001,SUMIFS(Database!I:I,Database!$E:$E,$C82)),-0.00001)</f>
        <v>-1.0000000000000001E-5</v>
      </c>
      <c r="H82" s="185">
        <f>IFERROR(IF($C82="",-0.00001,SUMIFS(Database!J:J,Database!$E:$E,$C82)),-0.00001)</f>
        <v>-1.0000000000000001E-5</v>
      </c>
      <c r="I82" s="185">
        <f>IFERROR(IF($C82="",-0.00001,SUMIFS(Database!K:K,Database!$E:$E,$C82)),-0.00001)</f>
        <v>-1.0000000000000001E-5</v>
      </c>
      <c r="J82" s="185">
        <f>IFERROR(IF($C82="",-0.00001,SUMIFS(Database!L:L,Database!$E:$E,$C82)),-0.00001)</f>
        <v>-1.0000000000000001E-5</v>
      </c>
      <c r="K82" s="185">
        <f>IFERROR(IF($C82="",-0.00001,SUMIFS(Database!M:M,Database!$E:$E,$C82)),-0.00001)</f>
        <v>-1.0000000000000001E-5</v>
      </c>
      <c r="L82" s="185">
        <f>IFERROR(IF($C82="",-0.00001,SUMIFS(Database!N:N,Database!$E:$E,$C82)),-0.00001)</f>
        <v>-1.0000000000000001E-5</v>
      </c>
      <c r="M82" s="185">
        <f>IFERROR(IF($C82="",-0.00001,SUMIFS(Database!O:O,Database!$E:$E,$C82)),-0.00001)</f>
        <v>-1.0000000000000001E-5</v>
      </c>
      <c r="N82" s="185">
        <f>IFERROR(IF($C82="",-0.00001,SUMIFS(Database!P:P,Database!$E:$E,$C82)),-0.00001)</f>
        <v>-1.0000000000000001E-5</v>
      </c>
      <c r="O82" s="185">
        <f>IFERROR(IF($C82="",-0.00001,SUMIFS(Database!Q:Q,Database!$E:$E,$C82)),-0.00001)</f>
        <v>-1.0000000000000001E-5</v>
      </c>
      <c r="P82" s="186">
        <f t="shared" si="3"/>
        <v>-1.0000000000000001E-5</v>
      </c>
      <c r="Q82" s="185">
        <f>IFERROR(IF($C82="",-0.00001,SUMIFS(Database!S:S,Database!$E:$E,$C82)),-0.00001)</f>
        <v>-1.0000000000000001E-5</v>
      </c>
      <c r="R82" s="185">
        <f>IFERROR(IF($C82="",-0.00001,SUMIFS(Database!T:T,Database!$E:$E,$C82)),-0.00001)</f>
        <v>-1.0000000000000001E-5</v>
      </c>
      <c r="S82" s="186">
        <f t="shared" si="4"/>
        <v>-1.0000000000000001E-5</v>
      </c>
      <c r="T82" s="185">
        <f>IFERROR(IF($C82="",-0.00001,SUMIFS(Database!V:V,Database!$E:$E,$C82)),-0.00001)</f>
        <v>-1.0000000000000001E-5</v>
      </c>
      <c r="U82" s="185">
        <f>IFERROR(IF($C82="",-0.00001,SUMIFS(Database!W:W,Database!$E:$E,$C82)),-0.00001)</f>
        <v>-1.0000000000000001E-5</v>
      </c>
      <c r="V82" s="186">
        <f t="shared" si="5"/>
        <v>-1.0000000000000001E-5</v>
      </c>
      <c r="W82" s="187"/>
      <c r="X82" s="187"/>
      <c r="Y82" s="187"/>
      <c r="Z82" s="187"/>
      <c r="AA82" s="187"/>
      <c r="AB82" s="187"/>
      <c r="AC82" s="187"/>
      <c r="AD82" s="187"/>
      <c r="AE82" s="187"/>
    </row>
    <row r="83" spans="1:31" x14ac:dyDescent="0.25">
      <c r="A83" s="187"/>
      <c r="B83" s="187" t="str">
        <f>IF($C83="","",MAX($B$4:$B82)+1)</f>
        <v/>
      </c>
      <c r="C83" s="183"/>
      <c r="D83" s="183"/>
      <c r="E83" s="185">
        <f>IF($C83="",-0.00001,COUNTIF(Database!E:E,$C83))</f>
        <v>-1.0000000000000001E-5</v>
      </c>
      <c r="F83" s="185">
        <f>IFERROR(IF($C83="",-0.00001,SUMIFS(Database!H:H,Database!$E:$E,$C83)),-0.00001)</f>
        <v>-1.0000000000000001E-5</v>
      </c>
      <c r="G83" s="185">
        <f>IFERROR(IF($C83="",-0.00001,SUMIFS(Database!I:I,Database!$E:$E,$C83)),-0.00001)</f>
        <v>-1.0000000000000001E-5</v>
      </c>
      <c r="H83" s="185">
        <f>IFERROR(IF($C83="",-0.00001,SUMIFS(Database!J:J,Database!$E:$E,$C83)),-0.00001)</f>
        <v>-1.0000000000000001E-5</v>
      </c>
      <c r="I83" s="185">
        <f>IFERROR(IF($C83="",-0.00001,SUMIFS(Database!K:K,Database!$E:$E,$C83)),-0.00001)</f>
        <v>-1.0000000000000001E-5</v>
      </c>
      <c r="J83" s="185">
        <f>IFERROR(IF($C83="",-0.00001,SUMIFS(Database!L:L,Database!$E:$E,$C83)),-0.00001)</f>
        <v>-1.0000000000000001E-5</v>
      </c>
      <c r="K83" s="185">
        <f>IFERROR(IF($C83="",-0.00001,SUMIFS(Database!M:M,Database!$E:$E,$C83)),-0.00001)</f>
        <v>-1.0000000000000001E-5</v>
      </c>
      <c r="L83" s="185">
        <f>IFERROR(IF($C83="",-0.00001,SUMIFS(Database!N:N,Database!$E:$E,$C83)),-0.00001)</f>
        <v>-1.0000000000000001E-5</v>
      </c>
      <c r="M83" s="185">
        <f>IFERROR(IF($C83="",-0.00001,SUMIFS(Database!O:O,Database!$E:$E,$C83)),-0.00001)</f>
        <v>-1.0000000000000001E-5</v>
      </c>
      <c r="N83" s="185">
        <f>IFERROR(IF($C83="",-0.00001,SUMIFS(Database!P:P,Database!$E:$E,$C83)),-0.00001)</f>
        <v>-1.0000000000000001E-5</v>
      </c>
      <c r="O83" s="185">
        <f>IFERROR(IF($C83="",-0.00001,SUMIFS(Database!Q:Q,Database!$E:$E,$C83)),-0.00001)</f>
        <v>-1.0000000000000001E-5</v>
      </c>
      <c r="P83" s="186">
        <f t="shared" si="3"/>
        <v>-1.0000000000000001E-5</v>
      </c>
      <c r="Q83" s="185">
        <f>IFERROR(IF($C83="",-0.00001,SUMIFS(Database!S:S,Database!$E:$E,$C83)),-0.00001)</f>
        <v>-1.0000000000000001E-5</v>
      </c>
      <c r="R83" s="185">
        <f>IFERROR(IF($C83="",-0.00001,SUMIFS(Database!T:T,Database!$E:$E,$C83)),-0.00001)</f>
        <v>-1.0000000000000001E-5</v>
      </c>
      <c r="S83" s="186">
        <f t="shared" si="4"/>
        <v>-1.0000000000000001E-5</v>
      </c>
      <c r="T83" s="185">
        <f>IFERROR(IF($C83="",-0.00001,SUMIFS(Database!V:V,Database!$E:$E,$C83)),-0.00001)</f>
        <v>-1.0000000000000001E-5</v>
      </c>
      <c r="U83" s="185">
        <f>IFERROR(IF($C83="",-0.00001,SUMIFS(Database!W:W,Database!$E:$E,$C83)),-0.00001)</f>
        <v>-1.0000000000000001E-5</v>
      </c>
      <c r="V83" s="186">
        <f t="shared" si="5"/>
        <v>-1.0000000000000001E-5</v>
      </c>
      <c r="W83" s="187"/>
      <c r="X83" s="187"/>
      <c r="Y83" s="187"/>
      <c r="Z83" s="187"/>
      <c r="AA83" s="187"/>
      <c r="AB83" s="187"/>
      <c r="AC83" s="187"/>
      <c r="AD83" s="187"/>
      <c r="AE83" s="187"/>
    </row>
    <row r="84" spans="1:31" x14ac:dyDescent="0.25">
      <c r="A84" s="187"/>
      <c r="B84" s="187" t="str">
        <f>IF($C84="","",MAX($B$4:$B83)+1)</f>
        <v/>
      </c>
      <c r="C84" s="183"/>
      <c r="D84" s="183"/>
      <c r="E84" s="185">
        <f>IF($C84="",-0.00001,COUNTIF(Database!E:E,$C84))</f>
        <v>-1.0000000000000001E-5</v>
      </c>
      <c r="F84" s="185">
        <f>IFERROR(IF($C84="",-0.00001,SUMIFS(Database!H:H,Database!$E:$E,$C84)),-0.00001)</f>
        <v>-1.0000000000000001E-5</v>
      </c>
      <c r="G84" s="185">
        <f>IFERROR(IF($C84="",-0.00001,SUMIFS(Database!I:I,Database!$E:$E,$C84)),-0.00001)</f>
        <v>-1.0000000000000001E-5</v>
      </c>
      <c r="H84" s="185">
        <f>IFERROR(IF($C84="",-0.00001,SUMIFS(Database!J:J,Database!$E:$E,$C84)),-0.00001)</f>
        <v>-1.0000000000000001E-5</v>
      </c>
      <c r="I84" s="185">
        <f>IFERROR(IF($C84="",-0.00001,SUMIFS(Database!K:K,Database!$E:$E,$C84)),-0.00001)</f>
        <v>-1.0000000000000001E-5</v>
      </c>
      <c r="J84" s="185">
        <f>IFERROR(IF($C84="",-0.00001,SUMIFS(Database!L:L,Database!$E:$E,$C84)),-0.00001)</f>
        <v>-1.0000000000000001E-5</v>
      </c>
      <c r="K84" s="185">
        <f>IFERROR(IF($C84="",-0.00001,SUMIFS(Database!M:M,Database!$E:$E,$C84)),-0.00001)</f>
        <v>-1.0000000000000001E-5</v>
      </c>
      <c r="L84" s="185">
        <f>IFERROR(IF($C84="",-0.00001,SUMIFS(Database!N:N,Database!$E:$E,$C84)),-0.00001)</f>
        <v>-1.0000000000000001E-5</v>
      </c>
      <c r="M84" s="185">
        <f>IFERROR(IF($C84="",-0.00001,SUMIFS(Database!O:O,Database!$E:$E,$C84)),-0.00001)</f>
        <v>-1.0000000000000001E-5</v>
      </c>
      <c r="N84" s="185">
        <f>IFERROR(IF($C84="",-0.00001,SUMIFS(Database!P:P,Database!$E:$E,$C84)),-0.00001)</f>
        <v>-1.0000000000000001E-5</v>
      </c>
      <c r="O84" s="185">
        <f>IFERROR(IF($C84="",-0.00001,SUMIFS(Database!Q:Q,Database!$E:$E,$C84)),-0.00001)</f>
        <v>-1.0000000000000001E-5</v>
      </c>
      <c r="P84" s="186">
        <f t="shared" si="3"/>
        <v>-1.0000000000000001E-5</v>
      </c>
      <c r="Q84" s="185">
        <f>IFERROR(IF($C84="",-0.00001,SUMIFS(Database!S:S,Database!$E:$E,$C84)),-0.00001)</f>
        <v>-1.0000000000000001E-5</v>
      </c>
      <c r="R84" s="185">
        <f>IFERROR(IF($C84="",-0.00001,SUMIFS(Database!T:T,Database!$E:$E,$C84)),-0.00001)</f>
        <v>-1.0000000000000001E-5</v>
      </c>
      <c r="S84" s="186">
        <f t="shared" si="4"/>
        <v>-1.0000000000000001E-5</v>
      </c>
      <c r="T84" s="185">
        <f>IFERROR(IF($C84="",-0.00001,SUMIFS(Database!V:V,Database!$E:$E,$C84)),-0.00001)</f>
        <v>-1.0000000000000001E-5</v>
      </c>
      <c r="U84" s="185">
        <f>IFERROR(IF($C84="",-0.00001,SUMIFS(Database!W:W,Database!$E:$E,$C84)),-0.00001)</f>
        <v>-1.0000000000000001E-5</v>
      </c>
      <c r="V84" s="186">
        <f t="shared" si="5"/>
        <v>-1.0000000000000001E-5</v>
      </c>
      <c r="W84" s="187"/>
      <c r="X84" s="187"/>
      <c r="Y84" s="187"/>
      <c r="Z84" s="187"/>
      <c r="AA84" s="187"/>
      <c r="AB84" s="187"/>
      <c r="AC84" s="187"/>
      <c r="AD84" s="187"/>
      <c r="AE84" s="187"/>
    </row>
    <row r="85" spans="1:31" x14ac:dyDescent="0.25">
      <c r="A85" s="187"/>
      <c r="B85" s="187" t="str">
        <f>IF($C85="","",MAX($B$4:$B84)+1)</f>
        <v/>
      </c>
      <c r="C85" s="183"/>
      <c r="D85" s="183"/>
      <c r="E85" s="185">
        <f>IF($C85="",-0.00001,COUNTIF(Database!E:E,$C85))</f>
        <v>-1.0000000000000001E-5</v>
      </c>
      <c r="F85" s="185">
        <f>IFERROR(IF($C85="",-0.00001,SUMIFS(Database!H:H,Database!$E:$E,$C85)),-0.00001)</f>
        <v>-1.0000000000000001E-5</v>
      </c>
      <c r="G85" s="185">
        <f>IFERROR(IF($C85="",-0.00001,SUMIFS(Database!I:I,Database!$E:$E,$C85)),-0.00001)</f>
        <v>-1.0000000000000001E-5</v>
      </c>
      <c r="H85" s="185">
        <f>IFERROR(IF($C85="",-0.00001,SUMIFS(Database!J:J,Database!$E:$E,$C85)),-0.00001)</f>
        <v>-1.0000000000000001E-5</v>
      </c>
      <c r="I85" s="185">
        <f>IFERROR(IF($C85="",-0.00001,SUMIFS(Database!K:K,Database!$E:$E,$C85)),-0.00001)</f>
        <v>-1.0000000000000001E-5</v>
      </c>
      <c r="J85" s="185">
        <f>IFERROR(IF($C85="",-0.00001,SUMIFS(Database!L:L,Database!$E:$E,$C85)),-0.00001)</f>
        <v>-1.0000000000000001E-5</v>
      </c>
      <c r="K85" s="185">
        <f>IFERROR(IF($C85="",-0.00001,SUMIFS(Database!M:M,Database!$E:$E,$C85)),-0.00001)</f>
        <v>-1.0000000000000001E-5</v>
      </c>
      <c r="L85" s="185">
        <f>IFERROR(IF($C85="",-0.00001,SUMIFS(Database!N:N,Database!$E:$E,$C85)),-0.00001)</f>
        <v>-1.0000000000000001E-5</v>
      </c>
      <c r="M85" s="185">
        <f>IFERROR(IF($C85="",-0.00001,SUMIFS(Database!O:O,Database!$E:$E,$C85)),-0.00001)</f>
        <v>-1.0000000000000001E-5</v>
      </c>
      <c r="N85" s="185">
        <f>IFERROR(IF($C85="",-0.00001,SUMIFS(Database!P:P,Database!$E:$E,$C85)),-0.00001)</f>
        <v>-1.0000000000000001E-5</v>
      </c>
      <c r="O85" s="185">
        <f>IFERROR(IF($C85="",-0.00001,SUMIFS(Database!Q:Q,Database!$E:$E,$C85)),-0.00001)</f>
        <v>-1.0000000000000001E-5</v>
      </c>
      <c r="P85" s="186">
        <f t="shared" si="3"/>
        <v>-1.0000000000000001E-5</v>
      </c>
      <c r="Q85" s="185">
        <f>IFERROR(IF($C85="",-0.00001,SUMIFS(Database!S:S,Database!$E:$E,$C85)),-0.00001)</f>
        <v>-1.0000000000000001E-5</v>
      </c>
      <c r="R85" s="185">
        <f>IFERROR(IF($C85="",-0.00001,SUMIFS(Database!T:T,Database!$E:$E,$C85)),-0.00001)</f>
        <v>-1.0000000000000001E-5</v>
      </c>
      <c r="S85" s="186">
        <f t="shared" si="4"/>
        <v>-1.0000000000000001E-5</v>
      </c>
      <c r="T85" s="185">
        <f>IFERROR(IF($C85="",-0.00001,SUMIFS(Database!V:V,Database!$E:$E,$C85)),-0.00001)</f>
        <v>-1.0000000000000001E-5</v>
      </c>
      <c r="U85" s="185">
        <f>IFERROR(IF($C85="",-0.00001,SUMIFS(Database!W:W,Database!$E:$E,$C85)),-0.00001)</f>
        <v>-1.0000000000000001E-5</v>
      </c>
      <c r="V85" s="186">
        <f t="shared" si="5"/>
        <v>-1.0000000000000001E-5</v>
      </c>
      <c r="W85" s="187"/>
      <c r="X85" s="187"/>
      <c r="Y85" s="187"/>
      <c r="Z85" s="187"/>
      <c r="AA85" s="187"/>
      <c r="AB85" s="187"/>
      <c r="AC85" s="187"/>
      <c r="AD85" s="187"/>
      <c r="AE85" s="187"/>
    </row>
    <row r="86" spans="1:31" x14ac:dyDescent="0.25">
      <c r="A86" s="187"/>
      <c r="B86" s="187" t="str">
        <f>IF($C86="","",MAX($B$4:$B85)+1)</f>
        <v/>
      </c>
      <c r="C86" s="183"/>
      <c r="D86" s="183"/>
      <c r="E86" s="185">
        <f>IF($C86="",-0.00001,COUNTIF(Database!E:E,$C86))</f>
        <v>-1.0000000000000001E-5</v>
      </c>
      <c r="F86" s="185">
        <f>IFERROR(IF($C86="",-0.00001,SUMIFS(Database!H:H,Database!$E:$E,$C86)),-0.00001)</f>
        <v>-1.0000000000000001E-5</v>
      </c>
      <c r="G86" s="185">
        <f>IFERROR(IF($C86="",-0.00001,SUMIFS(Database!I:I,Database!$E:$E,$C86)),-0.00001)</f>
        <v>-1.0000000000000001E-5</v>
      </c>
      <c r="H86" s="185">
        <f>IFERROR(IF($C86="",-0.00001,SUMIFS(Database!J:J,Database!$E:$E,$C86)),-0.00001)</f>
        <v>-1.0000000000000001E-5</v>
      </c>
      <c r="I86" s="185">
        <f>IFERROR(IF($C86="",-0.00001,SUMIFS(Database!K:K,Database!$E:$E,$C86)),-0.00001)</f>
        <v>-1.0000000000000001E-5</v>
      </c>
      <c r="J86" s="185">
        <f>IFERROR(IF($C86="",-0.00001,SUMIFS(Database!L:L,Database!$E:$E,$C86)),-0.00001)</f>
        <v>-1.0000000000000001E-5</v>
      </c>
      <c r="K86" s="185">
        <f>IFERROR(IF($C86="",-0.00001,SUMIFS(Database!M:M,Database!$E:$E,$C86)),-0.00001)</f>
        <v>-1.0000000000000001E-5</v>
      </c>
      <c r="L86" s="185">
        <f>IFERROR(IF($C86="",-0.00001,SUMIFS(Database!N:N,Database!$E:$E,$C86)),-0.00001)</f>
        <v>-1.0000000000000001E-5</v>
      </c>
      <c r="M86" s="185">
        <f>IFERROR(IF($C86="",-0.00001,SUMIFS(Database!O:O,Database!$E:$E,$C86)),-0.00001)</f>
        <v>-1.0000000000000001E-5</v>
      </c>
      <c r="N86" s="185">
        <f>IFERROR(IF($C86="",-0.00001,SUMIFS(Database!P:P,Database!$E:$E,$C86)),-0.00001)</f>
        <v>-1.0000000000000001E-5</v>
      </c>
      <c r="O86" s="185">
        <f>IFERROR(IF($C86="",-0.00001,SUMIFS(Database!Q:Q,Database!$E:$E,$C86)),-0.00001)</f>
        <v>-1.0000000000000001E-5</v>
      </c>
      <c r="P86" s="186">
        <f t="shared" si="3"/>
        <v>-1.0000000000000001E-5</v>
      </c>
      <c r="Q86" s="185">
        <f>IFERROR(IF($C86="",-0.00001,SUMIFS(Database!S:S,Database!$E:$E,$C86)),-0.00001)</f>
        <v>-1.0000000000000001E-5</v>
      </c>
      <c r="R86" s="185">
        <f>IFERROR(IF($C86="",-0.00001,SUMIFS(Database!T:T,Database!$E:$E,$C86)),-0.00001)</f>
        <v>-1.0000000000000001E-5</v>
      </c>
      <c r="S86" s="186">
        <f t="shared" si="4"/>
        <v>-1.0000000000000001E-5</v>
      </c>
      <c r="T86" s="185">
        <f>IFERROR(IF($C86="",-0.00001,SUMIFS(Database!V:V,Database!$E:$E,$C86)),-0.00001)</f>
        <v>-1.0000000000000001E-5</v>
      </c>
      <c r="U86" s="185">
        <f>IFERROR(IF($C86="",-0.00001,SUMIFS(Database!W:W,Database!$E:$E,$C86)),-0.00001)</f>
        <v>-1.0000000000000001E-5</v>
      </c>
      <c r="V86" s="186">
        <f t="shared" si="5"/>
        <v>-1.0000000000000001E-5</v>
      </c>
      <c r="W86" s="187"/>
      <c r="X86" s="187"/>
      <c r="Y86" s="187"/>
      <c r="Z86" s="187"/>
      <c r="AA86" s="187"/>
      <c r="AB86" s="187"/>
      <c r="AC86" s="187"/>
      <c r="AD86" s="187"/>
      <c r="AE86" s="187"/>
    </row>
    <row r="87" spans="1:31" x14ac:dyDescent="0.25">
      <c r="A87" s="187"/>
      <c r="B87" s="187" t="str">
        <f>IF($C87="","",MAX($B$4:$B86)+1)</f>
        <v/>
      </c>
      <c r="C87" s="183"/>
      <c r="D87" s="183"/>
      <c r="E87" s="185">
        <f>IF($C87="",-0.00001,COUNTIF(Database!E:E,$C87))</f>
        <v>-1.0000000000000001E-5</v>
      </c>
      <c r="F87" s="185">
        <f>IFERROR(IF($C87="",-0.00001,SUMIFS(Database!H:H,Database!$E:$E,$C87)),-0.00001)</f>
        <v>-1.0000000000000001E-5</v>
      </c>
      <c r="G87" s="185">
        <f>IFERROR(IF($C87="",-0.00001,SUMIFS(Database!I:I,Database!$E:$E,$C87)),-0.00001)</f>
        <v>-1.0000000000000001E-5</v>
      </c>
      <c r="H87" s="185">
        <f>IFERROR(IF($C87="",-0.00001,SUMIFS(Database!J:J,Database!$E:$E,$C87)),-0.00001)</f>
        <v>-1.0000000000000001E-5</v>
      </c>
      <c r="I87" s="185">
        <f>IFERROR(IF($C87="",-0.00001,SUMIFS(Database!K:K,Database!$E:$E,$C87)),-0.00001)</f>
        <v>-1.0000000000000001E-5</v>
      </c>
      <c r="J87" s="185">
        <f>IFERROR(IF($C87="",-0.00001,SUMIFS(Database!L:L,Database!$E:$E,$C87)),-0.00001)</f>
        <v>-1.0000000000000001E-5</v>
      </c>
      <c r="K87" s="185">
        <f>IFERROR(IF($C87="",-0.00001,SUMIFS(Database!M:M,Database!$E:$E,$C87)),-0.00001)</f>
        <v>-1.0000000000000001E-5</v>
      </c>
      <c r="L87" s="185">
        <f>IFERROR(IF($C87="",-0.00001,SUMIFS(Database!N:N,Database!$E:$E,$C87)),-0.00001)</f>
        <v>-1.0000000000000001E-5</v>
      </c>
      <c r="M87" s="185">
        <f>IFERROR(IF($C87="",-0.00001,SUMIFS(Database!O:O,Database!$E:$E,$C87)),-0.00001)</f>
        <v>-1.0000000000000001E-5</v>
      </c>
      <c r="N87" s="185">
        <f>IFERROR(IF($C87="",-0.00001,SUMIFS(Database!P:P,Database!$E:$E,$C87)),-0.00001)</f>
        <v>-1.0000000000000001E-5</v>
      </c>
      <c r="O87" s="185">
        <f>IFERROR(IF($C87="",-0.00001,SUMIFS(Database!Q:Q,Database!$E:$E,$C87)),-0.00001)</f>
        <v>-1.0000000000000001E-5</v>
      </c>
      <c r="P87" s="186">
        <f t="shared" si="3"/>
        <v>-1.0000000000000001E-5</v>
      </c>
      <c r="Q87" s="185">
        <f>IFERROR(IF($C87="",-0.00001,SUMIFS(Database!S:S,Database!$E:$E,$C87)),-0.00001)</f>
        <v>-1.0000000000000001E-5</v>
      </c>
      <c r="R87" s="185">
        <f>IFERROR(IF($C87="",-0.00001,SUMIFS(Database!T:T,Database!$E:$E,$C87)),-0.00001)</f>
        <v>-1.0000000000000001E-5</v>
      </c>
      <c r="S87" s="186">
        <f t="shared" si="4"/>
        <v>-1.0000000000000001E-5</v>
      </c>
      <c r="T87" s="185">
        <f>IFERROR(IF($C87="",-0.00001,SUMIFS(Database!V:V,Database!$E:$E,$C87)),-0.00001)</f>
        <v>-1.0000000000000001E-5</v>
      </c>
      <c r="U87" s="185">
        <f>IFERROR(IF($C87="",-0.00001,SUMIFS(Database!W:W,Database!$E:$E,$C87)),-0.00001)</f>
        <v>-1.0000000000000001E-5</v>
      </c>
      <c r="V87" s="186">
        <f t="shared" si="5"/>
        <v>-1.0000000000000001E-5</v>
      </c>
      <c r="W87" s="187"/>
      <c r="X87" s="187"/>
      <c r="Y87" s="187"/>
      <c r="Z87" s="187"/>
      <c r="AA87" s="187"/>
      <c r="AB87" s="187"/>
      <c r="AC87" s="187"/>
      <c r="AD87" s="187"/>
      <c r="AE87" s="187"/>
    </row>
    <row r="88" spans="1:31" x14ac:dyDescent="0.25">
      <c r="A88" s="187"/>
      <c r="B88" s="187" t="str">
        <f>IF($C88="","",MAX($B$4:$B87)+1)</f>
        <v/>
      </c>
      <c r="C88" s="183"/>
      <c r="D88" s="183"/>
      <c r="E88" s="185">
        <f>IF($C88="",-0.00001,COUNTIF(Database!E:E,$C88))</f>
        <v>-1.0000000000000001E-5</v>
      </c>
      <c r="F88" s="185">
        <f>IFERROR(IF($C88="",-0.00001,SUMIFS(Database!H:H,Database!$E:$E,$C88)),-0.00001)</f>
        <v>-1.0000000000000001E-5</v>
      </c>
      <c r="G88" s="185">
        <f>IFERROR(IF($C88="",-0.00001,SUMIFS(Database!I:I,Database!$E:$E,$C88)),-0.00001)</f>
        <v>-1.0000000000000001E-5</v>
      </c>
      <c r="H88" s="185">
        <f>IFERROR(IF($C88="",-0.00001,SUMIFS(Database!J:J,Database!$E:$E,$C88)),-0.00001)</f>
        <v>-1.0000000000000001E-5</v>
      </c>
      <c r="I88" s="185">
        <f>IFERROR(IF($C88="",-0.00001,SUMIFS(Database!K:K,Database!$E:$E,$C88)),-0.00001)</f>
        <v>-1.0000000000000001E-5</v>
      </c>
      <c r="J88" s="185">
        <f>IFERROR(IF($C88="",-0.00001,SUMIFS(Database!L:L,Database!$E:$E,$C88)),-0.00001)</f>
        <v>-1.0000000000000001E-5</v>
      </c>
      <c r="K88" s="185">
        <f>IFERROR(IF($C88="",-0.00001,SUMIFS(Database!M:M,Database!$E:$E,$C88)),-0.00001)</f>
        <v>-1.0000000000000001E-5</v>
      </c>
      <c r="L88" s="185">
        <f>IFERROR(IF($C88="",-0.00001,SUMIFS(Database!N:N,Database!$E:$E,$C88)),-0.00001)</f>
        <v>-1.0000000000000001E-5</v>
      </c>
      <c r="M88" s="185">
        <f>IFERROR(IF($C88="",-0.00001,SUMIFS(Database!O:O,Database!$E:$E,$C88)),-0.00001)</f>
        <v>-1.0000000000000001E-5</v>
      </c>
      <c r="N88" s="185">
        <f>IFERROR(IF($C88="",-0.00001,SUMIFS(Database!P:P,Database!$E:$E,$C88)),-0.00001)</f>
        <v>-1.0000000000000001E-5</v>
      </c>
      <c r="O88" s="185">
        <f>IFERROR(IF($C88="",-0.00001,SUMIFS(Database!Q:Q,Database!$E:$E,$C88)),-0.00001)</f>
        <v>-1.0000000000000001E-5</v>
      </c>
      <c r="P88" s="186">
        <f t="shared" si="3"/>
        <v>-1.0000000000000001E-5</v>
      </c>
      <c r="Q88" s="185">
        <f>IFERROR(IF($C88="",-0.00001,SUMIFS(Database!S:S,Database!$E:$E,$C88)),-0.00001)</f>
        <v>-1.0000000000000001E-5</v>
      </c>
      <c r="R88" s="185">
        <f>IFERROR(IF($C88="",-0.00001,SUMIFS(Database!T:T,Database!$E:$E,$C88)),-0.00001)</f>
        <v>-1.0000000000000001E-5</v>
      </c>
      <c r="S88" s="186">
        <f t="shared" si="4"/>
        <v>-1.0000000000000001E-5</v>
      </c>
      <c r="T88" s="185">
        <f>IFERROR(IF($C88="",-0.00001,SUMIFS(Database!V:V,Database!$E:$E,$C88)),-0.00001)</f>
        <v>-1.0000000000000001E-5</v>
      </c>
      <c r="U88" s="185">
        <f>IFERROR(IF($C88="",-0.00001,SUMIFS(Database!W:W,Database!$E:$E,$C88)),-0.00001)</f>
        <v>-1.0000000000000001E-5</v>
      </c>
      <c r="V88" s="186">
        <f t="shared" si="5"/>
        <v>-1.0000000000000001E-5</v>
      </c>
      <c r="W88" s="187"/>
      <c r="X88" s="187"/>
      <c r="Y88" s="187"/>
      <c r="Z88" s="187"/>
      <c r="AA88" s="187"/>
      <c r="AB88" s="187"/>
      <c r="AC88" s="187"/>
      <c r="AD88" s="187"/>
      <c r="AE88" s="187"/>
    </row>
    <row r="89" spans="1:31" x14ac:dyDescent="0.25">
      <c r="A89" s="187"/>
      <c r="B89" s="187" t="str">
        <f>IF($C89="","",MAX($B$4:$B88)+1)</f>
        <v/>
      </c>
      <c r="C89" s="183"/>
      <c r="D89" s="183"/>
      <c r="E89" s="185">
        <f>IF($C89="",-0.00001,COUNTIF(Database!E:E,$C89))</f>
        <v>-1.0000000000000001E-5</v>
      </c>
      <c r="F89" s="185">
        <f>IFERROR(IF($C89="",-0.00001,SUMIFS(Database!H:H,Database!$E:$E,$C89)),-0.00001)</f>
        <v>-1.0000000000000001E-5</v>
      </c>
      <c r="G89" s="185">
        <f>IFERROR(IF($C89="",-0.00001,SUMIFS(Database!I:I,Database!$E:$E,$C89)),-0.00001)</f>
        <v>-1.0000000000000001E-5</v>
      </c>
      <c r="H89" s="185">
        <f>IFERROR(IF($C89="",-0.00001,SUMIFS(Database!J:J,Database!$E:$E,$C89)),-0.00001)</f>
        <v>-1.0000000000000001E-5</v>
      </c>
      <c r="I89" s="185">
        <f>IFERROR(IF($C89="",-0.00001,SUMIFS(Database!K:K,Database!$E:$E,$C89)),-0.00001)</f>
        <v>-1.0000000000000001E-5</v>
      </c>
      <c r="J89" s="185">
        <f>IFERROR(IF($C89="",-0.00001,SUMIFS(Database!L:L,Database!$E:$E,$C89)),-0.00001)</f>
        <v>-1.0000000000000001E-5</v>
      </c>
      <c r="K89" s="185">
        <f>IFERROR(IF($C89="",-0.00001,SUMIFS(Database!M:M,Database!$E:$E,$C89)),-0.00001)</f>
        <v>-1.0000000000000001E-5</v>
      </c>
      <c r="L89" s="185">
        <f>IFERROR(IF($C89="",-0.00001,SUMIFS(Database!N:N,Database!$E:$E,$C89)),-0.00001)</f>
        <v>-1.0000000000000001E-5</v>
      </c>
      <c r="M89" s="185">
        <f>IFERROR(IF($C89="",-0.00001,SUMIFS(Database!O:O,Database!$E:$E,$C89)),-0.00001)</f>
        <v>-1.0000000000000001E-5</v>
      </c>
      <c r="N89" s="185">
        <f>IFERROR(IF($C89="",-0.00001,SUMIFS(Database!P:P,Database!$E:$E,$C89)),-0.00001)</f>
        <v>-1.0000000000000001E-5</v>
      </c>
      <c r="O89" s="185">
        <f>IFERROR(IF($C89="",-0.00001,SUMIFS(Database!Q:Q,Database!$E:$E,$C89)),-0.00001)</f>
        <v>-1.0000000000000001E-5</v>
      </c>
      <c r="P89" s="186">
        <f t="shared" si="3"/>
        <v>-1.0000000000000001E-5</v>
      </c>
      <c r="Q89" s="185">
        <f>IFERROR(IF($C89="",-0.00001,SUMIFS(Database!S:S,Database!$E:$E,$C89)),-0.00001)</f>
        <v>-1.0000000000000001E-5</v>
      </c>
      <c r="R89" s="185">
        <f>IFERROR(IF($C89="",-0.00001,SUMIFS(Database!T:T,Database!$E:$E,$C89)),-0.00001)</f>
        <v>-1.0000000000000001E-5</v>
      </c>
      <c r="S89" s="186">
        <f t="shared" si="4"/>
        <v>-1.0000000000000001E-5</v>
      </c>
      <c r="T89" s="185">
        <f>IFERROR(IF($C89="",-0.00001,SUMIFS(Database!V:V,Database!$E:$E,$C89)),-0.00001)</f>
        <v>-1.0000000000000001E-5</v>
      </c>
      <c r="U89" s="185">
        <f>IFERROR(IF($C89="",-0.00001,SUMIFS(Database!W:W,Database!$E:$E,$C89)),-0.00001)</f>
        <v>-1.0000000000000001E-5</v>
      </c>
      <c r="V89" s="186">
        <f t="shared" si="5"/>
        <v>-1.0000000000000001E-5</v>
      </c>
      <c r="W89" s="187"/>
      <c r="X89" s="187"/>
      <c r="Y89" s="187"/>
      <c r="Z89" s="187"/>
      <c r="AA89" s="187"/>
      <c r="AB89" s="187"/>
      <c r="AC89" s="187"/>
      <c r="AD89" s="187"/>
      <c r="AE89" s="187"/>
    </row>
    <row r="90" spans="1:31" x14ac:dyDescent="0.25">
      <c r="A90" s="187"/>
      <c r="B90" s="187" t="str">
        <f>IF($C90="","",MAX($B$4:$B89)+1)</f>
        <v/>
      </c>
      <c r="C90" s="183"/>
      <c r="D90" s="183"/>
      <c r="E90" s="185">
        <f>IF($C90="",-0.00001,COUNTIF(Database!E:E,$C90))</f>
        <v>-1.0000000000000001E-5</v>
      </c>
      <c r="F90" s="185">
        <f>IFERROR(IF($C90="",-0.00001,SUMIFS(Database!H:H,Database!$E:$E,$C90)),-0.00001)</f>
        <v>-1.0000000000000001E-5</v>
      </c>
      <c r="G90" s="185">
        <f>IFERROR(IF($C90="",-0.00001,SUMIFS(Database!I:I,Database!$E:$E,$C90)),-0.00001)</f>
        <v>-1.0000000000000001E-5</v>
      </c>
      <c r="H90" s="185">
        <f>IFERROR(IF($C90="",-0.00001,SUMIFS(Database!J:J,Database!$E:$E,$C90)),-0.00001)</f>
        <v>-1.0000000000000001E-5</v>
      </c>
      <c r="I90" s="185">
        <f>IFERROR(IF($C90="",-0.00001,SUMIFS(Database!K:K,Database!$E:$E,$C90)),-0.00001)</f>
        <v>-1.0000000000000001E-5</v>
      </c>
      <c r="J90" s="185">
        <f>IFERROR(IF($C90="",-0.00001,SUMIFS(Database!L:L,Database!$E:$E,$C90)),-0.00001)</f>
        <v>-1.0000000000000001E-5</v>
      </c>
      <c r="K90" s="185">
        <f>IFERROR(IF($C90="",-0.00001,SUMIFS(Database!M:M,Database!$E:$E,$C90)),-0.00001)</f>
        <v>-1.0000000000000001E-5</v>
      </c>
      <c r="L90" s="185">
        <f>IFERROR(IF($C90="",-0.00001,SUMIFS(Database!N:N,Database!$E:$E,$C90)),-0.00001)</f>
        <v>-1.0000000000000001E-5</v>
      </c>
      <c r="M90" s="185">
        <f>IFERROR(IF($C90="",-0.00001,SUMIFS(Database!O:O,Database!$E:$E,$C90)),-0.00001)</f>
        <v>-1.0000000000000001E-5</v>
      </c>
      <c r="N90" s="185">
        <f>IFERROR(IF($C90="",-0.00001,SUMIFS(Database!P:P,Database!$E:$E,$C90)),-0.00001)</f>
        <v>-1.0000000000000001E-5</v>
      </c>
      <c r="O90" s="185">
        <f>IFERROR(IF($C90="",-0.00001,SUMIFS(Database!Q:Q,Database!$E:$E,$C90)),-0.00001)</f>
        <v>-1.0000000000000001E-5</v>
      </c>
      <c r="P90" s="186">
        <f t="shared" si="3"/>
        <v>-1.0000000000000001E-5</v>
      </c>
      <c r="Q90" s="185">
        <f>IFERROR(IF($C90="",-0.00001,SUMIFS(Database!S:S,Database!$E:$E,$C90)),-0.00001)</f>
        <v>-1.0000000000000001E-5</v>
      </c>
      <c r="R90" s="185">
        <f>IFERROR(IF($C90="",-0.00001,SUMIFS(Database!T:T,Database!$E:$E,$C90)),-0.00001)</f>
        <v>-1.0000000000000001E-5</v>
      </c>
      <c r="S90" s="186">
        <f t="shared" si="4"/>
        <v>-1.0000000000000001E-5</v>
      </c>
      <c r="T90" s="185">
        <f>IFERROR(IF($C90="",-0.00001,SUMIFS(Database!V:V,Database!$E:$E,$C90)),-0.00001)</f>
        <v>-1.0000000000000001E-5</v>
      </c>
      <c r="U90" s="185">
        <f>IFERROR(IF($C90="",-0.00001,SUMIFS(Database!W:W,Database!$E:$E,$C90)),-0.00001)</f>
        <v>-1.0000000000000001E-5</v>
      </c>
      <c r="V90" s="186">
        <f t="shared" si="5"/>
        <v>-1.0000000000000001E-5</v>
      </c>
      <c r="W90" s="187"/>
      <c r="X90" s="187"/>
      <c r="Y90" s="187"/>
      <c r="Z90" s="187"/>
      <c r="AA90" s="187"/>
      <c r="AB90" s="187"/>
      <c r="AC90" s="187"/>
      <c r="AD90" s="187"/>
      <c r="AE90" s="187"/>
    </row>
    <row r="91" spans="1:31" x14ac:dyDescent="0.25">
      <c r="A91" s="187"/>
      <c r="B91" s="187" t="str">
        <f>IF($C91="","",MAX($B$4:$B90)+1)</f>
        <v/>
      </c>
      <c r="C91" s="183"/>
      <c r="D91" s="183"/>
      <c r="E91" s="185">
        <f>IF($C91="",-0.00001,COUNTIF(Database!E:E,$C91))</f>
        <v>-1.0000000000000001E-5</v>
      </c>
      <c r="F91" s="185">
        <f>IFERROR(IF($C91="",-0.00001,SUMIFS(Database!H:H,Database!$E:$E,$C91)),-0.00001)</f>
        <v>-1.0000000000000001E-5</v>
      </c>
      <c r="G91" s="185">
        <f>IFERROR(IF($C91="",-0.00001,SUMIFS(Database!I:I,Database!$E:$E,$C91)),-0.00001)</f>
        <v>-1.0000000000000001E-5</v>
      </c>
      <c r="H91" s="185">
        <f>IFERROR(IF($C91="",-0.00001,SUMIFS(Database!J:J,Database!$E:$E,$C91)),-0.00001)</f>
        <v>-1.0000000000000001E-5</v>
      </c>
      <c r="I91" s="185">
        <f>IFERROR(IF($C91="",-0.00001,SUMIFS(Database!K:K,Database!$E:$E,$C91)),-0.00001)</f>
        <v>-1.0000000000000001E-5</v>
      </c>
      <c r="J91" s="185">
        <f>IFERROR(IF($C91="",-0.00001,SUMIFS(Database!L:L,Database!$E:$E,$C91)),-0.00001)</f>
        <v>-1.0000000000000001E-5</v>
      </c>
      <c r="K91" s="185">
        <f>IFERROR(IF($C91="",-0.00001,SUMIFS(Database!M:M,Database!$E:$E,$C91)),-0.00001)</f>
        <v>-1.0000000000000001E-5</v>
      </c>
      <c r="L91" s="185">
        <f>IFERROR(IF($C91="",-0.00001,SUMIFS(Database!N:N,Database!$E:$E,$C91)),-0.00001)</f>
        <v>-1.0000000000000001E-5</v>
      </c>
      <c r="M91" s="185">
        <f>IFERROR(IF($C91="",-0.00001,SUMIFS(Database!O:O,Database!$E:$E,$C91)),-0.00001)</f>
        <v>-1.0000000000000001E-5</v>
      </c>
      <c r="N91" s="185">
        <f>IFERROR(IF($C91="",-0.00001,SUMIFS(Database!P:P,Database!$E:$E,$C91)),-0.00001)</f>
        <v>-1.0000000000000001E-5</v>
      </c>
      <c r="O91" s="185">
        <f>IFERROR(IF($C91="",-0.00001,SUMIFS(Database!Q:Q,Database!$E:$E,$C91)),-0.00001)</f>
        <v>-1.0000000000000001E-5</v>
      </c>
      <c r="P91" s="186">
        <f t="shared" si="3"/>
        <v>-1.0000000000000001E-5</v>
      </c>
      <c r="Q91" s="185">
        <f>IFERROR(IF($C91="",-0.00001,SUMIFS(Database!S:S,Database!$E:$E,$C91)),-0.00001)</f>
        <v>-1.0000000000000001E-5</v>
      </c>
      <c r="R91" s="185">
        <f>IFERROR(IF($C91="",-0.00001,SUMIFS(Database!T:T,Database!$E:$E,$C91)),-0.00001)</f>
        <v>-1.0000000000000001E-5</v>
      </c>
      <c r="S91" s="186">
        <f t="shared" si="4"/>
        <v>-1.0000000000000001E-5</v>
      </c>
      <c r="T91" s="185">
        <f>IFERROR(IF($C91="",-0.00001,SUMIFS(Database!V:V,Database!$E:$E,$C91)),-0.00001)</f>
        <v>-1.0000000000000001E-5</v>
      </c>
      <c r="U91" s="185">
        <f>IFERROR(IF($C91="",-0.00001,SUMIFS(Database!W:W,Database!$E:$E,$C91)),-0.00001)</f>
        <v>-1.0000000000000001E-5</v>
      </c>
      <c r="V91" s="186">
        <f t="shared" si="5"/>
        <v>-1.0000000000000001E-5</v>
      </c>
      <c r="W91" s="187"/>
      <c r="X91" s="187"/>
      <c r="Y91" s="187"/>
      <c r="Z91" s="187"/>
      <c r="AA91" s="187"/>
      <c r="AB91" s="187"/>
      <c r="AC91" s="187"/>
      <c r="AD91" s="187"/>
      <c r="AE91" s="187"/>
    </row>
    <row r="92" spans="1:31" x14ac:dyDescent="0.25">
      <c r="A92" s="187"/>
      <c r="B92" s="187" t="str">
        <f>IF($C92="","",MAX($B$4:$B91)+1)</f>
        <v/>
      </c>
      <c r="C92" s="183"/>
      <c r="D92" s="183"/>
      <c r="E92" s="185">
        <f>IF($C92="",-0.00001,COUNTIF(Database!E:E,$C92))</f>
        <v>-1.0000000000000001E-5</v>
      </c>
      <c r="F92" s="185">
        <f>IFERROR(IF($C92="",-0.00001,SUMIFS(Database!H:H,Database!$E:$E,$C92)),-0.00001)</f>
        <v>-1.0000000000000001E-5</v>
      </c>
      <c r="G92" s="185">
        <f>IFERROR(IF($C92="",-0.00001,SUMIFS(Database!I:I,Database!$E:$E,$C92)),-0.00001)</f>
        <v>-1.0000000000000001E-5</v>
      </c>
      <c r="H92" s="185">
        <f>IFERROR(IF($C92="",-0.00001,SUMIFS(Database!J:J,Database!$E:$E,$C92)),-0.00001)</f>
        <v>-1.0000000000000001E-5</v>
      </c>
      <c r="I92" s="185">
        <f>IFERROR(IF($C92="",-0.00001,SUMIFS(Database!K:K,Database!$E:$E,$C92)),-0.00001)</f>
        <v>-1.0000000000000001E-5</v>
      </c>
      <c r="J92" s="185">
        <f>IFERROR(IF($C92="",-0.00001,SUMIFS(Database!L:L,Database!$E:$E,$C92)),-0.00001)</f>
        <v>-1.0000000000000001E-5</v>
      </c>
      <c r="K92" s="185">
        <f>IFERROR(IF($C92="",-0.00001,SUMIFS(Database!M:M,Database!$E:$E,$C92)),-0.00001)</f>
        <v>-1.0000000000000001E-5</v>
      </c>
      <c r="L92" s="185">
        <f>IFERROR(IF($C92="",-0.00001,SUMIFS(Database!N:N,Database!$E:$E,$C92)),-0.00001)</f>
        <v>-1.0000000000000001E-5</v>
      </c>
      <c r="M92" s="185">
        <f>IFERROR(IF($C92="",-0.00001,SUMIFS(Database!O:O,Database!$E:$E,$C92)),-0.00001)</f>
        <v>-1.0000000000000001E-5</v>
      </c>
      <c r="N92" s="185">
        <f>IFERROR(IF($C92="",-0.00001,SUMIFS(Database!P:P,Database!$E:$E,$C92)),-0.00001)</f>
        <v>-1.0000000000000001E-5</v>
      </c>
      <c r="O92" s="185">
        <f>IFERROR(IF($C92="",-0.00001,SUMIFS(Database!Q:Q,Database!$E:$E,$C92)),-0.00001)</f>
        <v>-1.0000000000000001E-5</v>
      </c>
      <c r="P92" s="186">
        <f t="shared" si="3"/>
        <v>-1.0000000000000001E-5</v>
      </c>
      <c r="Q92" s="185">
        <f>IFERROR(IF($C92="",-0.00001,SUMIFS(Database!S:S,Database!$E:$E,$C92)),-0.00001)</f>
        <v>-1.0000000000000001E-5</v>
      </c>
      <c r="R92" s="185">
        <f>IFERROR(IF($C92="",-0.00001,SUMIFS(Database!T:T,Database!$E:$E,$C92)),-0.00001)</f>
        <v>-1.0000000000000001E-5</v>
      </c>
      <c r="S92" s="186">
        <f t="shared" si="4"/>
        <v>-1.0000000000000001E-5</v>
      </c>
      <c r="T92" s="185">
        <f>IFERROR(IF($C92="",-0.00001,SUMIFS(Database!V:V,Database!$E:$E,$C92)),-0.00001)</f>
        <v>-1.0000000000000001E-5</v>
      </c>
      <c r="U92" s="185">
        <f>IFERROR(IF($C92="",-0.00001,SUMIFS(Database!W:W,Database!$E:$E,$C92)),-0.00001)</f>
        <v>-1.0000000000000001E-5</v>
      </c>
      <c r="V92" s="186">
        <f t="shared" si="5"/>
        <v>-1.0000000000000001E-5</v>
      </c>
      <c r="W92" s="187"/>
      <c r="X92" s="187"/>
      <c r="Y92" s="187"/>
      <c r="Z92" s="187"/>
      <c r="AA92" s="187"/>
      <c r="AB92" s="187"/>
      <c r="AC92" s="187"/>
      <c r="AD92" s="187"/>
      <c r="AE92" s="187"/>
    </row>
    <row r="93" spans="1:31" x14ac:dyDescent="0.25">
      <c r="A93" s="187"/>
      <c r="B93" s="187" t="str">
        <f>IF($C93="","",MAX($B$4:$B92)+1)</f>
        <v/>
      </c>
      <c r="C93" s="183"/>
      <c r="D93" s="183"/>
      <c r="E93" s="185">
        <f>IF($C93="",-0.00001,COUNTIF(Database!E:E,$C93))</f>
        <v>-1.0000000000000001E-5</v>
      </c>
      <c r="F93" s="185">
        <f>IFERROR(IF($C93="",-0.00001,SUMIFS(Database!H:H,Database!$E:$E,$C93)),-0.00001)</f>
        <v>-1.0000000000000001E-5</v>
      </c>
      <c r="G93" s="185">
        <f>IFERROR(IF($C93="",-0.00001,SUMIFS(Database!I:I,Database!$E:$E,$C93)),-0.00001)</f>
        <v>-1.0000000000000001E-5</v>
      </c>
      <c r="H93" s="185">
        <f>IFERROR(IF($C93="",-0.00001,SUMIFS(Database!J:J,Database!$E:$E,$C93)),-0.00001)</f>
        <v>-1.0000000000000001E-5</v>
      </c>
      <c r="I93" s="185">
        <f>IFERROR(IF($C93="",-0.00001,SUMIFS(Database!K:K,Database!$E:$E,$C93)),-0.00001)</f>
        <v>-1.0000000000000001E-5</v>
      </c>
      <c r="J93" s="185">
        <f>IFERROR(IF($C93="",-0.00001,SUMIFS(Database!L:L,Database!$E:$E,$C93)),-0.00001)</f>
        <v>-1.0000000000000001E-5</v>
      </c>
      <c r="K93" s="185">
        <f>IFERROR(IF($C93="",-0.00001,SUMIFS(Database!M:M,Database!$E:$E,$C93)),-0.00001)</f>
        <v>-1.0000000000000001E-5</v>
      </c>
      <c r="L93" s="185">
        <f>IFERROR(IF($C93="",-0.00001,SUMIFS(Database!N:N,Database!$E:$E,$C93)),-0.00001)</f>
        <v>-1.0000000000000001E-5</v>
      </c>
      <c r="M93" s="185">
        <f>IFERROR(IF($C93="",-0.00001,SUMIFS(Database!O:O,Database!$E:$E,$C93)),-0.00001)</f>
        <v>-1.0000000000000001E-5</v>
      </c>
      <c r="N93" s="185">
        <f>IFERROR(IF($C93="",-0.00001,SUMIFS(Database!P:P,Database!$E:$E,$C93)),-0.00001)</f>
        <v>-1.0000000000000001E-5</v>
      </c>
      <c r="O93" s="185">
        <f>IFERROR(IF($C93="",-0.00001,SUMIFS(Database!Q:Q,Database!$E:$E,$C93)),-0.00001)</f>
        <v>-1.0000000000000001E-5</v>
      </c>
      <c r="P93" s="186">
        <f t="shared" si="3"/>
        <v>-1.0000000000000001E-5</v>
      </c>
      <c r="Q93" s="185">
        <f>IFERROR(IF($C93="",-0.00001,SUMIFS(Database!S:S,Database!$E:$E,$C93)),-0.00001)</f>
        <v>-1.0000000000000001E-5</v>
      </c>
      <c r="R93" s="185">
        <f>IFERROR(IF($C93="",-0.00001,SUMIFS(Database!T:T,Database!$E:$E,$C93)),-0.00001)</f>
        <v>-1.0000000000000001E-5</v>
      </c>
      <c r="S93" s="186">
        <f t="shared" si="4"/>
        <v>-1.0000000000000001E-5</v>
      </c>
      <c r="T93" s="185">
        <f>IFERROR(IF($C93="",-0.00001,SUMIFS(Database!V:V,Database!$E:$E,$C93)),-0.00001)</f>
        <v>-1.0000000000000001E-5</v>
      </c>
      <c r="U93" s="185">
        <f>IFERROR(IF($C93="",-0.00001,SUMIFS(Database!W:W,Database!$E:$E,$C93)),-0.00001)</f>
        <v>-1.0000000000000001E-5</v>
      </c>
      <c r="V93" s="186">
        <f t="shared" si="5"/>
        <v>-1.0000000000000001E-5</v>
      </c>
      <c r="W93" s="187"/>
      <c r="X93" s="187"/>
      <c r="Y93" s="187"/>
      <c r="Z93" s="187"/>
      <c r="AA93" s="187"/>
      <c r="AB93" s="187"/>
      <c r="AC93" s="187"/>
      <c r="AD93" s="187"/>
      <c r="AE93" s="187"/>
    </row>
    <row r="94" spans="1:31" x14ac:dyDescent="0.25">
      <c r="A94" s="187"/>
      <c r="B94" s="187" t="str">
        <f>IF($C94="","",MAX($B$4:$B93)+1)</f>
        <v/>
      </c>
      <c r="C94" s="183"/>
      <c r="D94" s="183"/>
      <c r="E94" s="185">
        <f>IF($C94="",-0.00001,COUNTIF(Database!E:E,$C94))</f>
        <v>-1.0000000000000001E-5</v>
      </c>
      <c r="F94" s="185">
        <f>IFERROR(IF($C94="",-0.00001,SUMIFS(Database!H:H,Database!$E:$E,$C94)),-0.00001)</f>
        <v>-1.0000000000000001E-5</v>
      </c>
      <c r="G94" s="185">
        <f>IFERROR(IF($C94="",-0.00001,SUMIFS(Database!I:I,Database!$E:$E,$C94)),-0.00001)</f>
        <v>-1.0000000000000001E-5</v>
      </c>
      <c r="H94" s="185">
        <f>IFERROR(IF($C94="",-0.00001,SUMIFS(Database!J:J,Database!$E:$E,$C94)),-0.00001)</f>
        <v>-1.0000000000000001E-5</v>
      </c>
      <c r="I94" s="185">
        <f>IFERROR(IF($C94="",-0.00001,SUMIFS(Database!K:K,Database!$E:$E,$C94)),-0.00001)</f>
        <v>-1.0000000000000001E-5</v>
      </c>
      <c r="J94" s="185">
        <f>IFERROR(IF($C94="",-0.00001,SUMIFS(Database!L:L,Database!$E:$E,$C94)),-0.00001)</f>
        <v>-1.0000000000000001E-5</v>
      </c>
      <c r="K94" s="185">
        <f>IFERROR(IF($C94="",-0.00001,SUMIFS(Database!M:M,Database!$E:$E,$C94)),-0.00001)</f>
        <v>-1.0000000000000001E-5</v>
      </c>
      <c r="L94" s="185">
        <f>IFERROR(IF($C94="",-0.00001,SUMIFS(Database!N:N,Database!$E:$E,$C94)),-0.00001)</f>
        <v>-1.0000000000000001E-5</v>
      </c>
      <c r="M94" s="185">
        <f>IFERROR(IF($C94="",-0.00001,SUMIFS(Database!O:O,Database!$E:$E,$C94)),-0.00001)</f>
        <v>-1.0000000000000001E-5</v>
      </c>
      <c r="N94" s="185">
        <f>IFERROR(IF($C94="",-0.00001,SUMIFS(Database!P:P,Database!$E:$E,$C94)),-0.00001)</f>
        <v>-1.0000000000000001E-5</v>
      </c>
      <c r="O94" s="185">
        <f>IFERROR(IF($C94="",-0.00001,SUMIFS(Database!Q:Q,Database!$E:$E,$C94)),-0.00001)</f>
        <v>-1.0000000000000001E-5</v>
      </c>
      <c r="P94" s="186">
        <f t="shared" si="3"/>
        <v>-1.0000000000000001E-5</v>
      </c>
      <c r="Q94" s="185">
        <f>IFERROR(IF($C94="",-0.00001,SUMIFS(Database!S:S,Database!$E:$E,$C94)),-0.00001)</f>
        <v>-1.0000000000000001E-5</v>
      </c>
      <c r="R94" s="185">
        <f>IFERROR(IF($C94="",-0.00001,SUMIFS(Database!T:T,Database!$E:$E,$C94)),-0.00001)</f>
        <v>-1.0000000000000001E-5</v>
      </c>
      <c r="S94" s="186">
        <f t="shared" si="4"/>
        <v>-1.0000000000000001E-5</v>
      </c>
      <c r="T94" s="185">
        <f>IFERROR(IF($C94="",-0.00001,SUMIFS(Database!V:V,Database!$E:$E,$C94)),-0.00001)</f>
        <v>-1.0000000000000001E-5</v>
      </c>
      <c r="U94" s="185">
        <f>IFERROR(IF($C94="",-0.00001,SUMIFS(Database!W:W,Database!$E:$E,$C94)),-0.00001)</f>
        <v>-1.0000000000000001E-5</v>
      </c>
      <c r="V94" s="186">
        <f t="shared" si="5"/>
        <v>-1.0000000000000001E-5</v>
      </c>
      <c r="W94" s="187"/>
      <c r="X94" s="187"/>
      <c r="Y94" s="187"/>
      <c r="Z94" s="187"/>
      <c r="AA94" s="187"/>
      <c r="AB94" s="187"/>
      <c r="AC94" s="187"/>
      <c r="AD94" s="187"/>
      <c r="AE94" s="187"/>
    </row>
    <row r="95" spans="1:31" x14ac:dyDescent="0.25">
      <c r="A95" s="187"/>
      <c r="B95" s="187" t="str">
        <f>IF($C95="","",MAX($B$4:$B94)+1)</f>
        <v/>
      </c>
      <c r="C95" s="183"/>
      <c r="D95" s="183"/>
      <c r="E95" s="185">
        <f>IF($C95="",-0.00001,COUNTIF(Database!E:E,$C95))</f>
        <v>-1.0000000000000001E-5</v>
      </c>
      <c r="F95" s="185">
        <f>IFERROR(IF($C95="",-0.00001,SUMIFS(Database!H:H,Database!$E:$E,$C95)),-0.00001)</f>
        <v>-1.0000000000000001E-5</v>
      </c>
      <c r="G95" s="185">
        <f>IFERROR(IF($C95="",-0.00001,SUMIFS(Database!I:I,Database!$E:$E,$C95)),-0.00001)</f>
        <v>-1.0000000000000001E-5</v>
      </c>
      <c r="H95" s="185">
        <f>IFERROR(IF($C95="",-0.00001,SUMIFS(Database!J:J,Database!$E:$E,$C95)),-0.00001)</f>
        <v>-1.0000000000000001E-5</v>
      </c>
      <c r="I95" s="185">
        <f>IFERROR(IF($C95="",-0.00001,SUMIFS(Database!K:K,Database!$E:$E,$C95)),-0.00001)</f>
        <v>-1.0000000000000001E-5</v>
      </c>
      <c r="J95" s="185">
        <f>IFERROR(IF($C95="",-0.00001,SUMIFS(Database!L:L,Database!$E:$E,$C95)),-0.00001)</f>
        <v>-1.0000000000000001E-5</v>
      </c>
      <c r="K95" s="185">
        <f>IFERROR(IF($C95="",-0.00001,SUMIFS(Database!M:M,Database!$E:$E,$C95)),-0.00001)</f>
        <v>-1.0000000000000001E-5</v>
      </c>
      <c r="L95" s="185">
        <f>IFERROR(IF($C95="",-0.00001,SUMIFS(Database!N:N,Database!$E:$E,$C95)),-0.00001)</f>
        <v>-1.0000000000000001E-5</v>
      </c>
      <c r="M95" s="185">
        <f>IFERROR(IF($C95="",-0.00001,SUMIFS(Database!O:O,Database!$E:$E,$C95)),-0.00001)</f>
        <v>-1.0000000000000001E-5</v>
      </c>
      <c r="N95" s="185">
        <f>IFERROR(IF($C95="",-0.00001,SUMIFS(Database!P:P,Database!$E:$E,$C95)),-0.00001)</f>
        <v>-1.0000000000000001E-5</v>
      </c>
      <c r="O95" s="185">
        <f>IFERROR(IF($C95="",-0.00001,SUMIFS(Database!Q:Q,Database!$E:$E,$C95)),-0.00001)</f>
        <v>-1.0000000000000001E-5</v>
      </c>
      <c r="P95" s="186">
        <f t="shared" si="3"/>
        <v>-1.0000000000000001E-5</v>
      </c>
      <c r="Q95" s="185">
        <f>IFERROR(IF($C95="",-0.00001,SUMIFS(Database!S:S,Database!$E:$E,$C95)),-0.00001)</f>
        <v>-1.0000000000000001E-5</v>
      </c>
      <c r="R95" s="185">
        <f>IFERROR(IF($C95="",-0.00001,SUMIFS(Database!T:T,Database!$E:$E,$C95)),-0.00001)</f>
        <v>-1.0000000000000001E-5</v>
      </c>
      <c r="S95" s="186">
        <f t="shared" si="4"/>
        <v>-1.0000000000000001E-5</v>
      </c>
      <c r="T95" s="185">
        <f>IFERROR(IF($C95="",-0.00001,SUMIFS(Database!V:V,Database!$E:$E,$C95)),-0.00001)</f>
        <v>-1.0000000000000001E-5</v>
      </c>
      <c r="U95" s="185">
        <f>IFERROR(IF($C95="",-0.00001,SUMIFS(Database!W:W,Database!$E:$E,$C95)),-0.00001)</f>
        <v>-1.0000000000000001E-5</v>
      </c>
      <c r="V95" s="186">
        <f t="shared" si="5"/>
        <v>-1.0000000000000001E-5</v>
      </c>
      <c r="W95" s="187"/>
      <c r="X95" s="187"/>
      <c r="Y95" s="187"/>
      <c r="Z95" s="187"/>
      <c r="AA95" s="187"/>
      <c r="AB95" s="187"/>
      <c r="AC95" s="187"/>
      <c r="AD95" s="187"/>
      <c r="AE95" s="187"/>
    </row>
    <row r="96" spans="1:31" x14ac:dyDescent="0.25">
      <c r="A96" s="187"/>
      <c r="B96" s="187" t="str">
        <f>IF($C96="","",MAX($B$4:$B95)+1)</f>
        <v/>
      </c>
      <c r="C96" s="183"/>
      <c r="D96" s="183"/>
      <c r="E96" s="185">
        <f>IF($C96="",-0.00001,COUNTIF(Database!E:E,$C96))</f>
        <v>-1.0000000000000001E-5</v>
      </c>
      <c r="F96" s="185">
        <f>IFERROR(IF($C96="",-0.00001,SUMIFS(Database!H:H,Database!$E:$E,$C96)),-0.00001)</f>
        <v>-1.0000000000000001E-5</v>
      </c>
      <c r="G96" s="185">
        <f>IFERROR(IF($C96="",-0.00001,SUMIFS(Database!I:I,Database!$E:$E,$C96)),-0.00001)</f>
        <v>-1.0000000000000001E-5</v>
      </c>
      <c r="H96" s="185">
        <f>IFERROR(IF($C96="",-0.00001,SUMIFS(Database!J:J,Database!$E:$E,$C96)),-0.00001)</f>
        <v>-1.0000000000000001E-5</v>
      </c>
      <c r="I96" s="185">
        <f>IFERROR(IF($C96="",-0.00001,SUMIFS(Database!K:K,Database!$E:$E,$C96)),-0.00001)</f>
        <v>-1.0000000000000001E-5</v>
      </c>
      <c r="J96" s="185">
        <f>IFERROR(IF($C96="",-0.00001,SUMIFS(Database!L:L,Database!$E:$E,$C96)),-0.00001)</f>
        <v>-1.0000000000000001E-5</v>
      </c>
      <c r="K96" s="185">
        <f>IFERROR(IF($C96="",-0.00001,SUMIFS(Database!M:M,Database!$E:$E,$C96)),-0.00001)</f>
        <v>-1.0000000000000001E-5</v>
      </c>
      <c r="L96" s="185">
        <f>IFERROR(IF($C96="",-0.00001,SUMIFS(Database!N:N,Database!$E:$E,$C96)),-0.00001)</f>
        <v>-1.0000000000000001E-5</v>
      </c>
      <c r="M96" s="185">
        <f>IFERROR(IF($C96="",-0.00001,SUMIFS(Database!O:O,Database!$E:$E,$C96)),-0.00001)</f>
        <v>-1.0000000000000001E-5</v>
      </c>
      <c r="N96" s="185">
        <f>IFERROR(IF($C96="",-0.00001,SUMIFS(Database!P:P,Database!$E:$E,$C96)),-0.00001)</f>
        <v>-1.0000000000000001E-5</v>
      </c>
      <c r="O96" s="185">
        <f>IFERROR(IF($C96="",-0.00001,SUMIFS(Database!Q:Q,Database!$E:$E,$C96)),-0.00001)</f>
        <v>-1.0000000000000001E-5</v>
      </c>
      <c r="P96" s="186">
        <f t="shared" si="3"/>
        <v>-1.0000000000000001E-5</v>
      </c>
      <c r="Q96" s="185">
        <f>IFERROR(IF($C96="",-0.00001,SUMIFS(Database!S:S,Database!$E:$E,$C96)),-0.00001)</f>
        <v>-1.0000000000000001E-5</v>
      </c>
      <c r="R96" s="185">
        <f>IFERROR(IF($C96="",-0.00001,SUMIFS(Database!T:T,Database!$E:$E,$C96)),-0.00001)</f>
        <v>-1.0000000000000001E-5</v>
      </c>
      <c r="S96" s="186">
        <f t="shared" si="4"/>
        <v>-1.0000000000000001E-5</v>
      </c>
      <c r="T96" s="185">
        <f>IFERROR(IF($C96="",-0.00001,SUMIFS(Database!V:V,Database!$E:$E,$C96)),-0.00001)</f>
        <v>-1.0000000000000001E-5</v>
      </c>
      <c r="U96" s="185">
        <f>IFERROR(IF($C96="",-0.00001,SUMIFS(Database!W:W,Database!$E:$E,$C96)),-0.00001)</f>
        <v>-1.0000000000000001E-5</v>
      </c>
      <c r="V96" s="186">
        <f t="shared" si="5"/>
        <v>-1.0000000000000001E-5</v>
      </c>
      <c r="W96" s="187"/>
      <c r="X96" s="187"/>
      <c r="Y96" s="187"/>
      <c r="Z96" s="187"/>
      <c r="AA96" s="187"/>
      <c r="AB96" s="187"/>
      <c r="AC96" s="187"/>
      <c r="AD96" s="187"/>
      <c r="AE96" s="187"/>
    </row>
    <row r="97" spans="1:31" x14ac:dyDescent="0.25">
      <c r="A97" s="187"/>
      <c r="B97" s="187" t="str">
        <f>IF($C97="","",MAX($B$4:$B96)+1)</f>
        <v/>
      </c>
      <c r="C97" s="183"/>
      <c r="D97" s="183"/>
      <c r="E97" s="185">
        <f>IF($C97="",-0.00001,COUNTIF(Database!E:E,$C97))</f>
        <v>-1.0000000000000001E-5</v>
      </c>
      <c r="F97" s="185">
        <f>IFERROR(IF($C97="",-0.00001,SUMIFS(Database!H:H,Database!$E:$E,$C97)),-0.00001)</f>
        <v>-1.0000000000000001E-5</v>
      </c>
      <c r="G97" s="185">
        <f>IFERROR(IF($C97="",-0.00001,SUMIFS(Database!I:I,Database!$E:$E,$C97)),-0.00001)</f>
        <v>-1.0000000000000001E-5</v>
      </c>
      <c r="H97" s="185">
        <f>IFERROR(IF($C97="",-0.00001,SUMIFS(Database!J:J,Database!$E:$E,$C97)),-0.00001)</f>
        <v>-1.0000000000000001E-5</v>
      </c>
      <c r="I97" s="185">
        <f>IFERROR(IF($C97="",-0.00001,SUMIFS(Database!K:K,Database!$E:$E,$C97)),-0.00001)</f>
        <v>-1.0000000000000001E-5</v>
      </c>
      <c r="J97" s="185">
        <f>IFERROR(IF($C97="",-0.00001,SUMIFS(Database!L:L,Database!$E:$E,$C97)),-0.00001)</f>
        <v>-1.0000000000000001E-5</v>
      </c>
      <c r="K97" s="185">
        <f>IFERROR(IF($C97="",-0.00001,SUMIFS(Database!M:M,Database!$E:$E,$C97)),-0.00001)</f>
        <v>-1.0000000000000001E-5</v>
      </c>
      <c r="L97" s="185">
        <f>IFERROR(IF($C97="",-0.00001,SUMIFS(Database!N:N,Database!$E:$E,$C97)),-0.00001)</f>
        <v>-1.0000000000000001E-5</v>
      </c>
      <c r="M97" s="185">
        <f>IFERROR(IF($C97="",-0.00001,SUMIFS(Database!O:O,Database!$E:$E,$C97)),-0.00001)</f>
        <v>-1.0000000000000001E-5</v>
      </c>
      <c r="N97" s="185">
        <f>IFERROR(IF($C97="",-0.00001,SUMIFS(Database!P:P,Database!$E:$E,$C97)),-0.00001)</f>
        <v>-1.0000000000000001E-5</v>
      </c>
      <c r="O97" s="185">
        <f>IFERROR(IF($C97="",-0.00001,SUMIFS(Database!Q:Q,Database!$E:$E,$C97)),-0.00001)</f>
        <v>-1.0000000000000001E-5</v>
      </c>
      <c r="P97" s="186">
        <f t="shared" si="3"/>
        <v>-1.0000000000000001E-5</v>
      </c>
      <c r="Q97" s="185">
        <f>IFERROR(IF($C97="",-0.00001,SUMIFS(Database!S:S,Database!$E:$E,$C97)),-0.00001)</f>
        <v>-1.0000000000000001E-5</v>
      </c>
      <c r="R97" s="185">
        <f>IFERROR(IF($C97="",-0.00001,SUMIFS(Database!T:T,Database!$E:$E,$C97)),-0.00001)</f>
        <v>-1.0000000000000001E-5</v>
      </c>
      <c r="S97" s="186">
        <f t="shared" si="4"/>
        <v>-1.0000000000000001E-5</v>
      </c>
      <c r="T97" s="185">
        <f>IFERROR(IF($C97="",-0.00001,SUMIFS(Database!V:V,Database!$E:$E,$C97)),-0.00001)</f>
        <v>-1.0000000000000001E-5</v>
      </c>
      <c r="U97" s="185">
        <f>IFERROR(IF($C97="",-0.00001,SUMIFS(Database!W:W,Database!$E:$E,$C97)),-0.00001)</f>
        <v>-1.0000000000000001E-5</v>
      </c>
      <c r="V97" s="186">
        <f t="shared" si="5"/>
        <v>-1.0000000000000001E-5</v>
      </c>
      <c r="W97" s="187"/>
      <c r="X97" s="187"/>
      <c r="Y97" s="187"/>
      <c r="Z97" s="187"/>
      <c r="AA97" s="187"/>
      <c r="AB97" s="187"/>
      <c r="AC97" s="187"/>
      <c r="AD97" s="187"/>
      <c r="AE97" s="187"/>
    </row>
    <row r="98" spans="1:31" x14ac:dyDescent="0.25">
      <c r="A98" s="187"/>
      <c r="B98" s="187" t="str">
        <f>IF($C98="","",MAX($B$4:$B97)+1)</f>
        <v/>
      </c>
      <c r="C98" s="183"/>
      <c r="D98" s="183"/>
      <c r="E98" s="185">
        <f>IF($C98="",-0.00001,COUNTIF(Database!E:E,$C98))</f>
        <v>-1.0000000000000001E-5</v>
      </c>
      <c r="F98" s="185">
        <f>IFERROR(IF($C98="",-0.00001,SUMIFS(Database!H:H,Database!$E:$E,$C98)),-0.00001)</f>
        <v>-1.0000000000000001E-5</v>
      </c>
      <c r="G98" s="185">
        <f>IFERROR(IF($C98="",-0.00001,SUMIFS(Database!I:I,Database!$E:$E,$C98)),-0.00001)</f>
        <v>-1.0000000000000001E-5</v>
      </c>
      <c r="H98" s="185">
        <f>IFERROR(IF($C98="",-0.00001,SUMIFS(Database!J:J,Database!$E:$E,$C98)),-0.00001)</f>
        <v>-1.0000000000000001E-5</v>
      </c>
      <c r="I98" s="185">
        <f>IFERROR(IF($C98="",-0.00001,SUMIFS(Database!K:K,Database!$E:$E,$C98)),-0.00001)</f>
        <v>-1.0000000000000001E-5</v>
      </c>
      <c r="J98" s="185">
        <f>IFERROR(IF($C98="",-0.00001,SUMIFS(Database!L:L,Database!$E:$E,$C98)),-0.00001)</f>
        <v>-1.0000000000000001E-5</v>
      </c>
      <c r="K98" s="185">
        <f>IFERROR(IF($C98="",-0.00001,SUMIFS(Database!M:M,Database!$E:$E,$C98)),-0.00001)</f>
        <v>-1.0000000000000001E-5</v>
      </c>
      <c r="L98" s="185">
        <f>IFERROR(IF($C98="",-0.00001,SUMIFS(Database!N:N,Database!$E:$E,$C98)),-0.00001)</f>
        <v>-1.0000000000000001E-5</v>
      </c>
      <c r="M98" s="185">
        <f>IFERROR(IF($C98="",-0.00001,SUMIFS(Database!O:O,Database!$E:$E,$C98)),-0.00001)</f>
        <v>-1.0000000000000001E-5</v>
      </c>
      <c r="N98" s="185">
        <f>IFERROR(IF($C98="",-0.00001,SUMIFS(Database!P:P,Database!$E:$E,$C98)),-0.00001)</f>
        <v>-1.0000000000000001E-5</v>
      </c>
      <c r="O98" s="185">
        <f>IFERROR(IF($C98="",-0.00001,SUMIFS(Database!Q:Q,Database!$E:$E,$C98)),-0.00001)</f>
        <v>-1.0000000000000001E-5</v>
      </c>
      <c r="P98" s="186">
        <f t="shared" si="3"/>
        <v>-1.0000000000000001E-5</v>
      </c>
      <c r="Q98" s="185">
        <f>IFERROR(IF($C98="",-0.00001,SUMIFS(Database!S:S,Database!$E:$E,$C98)),-0.00001)</f>
        <v>-1.0000000000000001E-5</v>
      </c>
      <c r="R98" s="185">
        <f>IFERROR(IF($C98="",-0.00001,SUMIFS(Database!T:T,Database!$E:$E,$C98)),-0.00001)</f>
        <v>-1.0000000000000001E-5</v>
      </c>
      <c r="S98" s="186">
        <f t="shared" si="4"/>
        <v>-1.0000000000000001E-5</v>
      </c>
      <c r="T98" s="185">
        <f>IFERROR(IF($C98="",-0.00001,SUMIFS(Database!V:V,Database!$E:$E,$C98)),-0.00001)</f>
        <v>-1.0000000000000001E-5</v>
      </c>
      <c r="U98" s="185">
        <f>IFERROR(IF($C98="",-0.00001,SUMIFS(Database!W:W,Database!$E:$E,$C98)),-0.00001)</f>
        <v>-1.0000000000000001E-5</v>
      </c>
      <c r="V98" s="186">
        <f t="shared" si="5"/>
        <v>-1.0000000000000001E-5</v>
      </c>
      <c r="W98" s="187"/>
      <c r="X98" s="187"/>
      <c r="Y98" s="187"/>
      <c r="Z98" s="187"/>
      <c r="AA98" s="187"/>
      <c r="AB98" s="187"/>
      <c r="AC98" s="187"/>
      <c r="AD98" s="187"/>
      <c r="AE98" s="187"/>
    </row>
    <row r="99" spans="1:31" x14ac:dyDescent="0.25">
      <c r="A99" s="187"/>
      <c r="B99" s="187" t="str">
        <f>IF($C99="","",MAX($B$4:$B98)+1)</f>
        <v/>
      </c>
      <c r="C99" s="183"/>
      <c r="D99" s="183"/>
      <c r="E99" s="185">
        <f>IF($C99="",-0.00001,COUNTIF(Database!E:E,$C99))</f>
        <v>-1.0000000000000001E-5</v>
      </c>
      <c r="F99" s="185">
        <f>IFERROR(IF($C99="",-0.00001,SUMIFS(Database!H:H,Database!$E:$E,$C99)),-0.00001)</f>
        <v>-1.0000000000000001E-5</v>
      </c>
      <c r="G99" s="185">
        <f>IFERROR(IF($C99="",-0.00001,SUMIFS(Database!I:I,Database!$E:$E,$C99)),-0.00001)</f>
        <v>-1.0000000000000001E-5</v>
      </c>
      <c r="H99" s="185">
        <f>IFERROR(IF($C99="",-0.00001,SUMIFS(Database!J:J,Database!$E:$E,$C99)),-0.00001)</f>
        <v>-1.0000000000000001E-5</v>
      </c>
      <c r="I99" s="185">
        <f>IFERROR(IF($C99="",-0.00001,SUMIFS(Database!K:K,Database!$E:$E,$C99)),-0.00001)</f>
        <v>-1.0000000000000001E-5</v>
      </c>
      <c r="J99" s="185">
        <f>IFERROR(IF($C99="",-0.00001,SUMIFS(Database!L:L,Database!$E:$E,$C99)),-0.00001)</f>
        <v>-1.0000000000000001E-5</v>
      </c>
      <c r="K99" s="185">
        <f>IFERROR(IF($C99="",-0.00001,SUMIFS(Database!M:M,Database!$E:$E,$C99)),-0.00001)</f>
        <v>-1.0000000000000001E-5</v>
      </c>
      <c r="L99" s="185">
        <f>IFERROR(IF($C99="",-0.00001,SUMIFS(Database!N:N,Database!$E:$E,$C99)),-0.00001)</f>
        <v>-1.0000000000000001E-5</v>
      </c>
      <c r="M99" s="185">
        <f>IFERROR(IF($C99="",-0.00001,SUMIFS(Database!O:O,Database!$E:$E,$C99)),-0.00001)</f>
        <v>-1.0000000000000001E-5</v>
      </c>
      <c r="N99" s="185">
        <f>IFERROR(IF($C99="",-0.00001,SUMIFS(Database!P:P,Database!$E:$E,$C99)),-0.00001)</f>
        <v>-1.0000000000000001E-5</v>
      </c>
      <c r="O99" s="185">
        <f>IFERROR(IF($C99="",-0.00001,SUMIFS(Database!Q:Q,Database!$E:$E,$C99)),-0.00001)</f>
        <v>-1.0000000000000001E-5</v>
      </c>
      <c r="P99" s="186">
        <f t="shared" si="3"/>
        <v>-1.0000000000000001E-5</v>
      </c>
      <c r="Q99" s="185">
        <f>IFERROR(IF($C99="",-0.00001,SUMIFS(Database!S:S,Database!$E:$E,$C99)),-0.00001)</f>
        <v>-1.0000000000000001E-5</v>
      </c>
      <c r="R99" s="185">
        <f>IFERROR(IF($C99="",-0.00001,SUMIFS(Database!T:T,Database!$E:$E,$C99)),-0.00001)</f>
        <v>-1.0000000000000001E-5</v>
      </c>
      <c r="S99" s="186">
        <f t="shared" si="4"/>
        <v>-1.0000000000000001E-5</v>
      </c>
      <c r="T99" s="185">
        <f>IFERROR(IF($C99="",-0.00001,SUMIFS(Database!V:V,Database!$E:$E,$C99)),-0.00001)</f>
        <v>-1.0000000000000001E-5</v>
      </c>
      <c r="U99" s="185">
        <f>IFERROR(IF($C99="",-0.00001,SUMIFS(Database!W:W,Database!$E:$E,$C99)),-0.00001)</f>
        <v>-1.0000000000000001E-5</v>
      </c>
      <c r="V99" s="186">
        <f t="shared" si="5"/>
        <v>-1.0000000000000001E-5</v>
      </c>
      <c r="W99" s="187"/>
      <c r="X99" s="187"/>
      <c r="Y99" s="187"/>
      <c r="Z99" s="187"/>
      <c r="AA99" s="187"/>
      <c r="AB99" s="187"/>
      <c r="AC99" s="187"/>
      <c r="AD99" s="187"/>
      <c r="AE99" s="187"/>
    </row>
    <row r="100" spans="1:31" x14ac:dyDescent="0.25">
      <c r="A100" s="187"/>
      <c r="B100" s="187" t="str">
        <f>IF($C100="","",MAX($B$4:$B99)+1)</f>
        <v/>
      </c>
      <c r="C100" s="183"/>
      <c r="D100" s="183"/>
      <c r="E100" s="185">
        <f>IF($C100="",-0.00001,COUNTIF(Database!E:E,$C100))</f>
        <v>-1.0000000000000001E-5</v>
      </c>
      <c r="F100" s="185">
        <f>IFERROR(IF($C100="",-0.00001,SUMIFS(Database!H:H,Database!$E:$E,$C100)),-0.00001)</f>
        <v>-1.0000000000000001E-5</v>
      </c>
      <c r="G100" s="185">
        <f>IFERROR(IF($C100="",-0.00001,SUMIFS(Database!I:I,Database!$E:$E,$C100)),-0.00001)</f>
        <v>-1.0000000000000001E-5</v>
      </c>
      <c r="H100" s="185">
        <f>IFERROR(IF($C100="",-0.00001,SUMIFS(Database!J:J,Database!$E:$E,$C100)),-0.00001)</f>
        <v>-1.0000000000000001E-5</v>
      </c>
      <c r="I100" s="185">
        <f>IFERROR(IF($C100="",-0.00001,SUMIFS(Database!K:K,Database!$E:$E,$C100)),-0.00001)</f>
        <v>-1.0000000000000001E-5</v>
      </c>
      <c r="J100" s="185">
        <f>IFERROR(IF($C100="",-0.00001,SUMIFS(Database!L:L,Database!$E:$E,$C100)),-0.00001)</f>
        <v>-1.0000000000000001E-5</v>
      </c>
      <c r="K100" s="185">
        <f>IFERROR(IF($C100="",-0.00001,SUMIFS(Database!M:M,Database!$E:$E,$C100)),-0.00001)</f>
        <v>-1.0000000000000001E-5</v>
      </c>
      <c r="L100" s="185">
        <f>IFERROR(IF($C100="",-0.00001,SUMIFS(Database!N:N,Database!$E:$E,$C100)),-0.00001)</f>
        <v>-1.0000000000000001E-5</v>
      </c>
      <c r="M100" s="185">
        <f>IFERROR(IF($C100="",-0.00001,SUMIFS(Database!O:O,Database!$E:$E,$C100)),-0.00001)</f>
        <v>-1.0000000000000001E-5</v>
      </c>
      <c r="N100" s="185">
        <f>IFERROR(IF($C100="",-0.00001,SUMIFS(Database!P:P,Database!$E:$E,$C100)),-0.00001)</f>
        <v>-1.0000000000000001E-5</v>
      </c>
      <c r="O100" s="185">
        <f>IFERROR(IF($C100="",-0.00001,SUMIFS(Database!Q:Q,Database!$E:$E,$C100)),-0.00001)</f>
        <v>-1.0000000000000001E-5</v>
      </c>
      <c r="P100" s="186">
        <f t="shared" si="3"/>
        <v>-1.0000000000000001E-5</v>
      </c>
      <c r="Q100" s="185">
        <f>IFERROR(IF($C100="",-0.00001,SUMIFS(Database!S:S,Database!$E:$E,$C100)),-0.00001)</f>
        <v>-1.0000000000000001E-5</v>
      </c>
      <c r="R100" s="185">
        <f>IFERROR(IF($C100="",-0.00001,SUMIFS(Database!T:T,Database!$E:$E,$C100)),-0.00001)</f>
        <v>-1.0000000000000001E-5</v>
      </c>
      <c r="S100" s="186">
        <f t="shared" si="4"/>
        <v>-1.0000000000000001E-5</v>
      </c>
      <c r="T100" s="185">
        <f>IFERROR(IF($C100="",-0.00001,SUMIFS(Database!V:V,Database!$E:$E,$C100)),-0.00001)</f>
        <v>-1.0000000000000001E-5</v>
      </c>
      <c r="U100" s="185">
        <f>IFERROR(IF($C100="",-0.00001,SUMIFS(Database!W:W,Database!$E:$E,$C100)),-0.00001)</f>
        <v>-1.0000000000000001E-5</v>
      </c>
      <c r="V100" s="186">
        <f t="shared" si="5"/>
        <v>-1.0000000000000001E-5</v>
      </c>
      <c r="W100" s="187"/>
      <c r="X100" s="187"/>
      <c r="Y100" s="187"/>
      <c r="Z100" s="187"/>
      <c r="AA100" s="187"/>
      <c r="AB100" s="187"/>
      <c r="AC100" s="187"/>
      <c r="AD100" s="187"/>
      <c r="AE100" s="187"/>
    </row>
    <row r="101" spans="1:31" x14ac:dyDescent="0.25">
      <c r="A101" s="187"/>
      <c r="B101" s="187" t="str">
        <f>IF($C101="","",MAX($B$4:$B100)+1)</f>
        <v/>
      </c>
      <c r="C101" s="183"/>
      <c r="D101" s="183"/>
      <c r="E101" s="185">
        <f>IF($C101="",-0.00001,COUNTIF(Database!E:E,$C101))</f>
        <v>-1.0000000000000001E-5</v>
      </c>
      <c r="F101" s="185">
        <f>IFERROR(IF($C101="",-0.00001,SUMIFS(Database!H:H,Database!$E:$E,$C101)),-0.00001)</f>
        <v>-1.0000000000000001E-5</v>
      </c>
      <c r="G101" s="185">
        <f>IFERROR(IF($C101="",-0.00001,SUMIFS(Database!I:I,Database!$E:$E,$C101)),-0.00001)</f>
        <v>-1.0000000000000001E-5</v>
      </c>
      <c r="H101" s="185">
        <f>IFERROR(IF($C101="",-0.00001,SUMIFS(Database!J:J,Database!$E:$E,$C101)),-0.00001)</f>
        <v>-1.0000000000000001E-5</v>
      </c>
      <c r="I101" s="185">
        <f>IFERROR(IF($C101="",-0.00001,SUMIFS(Database!K:K,Database!$E:$E,$C101)),-0.00001)</f>
        <v>-1.0000000000000001E-5</v>
      </c>
      <c r="J101" s="185">
        <f>IFERROR(IF($C101="",-0.00001,SUMIFS(Database!L:L,Database!$E:$E,$C101)),-0.00001)</f>
        <v>-1.0000000000000001E-5</v>
      </c>
      <c r="K101" s="185">
        <f>IFERROR(IF($C101="",-0.00001,SUMIFS(Database!M:M,Database!$E:$E,$C101)),-0.00001)</f>
        <v>-1.0000000000000001E-5</v>
      </c>
      <c r="L101" s="185">
        <f>IFERROR(IF($C101="",-0.00001,SUMIFS(Database!N:N,Database!$E:$E,$C101)),-0.00001)</f>
        <v>-1.0000000000000001E-5</v>
      </c>
      <c r="M101" s="185">
        <f>IFERROR(IF($C101="",-0.00001,SUMIFS(Database!O:O,Database!$E:$E,$C101)),-0.00001)</f>
        <v>-1.0000000000000001E-5</v>
      </c>
      <c r="N101" s="185">
        <f>IFERROR(IF($C101="",-0.00001,SUMIFS(Database!P:P,Database!$E:$E,$C101)),-0.00001)</f>
        <v>-1.0000000000000001E-5</v>
      </c>
      <c r="O101" s="185">
        <f>IFERROR(IF($C101="",-0.00001,SUMIFS(Database!Q:Q,Database!$E:$E,$C101)),-0.00001)</f>
        <v>-1.0000000000000001E-5</v>
      </c>
      <c r="P101" s="186">
        <f t="shared" si="3"/>
        <v>-1.0000000000000001E-5</v>
      </c>
      <c r="Q101" s="185">
        <f>IFERROR(IF($C101="",-0.00001,SUMIFS(Database!S:S,Database!$E:$E,$C101)),-0.00001)</f>
        <v>-1.0000000000000001E-5</v>
      </c>
      <c r="R101" s="185">
        <f>IFERROR(IF($C101="",-0.00001,SUMIFS(Database!T:T,Database!$E:$E,$C101)),-0.00001)</f>
        <v>-1.0000000000000001E-5</v>
      </c>
      <c r="S101" s="186">
        <f t="shared" si="4"/>
        <v>-1.0000000000000001E-5</v>
      </c>
      <c r="T101" s="185">
        <f>IFERROR(IF($C101="",-0.00001,SUMIFS(Database!V:V,Database!$E:$E,$C101)),-0.00001)</f>
        <v>-1.0000000000000001E-5</v>
      </c>
      <c r="U101" s="185">
        <f>IFERROR(IF($C101="",-0.00001,SUMIFS(Database!W:W,Database!$E:$E,$C101)),-0.00001)</f>
        <v>-1.0000000000000001E-5</v>
      </c>
      <c r="V101" s="186">
        <f t="shared" si="5"/>
        <v>-1.0000000000000001E-5</v>
      </c>
      <c r="W101" s="187"/>
      <c r="X101" s="187"/>
      <c r="Y101" s="187"/>
      <c r="Z101" s="187"/>
      <c r="AA101" s="187"/>
      <c r="AB101" s="187"/>
      <c r="AC101" s="187"/>
      <c r="AD101" s="187"/>
      <c r="AE101" s="187"/>
    </row>
    <row r="102" spans="1:31" x14ac:dyDescent="0.25">
      <c r="A102" s="187"/>
      <c r="B102" s="187" t="str">
        <f>IF($C102="","",MAX($B$4:$B101)+1)</f>
        <v/>
      </c>
      <c r="C102" s="183"/>
      <c r="D102" s="183"/>
      <c r="E102" s="185">
        <f>IF($C102="",-0.00001,COUNTIF(Database!E:E,$C102))</f>
        <v>-1.0000000000000001E-5</v>
      </c>
      <c r="F102" s="185">
        <f>IFERROR(IF($C102="",-0.00001,SUMIFS(Database!H:H,Database!$E:$E,$C102)),-0.00001)</f>
        <v>-1.0000000000000001E-5</v>
      </c>
      <c r="G102" s="185">
        <f>IFERROR(IF($C102="",-0.00001,SUMIFS(Database!I:I,Database!$E:$E,$C102)),-0.00001)</f>
        <v>-1.0000000000000001E-5</v>
      </c>
      <c r="H102" s="185">
        <f>IFERROR(IF($C102="",-0.00001,SUMIFS(Database!J:J,Database!$E:$E,$C102)),-0.00001)</f>
        <v>-1.0000000000000001E-5</v>
      </c>
      <c r="I102" s="185">
        <f>IFERROR(IF($C102="",-0.00001,SUMIFS(Database!K:K,Database!$E:$E,$C102)),-0.00001)</f>
        <v>-1.0000000000000001E-5</v>
      </c>
      <c r="J102" s="185">
        <f>IFERROR(IF($C102="",-0.00001,SUMIFS(Database!L:L,Database!$E:$E,$C102)),-0.00001)</f>
        <v>-1.0000000000000001E-5</v>
      </c>
      <c r="K102" s="185">
        <f>IFERROR(IF($C102="",-0.00001,SUMIFS(Database!M:M,Database!$E:$E,$C102)),-0.00001)</f>
        <v>-1.0000000000000001E-5</v>
      </c>
      <c r="L102" s="185">
        <f>IFERROR(IF($C102="",-0.00001,SUMIFS(Database!N:N,Database!$E:$E,$C102)),-0.00001)</f>
        <v>-1.0000000000000001E-5</v>
      </c>
      <c r="M102" s="185">
        <f>IFERROR(IF($C102="",-0.00001,SUMIFS(Database!O:O,Database!$E:$E,$C102)),-0.00001)</f>
        <v>-1.0000000000000001E-5</v>
      </c>
      <c r="N102" s="185">
        <f>IFERROR(IF($C102="",-0.00001,SUMIFS(Database!P:P,Database!$E:$E,$C102)),-0.00001)</f>
        <v>-1.0000000000000001E-5</v>
      </c>
      <c r="O102" s="185">
        <f>IFERROR(IF($C102="",-0.00001,SUMIFS(Database!Q:Q,Database!$E:$E,$C102)),-0.00001)</f>
        <v>-1.0000000000000001E-5</v>
      </c>
      <c r="P102" s="186">
        <f t="shared" si="3"/>
        <v>-1.0000000000000001E-5</v>
      </c>
      <c r="Q102" s="185">
        <f>IFERROR(IF($C102="",-0.00001,SUMIFS(Database!S:S,Database!$E:$E,$C102)),-0.00001)</f>
        <v>-1.0000000000000001E-5</v>
      </c>
      <c r="R102" s="185">
        <f>IFERROR(IF($C102="",-0.00001,SUMIFS(Database!T:T,Database!$E:$E,$C102)),-0.00001)</f>
        <v>-1.0000000000000001E-5</v>
      </c>
      <c r="S102" s="186">
        <f t="shared" si="4"/>
        <v>-1.0000000000000001E-5</v>
      </c>
      <c r="T102" s="185">
        <f>IFERROR(IF($C102="",-0.00001,SUMIFS(Database!V:V,Database!$E:$E,$C102)),-0.00001)</f>
        <v>-1.0000000000000001E-5</v>
      </c>
      <c r="U102" s="185">
        <f>IFERROR(IF($C102="",-0.00001,SUMIFS(Database!W:W,Database!$E:$E,$C102)),-0.00001)</f>
        <v>-1.0000000000000001E-5</v>
      </c>
      <c r="V102" s="186">
        <f t="shared" si="5"/>
        <v>-1.0000000000000001E-5</v>
      </c>
      <c r="W102" s="187"/>
      <c r="X102" s="187"/>
      <c r="Y102" s="187"/>
      <c r="Z102" s="187"/>
      <c r="AA102" s="187"/>
      <c r="AB102" s="187"/>
      <c r="AC102" s="187"/>
      <c r="AD102" s="187"/>
      <c r="AE102" s="187"/>
    </row>
    <row r="103" spans="1:31" x14ac:dyDescent="0.25">
      <c r="A103" s="187"/>
      <c r="B103" s="187" t="str">
        <f>IF($C103="","",MAX($B$4:$B102)+1)</f>
        <v/>
      </c>
      <c r="C103" s="183"/>
      <c r="D103" s="183"/>
      <c r="E103" s="185">
        <f>IF($C103="",-0.00001,COUNTIF(Database!E:E,$C103))</f>
        <v>-1.0000000000000001E-5</v>
      </c>
      <c r="F103" s="185">
        <f>IFERROR(IF($C103="",-0.00001,SUMIFS(Database!H:H,Database!$E:$E,$C103)),-0.00001)</f>
        <v>-1.0000000000000001E-5</v>
      </c>
      <c r="G103" s="185">
        <f>IFERROR(IF($C103="",-0.00001,SUMIFS(Database!I:I,Database!$E:$E,$C103)),-0.00001)</f>
        <v>-1.0000000000000001E-5</v>
      </c>
      <c r="H103" s="185">
        <f>IFERROR(IF($C103="",-0.00001,SUMIFS(Database!J:J,Database!$E:$E,$C103)),-0.00001)</f>
        <v>-1.0000000000000001E-5</v>
      </c>
      <c r="I103" s="185">
        <f>IFERROR(IF($C103="",-0.00001,SUMIFS(Database!K:K,Database!$E:$E,$C103)),-0.00001)</f>
        <v>-1.0000000000000001E-5</v>
      </c>
      <c r="J103" s="185">
        <f>IFERROR(IF($C103="",-0.00001,SUMIFS(Database!L:L,Database!$E:$E,$C103)),-0.00001)</f>
        <v>-1.0000000000000001E-5</v>
      </c>
      <c r="K103" s="185">
        <f>IFERROR(IF($C103="",-0.00001,SUMIFS(Database!M:M,Database!$E:$E,$C103)),-0.00001)</f>
        <v>-1.0000000000000001E-5</v>
      </c>
      <c r="L103" s="185">
        <f>IFERROR(IF($C103="",-0.00001,SUMIFS(Database!N:N,Database!$E:$E,$C103)),-0.00001)</f>
        <v>-1.0000000000000001E-5</v>
      </c>
      <c r="M103" s="185">
        <f>IFERROR(IF($C103="",-0.00001,SUMIFS(Database!O:O,Database!$E:$E,$C103)),-0.00001)</f>
        <v>-1.0000000000000001E-5</v>
      </c>
      <c r="N103" s="185">
        <f>IFERROR(IF($C103="",-0.00001,SUMIFS(Database!P:P,Database!$E:$E,$C103)),-0.00001)</f>
        <v>-1.0000000000000001E-5</v>
      </c>
      <c r="O103" s="185">
        <f>IFERROR(IF($C103="",-0.00001,SUMIFS(Database!Q:Q,Database!$E:$E,$C103)),-0.00001)</f>
        <v>-1.0000000000000001E-5</v>
      </c>
      <c r="P103" s="186">
        <f t="shared" si="3"/>
        <v>-1.0000000000000001E-5</v>
      </c>
      <c r="Q103" s="185">
        <f>IFERROR(IF($C103="",-0.00001,SUMIFS(Database!S:S,Database!$E:$E,$C103)),-0.00001)</f>
        <v>-1.0000000000000001E-5</v>
      </c>
      <c r="R103" s="185">
        <f>IFERROR(IF($C103="",-0.00001,SUMIFS(Database!T:T,Database!$E:$E,$C103)),-0.00001)</f>
        <v>-1.0000000000000001E-5</v>
      </c>
      <c r="S103" s="186">
        <f t="shared" si="4"/>
        <v>-1.0000000000000001E-5</v>
      </c>
      <c r="T103" s="185">
        <f>IFERROR(IF($C103="",-0.00001,SUMIFS(Database!V:V,Database!$E:$E,$C103)),-0.00001)</f>
        <v>-1.0000000000000001E-5</v>
      </c>
      <c r="U103" s="185">
        <f>IFERROR(IF($C103="",-0.00001,SUMIFS(Database!W:W,Database!$E:$E,$C103)),-0.00001)</f>
        <v>-1.0000000000000001E-5</v>
      </c>
      <c r="V103" s="186">
        <f t="shared" si="5"/>
        <v>-1.0000000000000001E-5</v>
      </c>
      <c r="W103" s="187"/>
      <c r="X103" s="187"/>
      <c r="Y103" s="187"/>
      <c r="Z103" s="187"/>
      <c r="AA103" s="187"/>
      <c r="AB103" s="187"/>
      <c r="AC103" s="187"/>
      <c r="AD103" s="187"/>
      <c r="AE103" s="187"/>
    </row>
    <row r="104" spans="1:31" x14ac:dyDescent="0.25">
      <c r="A104" s="187"/>
      <c r="B104" s="187" t="str">
        <f>IF($C104="","",MAX($B$4:$B103)+1)</f>
        <v/>
      </c>
      <c r="C104" s="183"/>
      <c r="D104" s="183"/>
      <c r="E104" s="185">
        <f>IF($C104="",-0.00001,COUNTIF(Database!E:E,$C104))</f>
        <v>-1.0000000000000001E-5</v>
      </c>
      <c r="F104" s="185">
        <f>IFERROR(IF($C104="",-0.00001,SUMIFS(Database!H:H,Database!$E:$E,$C104)),-0.00001)</f>
        <v>-1.0000000000000001E-5</v>
      </c>
      <c r="G104" s="185">
        <f>IFERROR(IF($C104="",-0.00001,SUMIFS(Database!I:I,Database!$E:$E,$C104)),-0.00001)</f>
        <v>-1.0000000000000001E-5</v>
      </c>
      <c r="H104" s="185">
        <f>IFERROR(IF($C104="",-0.00001,SUMIFS(Database!J:J,Database!$E:$E,$C104)),-0.00001)</f>
        <v>-1.0000000000000001E-5</v>
      </c>
      <c r="I104" s="185">
        <f>IFERROR(IF($C104="",-0.00001,SUMIFS(Database!K:K,Database!$E:$E,$C104)),-0.00001)</f>
        <v>-1.0000000000000001E-5</v>
      </c>
      <c r="J104" s="185">
        <f>IFERROR(IF($C104="",-0.00001,SUMIFS(Database!L:L,Database!$E:$E,$C104)),-0.00001)</f>
        <v>-1.0000000000000001E-5</v>
      </c>
      <c r="K104" s="185">
        <f>IFERROR(IF($C104="",-0.00001,SUMIFS(Database!M:M,Database!$E:$E,$C104)),-0.00001)</f>
        <v>-1.0000000000000001E-5</v>
      </c>
      <c r="L104" s="185">
        <f>IFERROR(IF($C104="",-0.00001,SUMIFS(Database!N:N,Database!$E:$E,$C104)),-0.00001)</f>
        <v>-1.0000000000000001E-5</v>
      </c>
      <c r="M104" s="185">
        <f>IFERROR(IF($C104="",-0.00001,SUMIFS(Database!O:O,Database!$E:$E,$C104)),-0.00001)</f>
        <v>-1.0000000000000001E-5</v>
      </c>
      <c r="N104" s="185">
        <f>IFERROR(IF($C104="",-0.00001,SUMIFS(Database!P:P,Database!$E:$E,$C104)),-0.00001)</f>
        <v>-1.0000000000000001E-5</v>
      </c>
      <c r="O104" s="185">
        <f>IFERROR(IF($C104="",-0.00001,SUMIFS(Database!Q:Q,Database!$E:$E,$C104)),-0.00001)</f>
        <v>-1.0000000000000001E-5</v>
      </c>
      <c r="P104" s="186">
        <f t="shared" si="3"/>
        <v>-1.0000000000000001E-5</v>
      </c>
      <c r="Q104" s="185">
        <f>IFERROR(IF($C104="",-0.00001,SUMIFS(Database!S:S,Database!$E:$E,$C104)),-0.00001)</f>
        <v>-1.0000000000000001E-5</v>
      </c>
      <c r="R104" s="185">
        <f>IFERROR(IF($C104="",-0.00001,SUMIFS(Database!T:T,Database!$E:$E,$C104)),-0.00001)</f>
        <v>-1.0000000000000001E-5</v>
      </c>
      <c r="S104" s="186">
        <f t="shared" si="4"/>
        <v>-1.0000000000000001E-5</v>
      </c>
      <c r="T104" s="185">
        <f>IFERROR(IF($C104="",-0.00001,SUMIFS(Database!V:V,Database!$E:$E,$C104)),-0.00001)</f>
        <v>-1.0000000000000001E-5</v>
      </c>
      <c r="U104" s="185">
        <f>IFERROR(IF($C104="",-0.00001,SUMIFS(Database!W:W,Database!$E:$E,$C104)),-0.00001)</f>
        <v>-1.0000000000000001E-5</v>
      </c>
      <c r="V104" s="186">
        <f t="shared" si="5"/>
        <v>-1.0000000000000001E-5</v>
      </c>
      <c r="W104" s="187"/>
      <c r="X104" s="187"/>
      <c r="Y104" s="187"/>
      <c r="Z104" s="187"/>
      <c r="AA104" s="187"/>
      <c r="AB104" s="187"/>
      <c r="AC104" s="187"/>
      <c r="AD104" s="187"/>
      <c r="AE104" s="187"/>
    </row>
    <row r="105" spans="1:31" x14ac:dyDescent="0.25">
      <c r="A105" s="187"/>
      <c r="B105" s="187" t="str">
        <f>IF($C105="","",MAX($B$4:$B104)+1)</f>
        <v/>
      </c>
      <c r="C105" s="183"/>
      <c r="D105" s="183"/>
      <c r="E105" s="185">
        <f>IF($C105="",-0.00001,COUNTIF(Database!E:E,$C105))</f>
        <v>-1.0000000000000001E-5</v>
      </c>
      <c r="F105" s="185">
        <f>IFERROR(IF($C105="",-0.00001,SUMIFS(Database!H:H,Database!$E:$E,$C105)),-0.00001)</f>
        <v>-1.0000000000000001E-5</v>
      </c>
      <c r="G105" s="185">
        <f>IFERROR(IF($C105="",-0.00001,SUMIFS(Database!I:I,Database!$E:$E,$C105)),-0.00001)</f>
        <v>-1.0000000000000001E-5</v>
      </c>
      <c r="H105" s="185">
        <f>IFERROR(IF($C105="",-0.00001,SUMIFS(Database!J:J,Database!$E:$E,$C105)),-0.00001)</f>
        <v>-1.0000000000000001E-5</v>
      </c>
      <c r="I105" s="185">
        <f>IFERROR(IF($C105="",-0.00001,SUMIFS(Database!K:K,Database!$E:$E,$C105)),-0.00001)</f>
        <v>-1.0000000000000001E-5</v>
      </c>
      <c r="J105" s="185">
        <f>IFERROR(IF($C105="",-0.00001,SUMIFS(Database!L:L,Database!$E:$E,$C105)),-0.00001)</f>
        <v>-1.0000000000000001E-5</v>
      </c>
      <c r="K105" s="185">
        <f>IFERROR(IF($C105="",-0.00001,SUMIFS(Database!M:M,Database!$E:$E,$C105)),-0.00001)</f>
        <v>-1.0000000000000001E-5</v>
      </c>
      <c r="L105" s="185">
        <f>IFERROR(IF($C105="",-0.00001,SUMIFS(Database!N:N,Database!$E:$E,$C105)),-0.00001)</f>
        <v>-1.0000000000000001E-5</v>
      </c>
      <c r="M105" s="185">
        <f>IFERROR(IF($C105="",-0.00001,SUMIFS(Database!O:O,Database!$E:$E,$C105)),-0.00001)</f>
        <v>-1.0000000000000001E-5</v>
      </c>
      <c r="N105" s="185">
        <f>IFERROR(IF($C105="",-0.00001,SUMIFS(Database!P:P,Database!$E:$E,$C105)),-0.00001)</f>
        <v>-1.0000000000000001E-5</v>
      </c>
      <c r="O105" s="185">
        <f>IFERROR(IF($C105="",-0.00001,SUMIFS(Database!Q:Q,Database!$E:$E,$C105)),-0.00001)</f>
        <v>-1.0000000000000001E-5</v>
      </c>
      <c r="P105" s="186">
        <f t="shared" si="3"/>
        <v>-1.0000000000000001E-5</v>
      </c>
      <c r="Q105" s="185">
        <f>IFERROR(IF($C105="",-0.00001,SUMIFS(Database!S:S,Database!$E:$E,$C105)),-0.00001)</f>
        <v>-1.0000000000000001E-5</v>
      </c>
      <c r="R105" s="185">
        <f>IFERROR(IF($C105="",-0.00001,SUMIFS(Database!T:T,Database!$E:$E,$C105)),-0.00001)</f>
        <v>-1.0000000000000001E-5</v>
      </c>
      <c r="S105" s="186">
        <f t="shared" si="4"/>
        <v>-1.0000000000000001E-5</v>
      </c>
      <c r="T105" s="185">
        <f>IFERROR(IF($C105="",-0.00001,SUMIFS(Database!V:V,Database!$E:$E,$C105)),-0.00001)</f>
        <v>-1.0000000000000001E-5</v>
      </c>
      <c r="U105" s="185">
        <f>IFERROR(IF($C105="",-0.00001,SUMIFS(Database!W:W,Database!$E:$E,$C105)),-0.00001)</f>
        <v>-1.0000000000000001E-5</v>
      </c>
      <c r="V105" s="186">
        <f t="shared" si="5"/>
        <v>-1.0000000000000001E-5</v>
      </c>
      <c r="W105" s="187"/>
      <c r="X105" s="187"/>
      <c r="Y105" s="187"/>
      <c r="Z105" s="187"/>
      <c r="AA105" s="187"/>
      <c r="AB105" s="187"/>
      <c r="AC105" s="187"/>
      <c r="AD105" s="187"/>
      <c r="AE105" s="187"/>
    </row>
    <row r="106" spans="1:31" x14ac:dyDescent="0.25">
      <c r="A106" s="187"/>
      <c r="B106" s="187" t="str">
        <f>IF($C106="","",MAX($B$4:$B105)+1)</f>
        <v/>
      </c>
      <c r="C106" s="183"/>
      <c r="D106" s="183"/>
      <c r="E106" s="185">
        <f>IF($C106="",-0.00001,COUNTIF(Database!E:E,$C106))</f>
        <v>-1.0000000000000001E-5</v>
      </c>
      <c r="F106" s="185">
        <f>IFERROR(IF($C106="",-0.00001,SUMIFS(Database!H:H,Database!$E:$E,$C106)),-0.00001)</f>
        <v>-1.0000000000000001E-5</v>
      </c>
      <c r="G106" s="185">
        <f>IFERROR(IF($C106="",-0.00001,SUMIFS(Database!I:I,Database!$E:$E,$C106)),-0.00001)</f>
        <v>-1.0000000000000001E-5</v>
      </c>
      <c r="H106" s="185">
        <f>IFERROR(IF($C106="",-0.00001,SUMIFS(Database!J:J,Database!$E:$E,$C106)),-0.00001)</f>
        <v>-1.0000000000000001E-5</v>
      </c>
      <c r="I106" s="185">
        <f>IFERROR(IF($C106="",-0.00001,SUMIFS(Database!K:K,Database!$E:$E,$C106)),-0.00001)</f>
        <v>-1.0000000000000001E-5</v>
      </c>
      <c r="J106" s="185">
        <f>IFERROR(IF($C106="",-0.00001,SUMIFS(Database!L:L,Database!$E:$E,$C106)),-0.00001)</f>
        <v>-1.0000000000000001E-5</v>
      </c>
      <c r="K106" s="185">
        <f>IFERROR(IF($C106="",-0.00001,SUMIFS(Database!M:M,Database!$E:$E,$C106)),-0.00001)</f>
        <v>-1.0000000000000001E-5</v>
      </c>
      <c r="L106" s="185">
        <f>IFERROR(IF($C106="",-0.00001,SUMIFS(Database!N:N,Database!$E:$E,$C106)),-0.00001)</f>
        <v>-1.0000000000000001E-5</v>
      </c>
      <c r="M106" s="185">
        <f>IFERROR(IF($C106="",-0.00001,SUMIFS(Database!O:O,Database!$E:$E,$C106)),-0.00001)</f>
        <v>-1.0000000000000001E-5</v>
      </c>
      <c r="N106" s="185">
        <f>IFERROR(IF($C106="",-0.00001,SUMIFS(Database!P:P,Database!$E:$E,$C106)),-0.00001)</f>
        <v>-1.0000000000000001E-5</v>
      </c>
      <c r="O106" s="185">
        <f>IFERROR(IF($C106="",-0.00001,SUMIFS(Database!Q:Q,Database!$E:$E,$C106)),-0.00001)</f>
        <v>-1.0000000000000001E-5</v>
      </c>
      <c r="P106" s="186">
        <f t="shared" si="3"/>
        <v>-1.0000000000000001E-5</v>
      </c>
      <c r="Q106" s="185">
        <f>IFERROR(IF($C106="",-0.00001,SUMIFS(Database!S:S,Database!$E:$E,$C106)),-0.00001)</f>
        <v>-1.0000000000000001E-5</v>
      </c>
      <c r="R106" s="185">
        <f>IFERROR(IF($C106="",-0.00001,SUMIFS(Database!T:T,Database!$E:$E,$C106)),-0.00001)</f>
        <v>-1.0000000000000001E-5</v>
      </c>
      <c r="S106" s="186">
        <f t="shared" si="4"/>
        <v>-1.0000000000000001E-5</v>
      </c>
      <c r="T106" s="185">
        <f>IFERROR(IF($C106="",-0.00001,SUMIFS(Database!V:V,Database!$E:$E,$C106)),-0.00001)</f>
        <v>-1.0000000000000001E-5</v>
      </c>
      <c r="U106" s="185">
        <f>IFERROR(IF($C106="",-0.00001,SUMIFS(Database!W:W,Database!$E:$E,$C106)),-0.00001)</f>
        <v>-1.0000000000000001E-5</v>
      </c>
      <c r="V106" s="186">
        <f t="shared" si="5"/>
        <v>-1.0000000000000001E-5</v>
      </c>
      <c r="W106" s="187"/>
      <c r="X106" s="187"/>
      <c r="Y106" s="187"/>
      <c r="Z106" s="187"/>
      <c r="AA106" s="187"/>
      <c r="AB106" s="187"/>
      <c r="AC106" s="187"/>
      <c r="AD106" s="187"/>
      <c r="AE106" s="187"/>
    </row>
    <row r="107" spans="1:31" x14ac:dyDescent="0.25">
      <c r="A107" s="187"/>
      <c r="B107" s="187" t="str">
        <f>IF($C107="","",MAX($B$4:$B106)+1)</f>
        <v/>
      </c>
      <c r="C107" s="183"/>
      <c r="D107" s="183"/>
      <c r="E107" s="185">
        <f>IF($C107="",-0.00001,COUNTIF(Database!E:E,$C107))</f>
        <v>-1.0000000000000001E-5</v>
      </c>
      <c r="F107" s="185">
        <f>IFERROR(IF($C107="",-0.00001,SUMIFS(Database!H:H,Database!$E:$E,$C107)),-0.00001)</f>
        <v>-1.0000000000000001E-5</v>
      </c>
      <c r="G107" s="185">
        <f>IFERROR(IF($C107="",-0.00001,SUMIFS(Database!I:I,Database!$E:$E,$C107)),-0.00001)</f>
        <v>-1.0000000000000001E-5</v>
      </c>
      <c r="H107" s="185">
        <f>IFERROR(IF($C107="",-0.00001,SUMIFS(Database!J:J,Database!$E:$E,$C107)),-0.00001)</f>
        <v>-1.0000000000000001E-5</v>
      </c>
      <c r="I107" s="185">
        <f>IFERROR(IF($C107="",-0.00001,SUMIFS(Database!K:K,Database!$E:$E,$C107)),-0.00001)</f>
        <v>-1.0000000000000001E-5</v>
      </c>
      <c r="J107" s="185">
        <f>IFERROR(IF($C107="",-0.00001,SUMIFS(Database!L:L,Database!$E:$E,$C107)),-0.00001)</f>
        <v>-1.0000000000000001E-5</v>
      </c>
      <c r="K107" s="185">
        <f>IFERROR(IF($C107="",-0.00001,SUMIFS(Database!M:M,Database!$E:$E,$C107)),-0.00001)</f>
        <v>-1.0000000000000001E-5</v>
      </c>
      <c r="L107" s="185">
        <f>IFERROR(IF($C107="",-0.00001,SUMIFS(Database!N:N,Database!$E:$E,$C107)),-0.00001)</f>
        <v>-1.0000000000000001E-5</v>
      </c>
      <c r="M107" s="185">
        <f>IFERROR(IF($C107="",-0.00001,SUMIFS(Database!O:O,Database!$E:$E,$C107)),-0.00001)</f>
        <v>-1.0000000000000001E-5</v>
      </c>
      <c r="N107" s="185">
        <f>IFERROR(IF($C107="",-0.00001,SUMIFS(Database!P:P,Database!$E:$E,$C107)),-0.00001)</f>
        <v>-1.0000000000000001E-5</v>
      </c>
      <c r="O107" s="185">
        <f>IFERROR(IF($C107="",-0.00001,SUMIFS(Database!Q:Q,Database!$E:$E,$C107)),-0.00001)</f>
        <v>-1.0000000000000001E-5</v>
      </c>
      <c r="P107" s="186">
        <f t="shared" si="3"/>
        <v>-1.0000000000000001E-5</v>
      </c>
      <c r="Q107" s="185">
        <f>IFERROR(IF($C107="",-0.00001,SUMIFS(Database!S:S,Database!$E:$E,$C107)),-0.00001)</f>
        <v>-1.0000000000000001E-5</v>
      </c>
      <c r="R107" s="185">
        <f>IFERROR(IF($C107="",-0.00001,SUMIFS(Database!T:T,Database!$E:$E,$C107)),-0.00001)</f>
        <v>-1.0000000000000001E-5</v>
      </c>
      <c r="S107" s="186">
        <f t="shared" si="4"/>
        <v>-1.0000000000000001E-5</v>
      </c>
      <c r="T107" s="185">
        <f>IFERROR(IF($C107="",-0.00001,SUMIFS(Database!V:V,Database!$E:$E,$C107)),-0.00001)</f>
        <v>-1.0000000000000001E-5</v>
      </c>
      <c r="U107" s="185">
        <f>IFERROR(IF($C107="",-0.00001,SUMIFS(Database!W:W,Database!$E:$E,$C107)),-0.00001)</f>
        <v>-1.0000000000000001E-5</v>
      </c>
      <c r="V107" s="186">
        <f t="shared" si="5"/>
        <v>-1.0000000000000001E-5</v>
      </c>
      <c r="W107" s="187"/>
      <c r="X107" s="187"/>
      <c r="Y107" s="187"/>
      <c r="Z107" s="187"/>
      <c r="AA107" s="187"/>
      <c r="AB107" s="187"/>
      <c r="AC107" s="187"/>
      <c r="AD107" s="187"/>
      <c r="AE107" s="187"/>
    </row>
    <row r="108" spans="1:31" x14ac:dyDescent="0.25">
      <c r="A108" s="187"/>
      <c r="B108" s="187" t="str">
        <f>IF($C108="","",MAX($B$4:$B107)+1)</f>
        <v/>
      </c>
      <c r="C108" s="183"/>
      <c r="D108" s="183"/>
      <c r="E108" s="185">
        <f>IF($C108="",-0.00001,COUNTIF(Database!E:E,$C108))</f>
        <v>-1.0000000000000001E-5</v>
      </c>
      <c r="F108" s="185">
        <f>IFERROR(IF($C108="",-0.00001,SUMIFS(Database!H:H,Database!$E:$E,$C108)),-0.00001)</f>
        <v>-1.0000000000000001E-5</v>
      </c>
      <c r="G108" s="185">
        <f>IFERROR(IF($C108="",-0.00001,SUMIFS(Database!I:I,Database!$E:$E,$C108)),-0.00001)</f>
        <v>-1.0000000000000001E-5</v>
      </c>
      <c r="H108" s="185">
        <f>IFERROR(IF($C108="",-0.00001,SUMIFS(Database!J:J,Database!$E:$E,$C108)),-0.00001)</f>
        <v>-1.0000000000000001E-5</v>
      </c>
      <c r="I108" s="185">
        <f>IFERROR(IF($C108="",-0.00001,SUMIFS(Database!K:K,Database!$E:$E,$C108)),-0.00001)</f>
        <v>-1.0000000000000001E-5</v>
      </c>
      <c r="J108" s="185">
        <f>IFERROR(IF($C108="",-0.00001,SUMIFS(Database!L:L,Database!$E:$E,$C108)),-0.00001)</f>
        <v>-1.0000000000000001E-5</v>
      </c>
      <c r="K108" s="185">
        <f>IFERROR(IF($C108="",-0.00001,SUMIFS(Database!M:M,Database!$E:$E,$C108)),-0.00001)</f>
        <v>-1.0000000000000001E-5</v>
      </c>
      <c r="L108" s="185">
        <f>IFERROR(IF($C108="",-0.00001,SUMIFS(Database!N:N,Database!$E:$E,$C108)),-0.00001)</f>
        <v>-1.0000000000000001E-5</v>
      </c>
      <c r="M108" s="185">
        <f>IFERROR(IF($C108="",-0.00001,SUMIFS(Database!O:O,Database!$E:$E,$C108)),-0.00001)</f>
        <v>-1.0000000000000001E-5</v>
      </c>
      <c r="N108" s="185">
        <f>IFERROR(IF($C108="",-0.00001,SUMIFS(Database!P:P,Database!$E:$E,$C108)),-0.00001)</f>
        <v>-1.0000000000000001E-5</v>
      </c>
      <c r="O108" s="185">
        <f>IFERROR(IF($C108="",-0.00001,SUMIFS(Database!Q:Q,Database!$E:$E,$C108)),-0.00001)</f>
        <v>-1.0000000000000001E-5</v>
      </c>
      <c r="P108" s="186">
        <f t="shared" si="3"/>
        <v>-1.0000000000000001E-5</v>
      </c>
      <c r="Q108" s="185">
        <f>IFERROR(IF($C108="",-0.00001,SUMIFS(Database!S:S,Database!$E:$E,$C108)),-0.00001)</f>
        <v>-1.0000000000000001E-5</v>
      </c>
      <c r="R108" s="185">
        <f>IFERROR(IF($C108="",-0.00001,SUMIFS(Database!T:T,Database!$E:$E,$C108)),-0.00001)</f>
        <v>-1.0000000000000001E-5</v>
      </c>
      <c r="S108" s="186">
        <f t="shared" si="4"/>
        <v>-1.0000000000000001E-5</v>
      </c>
      <c r="T108" s="185">
        <f>IFERROR(IF($C108="",-0.00001,SUMIFS(Database!V:V,Database!$E:$E,$C108)),-0.00001)</f>
        <v>-1.0000000000000001E-5</v>
      </c>
      <c r="U108" s="185">
        <f>IFERROR(IF($C108="",-0.00001,SUMIFS(Database!W:W,Database!$E:$E,$C108)),-0.00001)</f>
        <v>-1.0000000000000001E-5</v>
      </c>
      <c r="V108" s="186">
        <f t="shared" si="5"/>
        <v>-1.0000000000000001E-5</v>
      </c>
      <c r="W108" s="187"/>
      <c r="X108" s="187"/>
      <c r="Y108" s="187"/>
      <c r="Z108" s="187"/>
      <c r="AA108" s="187"/>
      <c r="AB108" s="187"/>
      <c r="AC108" s="187"/>
      <c r="AD108" s="187"/>
      <c r="AE108" s="187"/>
    </row>
    <row r="109" spans="1:31" x14ac:dyDescent="0.25">
      <c r="A109" s="187"/>
      <c r="B109" s="187" t="str">
        <f>IF($C109="","",MAX($B$4:$B108)+1)</f>
        <v/>
      </c>
      <c r="C109" s="183"/>
      <c r="D109" s="183"/>
      <c r="E109" s="185">
        <f>IF($C109="",-0.00001,COUNTIF(Database!E:E,$C109))</f>
        <v>-1.0000000000000001E-5</v>
      </c>
      <c r="F109" s="185">
        <f>IFERROR(IF($C109="",-0.00001,SUMIFS(Database!H:H,Database!$E:$E,$C109)),-0.00001)</f>
        <v>-1.0000000000000001E-5</v>
      </c>
      <c r="G109" s="185">
        <f>IFERROR(IF($C109="",-0.00001,SUMIFS(Database!I:I,Database!$E:$E,$C109)),-0.00001)</f>
        <v>-1.0000000000000001E-5</v>
      </c>
      <c r="H109" s="185">
        <f>IFERROR(IF($C109="",-0.00001,SUMIFS(Database!J:J,Database!$E:$E,$C109)),-0.00001)</f>
        <v>-1.0000000000000001E-5</v>
      </c>
      <c r="I109" s="185">
        <f>IFERROR(IF($C109="",-0.00001,SUMIFS(Database!K:K,Database!$E:$E,$C109)),-0.00001)</f>
        <v>-1.0000000000000001E-5</v>
      </c>
      <c r="J109" s="185">
        <f>IFERROR(IF($C109="",-0.00001,SUMIFS(Database!L:L,Database!$E:$E,$C109)),-0.00001)</f>
        <v>-1.0000000000000001E-5</v>
      </c>
      <c r="K109" s="185">
        <f>IFERROR(IF($C109="",-0.00001,SUMIFS(Database!M:M,Database!$E:$E,$C109)),-0.00001)</f>
        <v>-1.0000000000000001E-5</v>
      </c>
      <c r="L109" s="185">
        <f>IFERROR(IF($C109="",-0.00001,SUMIFS(Database!N:N,Database!$E:$E,$C109)),-0.00001)</f>
        <v>-1.0000000000000001E-5</v>
      </c>
      <c r="M109" s="185">
        <f>IFERROR(IF($C109="",-0.00001,SUMIFS(Database!O:O,Database!$E:$E,$C109)),-0.00001)</f>
        <v>-1.0000000000000001E-5</v>
      </c>
      <c r="N109" s="185">
        <f>IFERROR(IF($C109="",-0.00001,SUMIFS(Database!P:P,Database!$E:$E,$C109)),-0.00001)</f>
        <v>-1.0000000000000001E-5</v>
      </c>
      <c r="O109" s="185">
        <f>IFERROR(IF($C109="",-0.00001,SUMIFS(Database!Q:Q,Database!$E:$E,$C109)),-0.00001)</f>
        <v>-1.0000000000000001E-5</v>
      </c>
      <c r="P109" s="186">
        <f t="shared" si="3"/>
        <v>-1.0000000000000001E-5</v>
      </c>
      <c r="Q109" s="185">
        <f>IFERROR(IF($C109="",-0.00001,SUMIFS(Database!S:S,Database!$E:$E,$C109)),-0.00001)</f>
        <v>-1.0000000000000001E-5</v>
      </c>
      <c r="R109" s="185">
        <f>IFERROR(IF($C109="",-0.00001,SUMIFS(Database!T:T,Database!$E:$E,$C109)),-0.00001)</f>
        <v>-1.0000000000000001E-5</v>
      </c>
      <c r="S109" s="186">
        <f t="shared" si="4"/>
        <v>-1.0000000000000001E-5</v>
      </c>
      <c r="T109" s="185">
        <f>IFERROR(IF($C109="",-0.00001,SUMIFS(Database!V:V,Database!$E:$E,$C109)),-0.00001)</f>
        <v>-1.0000000000000001E-5</v>
      </c>
      <c r="U109" s="185">
        <f>IFERROR(IF($C109="",-0.00001,SUMIFS(Database!W:W,Database!$E:$E,$C109)),-0.00001)</f>
        <v>-1.0000000000000001E-5</v>
      </c>
      <c r="V109" s="186">
        <f t="shared" si="5"/>
        <v>-1.0000000000000001E-5</v>
      </c>
      <c r="W109" s="187"/>
      <c r="X109" s="187"/>
      <c r="Y109" s="187"/>
      <c r="Z109" s="187"/>
      <c r="AA109" s="187"/>
      <c r="AB109" s="187"/>
      <c r="AC109" s="187"/>
      <c r="AD109" s="187"/>
      <c r="AE109" s="187"/>
    </row>
    <row r="110" spans="1:31" x14ac:dyDescent="0.25">
      <c r="A110" s="187"/>
      <c r="B110" s="187" t="str">
        <f>IF($C110="","",MAX($B$4:$B109)+1)</f>
        <v/>
      </c>
      <c r="C110" s="183"/>
      <c r="D110" s="183"/>
      <c r="E110" s="185">
        <f>IF($C110="",-0.00001,COUNTIF(Database!E:E,$C110))</f>
        <v>-1.0000000000000001E-5</v>
      </c>
      <c r="F110" s="185">
        <f>IFERROR(IF($C110="",-0.00001,SUMIFS(Database!H:H,Database!$E:$E,$C110)),-0.00001)</f>
        <v>-1.0000000000000001E-5</v>
      </c>
      <c r="G110" s="185">
        <f>IFERROR(IF($C110="",-0.00001,SUMIFS(Database!I:I,Database!$E:$E,$C110)),-0.00001)</f>
        <v>-1.0000000000000001E-5</v>
      </c>
      <c r="H110" s="185">
        <f>IFERROR(IF($C110="",-0.00001,SUMIFS(Database!J:J,Database!$E:$E,$C110)),-0.00001)</f>
        <v>-1.0000000000000001E-5</v>
      </c>
      <c r="I110" s="185">
        <f>IFERROR(IF($C110="",-0.00001,SUMIFS(Database!K:K,Database!$E:$E,$C110)),-0.00001)</f>
        <v>-1.0000000000000001E-5</v>
      </c>
      <c r="J110" s="185">
        <f>IFERROR(IF($C110="",-0.00001,SUMIFS(Database!L:L,Database!$E:$E,$C110)),-0.00001)</f>
        <v>-1.0000000000000001E-5</v>
      </c>
      <c r="K110" s="185">
        <f>IFERROR(IF($C110="",-0.00001,SUMIFS(Database!M:M,Database!$E:$E,$C110)),-0.00001)</f>
        <v>-1.0000000000000001E-5</v>
      </c>
      <c r="L110" s="185">
        <f>IFERROR(IF($C110="",-0.00001,SUMIFS(Database!N:N,Database!$E:$E,$C110)),-0.00001)</f>
        <v>-1.0000000000000001E-5</v>
      </c>
      <c r="M110" s="185">
        <f>IFERROR(IF($C110="",-0.00001,SUMIFS(Database!O:O,Database!$E:$E,$C110)),-0.00001)</f>
        <v>-1.0000000000000001E-5</v>
      </c>
      <c r="N110" s="185">
        <f>IFERROR(IF($C110="",-0.00001,SUMIFS(Database!P:P,Database!$E:$E,$C110)),-0.00001)</f>
        <v>-1.0000000000000001E-5</v>
      </c>
      <c r="O110" s="185">
        <f>IFERROR(IF($C110="",-0.00001,SUMIFS(Database!Q:Q,Database!$E:$E,$C110)),-0.00001)</f>
        <v>-1.0000000000000001E-5</v>
      </c>
      <c r="P110" s="186">
        <f t="shared" si="3"/>
        <v>-1.0000000000000001E-5</v>
      </c>
      <c r="Q110" s="185">
        <f>IFERROR(IF($C110="",-0.00001,SUMIFS(Database!S:S,Database!$E:$E,$C110)),-0.00001)</f>
        <v>-1.0000000000000001E-5</v>
      </c>
      <c r="R110" s="185">
        <f>IFERROR(IF($C110="",-0.00001,SUMIFS(Database!T:T,Database!$E:$E,$C110)),-0.00001)</f>
        <v>-1.0000000000000001E-5</v>
      </c>
      <c r="S110" s="186">
        <f t="shared" si="4"/>
        <v>-1.0000000000000001E-5</v>
      </c>
      <c r="T110" s="185">
        <f>IFERROR(IF($C110="",-0.00001,SUMIFS(Database!V:V,Database!$E:$E,$C110)),-0.00001)</f>
        <v>-1.0000000000000001E-5</v>
      </c>
      <c r="U110" s="185">
        <f>IFERROR(IF($C110="",-0.00001,SUMIFS(Database!W:W,Database!$E:$E,$C110)),-0.00001)</f>
        <v>-1.0000000000000001E-5</v>
      </c>
      <c r="V110" s="186">
        <f t="shared" si="5"/>
        <v>-1.0000000000000001E-5</v>
      </c>
      <c r="W110" s="187"/>
      <c r="X110" s="187"/>
      <c r="Y110" s="187"/>
      <c r="Z110" s="187"/>
      <c r="AA110" s="187"/>
      <c r="AB110" s="187"/>
      <c r="AC110" s="187"/>
      <c r="AD110" s="187"/>
      <c r="AE110" s="187"/>
    </row>
    <row r="111" spans="1:31" x14ac:dyDescent="0.25">
      <c r="A111" s="187"/>
      <c r="B111" s="187" t="str">
        <f>IF($C111="","",MAX($B$4:$B110)+1)</f>
        <v/>
      </c>
      <c r="C111" s="183"/>
      <c r="D111" s="183"/>
      <c r="E111" s="185">
        <f>IF($C111="",-0.00001,COUNTIF(Database!E:E,$C111))</f>
        <v>-1.0000000000000001E-5</v>
      </c>
      <c r="F111" s="185">
        <f>IFERROR(IF($C111="",-0.00001,SUMIFS(Database!H:H,Database!$E:$E,$C111)),-0.00001)</f>
        <v>-1.0000000000000001E-5</v>
      </c>
      <c r="G111" s="185">
        <f>IFERROR(IF($C111="",-0.00001,SUMIFS(Database!I:I,Database!$E:$E,$C111)),-0.00001)</f>
        <v>-1.0000000000000001E-5</v>
      </c>
      <c r="H111" s="185">
        <f>IFERROR(IF($C111="",-0.00001,SUMIFS(Database!J:J,Database!$E:$E,$C111)),-0.00001)</f>
        <v>-1.0000000000000001E-5</v>
      </c>
      <c r="I111" s="185">
        <f>IFERROR(IF($C111="",-0.00001,SUMIFS(Database!K:K,Database!$E:$E,$C111)),-0.00001)</f>
        <v>-1.0000000000000001E-5</v>
      </c>
      <c r="J111" s="185">
        <f>IFERROR(IF($C111="",-0.00001,SUMIFS(Database!L:L,Database!$E:$E,$C111)),-0.00001)</f>
        <v>-1.0000000000000001E-5</v>
      </c>
      <c r="K111" s="185">
        <f>IFERROR(IF($C111="",-0.00001,SUMIFS(Database!M:M,Database!$E:$E,$C111)),-0.00001)</f>
        <v>-1.0000000000000001E-5</v>
      </c>
      <c r="L111" s="185">
        <f>IFERROR(IF($C111="",-0.00001,SUMIFS(Database!N:N,Database!$E:$E,$C111)),-0.00001)</f>
        <v>-1.0000000000000001E-5</v>
      </c>
      <c r="M111" s="185">
        <f>IFERROR(IF($C111="",-0.00001,SUMIFS(Database!O:O,Database!$E:$E,$C111)),-0.00001)</f>
        <v>-1.0000000000000001E-5</v>
      </c>
      <c r="N111" s="185">
        <f>IFERROR(IF($C111="",-0.00001,SUMIFS(Database!P:P,Database!$E:$E,$C111)),-0.00001)</f>
        <v>-1.0000000000000001E-5</v>
      </c>
      <c r="O111" s="185">
        <f>IFERROR(IF($C111="",-0.00001,SUMIFS(Database!Q:Q,Database!$E:$E,$C111)),-0.00001)</f>
        <v>-1.0000000000000001E-5</v>
      </c>
      <c r="P111" s="186">
        <f t="shared" si="3"/>
        <v>-1.0000000000000001E-5</v>
      </c>
      <c r="Q111" s="185">
        <f>IFERROR(IF($C111="",-0.00001,SUMIFS(Database!S:S,Database!$E:$E,$C111)),-0.00001)</f>
        <v>-1.0000000000000001E-5</v>
      </c>
      <c r="R111" s="185">
        <f>IFERROR(IF($C111="",-0.00001,SUMIFS(Database!T:T,Database!$E:$E,$C111)),-0.00001)</f>
        <v>-1.0000000000000001E-5</v>
      </c>
      <c r="S111" s="186">
        <f t="shared" si="4"/>
        <v>-1.0000000000000001E-5</v>
      </c>
      <c r="T111" s="185">
        <f>IFERROR(IF($C111="",-0.00001,SUMIFS(Database!V:V,Database!$E:$E,$C111)),-0.00001)</f>
        <v>-1.0000000000000001E-5</v>
      </c>
      <c r="U111" s="185">
        <f>IFERROR(IF($C111="",-0.00001,SUMIFS(Database!W:W,Database!$E:$E,$C111)),-0.00001)</f>
        <v>-1.0000000000000001E-5</v>
      </c>
      <c r="V111" s="186">
        <f t="shared" si="5"/>
        <v>-1.0000000000000001E-5</v>
      </c>
      <c r="W111" s="187"/>
      <c r="X111" s="187"/>
      <c r="Y111" s="187"/>
      <c r="Z111" s="187"/>
      <c r="AA111" s="187"/>
      <c r="AB111" s="187"/>
      <c r="AC111" s="187"/>
      <c r="AD111" s="187"/>
      <c r="AE111" s="187"/>
    </row>
    <row r="112" spans="1:31" x14ac:dyDescent="0.25">
      <c r="A112" s="187"/>
      <c r="B112" s="187" t="str">
        <f>IF($C112="","",MAX($B$4:$B111)+1)</f>
        <v/>
      </c>
      <c r="C112" s="183"/>
      <c r="D112" s="183"/>
      <c r="E112" s="185">
        <f>IF($C112="",-0.00001,COUNTIF(Database!E:E,$C112))</f>
        <v>-1.0000000000000001E-5</v>
      </c>
      <c r="F112" s="185">
        <f>IFERROR(IF($C112="",-0.00001,SUMIFS(Database!H:H,Database!$E:$E,$C112)),-0.00001)</f>
        <v>-1.0000000000000001E-5</v>
      </c>
      <c r="G112" s="185">
        <f>IFERROR(IF($C112="",-0.00001,SUMIFS(Database!I:I,Database!$E:$E,$C112)),-0.00001)</f>
        <v>-1.0000000000000001E-5</v>
      </c>
      <c r="H112" s="185">
        <f>IFERROR(IF($C112="",-0.00001,SUMIFS(Database!J:J,Database!$E:$E,$C112)),-0.00001)</f>
        <v>-1.0000000000000001E-5</v>
      </c>
      <c r="I112" s="185">
        <f>IFERROR(IF($C112="",-0.00001,SUMIFS(Database!K:K,Database!$E:$E,$C112)),-0.00001)</f>
        <v>-1.0000000000000001E-5</v>
      </c>
      <c r="J112" s="185">
        <f>IFERROR(IF($C112="",-0.00001,SUMIFS(Database!L:L,Database!$E:$E,$C112)),-0.00001)</f>
        <v>-1.0000000000000001E-5</v>
      </c>
      <c r="K112" s="185">
        <f>IFERROR(IF($C112="",-0.00001,SUMIFS(Database!M:M,Database!$E:$E,$C112)),-0.00001)</f>
        <v>-1.0000000000000001E-5</v>
      </c>
      <c r="L112" s="185">
        <f>IFERROR(IF($C112="",-0.00001,SUMIFS(Database!N:N,Database!$E:$E,$C112)),-0.00001)</f>
        <v>-1.0000000000000001E-5</v>
      </c>
      <c r="M112" s="185">
        <f>IFERROR(IF($C112="",-0.00001,SUMIFS(Database!O:O,Database!$E:$E,$C112)),-0.00001)</f>
        <v>-1.0000000000000001E-5</v>
      </c>
      <c r="N112" s="185">
        <f>IFERROR(IF($C112="",-0.00001,SUMIFS(Database!P:P,Database!$E:$E,$C112)),-0.00001)</f>
        <v>-1.0000000000000001E-5</v>
      </c>
      <c r="O112" s="185">
        <f>IFERROR(IF($C112="",-0.00001,SUMIFS(Database!Q:Q,Database!$E:$E,$C112)),-0.00001)</f>
        <v>-1.0000000000000001E-5</v>
      </c>
      <c r="P112" s="186">
        <f t="shared" si="3"/>
        <v>-1.0000000000000001E-5</v>
      </c>
      <c r="Q112" s="185">
        <f>IFERROR(IF($C112="",-0.00001,SUMIFS(Database!S:S,Database!$E:$E,$C112)),-0.00001)</f>
        <v>-1.0000000000000001E-5</v>
      </c>
      <c r="R112" s="185">
        <f>IFERROR(IF($C112="",-0.00001,SUMIFS(Database!T:T,Database!$E:$E,$C112)),-0.00001)</f>
        <v>-1.0000000000000001E-5</v>
      </c>
      <c r="S112" s="186">
        <f t="shared" si="4"/>
        <v>-1.0000000000000001E-5</v>
      </c>
      <c r="T112" s="185">
        <f>IFERROR(IF($C112="",-0.00001,SUMIFS(Database!V:V,Database!$E:$E,$C112)),-0.00001)</f>
        <v>-1.0000000000000001E-5</v>
      </c>
      <c r="U112" s="185">
        <f>IFERROR(IF($C112="",-0.00001,SUMIFS(Database!W:W,Database!$E:$E,$C112)),-0.00001)</f>
        <v>-1.0000000000000001E-5</v>
      </c>
      <c r="V112" s="186">
        <f t="shared" si="5"/>
        <v>-1.0000000000000001E-5</v>
      </c>
      <c r="W112" s="187"/>
      <c r="X112" s="187"/>
      <c r="Y112" s="187"/>
      <c r="Z112" s="187"/>
      <c r="AA112" s="187"/>
      <c r="AB112" s="187"/>
      <c r="AC112" s="187"/>
      <c r="AD112" s="187"/>
      <c r="AE112" s="187"/>
    </row>
    <row r="113" spans="1:31" x14ac:dyDescent="0.25">
      <c r="A113" s="187"/>
      <c r="B113" s="187" t="str">
        <f>IF($C113="","",MAX($B$4:$B112)+1)</f>
        <v/>
      </c>
      <c r="C113" s="183"/>
      <c r="D113" s="183"/>
      <c r="E113" s="185">
        <f>IF($C113="",-0.00001,COUNTIF(Database!E:E,$C113))</f>
        <v>-1.0000000000000001E-5</v>
      </c>
      <c r="F113" s="185">
        <f>IFERROR(IF($C113="",-0.00001,SUMIFS(Database!H:H,Database!$E:$E,$C113)),-0.00001)</f>
        <v>-1.0000000000000001E-5</v>
      </c>
      <c r="G113" s="185">
        <f>IFERROR(IF($C113="",-0.00001,SUMIFS(Database!I:I,Database!$E:$E,$C113)),-0.00001)</f>
        <v>-1.0000000000000001E-5</v>
      </c>
      <c r="H113" s="185">
        <f>IFERROR(IF($C113="",-0.00001,SUMIFS(Database!J:J,Database!$E:$E,$C113)),-0.00001)</f>
        <v>-1.0000000000000001E-5</v>
      </c>
      <c r="I113" s="185">
        <f>IFERROR(IF($C113="",-0.00001,SUMIFS(Database!K:K,Database!$E:$E,$C113)),-0.00001)</f>
        <v>-1.0000000000000001E-5</v>
      </c>
      <c r="J113" s="185">
        <f>IFERROR(IF($C113="",-0.00001,SUMIFS(Database!L:L,Database!$E:$E,$C113)),-0.00001)</f>
        <v>-1.0000000000000001E-5</v>
      </c>
      <c r="K113" s="185">
        <f>IFERROR(IF($C113="",-0.00001,SUMIFS(Database!M:M,Database!$E:$E,$C113)),-0.00001)</f>
        <v>-1.0000000000000001E-5</v>
      </c>
      <c r="L113" s="185">
        <f>IFERROR(IF($C113="",-0.00001,SUMIFS(Database!N:N,Database!$E:$E,$C113)),-0.00001)</f>
        <v>-1.0000000000000001E-5</v>
      </c>
      <c r="M113" s="185">
        <f>IFERROR(IF($C113="",-0.00001,SUMIFS(Database!O:O,Database!$E:$E,$C113)),-0.00001)</f>
        <v>-1.0000000000000001E-5</v>
      </c>
      <c r="N113" s="185">
        <f>IFERROR(IF($C113="",-0.00001,SUMIFS(Database!P:P,Database!$E:$E,$C113)),-0.00001)</f>
        <v>-1.0000000000000001E-5</v>
      </c>
      <c r="O113" s="185">
        <f>IFERROR(IF($C113="",-0.00001,SUMIFS(Database!Q:Q,Database!$E:$E,$C113)),-0.00001)</f>
        <v>-1.0000000000000001E-5</v>
      </c>
      <c r="P113" s="186">
        <f t="shared" si="3"/>
        <v>-1.0000000000000001E-5</v>
      </c>
      <c r="Q113" s="185">
        <f>IFERROR(IF($C113="",-0.00001,SUMIFS(Database!S:S,Database!$E:$E,$C113)),-0.00001)</f>
        <v>-1.0000000000000001E-5</v>
      </c>
      <c r="R113" s="185">
        <f>IFERROR(IF($C113="",-0.00001,SUMIFS(Database!T:T,Database!$E:$E,$C113)),-0.00001)</f>
        <v>-1.0000000000000001E-5</v>
      </c>
      <c r="S113" s="186">
        <f t="shared" si="4"/>
        <v>-1.0000000000000001E-5</v>
      </c>
      <c r="T113" s="185">
        <f>IFERROR(IF($C113="",-0.00001,SUMIFS(Database!V:V,Database!$E:$E,$C113)),-0.00001)</f>
        <v>-1.0000000000000001E-5</v>
      </c>
      <c r="U113" s="185">
        <f>IFERROR(IF($C113="",-0.00001,SUMIFS(Database!W:W,Database!$E:$E,$C113)),-0.00001)</f>
        <v>-1.0000000000000001E-5</v>
      </c>
      <c r="V113" s="186">
        <f t="shared" si="5"/>
        <v>-1.0000000000000001E-5</v>
      </c>
      <c r="W113" s="187"/>
      <c r="X113" s="187"/>
      <c r="Y113" s="187"/>
      <c r="Z113" s="187"/>
      <c r="AA113" s="187"/>
      <c r="AB113" s="187"/>
      <c r="AC113" s="187"/>
      <c r="AD113" s="187"/>
      <c r="AE113" s="187"/>
    </row>
    <row r="114" spans="1:31" x14ac:dyDescent="0.25">
      <c r="A114" s="187"/>
      <c r="B114" s="187" t="str">
        <f>IF($C114="","",MAX($B$4:$B113)+1)</f>
        <v/>
      </c>
      <c r="C114" s="183"/>
      <c r="D114" s="183"/>
      <c r="E114" s="185">
        <f>IF($C114="",-0.00001,COUNTIF(Database!E:E,$C114))</f>
        <v>-1.0000000000000001E-5</v>
      </c>
      <c r="F114" s="185">
        <f>IFERROR(IF($C114="",-0.00001,SUMIFS(Database!H:H,Database!$E:$E,$C114)),-0.00001)</f>
        <v>-1.0000000000000001E-5</v>
      </c>
      <c r="G114" s="185">
        <f>IFERROR(IF($C114="",-0.00001,SUMIFS(Database!I:I,Database!$E:$E,$C114)),-0.00001)</f>
        <v>-1.0000000000000001E-5</v>
      </c>
      <c r="H114" s="185">
        <f>IFERROR(IF($C114="",-0.00001,SUMIFS(Database!J:J,Database!$E:$E,$C114)),-0.00001)</f>
        <v>-1.0000000000000001E-5</v>
      </c>
      <c r="I114" s="185">
        <f>IFERROR(IF($C114="",-0.00001,SUMIFS(Database!K:K,Database!$E:$E,$C114)),-0.00001)</f>
        <v>-1.0000000000000001E-5</v>
      </c>
      <c r="J114" s="185">
        <f>IFERROR(IF($C114="",-0.00001,SUMIFS(Database!L:L,Database!$E:$E,$C114)),-0.00001)</f>
        <v>-1.0000000000000001E-5</v>
      </c>
      <c r="K114" s="185">
        <f>IFERROR(IF($C114="",-0.00001,SUMIFS(Database!M:M,Database!$E:$E,$C114)),-0.00001)</f>
        <v>-1.0000000000000001E-5</v>
      </c>
      <c r="L114" s="185">
        <f>IFERROR(IF($C114="",-0.00001,SUMIFS(Database!N:N,Database!$E:$E,$C114)),-0.00001)</f>
        <v>-1.0000000000000001E-5</v>
      </c>
      <c r="M114" s="185">
        <f>IFERROR(IF($C114="",-0.00001,SUMIFS(Database!O:O,Database!$E:$E,$C114)),-0.00001)</f>
        <v>-1.0000000000000001E-5</v>
      </c>
      <c r="N114" s="185">
        <f>IFERROR(IF($C114="",-0.00001,SUMIFS(Database!P:P,Database!$E:$E,$C114)),-0.00001)</f>
        <v>-1.0000000000000001E-5</v>
      </c>
      <c r="O114" s="185">
        <f>IFERROR(IF($C114="",-0.00001,SUMIFS(Database!Q:Q,Database!$E:$E,$C114)),-0.00001)</f>
        <v>-1.0000000000000001E-5</v>
      </c>
      <c r="P114" s="186">
        <f t="shared" si="3"/>
        <v>-1.0000000000000001E-5</v>
      </c>
      <c r="Q114" s="185">
        <f>IFERROR(IF($C114="",-0.00001,SUMIFS(Database!S:S,Database!$E:$E,$C114)),-0.00001)</f>
        <v>-1.0000000000000001E-5</v>
      </c>
      <c r="R114" s="185">
        <f>IFERROR(IF($C114="",-0.00001,SUMIFS(Database!T:T,Database!$E:$E,$C114)),-0.00001)</f>
        <v>-1.0000000000000001E-5</v>
      </c>
      <c r="S114" s="186">
        <f t="shared" si="4"/>
        <v>-1.0000000000000001E-5</v>
      </c>
      <c r="T114" s="185">
        <f>IFERROR(IF($C114="",-0.00001,SUMIFS(Database!V:V,Database!$E:$E,$C114)),-0.00001)</f>
        <v>-1.0000000000000001E-5</v>
      </c>
      <c r="U114" s="185">
        <f>IFERROR(IF($C114="",-0.00001,SUMIFS(Database!W:W,Database!$E:$E,$C114)),-0.00001)</f>
        <v>-1.0000000000000001E-5</v>
      </c>
      <c r="V114" s="186">
        <f t="shared" si="5"/>
        <v>-1.0000000000000001E-5</v>
      </c>
      <c r="W114" s="187"/>
      <c r="X114" s="187"/>
      <c r="Y114" s="187"/>
      <c r="Z114" s="187"/>
      <c r="AA114" s="187"/>
      <c r="AB114" s="187"/>
      <c r="AC114" s="187"/>
      <c r="AD114" s="187"/>
      <c r="AE114" s="187"/>
    </row>
    <row r="115" spans="1:31" x14ac:dyDescent="0.25">
      <c r="A115" s="187"/>
      <c r="B115" s="187" t="str">
        <f>IF($C115="","",MAX($B$4:$B114)+1)</f>
        <v/>
      </c>
      <c r="C115" s="183"/>
      <c r="D115" s="183"/>
      <c r="E115" s="185">
        <f>IF($C115="",-0.00001,COUNTIF(Database!E:E,$C115))</f>
        <v>-1.0000000000000001E-5</v>
      </c>
      <c r="F115" s="185">
        <f>IFERROR(IF($C115="",-0.00001,SUMIFS(Database!H:H,Database!$E:$E,$C115)),-0.00001)</f>
        <v>-1.0000000000000001E-5</v>
      </c>
      <c r="G115" s="185">
        <f>IFERROR(IF($C115="",-0.00001,SUMIFS(Database!I:I,Database!$E:$E,$C115)),-0.00001)</f>
        <v>-1.0000000000000001E-5</v>
      </c>
      <c r="H115" s="185">
        <f>IFERROR(IF($C115="",-0.00001,SUMIFS(Database!J:J,Database!$E:$E,$C115)),-0.00001)</f>
        <v>-1.0000000000000001E-5</v>
      </c>
      <c r="I115" s="185">
        <f>IFERROR(IF($C115="",-0.00001,SUMIFS(Database!K:K,Database!$E:$E,$C115)),-0.00001)</f>
        <v>-1.0000000000000001E-5</v>
      </c>
      <c r="J115" s="185">
        <f>IFERROR(IF($C115="",-0.00001,SUMIFS(Database!L:L,Database!$E:$E,$C115)),-0.00001)</f>
        <v>-1.0000000000000001E-5</v>
      </c>
      <c r="K115" s="185">
        <f>IFERROR(IF($C115="",-0.00001,SUMIFS(Database!M:M,Database!$E:$E,$C115)),-0.00001)</f>
        <v>-1.0000000000000001E-5</v>
      </c>
      <c r="L115" s="185">
        <f>IFERROR(IF($C115="",-0.00001,SUMIFS(Database!N:N,Database!$E:$E,$C115)),-0.00001)</f>
        <v>-1.0000000000000001E-5</v>
      </c>
      <c r="M115" s="185">
        <f>IFERROR(IF($C115="",-0.00001,SUMIFS(Database!O:O,Database!$E:$E,$C115)),-0.00001)</f>
        <v>-1.0000000000000001E-5</v>
      </c>
      <c r="N115" s="185">
        <f>IFERROR(IF($C115="",-0.00001,SUMIFS(Database!P:P,Database!$E:$E,$C115)),-0.00001)</f>
        <v>-1.0000000000000001E-5</v>
      </c>
      <c r="O115" s="185">
        <f>IFERROR(IF($C115="",-0.00001,SUMIFS(Database!Q:Q,Database!$E:$E,$C115)),-0.00001)</f>
        <v>-1.0000000000000001E-5</v>
      </c>
      <c r="P115" s="186">
        <f t="shared" si="3"/>
        <v>-1.0000000000000001E-5</v>
      </c>
      <c r="Q115" s="185">
        <f>IFERROR(IF($C115="",-0.00001,SUMIFS(Database!S:S,Database!$E:$E,$C115)),-0.00001)</f>
        <v>-1.0000000000000001E-5</v>
      </c>
      <c r="R115" s="185">
        <f>IFERROR(IF($C115="",-0.00001,SUMIFS(Database!T:T,Database!$E:$E,$C115)),-0.00001)</f>
        <v>-1.0000000000000001E-5</v>
      </c>
      <c r="S115" s="186">
        <f t="shared" si="4"/>
        <v>-1.0000000000000001E-5</v>
      </c>
      <c r="T115" s="185">
        <f>IFERROR(IF($C115="",-0.00001,SUMIFS(Database!V:V,Database!$E:$E,$C115)),-0.00001)</f>
        <v>-1.0000000000000001E-5</v>
      </c>
      <c r="U115" s="185">
        <f>IFERROR(IF($C115="",-0.00001,SUMIFS(Database!W:W,Database!$E:$E,$C115)),-0.00001)</f>
        <v>-1.0000000000000001E-5</v>
      </c>
      <c r="V115" s="186">
        <f t="shared" si="5"/>
        <v>-1.0000000000000001E-5</v>
      </c>
      <c r="W115" s="187"/>
      <c r="X115" s="187"/>
      <c r="Y115" s="187"/>
      <c r="Z115" s="187"/>
      <c r="AA115" s="187"/>
      <c r="AB115" s="187"/>
      <c r="AC115" s="187"/>
      <c r="AD115" s="187"/>
      <c r="AE115" s="187"/>
    </row>
    <row r="116" spans="1:31" x14ac:dyDescent="0.25">
      <c r="A116" s="187"/>
      <c r="B116" s="187" t="str">
        <f>IF($C116="","",MAX($B$4:$B115)+1)</f>
        <v/>
      </c>
      <c r="C116" s="183"/>
      <c r="D116" s="183"/>
      <c r="E116" s="185">
        <f>IF($C116="",-0.00001,COUNTIF(Database!E:E,$C116))</f>
        <v>-1.0000000000000001E-5</v>
      </c>
      <c r="F116" s="185">
        <f>IFERROR(IF($C116="",-0.00001,SUMIFS(Database!H:H,Database!$E:$E,$C116)),-0.00001)</f>
        <v>-1.0000000000000001E-5</v>
      </c>
      <c r="G116" s="185">
        <f>IFERROR(IF($C116="",-0.00001,SUMIFS(Database!I:I,Database!$E:$E,$C116)),-0.00001)</f>
        <v>-1.0000000000000001E-5</v>
      </c>
      <c r="H116" s="185">
        <f>IFERROR(IF($C116="",-0.00001,SUMIFS(Database!J:J,Database!$E:$E,$C116)),-0.00001)</f>
        <v>-1.0000000000000001E-5</v>
      </c>
      <c r="I116" s="185">
        <f>IFERROR(IF($C116="",-0.00001,SUMIFS(Database!K:K,Database!$E:$E,$C116)),-0.00001)</f>
        <v>-1.0000000000000001E-5</v>
      </c>
      <c r="J116" s="185">
        <f>IFERROR(IF($C116="",-0.00001,SUMIFS(Database!L:L,Database!$E:$E,$C116)),-0.00001)</f>
        <v>-1.0000000000000001E-5</v>
      </c>
      <c r="K116" s="185">
        <f>IFERROR(IF($C116="",-0.00001,SUMIFS(Database!M:M,Database!$E:$E,$C116)),-0.00001)</f>
        <v>-1.0000000000000001E-5</v>
      </c>
      <c r="L116" s="185">
        <f>IFERROR(IF($C116="",-0.00001,SUMIFS(Database!N:N,Database!$E:$E,$C116)),-0.00001)</f>
        <v>-1.0000000000000001E-5</v>
      </c>
      <c r="M116" s="185">
        <f>IFERROR(IF($C116="",-0.00001,SUMIFS(Database!O:O,Database!$E:$E,$C116)),-0.00001)</f>
        <v>-1.0000000000000001E-5</v>
      </c>
      <c r="N116" s="185">
        <f>IFERROR(IF($C116="",-0.00001,SUMIFS(Database!P:P,Database!$E:$E,$C116)),-0.00001)</f>
        <v>-1.0000000000000001E-5</v>
      </c>
      <c r="O116" s="185">
        <f>IFERROR(IF($C116="",-0.00001,SUMIFS(Database!Q:Q,Database!$E:$E,$C116)),-0.00001)</f>
        <v>-1.0000000000000001E-5</v>
      </c>
      <c r="P116" s="186">
        <f t="shared" si="3"/>
        <v>-1.0000000000000001E-5</v>
      </c>
      <c r="Q116" s="185">
        <f>IFERROR(IF($C116="",-0.00001,SUMIFS(Database!S:S,Database!$E:$E,$C116)),-0.00001)</f>
        <v>-1.0000000000000001E-5</v>
      </c>
      <c r="R116" s="185">
        <f>IFERROR(IF($C116="",-0.00001,SUMIFS(Database!T:T,Database!$E:$E,$C116)),-0.00001)</f>
        <v>-1.0000000000000001E-5</v>
      </c>
      <c r="S116" s="186">
        <f t="shared" si="4"/>
        <v>-1.0000000000000001E-5</v>
      </c>
      <c r="T116" s="185">
        <f>IFERROR(IF($C116="",-0.00001,SUMIFS(Database!V:V,Database!$E:$E,$C116)),-0.00001)</f>
        <v>-1.0000000000000001E-5</v>
      </c>
      <c r="U116" s="185">
        <f>IFERROR(IF($C116="",-0.00001,SUMIFS(Database!W:W,Database!$E:$E,$C116)),-0.00001)</f>
        <v>-1.0000000000000001E-5</v>
      </c>
      <c r="V116" s="186">
        <f t="shared" si="5"/>
        <v>-1.0000000000000001E-5</v>
      </c>
      <c r="W116" s="187"/>
      <c r="X116" s="187"/>
      <c r="Y116" s="187"/>
      <c r="Z116" s="187"/>
      <c r="AA116" s="187"/>
      <c r="AB116" s="187"/>
      <c r="AC116" s="187"/>
      <c r="AD116" s="187"/>
      <c r="AE116" s="187"/>
    </row>
    <row r="117" spans="1:31" x14ac:dyDescent="0.25">
      <c r="A117" s="187"/>
      <c r="B117" s="187" t="str">
        <f>IF($C117="","",MAX($B$4:$B116)+1)</f>
        <v/>
      </c>
      <c r="C117" s="183"/>
      <c r="D117" s="183"/>
      <c r="E117" s="185">
        <f>IF($C117="",-0.00001,COUNTIF(Database!E:E,$C117))</f>
        <v>-1.0000000000000001E-5</v>
      </c>
      <c r="F117" s="185">
        <f>IFERROR(IF($C117="",-0.00001,SUMIFS(Database!H:H,Database!$E:$E,$C117)),-0.00001)</f>
        <v>-1.0000000000000001E-5</v>
      </c>
      <c r="G117" s="185">
        <f>IFERROR(IF($C117="",-0.00001,SUMIFS(Database!I:I,Database!$E:$E,$C117)),-0.00001)</f>
        <v>-1.0000000000000001E-5</v>
      </c>
      <c r="H117" s="185">
        <f>IFERROR(IF($C117="",-0.00001,SUMIFS(Database!J:J,Database!$E:$E,$C117)),-0.00001)</f>
        <v>-1.0000000000000001E-5</v>
      </c>
      <c r="I117" s="185">
        <f>IFERROR(IF($C117="",-0.00001,SUMIFS(Database!K:K,Database!$E:$E,$C117)),-0.00001)</f>
        <v>-1.0000000000000001E-5</v>
      </c>
      <c r="J117" s="185">
        <f>IFERROR(IF($C117="",-0.00001,SUMIFS(Database!L:L,Database!$E:$E,$C117)),-0.00001)</f>
        <v>-1.0000000000000001E-5</v>
      </c>
      <c r="K117" s="185">
        <f>IFERROR(IF($C117="",-0.00001,SUMIFS(Database!M:M,Database!$E:$E,$C117)),-0.00001)</f>
        <v>-1.0000000000000001E-5</v>
      </c>
      <c r="L117" s="185">
        <f>IFERROR(IF($C117="",-0.00001,SUMIFS(Database!N:N,Database!$E:$E,$C117)),-0.00001)</f>
        <v>-1.0000000000000001E-5</v>
      </c>
      <c r="M117" s="185">
        <f>IFERROR(IF($C117="",-0.00001,SUMIFS(Database!O:O,Database!$E:$E,$C117)),-0.00001)</f>
        <v>-1.0000000000000001E-5</v>
      </c>
      <c r="N117" s="185">
        <f>IFERROR(IF($C117="",-0.00001,SUMIFS(Database!P:P,Database!$E:$E,$C117)),-0.00001)</f>
        <v>-1.0000000000000001E-5</v>
      </c>
      <c r="O117" s="185">
        <f>IFERROR(IF($C117="",-0.00001,SUMIFS(Database!Q:Q,Database!$E:$E,$C117)),-0.00001)</f>
        <v>-1.0000000000000001E-5</v>
      </c>
      <c r="P117" s="186">
        <f t="shared" si="3"/>
        <v>-1.0000000000000001E-5</v>
      </c>
      <c r="Q117" s="185">
        <f>IFERROR(IF($C117="",-0.00001,SUMIFS(Database!S:S,Database!$E:$E,$C117)),-0.00001)</f>
        <v>-1.0000000000000001E-5</v>
      </c>
      <c r="R117" s="185">
        <f>IFERROR(IF($C117="",-0.00001,SUMIFS(Database!T:T,Database!$E:$E,$C117)),-0.00001)</f>
        <v>-1.0000000000000001E-5</v>
      </c>
      <c r="S117" s="186">
        <f t="shared" si="4"/>
        <v>-1.0000000000000001E-5</v>
      </c>
      <c r="T117" s="185">
        <f>IFERROR(IF($C117="",-0.00001,SUMIFS(Database!V:V,Database!$E:$E,$C117)),-0.00001)</f>
        <v>-1.0000000000000001E-5</v>
      </c>
      <c r="U117" s="185">
        <f>IFERROR(IF($C117="",-0.00001,SUMIFS(Database!W:W,Database!$E:$E,$C117)),-0.00001)</f>
        <v>-1.0000000000000001E-5</v>
      </c>
      <c r="V117" s="186">
        <f t="shared" si="5"/>
        <v>-1.0000000000000001E-5</v>
      </c>
      <c r="W117" s="187"/>
      <c r="X117" s="187"/>
      <c r="Y117" s="187"/>
      <c r="Z117" s="187"/>
      <c r="AA117" s="187"/>
      <c r="AB117" s="187"/>
      <c r="AC117" s="187"/>
      <c r="AD117" s="187"/>
      <c r="AE117" s="187"/>
    </row>
    <row r="118" spans="1:31" x14ac:dyDescent="0.25">
      <c r="A118" s="187"/>
      <c r="B118" s="187" t="str">
        <f>IF($C118="","",MAX($B$4:$B117)+1)</f>
        <v/>
      </c>
      <c r="C118" s="183"/>
      <c r="D118" s="183"/>
      <c r="E118" s="185">
        <f>IF($C118="",-0.00001,COUNTIF(Database!E:E,$C118))</f>
        <v>-1.0000000000000001E-5</v>
      </c>
      <c r="F118" s="185">
        <f>IFERROR(IF($C118="",-0.00001,SUMIFS(Database!H:H,Database!$E:$E,$C118)),-0.00001)</f>
        <v>-1.0000000000000001E-5</v>
      </c>
      <c r="G118" s="185">
        <f>IFERROR(IF($C118="",-0.00001,SUMIFS(Database!I:I,Database!$E:$E,$C118)),-0.00001)</f>
        <v>-1.0000000000000001E-5</v>
      </c>
      <c r="H118" s="185">
        <f>IFERROR(IF($C118="",-0.00001,SUMIFS(Database!J:J,Database!$E:$E,$C118)),-0.00001)</f>
        <v>-1.0000000000000001E-5</v>
      </c>
      <c r="I118" s="185">
        <f>IFERROR(IF($C118="",-0.00001,SUMIFS(Database!K:K,Database!$E:$E,$C118)),-0.00001)</f>
        <v>-1.0000000000000001E-5</v>
      </c>
      <c r="J118" s="185">
        <f>IFERROR(IF($C118="",-0.00001,SUMIFS(Database!L:L,Database!$E:$E,$C118)),-0.00001)</f>
        <v>-1.0000000000000001E-5</v>
      </c>
      <c r="K118" s="185">
        <f>IFERROR(IF($C118="",-0.00001,SUMIFS(Database!M:M,Database!$E:$E,$C118)),-0.00001)</f>
        <v>-1.0000000000000001E-5</v>
      </c>
      <c r="L118" s="185">
        <f>IFERROR(IF($C118="",-0.00001,SUMIFS(Database!N:N,Database!$E:$E,$C118)),-0.00001)</f>
        <v>-1.0000000000000001E-5</v>
      </c>
      <c r="M118" s="185">
        <f>IFERROR(IF($C118="",-0.00001,SUMIFS(Database!O:O,Database!$E:$E,$C118)),-0.00001)</f>
        <v>-1.0000000000000001E-5</v>
      </c>
      <c r="N118" s="185">
        <f>IFERROR(IF($C118="",-0.00001,SUMIFS(Database!P:P,Database!$E:$E,$C118)),-0.00001)</f>
        <v>-1.0000000000000001E-5</v>
      </c>
      <c r="O118" s="185">
        <f>IFERROR(IF($C118="",-0.00001,SUMIFS(Database!Q:Q,Database!$E:$E,$C118)),-0.00001)</f>
        <v>-1.0000000000000001E-5</v>
      </c>
      <c r="P118" s="186">
        <f t="shared" si="3"/>
        <v>-1.0000000000000001E-5</v>
      </c>
      <c r="Q118" s="185">
        <f>IFERROR(IF($C118="",-0.00001,SUMIFS(Database!S:S,Database!$E:$E,$C118)),-0.00001)</f>
        <v>-1.0000000000000001E-5</v>
      </c>
      <c r="R118" s="185">
        <f>IFERROR(IF($C118="",-0.00001,SUMIFS(Database!T:T,Database!$E:$E,$C118)),-0.00001)</f>
        <v>-1.0000000000000001E-5</v>
      </c>
      <c r="S118" s="186">
        <f t="shared" si="4"/>
        <v>-1.0000000000000001E-5</v>
      </c>
      <c r="T118" s="185">
        <f>IFERROR(IF($C118="",-0.00001,SUMIFS(Database!V:V,Database!$E:$E,$C118)),-0.00001)</f>
        <v>-1.0000000000000001E-5</v>
      </c>
      <c r="U118" s="185">
        <f>IFERROR(IF($C118="",-0.00001,SUMIFS(Database!W:W,Database!$E:$E,$C118)),-0.00001)</f>
        <v>-1.0000000000000001E-5</v>
      </c>
      <c r="V118" s="186">
        <f t="shared" si="5"/>
        <v>-1.0000000000000001E-5</v>
      </c>
      <c r="W118" s="187"/>
      <c r="X118" s="187"/>
      <c r="Y118" s="187"/>
      <c r="Z118" s="187"/>
      <c r="AA118" s="187"/>
      <c r="AB118" s="187"/>
      <c r="AC118" s="187"/>
      <c r="AD118" s="187"/>
      <c r="AE118" s="187"/>
    </row>
    <row r="119" spans="1:31" x14ac:dyDescent="0.25">
      <c r="A119" s="187"/>
      <c r="B119" s="187" t="str">
        <f>IF($C119="","",MAX($B$4:$B118)+1)</f>
        <v/>
      </c>
      <c r="C119" s="183"/>
      <c r="D119" s="183"/>
      <c r="E119" s="185">
        <f>IF($C119="",-0.00001,COUNTIF(Database!E:E,$C119))</f>
        <v>-1.0000000000000001E-5</v>
      </c>
      <c r="F119" s="185">
        <f>IFERROR(IF($C119="",-0.00001,SUMIFS(Database!H:H,Database!$E:$E,$C119)),-0.00001)</f>
        <v>-1.0000000000000001E-5</v>
      </c>
      <c r="G119" s="185">
        <f>IFERROR(IF($C119="",-0.00001,SUMIFS(Database!I:I,Database!$E:$E,$C119)),-0.00001)</f>
        <v>-1.0000000000000001E-5</v>
      </c>
      <c r="H119" s="185">
        <f>IFERROR(IF($C119="",-0.00001,SUMIFS(Database!J:J,Database!$E:$E,$C119)),-0.00001)</f>
        <v>-1.0000000000000001E-5</v>
      </c>
      <c r="I119" s="185">
        <f>IFERROR(IF($C119="",-0.00001,SUMIFS(Database!K:K,Database!$E:$E,$C119)),-0.00001)</f>
        <v>-1.0000000000000001E-5</v>
      </c>
      <c r="J119" s="185">
        <f>IFERROR(IF($C119="",-0.00001,SUMIFS(Database!L:L,Database!$E:$E,$C119)),-0.00001)</f>
        <v>-1.0000000000000001E-5</v>
      </c>
      <c r="K119" s="185">
        <f>IFERROR(IF($C119="",-0.00001,SUMIFS(Database!M:M,Database!$E:$E,$C119)),-0.00001)</f>
        <v>-1.0000000000000001E-5</v>
      </c>
      <c r="L119" s="185">
        <f>IFERROR(IF($C119="",-0.00001,SUMIFS(Database!N:N,Database!$E:$E,$C119)),-0.00001)</f>
        <v>-1.0000000000000001E-5</v>
      </c>
      <c r="M119" s="185">
        <f>IFERROR(IF($C119="",-0.00001,SUMIFS(Database!O:O,Database!$E:$E,$C119)),-0.00001)</f>
        <v>-1.0000000000000001E-5</v>
      </c>
      <c r="N119" s="185">
        <f>IFERROR(IF($C119="",-0.00001,SUMIFS(Database!P:P,Database!$E:$E,$C119)),-0.00001)</f>
        <v>-1.0000000000000001E-5</v>
      </c>
      <c r="O119" s="185">
        <f>IFERROR(IF($C119="",-0.00001,SUMIFS(Database!Q:Q,Database!$E:$E,$C119)),-0.00001)</f>
        <v>-1.0000000000000001E-5</v>
      </c>
      <c r="P119" s="186">
        <f t="shared" si="3"/>
        <v>-1.0000000000000001E-5</v>
      </c>
      <c r="Q119" s="185">
        <f>IFERROR(IF($C119="",-0.00001,SUMIFS(Database!S:S,Database!$E:$E,$C119)),-0.00001)</f>
        <v>-1.0000000000000001E-5</v>
      </c>
      <c r="R119" s="185">
        <f>IFERROR(IF($C119="",-0.00001,SUMIFS(Database!T:T,Database!$E:$E,$C119)),-0.00001)</f>
        <v>-1.0000000000000001E-5</v>
      </c>
      <c r="S119" s="186">
        <f t="shared" si="4"/>
        <v>-1.0000000000000001E-5</v>
      </c>
      <c r="T119" s="185">
        <f>IFERROR(IF($C119="",-0.00001,SUMIFS(Database!V:V,Database!$E:$E,$C119)),-0.00001)</f>
        <v>-1.0000000000000001E-5</v>
      </c>
      <c r="U119" s="185">
        <f>IFERROR(IF($C119="",-0.00001,SUMIFS(Database!W:W,Database!$E:$E,$C119)),-0.00001)</f>
        <v>-1.0000000000000001E-5</v>
      </c>
      <c r="V119" s="186">
        <f t="shared" si="5"/>
        <v>-1.0000000000000001E-5</v>
      </c>
      <c r="W119" s="187"/>
      <c r="X119" s="187"/>
      <c r="Y119" s="187"/>
      <c r="Z119" s="187"/>
      <c r="AA119" s="187"/>
      <c r="AB119" s="187"/>
      <c r="AC119" s="187"/>
      <c r="AD119" s="187"/>
      <c r="AE119" s="187"/>
    </row>
    <row r="120" spans="1:31" x14ac:dyDescent="0.25">
      <c r="A120" s="187"/>
      <c r="B120" s="187" t="str">
        <f>IF($C120="","",MAX($B$4:$B119)+1)</f>
        <v/>
      </c>
      <c r="C120" s="183"/>
      <c r="D120" s="183"/>
      <c r="E120" s="185">
        <f>IF($C120="",-0.00001,COUNTIF(Database!E:E,$C120))</f>
        <v>-1.0000000000000001E-5</v>
      </c>
      <c r="F120" s="185">
        <f>IFERROR(IF($C120="",-0.00001,SUMIFS(Database!H:H,Database!$E:$E,$C120)),-0.00001)</f>
        <v>-1.0000000000000001E-5</v>
      </c>
      <c r="G120" s="185">
        <f>IFERROR(IF($C120="",-0.00001,SUMIFS(Database!I:I,Database!$E:$E,$C120)),-0.00001)</f>
        <v>-1.0000000000000001E-5</v>
      </c>
      <c r="H120" s="185">
        <f>IFERROR(IF($C120="",-0.00001,SUMIFS(Database!J:J,Database!$E:$E,$C120)),-0.00001)</f>
        <v>-1.0000000000000001E-5</v>
      </c>
      <c r="I120" s="185">
        <f>IFERROR(IF($C120="",-0.00001,SUMIFS(Database!K:K,Database!$E:$E,$C120)),-0.00001)</f>
        <v>-1.0000000000000001E-5</v>
      </c>
      <c r="J120" s="185">
        <f>IFERROR(IF($C120="",-0.00001,SUMIFS(Database!L:L,Database!$E:$E,$C120)),-0.00001)</f>
        <v>-1.0000000000000001E-5</v>
      </c>
      <c r="K120" s="185">
        <f>IFERROR(IF($C120="",-0.00001,SUMIFS(Database!M:M,Database!$E:$E,$C120)),-0.00001)</f>
        <v>-1.0000000000000001E-5</v>
      </c>
      <c r="L120" s="185">
        <f>IFERROR(IF($C120="",-0.00001,SUMIFS(Database!N:N,Database!$E:$E,$C120)),-0.00001)</f>
        <v>-1.0000000000000001E-5</v>
      </c>
      <c r="M120" s="185">
        <f>IFERROR(IF($C120="",-0.00001,SUMIFS(Database!O:O,Database!$E:$E,$C120)),-0.00001)</f>
        <v>-1.0000000000000001E-5</v>
      </c>
      <c r="N120" s="185">
        <f>IFERROR(IF($C120="",-0.00001,SUMIFS(Database!P:P,Database!$E:$E,$C120)),-0.00001)</f>
        <v>-1.0000000000000001E-5</v>
      </c>
      <c r="O120" s="185">
        <f>IFERROR(IF($C120="",-0.00001,SUMIFS(Database!Q:Q,Database!$E:$E,$C120)),-0.00001)</f>
        <v>-1.0000000000000001E-5</v>
      </c>
      <c r="P120" s="186">
        <f t="shared" si="3"/>
        <v>-1.0000000000000001E-5</v>
      </c>
      <c r="Q120" s="185">
        <f>IFERROR(IF($C120="",-0.00001,SUMIFS(Database!S:S,Database!$E:$E,$C120)),-0.00001)</f>
        <v>-1.0000000000000001E-5</v>
      </c>
      <c r="R120" s="185">
        <f>IFERROR(IF($C120="",-0.00001,SUMIFS(Database!T:T,Database!$E:$E,$C120)),-0.00001)</f>
        <v>-1.0000000000000001E-5</v>
      </c>
      <c r="S120" s="186">
        <f t="shared" si="4"/>
        <v>-1.0000000000000001E-5</v>
      </c>
      <c r="T120" s="185">
        <f>IFERROR(IF($C120="",-0.00001,SUMIFS(Database!V:V,Database!$E:$E,$C120)),-0.00001)</f>
        <v>-1.0000000000000001E-5</v>
      </c>
      <c r="U120" s="185">
        <f>IFERROR(IF($C120="",-0.00001,SUMIFS(Database!W:W,Database!$E:$E,$C120)),-0.00001)</f>
        <v>-1.0000000000000001E-5</v>
      </c>
      <c r="V120" s="186">
        <f t="shared" si="5"/>
        <v>-1.0000000000000001E-5</v>
      </c>
      <c r="W120" s="187"/>
      <c r="X120" s="187"/>
      <c r="Y120" s="187"/>
      <c r="Z120" s="187"/>
      <c r="AA120" s="187"/>
      <c r="AB120" s="187"/>
      <c r="AC120" s="187"/>
      <c r="AD120" s="187"/>
      <c r="AE120" s="187"/>
    </row>
    <row r="121" spans="1:31" x14ac:dyDescent="0.25">
      <c r="A121" s="187"/>
      <c r="B121" s="187" t="str">
        <f>IF($C121="","",MAX($B$4:$B120)+1)</f>
        <v/>
      </c>
      <c r="C121" s="183"/>
      <c r="D121" s="183"/>
      <c r="E121" s="185">
        <f>IF($C121="",-0.00001,COUNTIF(Database!E:E,$C121))</f>
        <v>-1.0000000000000001E-5</v>
      </c>
      <c r="F121" s="185">
        <f>IFERROR(IF($C121="",-0.00001,SUMIFS(Database!H:H,Database!$E:$E,$C121)),-0.00001)</f>
        <v>-1.0000000000000001E-5</v>
      </c>
      <c r="G121" s="185">
        <f>IFERROR(IF($C121="",-0.00001,SUMIFS(Database!I:I,Database!$E:$E,$C121)),-0.00001)</f>
        <v>-1.0000000000000001E-5</v>
      </c>
      <c r="H121" s="185">
        <f>IFERROR(IF($C121="",-0.00001,SUMIFS(Database!J:J,Database!$E:$E,$C121)),-0.00001)</f>
        <v>-1.0000000000000001E-5</v>
      </c>
      <c r="I121" s="185">
        <f>IFERROR(IF($C121="",-0.00001,SUMIFS(Database!K:K,Database!$E:$E,$C121)),-0.00001)</f>
        <v>-1.0000000000000001E-5</v>
      </c>
      <c r="J121" s="185">
        <f>IFERROR(IF($C121="",-0.00001,SUMIFS(Database!L:L,Database!$E:$E,$C121)),-0.00001)</f>
        <v>-1.0000000000000001E-5</v>
      </c>
      <c r="K121" s="185">
        <f>IFERROR(IF($C121="",-0.00001,SUMIFS(Database!M:M,Database!$E:$E,$C121)),-0.00001)</f>
        <v>-1.0000000000000001E-5</v>
      </c>
      <c r="L121" s="185">
        <f>IFERROR(IF($C121="",-0.00001,SUMIFS(Database!N:N,Database!$E:$E,$C121)),-0.00001)</f>
        <v>-1.0000000000000001E-5</v>
      </c>
      <c r="M121" s="185">
        <f>IFERROR(IF($C121="",-0.00001,SUMIFS(Database!O:O,Database!$E:$E,$C121)),-0.00001)</f>
        <v>-1.0000000000000001E-5</v>
      </c>
      <c r="N121" s="185">
        <f>IFERROR(IF($C121="",-0.00001,SUMIFS(Database!P:P,Database!$E:$E,$C121)),-0.00001)</f>
        <v>-1.0000000000000001E-5</v>
      </c>
      <c r="O121" s="185">
        <f>IFERROR(IF($C121="",-0.00001,SUMIFS(Database!Q:Q,Database!$E:$E,$C121)),-0.00001)</f>
        <v>-1.0000000000000001E-5</v>
      </c>
      <c r="P121" s="186">
        <f t="shared" si="3"/>
        <v>-1.0000000000000001E-5</v>
      </c>
      <c r="Q121" s="185">
        <f>IFERROR(IF($C121="",-0.00001,SUMIFS(Database!S:S,Database!$E:$E,$C121)),-0.00001)</f>
        <v>-1.0000000000000001E-5</v>
      </c>
      <c r="R121" s="185">
        <f>IFERROR(IF($C121="",-0.00001,SUMIFS(Database!T:T,Database!$E:$E,$C121)),-0.00001)</f>
        <v>-1.0000000000000001E-5</v>
      </c>
      <c r="S121" s="186">
        <f t="shared" si="4"/>
        <v>-1.0000000000000001E-5</v>
      </c>
      <c r="T121" s="185">
        <f>IFERROR(IF($C121="",-0.00001,SUMIFS(Database!V:V,Database!$E:$E,$C121)),-0.00001)</f>
        <v>-1.0000000000000001E-5</v>
      </c>
      <c r="U121" s="185">
        <f>IFERROR(IF($C121="",-0.00001,SUMIFS(Database!W:W,Database!$E:$E,$C121)),-0.00001)</f>
        <v>-1.0000000000000001E-5</v>
      </c>
      <c r="V121" s="186">
        <f t="shared" si="5"/>
        <v>-1.0000000000000001E-5</v>
      </c>
      <c r="W121" s="187"/>
      <c r="X121" s="187"/>
      <c r="Y121" s="187"/>
      <c r="Z121" s="187"/>
      <c r="AA121" s="187"/>
      <c r="AB121" s="187"/>
      <c r="AC121" s="187"/>
      <c r="AD121" s="187"/>
      <c r="AE121" s="187"/>
    </row>
    <row r="122" spans="1:31" x14ac:dyDescent="0.25">
      <c r="A122" s="187"/>
      <c r="B122" s="187" t="str">
        <f>IF($C122="","",MAX($B$4:$B121)+1)</f>
        <v/>
      </c>
      <c r="C122" s="183"/>
      <c r="D122" s="183"/>
      <c r="E122" s="185">
        <f>IF($C122="",-0.00001,COUNTIF(Database!E:E,$C122))</f>
        <v>-1.0000000000000001E-5</v>
      </c>
      <c r="F122" s="185">
        <f>IFERROR(IF($C122="",-0.00001,SUMIFS(Database!H:H,Database!$E:$E,$C122)),-0.00001)</f>
        <v>-1.0000000000000001E-5</v>
      </c>
      <c r="G122" s="185">
        <f>IFERROR(IF($C122="",-0.00001,SUMIFS(Database!I:I,Database!$E:$E,$C122)),-0.00001)</f>
        <v>-1.0000000000000001E-5</v>
      </c>
      <c r="H122" s="185">
        <f>IFERROR(IF($C122="",-0.00001,SUMIFS(Database!J:J,Database!$E:$E,$C122)),-0.00001)</f>
        <v>-1.0000000000000001E-5</v>
      </c>
      <c r="I122" s="185">
        <f>IFERROR(IF($C122="",-0.00001,SUMIFS(Database!K:K,Database!$E:$E,$C122)),-0.00001)</f>
        <v>-1.0000000000000001E-5</v>
      </c>
      <c r="J122" s="185">
        <f>IFERROR(IF($C122="",-0.00001,SUMIFS(Database!L:L,Database!$E:$E,$C122)),-0.00001)</f>
        <v>-1.0000000000000001E-5</v>
      </c>
      <c r="K122" s="185">
        <f>IFERROR(IF($C122="",-0.00001,SUMIFS(Database!M:M,Database!$E:$E,$C122)),-0.00001)</f>
        <v>-1.0000000000000001E-5</v>
      </c>
      <c r="L122" s="185">
        <f>IFERROR(IF($C122="",-0.00001,SUMIFS(Database!N:N,Database!$E:$E,$C122)),-0.00001)</f>
        <v>-1.0000000000000001E-5</v>
      </c>
      <c r="M122" s="185">
        <f>IFERROR(IF($C122="",-0.00001,SUMIFS(Database!O:O,Database!$E:$E,$C122)),-0.00001)</f>
        <v>-1.0000000000000001E-5</v>
      </c>
      <c r="N122" s="185">
        <f>IFERROR(IF($C122="",-0.00001,SUMIFS(Database!P:P,Database!$E:$E,$C122)),-0.00001)</f>
        <v>-1.0000000000000001E-5</v>
      </c>
      <c r="O122" s="185">
        <f>IFERROR(IF($C122="",-0.00001,SUMIFS(Database!Q:Q,Database!$E:$E,$C122)),-0.00001)</f>
        <v>-1.0000000000000001E-5</v>
      </c>
      <c r="P122" s="186">
        <f t="shared" si="3"/>
        <v>-1.0000000000000001E-5</v>
      </c>
      <c r="Q122" s="185">
        <f>IFERROR(IF($C122="",-0.00001,SUMIFS(Database!S:S,Database!$E:$E,$C122)),-0.00001)</f>
        <v>-1.0000000000000001E-5</v>
      </c>
      <c r="R122" s="185">
        <f>IFERROR(IF($C122="",-0.00001,SUMIFS(Database!T:T,Database!$E:$E,$C122)),-0.00001)</f>
        <v>-1.0000000000000001E-5</v>
      </c>
      <c r="S122" s="186">
        <f t="shared" si="4"/>
        <v>-1.0000000000000001E-5</v>
      </c>
      <c r="T122" s="185">
        <f>IFERROR(IF($C122="",-0.00001,SUMIFS(Database!V:V,Database!$E:$E,$C122)),-0.00001)</f>
        <v>-1.0000000000000001E-5</v>
      </c>
      <c r="U122" s="185">
        <f>IFERROR(IF($C122="",-0.00001,SUMIFS(Database!W:W,Database!$E:$E,$C122)),-0.00001)</f>
        <v>-1.0000000000000001E-5</v>
      </c>
      <c r="V122" s="186">
        <f t="shared" si="5"/>
        <v>-1.0000000000000001E-5</v>
      </c>
      <c r="W122" s="187"/>
      <c r="X122" s="187"/>
      <c r="Y122" s="187"/>
      <c r="Z122" s="187"/>
      <c r="AA122" s="187"/>
      <c r="AB122" s="187"/>
      <c r="AC122" s="187"/>
      <c r="AD122" s="187"/>
      <c r="AE122" s="187"/>
    </row>
    <row r="123" spans="1:31" x14ac:dyDescent="0.25">
      <c r="A123" s="187"/>
      <c r="B123" s="187" t="str">
        <f>IF($C123="","",MAX($B$4:$B122)+1)</f>
        <v/>
      </c>
      <c r="C123" s="183"/>
      <c r="D123" s="183"/>
      <c r="E123" s="185">
        <f>IF($C123="",-0.00001,COUNTIF(Database!E:E,$C123))</f>
        <v>-1.0000000000000001E-5</v>
      </c>
      <c r="F123" s="185">
        <f>IFERROR(IF($C123="",-0.00001,SUMIFS(Database!H:H,Database!$E:$E,$C123)),-0.00001)</f>
        <v>-1.0000000000000001E-5</v>
      </c>
      <c r="G123" s="185">
        <f>IFERROR(IF($C123="",-0.00001,SUMIFS(Database!I:I,Database!$E:$E,$C123)),-0.00001)</f>
        <v>-1.0000000000000001E-5</v>
      </c>
      <c r="H123" s="185">
        <f>IFERROR(IF($C123="",-0.00001,SUMIFS(Database!J:J,Database!$E:$E,$C123)),-0.00001)</f>
        <v>-1.0000000000000001E-5</v>
      </c>
      <c r="I123" s="185">
        <f>IFERROR(IF($C123="",-0.00001,SUMIFS(Database!K:K,Database!$E:$E,$C123)),-0.00001)</f>
        <v>-1.0000000000000001E-5</v>
      </c>
      <c r="J123" s="185">
        <f>IFERROR(IF($C123="",-0.00001,SUMIFS(Database!L:L,Database!$E:$E,$C123)),-0.00001)</f>
        <v>-1.0000000000000001E-5</v>
      </c>
      <c r="K123" s="185">
        <f>IFERROR(IF($C123="",-0.00001,SUMIFS(Database!M:M,Database!$E:$E,$C123)),-0.00001)</f>
        <v>-1.0000000000000001E-5</v>
      </c>
      <c r="L123" s="185">
        <f>IFERROR(IF($C123="",-0.00001,SUMIFS(Database!N:N,Database!$E:$E,$C123)),-0.00001)</f>
        <v>-1.0000000000000001E-5</v>
      </c>
      <c r="M123" s="185">
        <f>IFERROR(IF($C123="",-0.00001,SUMIFS(Database!O:O,Database!$E:$E,$C123)),-0.00001)</f>
        <v>-1.0000000000000001E-5</v>
      </c>
      <c r="N123" s="185">
        <f>IFERROR(IF($C123="",-0.00001,SUMIFS(Database!P:P,Database!$E:$E,$C123)),-0.00001)</f>
        <v>-1.0000000000000001E-5</v>
      </c>
      <c r="O123" s="185">
        <f>IFERROR(IF($C123="",-0.00001,SUMIFS(Database!Q:Q,Database!$E:$E,$C123)),-0.00001)</f>
        <v>-1.0000000000000001E-5</v>
      </c>
      <c r="P123" s="186">
        <f t="shared" si="3"/>
        <v>-1.0000000000000001E-5</v>
      </c>
      <c r="Q123" s="185">
        <f>IFERROR(IF($C123="",-0.00001,SUMIFS(Database!S:S,Database!$E:$E,$C123)),-0.00001)</f>
        <v>-1.0000000000000001E-5</v>
      </c>
      <c r="R123" s="185">
        <f>IFERROR(IF($C123="",-0.00001,SUMIFS(Database!T:T,Database!$E:$E,$C123)),-0.00001)</f>
        <v>-1.0000000000000001E-5</v>
      </c>
      <c r="S123" s="186">
        <f t="shared" si="4"/>
        <v>-1.0000000000000001E-5</v>
      </c>
      <c r="T123" s="185">
        <f>IFERROR(IF($C123="",-0.00001,SUMIFS(Database!V:V,Database!$E:$E,$C123)),-0.00001)</f>
        <v>-1.0000000000000001E-5</v>
      </c>
      <c r="U123" s="185">
        <f>IFERROR(IF($C123="",-0.00001,SUMIFS(Database!W:W,Database!$E:$E,$C123)),-0.00001)</f>
        <v>-1.0000000000000001E-5</v>
      </c>
      <c r="V123" s="186">
        <f t="shared" si="5"/>
        <v>-1.0000000000000001E-5</v>
      </c>
      <c r="W123" s="187"/>
      <c r="X123" s="187"/>
      <c r="Y123" s="187"/>
      <c r="Z123" s="187"/>
      <c r="AA123" s="187"/>
      <c r="AB123" s="187"/>
      <c r="AC123" s="187"/>
      <c r="AD123" s="187"/>
      <c r="AE123" s="187"/>
    </row>
    <row r="124" spans="1:31" x14ac:dyDescent="0.25">
      <c r="A124" s="187"/>
      <c r="B124" s="187" t="str">
        <f>IF($C124="","",MAX($B$4:$B123)+1)</f>
        <v/>
      </c>
      <c r="C124" s="183"/>
      <c r="D124" s="183"/>
      <c r="E124" s="185">
        <f>IF($C124="",-0.00001,COUNTIF(Database!E:E,$C124))</f>
        <v>-1.0000000000000001E-5</v>
      </c>
      <c r="F124" s="185">
        <f>IFERROR(IF($C124="",-0.00001,SUMIFS(Database!H:H,Database!$E:$E,$C124)),-0.00001)</f>
        <v>-1.0000000000000001E-5</v>
      </c>
      <c r="G124" s="185">
        <f>IFERROR(IF($C124="",-0.00001,SUMIFS(Database!I:I,Database!$E:$E,$C124)),-0.00001)</f>
        <v>-1.0000000000000001E-5</v>
      </c>
      <c r="H124" s="185">
        <f>IFERROR(IF($C124="",-0.00001,SUMIFS(Database!J:J,Database!$E:$E,$C124)),-0.00001)</f>
        <v>-1.0000000000000001E-5</v>
      </c>
      <c r="I124" s="185">
        <f>IFERROR(IF($C124="",-0.00001,SUMIFS(Database!K:K,Database!$E:$E,$C124)),-0.00001)</f>
        <v>-1.0000000000000001E-5</v>
      </c>
      <c r="J124" s="185">
        <f>IFERROR(IF($C124="",-0.00001,SUMIFS(Database!L:L,Database!$E:$E,$C124)),-0.00001)</f>
        <v>-1.0000000000000001E-5</v>
      </c>
      <c r="K124" s="185">
        <f>IFERROR(IF($C124="",-0.00001,SUMIFS(Database!M:M,Database!$E:$E,$C124)),-0.00001)</f>
        <v>-1.0000000000000001E-5</v>
      </c>
      <c r="L124" s="185">
        <f>IFERROR(IF($C124="",-0.00001,SUMIFS(Database!N:N,Database!$E:$E,$C124)),-0.00001)</f>
        <v>-1.0000000000000001E-5</v>
      </c>
      <c r="M124" s="185">
        <f>IFERROR(IF($C124="",-0.00001,SUMIFS(Database!O:O,Database!$E:$E,$C124)),-0.00001)</f>
        <v>-1.0000000000000001E-5</v>
      </c>
      <c r="N124" s="185">
        <f>IFERROR(IF($C124="",-0.00001,SUMIFS(Database!P:P,Database!$E:$E,$C124)),-0.00001)</f>
        <v>-1.0000000000000001E-5</v>
      </c>
      <c r="O124" s="185">
        <f>IFERROR(IF($C124="",-0.00001,SUMIFS(Database!Q:Q,Database!$E:$E,$C124)),-0.00001)</f>
        <v>-1.0000000000000001E-5</v>
      </c>
      <c r="P124" s="186">
        <f t="shared" si="3"/>
        <v>-1.0000000000000001E-5</v>
      </c>
      <c r="Q124" s="185">
        <f>IFERROR(IF($C124="",-0.00001,SUMIFS(Database!S:S,Database!$E:$E,$C124)),-0.00001)</f>
        <v>-1.0000000000000001E-5</v>
      </c>
      <c r="R124" s="185">
        <f>IFERROR(IF($C124="",-0.00001,SUMIFS(Database!T:T,Database!$E:$E,$C124)),-0.00001)</f>
        <v>-1.0000000000000001E-5</v>
      </c>
      <c r="S124" s="186">
        <f t="shared" si="4"/>
        <v>-1.0000000000000001E-5</v>
      </c>
      <c r="T124" s="185">
        <f>IFERROR(IF($C124="",-0.00001,SUMIFS(Database!V:V,Database!$E:$E,$C124)),-0.00001)</f>
        <v>-1.0000000000000001E-5</v>
      </c>
      <c r="U124" s="185">
        <f>IFERROR(IF($C124="",-0.00001,SUMIFS(Database!W:W,Database!$E:$E,$C124)),-0.00001)</f>
        <v>-1.0000000000000001E-5</v>
      </c>
      <c r="V124" s="186">
        <f t="shared" si="5"/>
        <v>-1.0000000000000001E-5</v>
      </c>
      <c r="W124" s="187"/>
      <c r="X124" s="187"/>
      <c r="Y124" s="187"/>
      <c r="Z124" s="187"/>
      <c r="AA124" s="187"/>
      <c r="AB124" s="187"/>
      <c r="AC124" s="187"/>
      <c r="AD124" s="187"/>
      <c r="AE124" s="187"/>
    </row>
    <row r="125" spans="1:31" x14ac:dyDescent="0.25">
      <c r="A125" s="187"/>
      <c r="B125" s="187" t="str">
        <f>IF($C125="","",MAX($B$4:$B124)+1)</f>
        <v/>
      </c>
      <c r="C125" s="183"/>
      <c r="D125" s="183"/>
      <c r="E125" s="185">
        <f>IF($C125="",-0.00001,COUNTIF(Database!E:E,$C125))</f>
        <v>-1.0000000000000001E-5</v>
      </c>
      <c r="F125" s="185">
        <f>IFERROR(IF($C125="",-0.00001,SUMIFS(Database!H:H,Database!$E:$E,$C125)),-0.00001)</f>
        <v>-1.0000000000000001E-5</v>
      </c>
      <c r="G125" s="185">
        <f>IFERROR(IF($C125="",-0.00001,SUMIFS(Database!I:I,Database!$E:$E,$C125)),-0.00001)</f>
        <v>-1.0000000000000001E-5</v>
      </c>
      <c r="H125" s="185">
        <f>IFERROR(IF($C125="",-0.00001,SUMIFS(Database!J:J,Database!$E:$E,$C125)),-0.00001)</f>
        <v>-1.0000000000000001E-5</v>
      </c>
      <c r="I125" s="185">
        <f>IFERROR(IF($C125="",-0.00001,SUMIFS(Database!K:K,Database!$E:$E,$C125)),-0.00001)</f>
        <v>-1.0000000000000001E-5</v>
      </c>
      <c r="J125" s="185">
        <f>IFERROR(IF($C125="",-0.00001,SUMIFS(Database!L:L,Database!$E:$E,$C125)),-0.00001)</f>
        <v>-1.0000000000000001E-5</v>
      </c>
      <c r="K125" s="185">
        <f>IFERROR(IF($C125="",-0.00001,SUMIFS(Database!M:M,Database!$E:$E,$C125)),-0.00001)</f>
        <v>-1.0000000000000001E-5</v>
      </c>
      <c r="L125" s="185">
        <f>IFERROR(IF($C125="",-0.00001,SUMIFS(Database!N:N,Database!$E:$E,$C125)),-0.00001)</f>
        <v>-1.0000000000000001E-5</v>
      </c>
      <c r="M125" s="185">
        <f>IFERROR(IF($C125="",-0.00001,SUMIFS(Database!O:O,Database!$E:$E,$C125)),-0.00001)</f>
        <v>-1.0000000000000001E-5</v>
      </c>
      <c r="N125" s="185">
        <f>IFERROR(IF($C125="",-0.00001,SUMIFS(Database!P:P,Database!$E:$E,$C125)),-0.00001)</f>
        <v>-1.0000000000000001E-5</v>
      </c>
      <c r="O125" s="185">
        <f>IFERROR(IF($C125="",-0.00001,SUMIFS(Database!Q:Q,Database!$E:$E,$C125)),-0.00001)</f>
        <v>-1.0000000000000001E-5</v>
      </c>
      <c r="P125" s="186">
        <f t="shared" si="3"/>
        <v>-1.0000000000000001E-5</v>
      </c>
      <c r="Q125" s="185">
        <f>IFERROR(IF($C125="",-0.00001,SUMIFS(Database!S:S,Database!$E:$E,$C125)),-0.00001)</f>
        <v>-1.0000000000000001E-5</v>
      </c>
      <c r="R125" s="185">
        <f>IFERROR(IF($C125="",-0.00001,SUMIFS(Database!T:T,Database!$E:$E,$C125)),-0.00001)</f>
        <v>-1.0000000000000001E-5</v>
      </c>
      <c r="S125" s="186">
        <f t="shared" si="4"/>
        <v>-1.0000000000000001E-5</v>
      </c>
      <c r="T125" s="185">
        <f>IFERROR(IF($C125="",-0.00001,SUMIFS(Database!V:V,Database!$E:$E,$C125)),-0.00001)</f>
        <v>-1.0000000000000001E-5</v>
      </c>
      <c r="U125" s="185">
        <f>IFERROR(IF($C125="",-0.00001,SUMIFS(Database!W:W,Database!$E:$E,$C125)),-0.00001)</f>
        <v>-1.0000000000000001E-5</v>
      </c>
      <c r="V125" s="186">
        <f t="shared" si="5"/>
        <v>-1.0000000000000001E-5</v>
      </c>
      <c r="W125" s="187"/>
      <c r="X125" s="187"/>
      <c r="Y125" s="187"/>
      <c r="Z125" s="187"/>
      <c r="AA125" s="187"/>
      <c r="AB125" s="187"/>
      <c r="AC125" s="187"/>
      <c r="AD125" s="187"/>
      <c r="AE125" s="187"/>
    </row>
    <row r="126" spans="1:31" x14ac:dyDescent="0.25">
      <c r="A126" s="187"/>
      <c r="B126" s="187" t="str">
        <f>IF($C126="","",MAX($B$4:$B125)+1)</f>
        <v/>
      </c>
      <c r="C126" s="183"/>
      <c r="D126" s="183"/>
      <c r="E126" s="185">
        <f>IF($C126="",-0.00001,COUNTIF(Database!E:E,$C126))</f>
        <v>-1.0000000000000001E-5</v>
      </c>
      <c r="F126" s="185">
        <f>IFERROR(IF($C126="",-0.00001,SUMIFS(Database!H:H,Database!$E:$E,$C126)),-0.00001)</f>
        <v>-1.0000000000000001E-5</v>
      </c>
      <c r="G126" s="185">
        <f>IFERROR(IF($C126="",-0.00001,SUMIFS(Database!I:I,Database!$E:$E,$C126)),-0.00001)</f>
        <v>-1.0000000000000001E-5</v>
      </c>
      <c r="H126" s="185">
        <f>IFERROR(IF($C126="",-0.00001,SUMIFS(Database!J:J,Database!$E:$E,$C126)),-0.00001)</f>
        <v>-1.0000000000000001E-5</v>
      </c>
      <c r="I126" s="185">
        <f>IFERROR(IF($C126="",-0.00001,SUMIFS(Database!K:K,Database!$E:$E,$C126)),-0.00001)</f>
        <v>-1.0000000000000001E-5</v>
      </c>
      <c r="J126" s="185">
        <f>IFERROR(IF($C126="",-0.00001,SUMIFS(Database!L:L,Database!$E:$E,$C126)),-0.00001)</f>
        <v>-1.0000000000000001E-5</v>
      </c>
      <c r="K126" s="185">
        <f>IFERROR(IF($C126="",-0.00001,SUMIFS(Database!M:M,Database!$E:$E,$C126)),-0.00001)</f>
        <v>-1.0000000000000001E-5</v>
      </c>
      <c r="L126" s="185">
        <f>IFERROR(IF($C126="",-0.00001,SUMIFS(Database!N:N,Database!$E:$E,$C126)),-0.00001)</f>
        <v>-1.0000000000000001E-5</v>
      </c>
      <c r="M126" s="185">
        <f>IFERROR(IF($C126="",-0.00001,SUMIFS(Database!O:O,Database!$E:$E,$C126)),-0.00001)</f>
        <v>-1.0000000000000001E-5</v>
      </c>
      <c r="N126" s="185">
        <f>IFERROR(IF($C126="",-0.00001,SUMIFS(Database!P:P,Database!$E:$E,$C126)),-0.00001)</f>
        <v>-1.0000000000000001E-5</v>
      </c>
      <c r="O126" s="185">
        <f>IFERROR(IF($C126="",-0.00001,SUMIFS(Database!Q:Q,Database!$E:$E,$C126)),-0.00001)</f>
        <v>-1.0000000000000001E-5</v>
      </c>
      <c r="P126" s="186">
        <f t="shared" si="3"/>
        <v>-1.0000000000000001E-5</v>
      </c>
      <c r="Q126" s="185">
        <f>IFERROR(IF($C126="",-0.00001,SUMIFS(Database!S:S,Database!$E:$E,$C126)),-0.00001)</f>
        <v>-1.0000000000000001E-5</v>
      </c>
      <c r="R126" s="185">
        <f>IFERROR(IF($C126="",-0.00001,SUMIFS(Database!T:T,Database!$E:$E,$C126)),-0.00001)</f>
        <v>-1.0000000000000001E-5</v>
      </c>
      <c r="S126" s="186">
        <f t="shared" si="4"/>
        <v>-1.0000000000000001E-5</v>
      </c>
      <c r="T126" s="185">
        <f>IFERROR(IF($C126="",-0.00001,SUMIFS(Database!V:V,Database!$E:$E,$C126)),-0.00001)</f>
        <v>-1.0000000000000001E-5</v>
      </c>
      <c r="U126" s="185">
        <f>IFERROR(IF($C126="",-0.00001,SUMIFS(Database!W:W,Database!$E:$E,$C126)),-0.00001)</f>
        <v>-1.0000000000000001E-5</v>
      </c>
      <c r="V126" s="186">
        <f t="shared" si="5"/>
        <v>-1.0000000000000001E-5</v>
      </c>
      <c r="W126" s="187"/>
      <c r="X126" s="187"/>
      <c r="Y126" s="187"/>
      <c r="Z126" s="187"/>
      <c r="AA126" s="187"/>
      <c r="AB126" s="187"/>
      <c r="AC126" s="187"/>
      <c r="AD126" s="187"/>
      <c r="AE126" s="187"/>
    </row>
    <row r="127" spans="1:31" x14ac:dyDescent="0.25">
      <c r="A127" s="187"/>
      <c r="B127" s="187" t="str">
        <f>IF($C127="","",MAX($B$4:$B126)+1)</f>
        <v/>
      </c>
      <c r="C127" s="183"/>
      <c r="D127" s="183"/>
      <c r="E127" s="185">
        <f>IF($C127="",-0.00001,COUNTIF(Database!E:E,$C127))</f>
        <v>-1.0000000000000001E-5</v>
      </c>
      <c r="F127" s="185">
        <f>IFERROR(IF($C127="",-0.00001,SUMIFS(Database!H:H,Database!$E:$E,$C127)),-0.00001)</f>
        <v>-1.0000000000000001E-5</v>
      </c>
      <c r="G127" s="185">
        <f>IFERROR(IF($C127="",-0.00001,SUMIFS(Database!I:I,Database!$E:$E,$C127)),-0.00001)</f>
        <v>-1.0000000000000001E-5</v>
      </c>
      <c r="H127" s="185">
        <f>IFERROR(IF($C127="",-0.00001,SUMIFS(Database!J:J,Database!$E:$E,$C127)),-0.00001)</f>
        <v>-1.0000000000000001E-5</v>
      </c>
      <c r="I127" s="185">
        <f>IFERROR(IF($C127="",-0.00001,SUMIFS(Database!K:K,Database!$E:$E,$C127)),-0.00001)</f>
        <v>-1.0000000000000001E-5</v>
      </c>
      <c r="J127" s="185">
        <f>IFERROR(IF($C127="",-0.00001,SUMIFS(Database!L:L,Database!$E:$E,$C127)),-0.00001)</f>
        <v>-1.0000000000000001E-5</v>
      </c>
      <c r="K127" s="185">
        <f>IFERROR(IF($C127="",-0.00001,SUMIFS(Database!M:M,Database!$E:$E,$C127)),-0.00001)</f>
        <v>-1.0000000000000001E-5</v>
      </c>
      <c r="L127" s="185">
        <f>IFERROR(IF($C127="",-0.00001,SUMIFS(Database!N:N,Database!$E:$E,$C127)),-0.00001)</f>
        <v>-1.0000000000000001E-5</v>
      </c>
      <c r="M127" s="185">
        <f>IFERROR(IF($C127="",-0.00001,SUMIFS(Database!O:O,Database!$E:$E,$C127)),-0.00001)</f>
        <v>-1.0000000000000001E-5</v>
      </c>
      <c r="N127" s="185">
        <f>IFERROR(IF($C127="",-0.00001,SUMIFS(Database!P:P,Database!$E:$E,$C127)),-0.00001)</f>
        <v>-1.0000000000000001E-5</v>
      </c>
      <c r="O127" s="185">
        <f>IFERROR(IF($C127="",-0.00001,SUMIFS(Database!Q:Q,Database!$E:$E,$C127)),-0.00001)</f>
        <v>-1.0000000000000001E-5</v>
      </c>
      <c r="P127" s="186">
        <f t="shared" si="3"/>
        <v>-1.0000000000000001E-5</v>
      </c>
      <c r="Q127" s="185">
        <f>IFERROR(IF($C127="",-0.00001,SUMIFS(Database!S:S,Database!$E:$E,$C127)),-0.00001)</f>
        <v>-1.0000000000000001E-5</v>
      </c>
      <c r="R127" s="185">
        <f>IFERROR(IF($C127="",-0.00001,SUMIFS(Database!T:T,Database!$E:$E,$C127)),-0.00001)</f>
        <v>-1.0000000000000001E-5</v>
      </c>
      <c r="S127" s="186">
        <f t="shared" si="4"/>
        <v>-1.0000000000000001E-5</v>
      </c>
      <c r="T127" s="185">
        <f>IFERROR(IF($C127="",-0.00001,SUMIFS(Database!V:V,Database!$E:$E,$C127)),-0.00001)</f>
        <v>-1.0000000000000001E-5</v>
      </c>
      <c r="U127" s="185">
        <f>IFERROR(IF($C127="",-0.00001,SUMIFS(Database!W:W,Database!$E:$E,$C127)),-0.00001)</f>
        <v>-1.0000000000000001E-5</v>
      </c>
      <c r="V127" s="186">
        <f t="shared" si="5"/>
        <v>-1.0000000000000001E-5</v>
      </c>
      <c r="W127" s="187"/>
      <c r="X127" s="187"/>
      <c r="Y127" s="187"/>
      <c r="Z127" s="187"/>
      <c r="AA127" s="187"/>
      <c r="AB127" s="187"/>
      <c r="AC127" s="187"/>
      <c r="AD127" s="187"/>
      <c r="AE127" s="187"/>
    </row>
    <row r="128" spans="1:31" x14ac:dyDescent="0.25">
      <c r="A128" s="187"/>
      <c r="B128" s="187" t="str">
        <f>IF($C128="","",MAX($B$4:$B127)+1)</f>
        <v/>
      </c>
      <c r="C128" s="183"/>
      <c r="D128" s="183"/>
      <c r="E128" s="185">
        <f>IF($C128="",-0.00001,COUNTIF(Database!E:E,$C128))</f>
        <v>-1.0000000000000001E-5</v>
      </c>
      <c r="F128" s="185">
        <f>IFERROR(IF($C128="",-0.00001,SUMIFS(Database!H:H,Database!$E:$E,$C128)),-0.00001)</f>
        <v>-1.0000000000000001E-5</v>
      </c>
      <c r="G128" s="185">
        <f>IFERROR(IF($C128="",-0.00001,SUMIFS(Database!I:I,Database!$E:$E,$C128)),-0.00001)</f>
        <v>-1.0000000000000001E-5</v>
      </c>
      <c r="H128" s="185">
        <f>IFERROR(IF($C128="",-0.00001,SUMIFS(Database!J:J,Database!$E:$E,$C128)),-0.00001)</f>
        <v>-1.0000000000000001E-5</v>
      </c>
      <c r="I128" s="185">
        <f>IFERROR(IF($C128="",-0.00001,SUMIFS(Database!K:K,Database!$E:$E,$C128)),-0.00001)</f>
        <v>-1.0000000000000001E-5</v>
      </c>
      <c r="J128" s="185">
        <f>IFERROR(IF($C128="",-0.00001,SUMIFS(Database!L:L,Database!$E:$E,$C128)),-0.00001)</f>
        <v>-1.0000000000000001E-5</v>
      </c>
      <c r="K128" s="185">
        <f>IFERROR(IF($C128="",-0.00001,SUMIFS(Database!M:M,Database!$E:$E,$C128)),-0.00001)</f>
        <v>-1.0000000000000001E-5</v>
      </c>
      <c r="L128" s="185">
        <f>IFERROR(IF($C128="",-0.00001,SUMIFS(Database!N:N,Database!$E:$E,$C128)),-0.00001)</f>
        <v>-1.0000000000000001E-5</v>
      </c>
      <c r="M128" s="185">
        <f>IFERROR(IF($C128="",-0.00001,SUMIFS(Database!O:O,Database!$E:$E,$C128)),-0.00001)</f>
        <v>-1.0000000000000001E-5</v>
      </c>
      <c r="N128" s="185">
        <f>IFERROR(IF($C128="",-0.00001,SUMIFS(Database!P:P,Database!$E:$E,$C128)),-0.00001)</f>
        <v>-1.0000000000000001E-5</v>
      </c>
      <c r="O128" s="185">
        <f>IFERROR(IF($C128="",-0.00001,SUMIFS(Database!Q:Q,Database!$E:$E,$C128)),-0.00001)</f>
        <v>-1.0000000000000001E-5</v>
      </c>
      <c r="P128" s="186">
        <f t="shared" si="3"/>
        <v>-1.0000000000000001E-5</v>
      </c>
      <c r="Q128" s="185">
        <f>IFERROR(IF($C128="",-0.00001,SUMIFS(Database!S:S,Database!$E:$E,$C128)),-0.00001)</f>
        <v>-1.0000000000000001E-5</v>
      </c>
      <c r="R128" s="185">
        <f>IFERROR(IF($C128="",-0.00001,SUMIFS(Database!T:T,Database!$E:$E,$C128)),-0.00001)</f>
        <v>-1.0000000000000001E-5</v>
      </c>
      <c r="S128" s="186">
        <f t="shared" si="4"/>
        <v>-1.0000000000000001E-5</v>
      </c>
      <c r="T128" s="185">
        <f>IFERROR(IF($C128="",-0.00001,SUMIFS(Database!V:V,Database!$E:$E,$C128)),-0.00001)</f>
        <v>-1.0000000000000001E-5</v>
      </c>
      <c r="U128" s="185">
        <f>IFERROR(IF($C128="",-0.00001,SUMIFS(Database!W:W,Database!$E:$E,$C128)),-0.00001)</f>
        <v>-1.0000000000000001E-5</v>
      </c>
      <c r="V128" s="186">
        <f t="shared" si="5"/>
        <v>-1.0000000000000001E-5</v>
      </c>
      <c r="W128" s="187"/>
      <c r="X128" s="187"/>
      <c r="Y128" s="187"/>
      <c r="Z128" s="187"/>
      <c r="AA128" s="187"/>
      <c r="AB128" s="187"/>
      <c r="AC128" s="187"/>
      <c r="AD128" s="187"/>
      <c r="AE128" s="187"/>
    </row>
    <row r="129" spans="1:31" x14ac:dyDescent="0.25">
      <c r="A129" s="187"/>
      <c r="B129" s="187" t="str">
        <f>IF($C129="","",MAX($B$4:$B128)+1)</f>
        <v/>
      </c>
      <c r="C129" s="183"/>
      <c r="D129" s="183"/>
      <c r="E129" s="185">
        <f>IF($C129="",-0.00001,COUNTIF(Database!E:E,$C129))</f>
        <v>-1.0000000000000001E-5</v>
      </c>
      <c r="F129" s="185">
        <f>IFERROR(IF($C129="",-0.00001,SUMIFS(Database!H:H,Database!$E:$E,$C129)),-0.00001)</f>
        <v>-1.0000000000000001E-5</v>
      </c>
      <c r="G129" s="185">
        <f>IFERROR(IF($C129="",-0.00001,SUMIFS(Database!I:I,Database!$E:$E,$C129)),-0.00001)</f>
        <v>-1.0000000000000001E-5</v>
      </c>
      <c r="H129" s="185">
        <f>IFERROR(IF($C129="",-0.00001,SUMIFS(Database!J:J,Database!$E:$E,$C129)),-0.00001)</f>
        <v>-1.0000000000000001E-5</v>
      </c>
      <c r="I129" s="185">
        <f>IFERROR(IF($C129="",-0.00001,SUMIFS(Database!K:K,Database!$E:$E,$C129)),-0.00001)</f>
        <v>-1.0000000000000001E-5</v>
      </c>
      <c r="J129" s="185">
        <f>IFERROR(IF($C129="",-0.00001,SUMIFS(Database!L:L,Database!$E:$E,$C129)),-0.00001)</f>
        <v>-1.0000000000000001E-5</v>
      </c>
      <c r="K129" s="185">
        <f>IFERROR(IF($C129="",-0.00001,SUMIFS(Database!M:M,Database!$E:$E,$C129)),-0.00001)</f>
        <v>-1.0000000000000001E-5</v>
      </c>
      <c r="L129" s="185">
        <f>IFERROR(IF($C129="",-0.00001,SUMIFS(Database!N:N,Database!$E:$E,$C129)),-0.00001)</f>
        <v>-1.0000000000000001E-5</v>
      </c>
      <c r="M129" s="185">
        <f>IFERROR(IF($C129="",-0.00001,SUMIFS(Database!O:O,Database!$E:$E,$C129)),-0.00001)</f>
        <v>-1.0000000000000001E-5</v>
      </c>
      <c r="N129" s="185">
        <f>IFERROR(IF($C129="",-0.00001,SUMIFS(Database!P:P,Database!$E:$E,$C129)),-0.00001)</f>
        <v>-1.0000000000000001E-5</v>
      </c>
      <c r="O129" s="185">
        <f>IFERROR(IF($C129="",-0.00001,SUMIFS(Database!Q:Q,Database!$E:$E,$C129)),-0.00001)</f>
        <v>-1.0000000000000001E-5</v>
      </c>
      <c r="P129" s="186">
        <f t="shared" si="3"/>
        <v>-1.0000000000000001E-5</v>
      </c>
      <c r="Q129" s="185">
        <f>IFERROR(IF($C129="",-0.00001,SUMIFS(Database!S:S,Database!$E:$E,$C129)),-0.00001)</f>
        <v>-1.0000000000000001E-5</v>
      </c>
      <c r="R129" s="185">
        <f>IFERROR(IF($C129="",-0.00001,SUMIFS(Database!T:T,Database!$E:$E,$C129)),-0.00001)</f>
        <v>-1.0000000000000001E-5</v>
      </c>
      <c r="S129" s="186">
        <f t="shared" si="4"/>
        <v>-1.0000000000000001E-5</v>
      </c>
      <c r="T129" s="185">
        <f>IFERROR(IF($C129="",-0.00001,SUMIFS(Database!V:V,Database!$E:$E,$C129)),-0.00001)</f>
        <v>-1.0000000000000001E-5</v>
      </c>
      <c r="U129" s="185">
        <f>IFERROR(IF($C129="",-0.00001,SUMIFS(Database!W:W,Database!$E:$E,$C129)),-0.00001)</f>
        <v>-1.0000000000000001E-5</v>
      </c>
      <c r="V129" s="186">
        <f t="shared" si="5"/>
        <v>-1.0000000000000001E-5</v>
      </c>
      <c r="W129" s="187"/>
      <c r="X129" s="187"/>
      <c r="Y129" s="187"/>
      <c r="Z129" s="187"/>
      <c r="AA129" s="187"/>
      <c r="AB129" s="187"/>
      <c r="AC129" s="187"/>
      <c r="AD129" s="187"/>
      <c r="AE129" s="187"/>
    </row>
    <row r="130" spans="1:31" x14ac:dyDescent="0.25">
      <c r="A130" s="187"/>
      <c r="B130" s="187" t="str">
        <f>IF($C130="","",MAX($B$4:$B129)+1)</f>
        <v/>
      </c>
      <c r="C130" s="183"/>
      <c r="D130" s="183"/>
      <c r="E130" s="185">
        <f>IF($C130="",-0.00001,COUNTIF(Database!E:E,$C130))</f>
        <v>-1.0000000000000001E-5</v>
      </c>
      <c r="F130" s="185">
        <f>IFERROR(IF($C130="",-0.00001,SUMIFS(Database!H:H,Database!$E:$E,$C130)),-0.00001)</f>
        <v>-1.0000000000000001E-5</v>
      </c>
      <c r="G130" s="185">
        <f>IFERROR(IF($C130="",-0.00001,SUMIFS(Database!I:I,Database!$E:$E,$C130)),-0.00001)</f>
        <v>-1.0000000000000001E-5</v>
      </c>
      <c r="H130" s="185">
        <f>IFERROR(IF($C130="",-0.00001,SUMIFS(Database!J:J,Database!$E:$E,$C130)),-0.00001)</f>
        <v>-1.0000000000000001E-5</v>
      </c>
      <c r="I130" s="185">
        <f>IFERROR(IF($C130="",-0.00001,SUMIFS(Database!K:K,Database!$E:$E,$C130)),-0.00001)</f>
        <v>-1.0000000000000001E-5</v>
      </c>
      <c r="J130" s="185">
        <f>IFERROR(IF($C130="",-0.00001,SUMIFS(Database!L:L,Database!$E:$E,$C130)),-0.00001)</f>
        <v>-1.0000000000000001E-5</v>
      </c>
      <c r="K130" s="185">
        <f>IFERROR(IF($C130="",-0.00001,SUMIFS(Database!M:M,Database!$E:$E,$C130)),-0.00001)</f>
        <v>-1.0000000000000001E-5</v>
      </c>
      <c r="L130" s="185">
        <f>IFERROR(IF($C130="",-0.00001,SUMIFS(Database!N:N,Database!$E:$E,$C130)),-0.00001)</f>
        <v>-1.0000000000000001E-5</v>
      </c>
      <c r="M130" s="185">
        <f>IFERROR(IF($C130="",-0.00001,SUMIFS(Database!O:O,Database!$E:$E,$C130)),-0.00001)</f>
        <v>-1.0000000000000001E-5</v>
      </c>
      <c r="N130" s="185">
        <f>IFERROR(IF($C130="",-0.00001,SUMIFS(Database!P:P,Database!$E:$E,$C130)),-0.00001)</f>
        <v>-1.0000000000000001E-5</v>
      </c>
      <c r="O130" s="185">
        <f>IFERROR(IF($C130="",-0.00001,SUMIFS(Database!Q:Q,Database!$E:$E,$C130)),-0.00001)</f>
        <v>-1.0000000000000001E-5</v>
      </c>
      <c r="P130" s="186">
        <f t="shared" si="3"/>
        <v>-1.0000000000000001E-5</v>
      </c>
      <c r="Q130" s="185">
        <f>IFERROR(IF($C130="",-0.00001,SUMIFS(Database!S:S,Database!$E:$E,$C130)),-0.00001)</f>
        <v>-1.0000000000000001E-5</v>
      </c>
      <c r="R130" s="185">
        <f>IFERROR(IF($C130="",-0.00001,SUMIFS(Database!T:T,Database!$E:$E,$C130)),-0.00001)</f>
        <v>-1.0000000000000001E-5</v>
      </c>
      <c r="S130" s="186">
        <f t="shared" si="4"/>
        <v>-1.0000000000000001E-5</v>
      </c>
      <c r="T130" s="185">
        <f>IFERROR(IF($C130="",-0.00001,SUMIFS(Database!V:V,Database!$E:$E,$C130)),-0.00001)</f>
        <v>-1.0000000000000001E-5</v>
      </c>
      <c r="U130" s="185">
        <f>IFERROR(IF($C130="",-0.00001,SUMIFS(Database!W:W,Database!$E:$E,$C130)),-0.00001)</f>
        <v>-1.0000000000000001E-5</v>
      </c>
      <c r="V130" s="186">
        <f t="shared" si="5"/>
        <v>-1.0000000000000001E-5</v>
      </c>
      <c r="W130" s="187"/>
      <c r="X130" s="187"/>
      <c r="Y130" s="187"/>
      <c r="Z130" s="187"/>
      <c r="AA130" s="187"/>
      <c r="AB130" s="187"/>
      <c r="AC130" s="187"/>
      <c r="AD130" s="187"/>
      <c r="AE130" s="187"/>
    </row>
    <row r="131" spans="1:31" x14ac:dyDescent="0.25">
      <c r="A131" s="187"/>
      <c r="B131" s="187" t="str">
        <f>IF($C131="","",MAX($B$4:$B130)+1)</f>
        <v/>
      </c>
      <c r="C131" s="183"/>
      <c r="D131" s="183"/>
      <c r="E131" s="185">
        <f>IF($C131="",-0.00001,COUNTIF(Database!E:E,$C131))</f>
        <v>-1.0000000000000001E-5</v>
      </c>
      <c r="F131" s="185">
        <f>IFERROR(IF($C131="",-0.00001,SUMIFS(Database!H:H,Database!$E:$E,$C131)),-0.00001)</f>
        <v>-1.0000000000000001E-5</v>
      </c>
      <c r="G131" s="185">
        <f>IFERROR(IF($C131="",-0.00001,SUMIFS(Database!I:I,Database!$E:$E,$C131)),-0.00001)</f>
        <v>-1.0000000000000001E-5</v>
      </c>
      <c r="H131" s="185">
        <f>IFERROR(IF($C131="",-0.00001,SUMIFS(Database!J:J,Database!$E:$E,$C131)),-0.00001)</f>
        <v>-1.0000000000000001E-5</v>
      </c>
      <c r="I131" s="185">
        <f>IFERROR(IF($C131="",-0.00001,SUMIFS(Database!K:K,Database!$E:$E,$C131)),-0.00001)</f>
        <v>-1.0000000000000001E-5</v>
      </c>
      <c r="J131" s="185">
        <f>IFERROR(IF($C131="",-0.00001,SUMIFS(Database!L:L,Database!$E:$E,$C131)),-0.00001)</f>
        <v>-1.0000000000000001E-5</v>
      </c>
      <c r="K131" s="185">
        <f>IFERROR(IF($C131="",-0.00001,SUMIFS(Database!M:M,Database!$E:$E,$C131)),-0.00001)</f>
        <v>-1.0000000000000001E-5</v>
      </c>
      <c r="L131" s="185">
        <f>IFERROR(IF($C131="",-0.00001,SUMIFS(Database!N:N,Database!$E:$E,$C131)),-0.00001)</f>
        <v>-1.0000000000000001E-5</v>
      </c>
      <c r="M131" s="185">
        <f>IFERROR(IF($C131="",-0.00001,SUMIFS(Database!O:O,Database!$E:$E,$C131)),-0.00001)</f>
        <v>-1.0000000000000001E-5</v>
      </c>
      <c r="N131" s="185">
        <f>IFERROR(IF($C131="",-0.00001,SUMIFS(Database!P:P,Database!$E:$E,$C131)),-0.00001)</f>
        <v>-1.0000000000000001E-5</v>
      </c>
      <c r="O131" s="185">
        <f>IFERROR(IF($C131="",-0.00001,SUMIFS(Database!Q:Q,Database!$E:$E,$C131)),-0.00001)</f>
        <v>-1.0000000000000001E-5</v>
      </c>
      <c r="P131" s="186">
        <f t="shared" si="3"/>
        <v>-1.0000000000000001E-5</v>
      </c>
      <c r="Q131" s="185">
        <f>IFERROR(IF($C131="",-0.00001,SUMIFS(Database!S:S,Database!$E:$E,$C131)),-0.00001)</f>
        <v>-1.0000000000000001E-5</v>
      </c>
      <c r="R131" s="185">
        <f>IFERROR(IF($C131="",-0.00001,SUMIFS(Database!T:T,Database!$E:$E,$C131)),-0.00001)</f>
        <v>-1.0000000000000001E-5</v>
      </c>
      <c r="S131" s="186">
        <f t="shared" si="4"/>
        <v>-1.0000000000000001E-5</v>
      </c>
      <c r="T131" s="185">
        <f>IFERROR(IF($C131="",-0.00001,SUMIFS(Database!V:V,Database!$E:$E,$C131)),-0.00001)</f>
        <v>-1.0000000000000001E-5</v>
      </c>
      <c r="U131" s="185">
        <f>IFERROR(IF($C131="",-0.00001,SUMIFS(Database!W:W,Database!$E:$E,$C131)),-0.00001)</f>
        <v>-1.0000000000000001E-5</v>
      </c>
      <c r="V131" s="186">
        <f t="shared" si="5"/>
        <v>-1.0000000000000001E-5</v>
      </c>
      <c r="W131" s="187"/>
      <c r="X131" s="187"/>
      <c r="Y131" s="187"/>
      <c r="Z131" s="187"/>
      <c r="AA131" s="187"/>
      <c r="AB131" s="187"/>
      <c r="AC131" s="187"/>
      <c r="AD131" s="187"/>
      <c r="AE131" s="187"/>
    </row>
    <row r="132" spans="1:31" x14ac:dyDescent="0.25">
      <c r="A132" s="187"/>
      <c r="B132" s="187" t="str">
        <f>IF($C132="","",MAX($B$4:$B131)+1)</f>
        <v/>
      </c>
      <c r="C132" s="183"/>
      <c r="D132" s="183"/>
      <c r="E132" s="185">
        <f>IF($C132="",-0.00001,COUNTIF(Database!E:E,$C132))</f>
        <v>-1.0000000000000001E-5</v>
      </c>
      <c r="F132" s="185">
        <f>IFERROR(IF($C132="",-0.00001,SUMIFS(Database!H:H,Database!$E:$E,$C132)),-0.00001)</f>
        <v>-1.0000000000000001E-5</v>
      </c>
      <c r="G132" s="185">
        <f>IFERROR(IF($C132="",-0.00001,SUMIFS(Database!I:I,Database!$E:$E,$C132)),-0.00001)</f>
        <v>-1.0000000000000001E-5</v>
      </c>
      <c r="H132" s="185">
        <f>IFERROR(IF($C132="",-0.00001,SUMIFS(Database!J:J,Database!$E:$E,$C132)),-0.00001)</f>
        <v>-1.0000000000000001E-5</v>
      </c>
      <c r="I132" s="185">
        <f>IFERROR(IF($C132="",-0.00001,SUMIFS(Database!K:K,Database!$E:$E,$C132)),-0.00001)</f>
        <v>-1.0000000000000001E-5</v>
      </c>
      <c r="J132" s="185">
        <f>IFERROR(IF($C132="",-0.00001,SUMIFS(Database!L:L,Database!$E:$E,$C132)),-0.00001)</f>
        <v>-1.0000000000000001E-5</v>
      </c>
      <c r="K132" s="185">
        <f>IFERROR(IF($C132="",-0.00001,SUMIFS(Database!M:M,Database!$E:$E,$C132)),-0.00001)</f>
        <v>-1.0000000000000001E-5</v>
      </c>
      <c r="L132" s="185">
        <f>IFERROR(IF($C132="",-0.00001,SUMIFS(Database!N:N,Database!$E:$E,$C132)),-0.00001)</f>
        <v>-1.0000000000000001E-5</v>
      </c>
      <c r="M132" s="185">
        <f>IFERROR(IF($C132="",-0.00001,SUMIFS(Database!O:O,Database!$E:$E,$C132)),-0.00001)</f>
        <v>-1.0000000000000001E-5</v>
      </c>
      <c r="N132" s="185">
        <f>IFERROR(IF($C132="",-0.00001,SUMIFS(Database!P:P,Database!$E:$E,$C132)),-0.00001)</f>
        <v>-1.0000000000000001E-5</v>
      </c>
      <c r="O132" s="185">
        <f>IFERROR(IF($C132="",-0.00001,SUMIFS(Database!Q:Q,Database!$E:$E,$C132)),-0.00001)</f>
        <v>-1.0000000000000001E-5</v>
      </c>
      <c r="P132" s="186">
        <f t="shared" ref="P132:P195" si="6">IFERROR(IF($C132="",-0.00001,$N132/$O132),-0.00001)</f>
        <v>-1.0000000000000001E-5</v>
      </c>
      <c r="Q132" s="185">
        <f>IFERROR(IF($C132="",-0.00001,SUMIFS(Database!S:S,Database!$E:$E,$C132)),-0.00001)</f>
        <v>-1.0000000000000001E-5</v>
      </c>
      <c r="R132" s="185">
        <f>IFERROR(IF($C132="",-0.00001,SUMIFS(Database!T:T,Database!$E:$E,$C132)),-0.00001)</f>
        <v>-1.0000000000000001E-5</v>
      </c>
      <c r="S132" s="186">
        <f t="shared" ref="S132:S195" si="7">IFERROR(IF($C132="",-0.00001,$Q132/$R132),-0.00001)</f>
        <v>-1.0000000000000001E-5</v>
      </c>
      <c r="T132" s="185">
        <f>IFERROR(IF($C132="",-0.00001,SUMIFS(Database!V:V,Database!$E:$E,$C132)),-0.00001)</f>
        <v>-1.0000000000000001E-5</v>
      </c>
      <c r="U132" s="185">
        <f>IFERROR(IF($C132="",-0.00001,SUMIFS(Database!W:W,Database!$E:$E,$C132)),-0.00001)</f>
        <v>-1.0000000000000001E-5</v>
      </c>
      <c r="V132" s="186">
        <f t="shared" ref="V132:V195" si="8">IFERROR(IF($C132="",-0.00001,$T132/$U132),-0.00001)</f>
        <v>-1.0000000000000001E-5</v>
      </c>
      <c r="W132" s="187"/>
      <c r="X132" s="187"/>
      <c r="Y132" s="187"/>
      <c r="Z132" s="187"/>
      <c r="AA132" s="187"/>
      <c r="AB132" s="187"/>
      <c r="AC132" s="187"/>
      <c r="AD132" s="187"/>
      <c r="AE132" s="187"/>
    </row>
    <row r="133" spans="1:31" x14ac:dyDescent="0.25">
      <c r="A133" s="187"/>
      <c r="B133" s="187" t="str">
        <f>IF($C133="","",MAX($B$4:$B132)+1)</f>
        <v/>
      </c>
      <c r="C133" s="183"/>
      <c r="D133" s="183"/>
      <c r="E133" s="185">
        <f>IF($C133="",-0.00001,COUNTIF(Database!E:E,$C133))</f>
        <v>-1.0000000000000001E-5</v>
      </c>
      <c r="F133" s="185">
        <f>IFERROR(IF($C133="",-0.00001,SUMIFS(Database!H:H,Database!$E:$E,$C133)),-0.00001)</f>
        <v>-1.0000000000000001E-5</v>
      </c>
      <c r="G133" s="185">
        <f>IFERROR(IF($C133="",-0.00001,SUMIFS(Database!I:I,Database!$E:$E,$C133)),-0.00001)</f>
        <v>-1.0000000000000001E-5</v>
      </c>
      <c r="H133" s="185">
        <f>IFERROR(IF($C133="",-0.00001,SUMIFS(Database!J:J,Database!$E:$E,$C133)),-0.00001)</f>
        <v>-1.0000000000000001E-5</v>
      </c>
      <c r="I133" s="185">
        <f>IFERROR(IF($C133="",-0.00001,SUMIFS(Database!K:K,Database!$E:$E,$C133)),-0.00001)</f>
        <v>-1.0000000000000001E-5</v>
      </c>
      <c r="J133" s="185">
        <f>IFERROR(IF($C133="",-0.00001,SUMIFS(Database!L:L,Database!$E:$E,$C133)),-0.00001)</f>
        <v>-1.0000000000000001E-5</v>
      </c>
      <c r="K133" s="185">
        <f>IFERROR(IF($C133="",-0.00001,SUMIFS(Database!M:M,Database!$E:$E,$C133)),-0.00001)</f>
        <v>-1.0000000000000001E-5</v>
      </c>
      <c r="L133" s="185">
        <f>IFERROR(IF($C133="",-0.00001,SUMIFS(Database!N:N,Database!$E:$E,$C133)),-0.00001)</f>
        <v>-1.0000000000000001E-5</v>
      </c>
      <c r="M133" s="185">
        <f>IFERROR(IF($C133="",-0.00001,SUMIFS(Database!O:O,Database!$E:$E,$C133)),-0.00001)</f>
        <v>-1.0000000000000001E-5</v>
      </c>
      <c r="N133" s="185">
        <f>IFERROR(IF($C133="",-0.00001,SUMIFS(Database!P:P,Database!$E:$E,$C133)),-0.00001)</f>
        <v>-1.0000000000000001E-5</v>
      </c>
      <c r="O133" s="185">
        <f>IFERROR(IF($C133="",-0.00001,SUMIFS(Database!Q:Q,Database!$E:$E,$C133)),-0.00001)</f>
        <v>-1.0000000000000001E-5</v>
      </c>
      <c r="P133" s="186">
        <f t="shared" si="6"/>
        <v>-1.0000000000000001E-5</v>
      </c>
      <c r="Q133" s="185">
        <f>IFERROR(IF($C133="",-0.00001,SUMIFS(Database!S:S,Database!$E:$E,$C133)),-0.00001)</f>
        <v>-1.0000000000000001E-5</v>
      </c>
      <c r="R133" s="185">
        <f>IFERROR(IF($C133="",-0.00001,SUMIFS(Database!T:T,Database!$E:$E,$C133)),-0.00001)</f>
        <v>-1.0000000000000001E-5</v>
      </c>
      <c r="S133" s="186">
        <f t="shared" si="7"/>
        <v>-1.0000000000000001E-5</v>
      </c>
      <c r="T133" s="185">
        <f>IFERROR(IF($C133="",-0.00001,SUMIFS(Database!V:V,Database!$E:$E,$C133)),-0.00001)</f>
        <v>-1.0000000000000001E-5</v>
      </c>
      <c r="U133" s="185">
        <f>IFERROR(IF($C133="",-0.00001,SUMIFS(Database!W:W,Database!$E:$E,$C133)),-0.00001)</f>
        <v>-1.0000000000000001E-5</v>
      </c>
      <c r="V133" s="186">
        <f t="shared" si="8"/>
        <v>-1.0000000000000001E-5</v>
      </c>
      <c r="W133" s="187"/>
      <c r="X133" s="187"/>
      <c r="Y133" s="187"/>
      <c r="Z133" s="187"/>
      <c r="AA133" s="187"/>
      <c r="AB133" s="187"/>
      <c r="AC133" s="187"/>
      <c r="AD133" s="187"/>
      <c r="AE133" s="187"/>
    </row>
    <row r="134" spans="1:31" x14ac:dyDescent="0.25">
      <c r="A134" s="187"/>
      <c r="B134" s="187" t="str">
        <f>IF($C134="","",MAX($B$4:$B133)+1)</f>
        <v/>
      </c>
      <c r="C134" s="183"/>
      <c r="D134" s="183"/>
      <c r="E134" s="185">
        <f>IF($C134="",-0.00001,COUNTIF(Database!E:E,$C134))</f>
        <v>-1.0000000000000001E-5</v>
      </c>
      <c r="F134" s="185">
        <f>IFERROR(IF($C134="",-0.00001,SUMIFS(Database!H:H,Database!$E:$E,$C134)),-0.00001)</f>
        <v>-1.0000000000000001E-5</v>
      </c>
      <c r="G134" s="185">
        <f>IFERROR(IF($C134="",-0.00001,SUMIFS(Database!I:I,Database!$E:$E,$C134)),-0.00001)</f>
        <v>-1.0000000000000001E-5</v>
      </c>
      <c r="H134" s="185">
        <f>IFERROR(IF($C134="",-0.00001,SUMIFS(Database!J:J,Database!$E:$E,$C134)),-0.00001)</f>
        <v>-1.0000000000000001E-5</v>
      </c>
      <c r="I134" s="185">
        <f>IFERROR(IF($C134="",-0.00001,SUMIFS(Database!K:K,Database!$E:$E,$C134)),-0.00001)</f>
        <v>-1.0000000000000001E-5</v>
      </c>
      <c r="J134" s="185">
        <f>IFERROR(IF($C134="",-0.00001,SUMIFS(Database!L:L,Database!$E:$E,$C134)),-0.00001)</f>
        <v>-1.0000000000000001E-5</v>
      </c>
      <c r="K134" s="185">
        <f>IFERROR(IF($C134="",-0.00001,SUMIFS(Database!M:M,Database!$E:$E,$C134)),-0.00001)</f>
        <v>-1.0000000000000001E-5</v>
      </c>
      <c r="L134" s="185">
        <f>IFERROR(IF($C134="",-0.00001,SUMIFS(Database!N:N,Database!$E:$E,$C134)),-0.00001)</f>
        <v>-1.0000000000000001E-5</v>
      </c>
      <c r="M134" s="185">
        <f>IFERROR(IF($C134="",-0.00001,SUMIFS(Database!O:O,Database!$E:$E,$C134)),-0.00001)</f>
        <v>-1.0000000000000001E-5</v>
      </c>
      <c r="N134" s="185">
        <f>IFERROR(IF($C134="",-0.00001,SUMIFS(Database!P:P,Database!$E:$E,$C134)),-0.00001)</f>
        <v>-1.0000000000000001E-5</v>
      </c>
      <c r="O134" s="185">
        <f>IFERROR(IF($C134="",-0.00001,SUMIFS(Database!Q:Q,Database!$E:$E,$C134)),-0.00001)</f>
        <v>-1.0000000000000001E-5</v>
      </c>
      <c r="P134" s="186">
        <f t="shared" si="6"/>
        <v>-1.0000000000000001E-5</v>
      </c>
      <c r="Q134" s="185">
        <f>IFERROR(IF($C134="",-0.00001,SUMIFS(Database!S:S,Database!$E:$E,$C134)),-0.00001)</f>
        <v>-1.0000000000000001E-5</v>
      </c>
      <c r="R134" s="185">
        <f>IFERROR(IF($C134="",-0.00001,SUMIFS(Database!T:T,Database!$E:$E,$C134)),-0.00001)</f>
        <v>-1.0000000000000001E-5</v>
      </c>
      <c r="S134" s="186">
        <f t="shared" si="7"/>
        <v>-1.0000000000000001E-5</v>
      </c>
      <c r="T134" s="185">
        <f>IFERROR(IF($C134="",-0.00001,SUMIFS(Database!V:V,Database!$E:$E,$C134)),-0.00001)</f>
        <v>-1.0000000000000001E-5</v>
      </c>
      <c r="U134" s="185">
        <f>IFERROR(IF($C134="",-0.00001,SUMIFS(Database!W:W,Database!$E:$E,$C134)),-0.00001)</f>
        <v>-1.0000000000000001E-5</v>
      </c>
      <c r="V134" s="186">
        <f t="shared" si="8"/>
        <v>-1.0000000000000001E-5</v>
      </c>
      <c r="W134" s="187"/>
      <c r="X134" s="187"/>
      <c r="Y134" s="187"/>
      <c r="Z134" s="187"/>
      <c r="AA134" s="187"/>
      <c r="AB134" s="187"/>
      <c r="AC134" s="187"/>
      <c r="AD134" s="187"/>
      <c r="AE134" s="187"/>
    </row>
    <row r="135" spans="1:31" x14ac:dyDescent="0.25">
      <c r="A135" s="187"/>
      <c r="B135" s="187" t="str">
        <f>IF($C135="","",MAX($B$4:$B134)+1)</f>
        <v/>
      </c>
      <c r="C135" s="183"/>
      <c r="D135" s="183"/>
      <c r="E135" s="185">
        <f>IF($C135="",-0.00001,COUNTIF(Database!E:E,$C135))</f>
        <v>-1.0000000000000001E-5</v>
      </c>
      <c r="F135" s="185">
        <f>IFERROR(IF($C135="",-0.00001,SUMIFS(Database!H:H,Database!$E:$E,$C135)),-0.00001)</f>
        <v>-1.0000000000000001E-5</v>
      </c>
      <c r="G135" s="185">
        <f>IFERROR(IF($C135="",-0.00001,SUMIFS(Database!I:I,Database!$E:$E,$C135)),-0.00001)</f>
        <v>-1.0000000000000001E-5</v>
      </c>
      <c r="H135" s="185">
        <f>IFERROR(IF($C135="",-0.00001,SUMIFS(Database!J:J,Database!$E:$E,$C135)),-0.00001)</f>
        <v>-1.0000000000000001E-5</v>
      </c>
      <c r="I135" s="185">
        <f>IFERROR(IF($C135="",-0.00001,SUMIFS(Database!K:K,Database!$E:$E,$C135)),-0.00001)</f>
        <v>-1.0000000000000001E-5</v>
      </c>
      <c r="J135" s="185">
        <f>IFERROR(IF($C135="",-0.00001,SUMIFS(Database!L:L,Database!$E:$E,$C135)),-0.00001)</f>
        <v>-1.0000000000000001E-5</v>
      </c>
      <c r="K135" s="185">
        <f>IFERROR(IF($C135="",-0.00001,SUMIFS(Database!M:M,Database!$E:$E,$C135)),-0.00001)</f>
        <v>-1.0000000000000001E-5</v>
      </c>
      <c r="L135" s="185">
        <f>IFERROR(IF($C135="",-0.00001,SUMIFS(Database!N:N,Database!$E:$E,$C135)),-0.00001)</f>
        <v>-1.0000000000000001E-5</v>
      </c>
      <c r="M135" s="185">
        <f>IFERROR(IF($C135="",-0.00001,SUMIFS(Database!O:O,Database!$E:$E,$C135)),-0.00001)</f>
        <v>-1.0000000000000001E-5</v>
      </c>
      <c r="N135" s="185">
        <f>IFERROR(IF($C135="",-0.00001,SUMIFS(Database!P:P,Database!$E:$E,$C135)),-0.00001)</f>
        <v>-1.0000000000000001E-5</v>
      </c>
      <c r="O135" s="185">
        <f>IFERROR(IF($C135="",-0.00001,SUMIFS(Database!Q:Q,Database!$E:$E,$C135)),-0.00001)</f>
        <v>-1.0000000000000001E-5</v>
      </c>
      <c r="P135" s="186">
        <f t="shared" si="6"/>
        <v>-1.0000000000000001E-5</v>
      </c>
      <c r="Q135" s="185">
        <f>IFERROR(IF($C135="",-0.00001,SUMIFS(Database!S:S,Database!$E:$E,$C135)),-0.00001)</f>
        <v>-1.0000000000000001E-5</v>
      </c>
      <c r="R135" s="185">
        <f>IFERROR(IF($C135="",-0.00001,SUMIFS(Database!T:T,Database!$E:$E,$C135)),-0.00001)</f>
        <v>-1.0000000000000001E-5</v>
      </c>
      <c r="S135" s="186">
        <f t="shared" si="7"/>
        <v>-1.0000000000000001E-5</v>
      </c>
      <c r="T135" s="185">
        <f>IFERROR(IF($C135="",-0.00001,SUMIFS(Database!V:V,Database!$E:$E,$C135)),-0.00001)</f>
        <v>-1.0000000000000001E-5</v>
      </c>
      <c r="U135" s="185">
        <f>IFERROR(IF($C135="",-0.00001,SUMIFS(Database!W:W,Database!$E:$E,$C135)),-0.00001)</f>
        <v>-1.0000000000000001E-5</v>
      </c>
      <c r="V135" s="186">
        <f t="shared" si="8"/>
        <v>-1.0000000000000001E-5</v>
      </c>
      <c r="W135" s="187"/>
      <c r="X135" s="187"/>
      <c r="Y135" s="187"/>
      <c r="Z135" s="187"/>
      <c r="AA135" s="187"/>
      <c r="AB135" s="187"/>
      <c r="AC135" s="187"/>
      <c r="AD135" s="187"/>
      <c r="AE135" s="187"/>
    </row>
    <row r="136" spans="1:31" x14ac:dyDescent="0.25">
      <c r="A136" s="187"/>
      <c r="B136" s="187" t="str">
        <f>IF($C136="","",MAX($B$4:$B135)+1)</f>
        <v/>
      </c>
      <c r="C136" s="183"/>
      <c r="D136" s="183"/>
      <c r="E136" s="185">
        <f>IF($C136="",-0.00001,COUNTIF(Database!E:E,$C136))</f>
        <v>-1.0000000000000001E-5</v>
      </c>
      <c r="F136" s="185">
        <f>IFERROR(IF($C136="",-0.00001,SUMIFS(Database!H:H,Database!$E:$E,$C136)),-0.00001)</f>
        <v>-1.0000000000000001E-5</v>
      </c>
      <c r="G136" s="185">
        <f>IFERROR(IF($C136="",-0.00001,SUMIFS(Database!I:I,Database!$E:$E,$C136)),-0.00001)</f>
        <v>-1.0000000000000001E-5</v>
      </c>
      <c r="H136" s="185">
        <f>IFERROR(IF($C136="",-0.00001,SUMIFS(Database!J:J,Database!$E:$E,$C136)),-0.00001)</f>
        <v>-1.0000000000000001E-5</v>
      </c>
      <c r="I136" s="185">
        <f>IFERROR(IF($C136="",-0.00001,SUMIFS(Database!K:K,Database!$E:$E,$C136)),-0.00001)</f>
        <v>-1.0000000000000001E-5</v>
      </c>
      <c r="J136" s="185">
        <f>IFERROR(IF($C136="",-0.00001,SUMIFS(Database!L:L,Database!$E:$E,$C136)),-0.00001)</f>
        <v>-1.0000000000000001E-5</v>
      </c>
      <c r="K136" s="185">
        <f>IFERROR(IF($C136="",-0.00001,SUMIFS(Database!M:M,Database!$E:$E,$C136)),-0.00001)</f>
        <v>-1.0000000000000001E-5</v>
      </c>
      <c r="L136" s="185">
        <f>IFERROR(IF($C136="",-0.00001,SUMIFS(Database!N:N,Database!$E:$E,$C136)),-0.00001)</f>
        <v>-1.0000000000000001E-5</v>
      </c>
      <c r="M136" s="185">
        <f>IFERROR(IF($C136="",-0.00001,SUMIFS(Database!O:O,Database!$E:$E,$C136)),-0.00001)</f>
        <v>-1.0000000000000001E-5</v>
      </c>
      <c r="N136" s="185">
        <f>IFERROR(IF($C136="",-0.00001,SUMIFS(Database!P:P,Database!$E:$E,$C136)),-0.00001)</f>
        <v>-1.0000000000000001E-5</v>
      </c>
      <c r="O136" s="185">
        <f>IFERROR(IF($C136="",-0.00001,SUMIFS(Database!Q:Q,Database!$E:$E,$C136)),-0.00001)</f>
        <v>-1.0000000000000001E-5</v>
      </c>
      <c r="P136" s="186">
        <f t="shared" si="6"/>
        <v>-1.0000000000000001E-5</v>
      </c>
      <c r="Q136" s="185">
        <f>IFERROR(IF($C136="",-0.00001,SUMIFS(Database!S:S,Database!$E:$E,$C136)),-0.00001)</f>
        <v>-1.0000000000000001E-5</v>
      </c>
      <c r="R136" s="185">
        <f>IFERROR(IF($C136="",-0.00001,SUMIFS(Database!T:T,Database!$E:$E,$C136)),-0.00001)</f>
        <v>-1.0000000000000001E-5</v>
      </c>
      <c r="S136" s="186">
        <f t="shared" si="7"/>
        <v>-1.0000000000000001E-5</v>
      </c>
      <c r="T136" s="185">
        <f>IFERROR(IF($C136="",-0.00001,SUMIFS(Database!V:V,Database!$E:$E,$C136)),-0.00001)</f>
        <v>-1.0000000000000001E-5</v>
      </c>
      <c r="U136" s="185">
        <f>IFERROR(IF($C136="",-0.00001,SUMIFS(Database!W:W,Database!$E:$E,$C136)),-0.00001)</f>
        <v>-1.0000000000000001E-5</v>
      </c>
      <c r="V136" s="186">
        <f t="shared" si="8"/>
        <v>-1.0000000000000001E-5</v>
      </c>
      <c r="W136" s="187"/>
      <c r="X136" s="187"/>
      <c r="Y136" s="187"/>
      <c r="Z136" s="187"/>
      <c r="AA136" s="187"/>
      <c r="AB136" s="187"/>
      <c r="AC136" s="187"/>
      <c r="AD136" s="187"/>
      <c r="AE136" s="187"/>
    </row>
    <row r="137" spans="1:31" x14ac:dyDescent="0.25">
      <c r="A137" s="187"/>
      <c r="B137" s="187" t="str">
        <f>IF($C137="","",MAX($B$4:$B136)+1)</f>
        <v/>
      </c>
      <c r="C137" s="183"/>
      <c r="D137" s="183"/>
      <c r="E137" s="185">
        <f>IF($C137="",-0.00001,COUNTIF(Database!E:E,$C137))</f>
        <v>-1.0000000000000001E-5</v>
      </c>
      <c r="F137" s="185">
        <f>IFERROR(IF($C137="",-0.00001,SUMIFS(Database!H:H,Database!$E:$E,$C137)),-0.00001)</f>
        <v>-1.0000000000000001E-5</v>
      </c>
      <c r="G137" s="185">
        <f>IFERROR(IF($C137="",-0.00001,SUMIFS(Database!I:I,Database!$E:$E,$C137)),-0.00001)</f>
        <v>-1.0000000000000001E-5</v>
      </c>
      <c r="H137" s="185">
        <f>IFERROR(IF($C137="",-0.00001,SUMIFS(Database!J:J,Database!$E:$E,$C137)),-0.00001)</f>
        <v>-1.0000000000000001E-5</v>
      </c>
      <c r="I137" s="185">
        <f>IFERROR(IF($C137="",-0.00001,SUMIFS(Database!K:K,Database!$E:$E,$C137)),-0.00001)</f>
        <v>-1.0000000000000001E-5</v>
      </c>
      <c r="J137" s="185">
        <f>IFERROR(IF($C137="",-0.00001,SUMIFS(Database!L:L,Database!$E:$E,$C137)),-0.00001)</f>
        <v>-1.0000000000000001E-5</v>
      </c>
      <c r="K137" s="185">
        <f>IFERROR(IF($C137="",-0.00001,SUMIFS(Database!M:M,Database!$E:$E,$C137)),-0.00001)</f>
        <v>-1.0000000000000001E-5</v>
      </c>
      <c r="L137" s="185">
        <f>IFERROR(IF($C137="",-0.00001,SUMIFS(Database!N:N,Database!$E:$E,$C137)),-0.00001)</f>
        <v>-1.0000000000000001E-5</v>
      </c>
      <c r="M137" s="185">
        <f>IFERROR(IF($C137="",-0.00001,SUMIFS(Database!O:O,Database!$E:$E,$C137)),-0.00001)</f>
        <v>-1.0000000000000001E-5</v>
      </c>
      <c r="N137" s="185">
        <f>IFERROR(IF($C137="",-0.00001,SUMIFS(Database!P:P,Database!$E:$E,$C137)),-0.00001)</f>
        <v>-1.0000000000000001E-5</v>
      </c>
      <c r="O137" s="185">
        <f>IFERROR(IF($C137="",-0.00001,SUMIFS(Database!Q:Q,Database!$E:$E,$C137)),-0.00001)</f>
        <v>-1.0000000000000001E-5</v>
      </c>
      <c r="P137" s="186">
        <f t="shared" si="6"/>
        <v>-1.0000000000000001E-5</v>
      </c>
      <c r="Q137" s="185">
        <f>IFERROR(IF($C137="",-0.00001,SUMIFS(Database!S:S,Database!$E:$E,$C137)),-0.00001)</f>
        <v>-1.0000000000000001E-5</v>
      </c>
      <c r="R137" s="185">
        <f>IFERROR(IF($C137="",-0.00001,SUMIFS(Database!T:T,Database!$E:$E,$C137)),-0.00001)</f>
        <v>-1.0000000000000001E-5</v>
      </c>
      <c r="S137" s="186">
        <f t="shared" si="7"/>
        <v>-1.0000000000000001E-5</v>
      </c>
      <c r="T137" s="185">
        <f>IFERROR(IF($C137="",-0.00001,SUMIFS(Database!V:V,Database!$E:$E,$C137)),-0.00001)</f>
        <v>-1.0000000000000001E-5</v>
      </c>
      <c r="U137" s="185">
        <f>IFERROR(IF($C137="",-0.00001,SUMIFS(Database!W:W,Database!$E:$E,$C137)),-0.00001)</f>
        <v>-1.0000000000000001E-5</v>
      </c>
      <c r="V137" s="186">
        <f t="shared" si="8"/>
        <v>-1.0000000000000001E-5</v>
      </c>
      <c r="W137" s="187"/>
      <c r="X137" s="187"/>
      <c r="Y137" s="187"/>
      <c r="Z137" s="187"/>
      <c r="AA137" s="187"/>
      <c r="AB137" s="187"/>
      <c r="AC137" s="187"/>
      <c r="AD137" s="187"/>
      <c r="AE137" s="187"/>
    </row>
    <row r="138" spans="1:31" x14ac:dyDescent="0.25">
      <c r="A138" s="187"/>
      <c r="B138" s="187" t="str">
        <f>IF($C138="","",MAX($B$4:$B137)+1)</f>
        <v/>
      </c>
      <c r="C138" s="183"/>
      <c r="D138" s="183"/>
      <c r="E138" s="185">
        <f>IF($C138="",-0.00001,COUNTIF(Database!E:E,$C138))</f>
        <v>-1.0000000000000001E-5</v>
      </c>
      <c r="F138" s="185">
        <f>IFERROR(IF($C138="",-0.00001,SUMIFS(Database!H:H,Database!$E:$E,$C138)),-0.00001)</f>
        <v>-1.0000000000000001E-5</v>
      </c>
      <c r="G138" s="185">
        <f>IFERROR(IF($C138="",-0.00001,SUMIFS(Database!I:I,Database!$E:$E,$C138)),-0.00001)</f>
        <v>-1.0000000000000001E-5</v>
      </c>
      <c r="H138" s="185">
        <f>IFERROR(IF($C138="",-0.00001,SUMIFS(Database!J:J,Database!$E:$E,$C138)),-0.00001)</f>
        <v>-1.0000000000000001E-5</v>
      </c>
      <c r="I138" s="185">
        <f>IFERROR(IF($C138="",-0.00001,SUMIFS(Database!K:K,Database!$E:$E,$C138)),-0.00001)</f>
        <v>-1.0000000000000001E-5</v>
      </c>
      <c r="J138" s="185">
        <f>IFERROR(IF($C138="",-0.00001,SUMIFS(Database!L:L,Database!$E:$E,$C138)),-0.00001)</f>
        <v>-1.0000000000000001E-5</v>
      </c>
      <c r="K138" s="185">
        <f>IFERROR(IF($C138="",-0.00001,SUMIFS(Database!M:M,Database!$E:$E,$C138)),-0.00001)</f>
        <v>-1.0000000000000001E-5</v>
      </c>
      <c r="L138" s="185">
        <f>IFERROR(IF($C138="",-0.00001,SUMIFS(Database!N:N,Database!$E:$E,$C138)),-0.00001)</f>
        <v>-1.0000000000000001E-5</v>
      </c>
      <c r="M138" s="185">
        <f>IFERROR(IF($C138="",-0.00001,SUMIFS(Database!O:O,Database!$E:$E,$C138)),-0.00001)</f>
        <v>-1.0000000000000001E-5</v>
      </c>
      <c r="N138" s="185">
        <f>IFERROR(IF($C138="",-0.00001,SUMIFS(Database!P:P,Database!$E:$E,$C138)),-0.00001)</f>
        <v>-1.0000000000000001E-5</v>
      </c>
      <c r="O138" s="185">
        <f>IFERROR(IF($C138="",-0.00001,SUMIFS(Database!Q:Q,Database!$E:$E,$C138)),-0.00001)</f>
        <v>-1.0000000000000001E-5</v>
      </c>
      <c r="P138" s="186">
        <f t="shared" si="6"/>
        <v>-1.0000000000000001E-5</v>
      </c>
      <c r="Q138" s="185">
        <f>IFERROR(IF($C138="",-0.00001,SUMIFS(Database!S:S,Database!$E:$E,$C138)),-0.00001)</f>
        <v>-1.0000000000000001E-5</v>
      </c>
      <c r="R138" s="185">
        <f>IFERROR(IF($C138="",-0.00001,SUMIFS(Database!T:T,Database!$E:$E,$C138)),-0.00001)</f>
        <v>-1.0000000000000001E-5</v>
      </c>
      <c r="S138" s="186">
        <f t="shared" si="7"/>
        <v>-1.0000000000000001E-5</v>
      </c>
      <c r="T138" s="185">
        <f>IFERROR(IF($C138="",-0.00001,SUMIFS(Database!V:V,Database!$E:$E,$C138)),-0.00001)</f>
        <v>-1.0000000000000001E-5</v>
      </c>
      <c r="U138" s="185">
        <f>IFERROR(IF($C138="",-0.00001,SUMIFS(Database!W:W,Database!$E:$E,$C138)),-0.00001)</f>
        <v>-1.0000000000000001E-5</v>
      </c>
      <c r="V138" s="186">
        <f t="shared" si="8"/>
        <v>-1.0000000000000001E-5</v>
      </c>
      <c r="W138" s="187"/>
      <c r="X138" s="187"/>
      <c r="Y138" s="187"/>
      <c r="Z138" s="187"/>
      <c r="AA138" s="187"/>
      <c r="AB138" s="187"/>
      <c r="AC138" s="187"/>
      <c r="AD138" s="187"/>
      <c r="AE138" s="187"/>
    </row>
    <row r="139" spans="1:31" x14ac:dyDescent="0.25">
      <c r="A139" s="187"/>
      <c r="B139" s="187" t="str">
        <f>IF($C139="","",MAX($B$4:$B138)+1)</f>
        <v/>
      </c>
      <c r="C139" s="183"/>
      <c r="D139" s="183"/>
      <c r="E139" s="185">
        <f>IF($C139="",-0.00001,COUNTIF(Database!E:E,$C139))</f>
        <v>-1.0000000000000001E-5</v>
      </c>
      <c r="F139" s="185">
        <f>IFERROR(IF($C139="",-0.00001,SUMIFS(Database!H:H,Database!$E:$E,$C139)),-0.00001)</f>
        <v>-1.0000000000000001E-5</v>
      </c>
      <c r="G139" s="185">
        <f>IFERROR(IF($C139="",-0.00001,SUMIFS(Database!I:I,Database!$E:$E,$C139)),-0.00001)</f>
        <v>-1.0000000000000001E-5</v>
      </c>
      <c r="H139" s="185">
        <f>IFERROR(IF($C139="",-0.00001,SUMIFS(Database!J:J,Database!$E:$E,$C139)),-0.00001)</f>
        <v>-1.0000000000000001E-5</v>
      </c>
      <c r="I139" s="185">
        <f>IFERROR(IF($C139="",-0.00001,SUMIFS(Database!K:K,Database!$E:$E,$C139)),-0.00001)</f>
        <v>-1.0000000000000001E-5</v>
      </c>
      <c r="J139" s="185">
        <f>IFERROR(IF($C139="",-0.00001,SUMIFS(Database!L:L,Database!$E:$E,$C139)),-0.00001)</f>
        <v>-1.0000000000000001E-5</v>
      </c>
      <c r="K139" s="185">
        <f>IFERROR(IF($C139="",-0.00001,SUMIFS(Database!M:M,Database!$E:$E,$C139)),-0.00001)</f>
        <v>-1.0000000000000001E-5</v>
      </c>
      <c r="L139" s="185">
        <f>IFERROR(IF($C139="",-0.00001,SUMIFS(Database!N:N,Database!$E:$E,$C139)),-0.00001)</f>
        <v>-1.0000000000000001E-5</v>
      </c>
      <c r="M139" s="185">
        <f>IFERROR(IF($C139="",-0.00001,SUMIFS(Database!O:O,Database!$E:$E,$C139)),-0.00001)</f>
        <v>-1.0000000000000001E-5</v>
      </c>
      <c r="N139" s="185">
        <f>IFERROR(IF($C139="",-0.00001,SUMIFS(Database!P:P,Database!$E:$E,$C139)),-0.00001)</f>
        <v>-1.0000000000000001E-5</v>
      </c>
      <c r="O139" s="185">
        <f>IFERROR(IF($C139="",-0.00001,SUMIFS(Database!Q:Q,Database!$E:$E,$C139)),-0.00001)</f>
        <v>-1.0000000000000001E-5</v>
      </c>
      <c r="P139" s="186">
        <f t="shared" si="6"/>
        <v>-1.0000000000000001E-5</v>
      </c>
      <c r="Q139" s="185">
        <f>IFERROR(IF($C139="",-0.00001,SUMIFS(Database!S:S,Database!$E:$E,$C139)),-0.00001)</f>
        <v>-1.0000000000000001E-5</v>
      </c>
      <c r="R139" s="185">
        <f>IFERROR(IF($C139="",-0.00001,SUMIFS(Database!T:T,Database!$E:$E,$C139)),-0.00001)</f>
        <v>-1.0000000000000001E-5</v>
      </c>
      <c r="S139" s="186">
        <f t="shared" si="7"/>
        <v>-1.0000000000000001E-5</v>
      </c>
      <c r="T139" s="185">
        <f>IFERROR(IF($C139="",-0.00001,SUMIFS(Database!V:V,Database!$E:$E,$C139)),-0.00001)</f>
        <v>-1.0000000000000001E-5</v>
      </c>
      <c r="U139" s="185">
        <f>IFERROR(IF($C139="",-0.00001,SUMIFS(Database!W:W,Database!$E:$E,$C139)),-0.00001)</f>
        <v>-1.0000000000000001E-5</v>
      </c>
      <c r="V139" s="186">
        <f t="shared" si="8"/>
        <v>-1.0000000000000001E-5</v>
      </c>
      <c r="W139" s="187"/>
      <c r="X139" s="187"/>
      <c r="Y139" s="187"/>
      <c r="Z139" s="187"/>
      <c r="AA139" s="187"/>
      <c r="AB139" s="187"/>
      <c r="AC139" s="187"/>
      <c r="AD139" s="187"/>
      <c r="AE139" s="187"/>
    </row>
    <row r="140" spans="1:31" x14ac:dyDescent="0.25">
      <c r="A140" s="187"/>
      <c r="B140" s="187" t="str">
        <f>IF($C140="","",MAX($B$4:$B139)+1)</f>
        <v/>
      </c>
      <c r="C140" s="183"/>
      <c r="D140" s="183"/>
      <c r="E140" s="185">
        <f>IF($C140="",-0.00001,COUNTIF(Database!E:E,$C140))</f>
        <v>-1.0000000000000001E-5</v>
      </c>
      <c r="F140" s="185">
        <f>IFERROR(IF($C140="",-0.00001,SUMIFS(Database!H:H,Database!$E:$E,$C140)),-0.00001)</f>
        <v>-1.0000000000000001E-5</v>
      </c>
      <c r="G140" s="185">
        <f>IFERROR(IF($C140="",-0.00001,SUMIFS(Database!I:I,Database!$E:$E,$C140)),-0.00001)</f>
        <v>-1.0000000000000001E-5</v>
      </c>
      <c r="H140" s="185">
        <f>IFERROR(IF($C140="",-0.00001,SUMIFS(Database!J:J,Database!$E:$E,$C140)),-0.00001)</f>
        <v>-1.0000000000000001E-5</v>
      </c>
      <c r="I140" s="185">
        <f>IFERROR(IF($C140="",-0.00001,SUMIFS(Database!K:K,Database!$E:$E,$C140)),-0.00001)</f>
        <v>-1.0000000000000001E-5</v>
      </c>
      <c r="J140" s="185">
        <f>IFERROR(IF($C140="",-0.00001,SUMIFS(Database!L:L,Database!$E:$E,$C140)),-0.00001)</f>
        <v>-1.0000000000000001E-5</v>
      </c>
      <c r="K140" s="185">
        <f>IFERROR(IF($C140="",-0.00001,SUMIFS(Database!M:M,Database!$E:$E,$C140)),-0.00001)</f>
        <v>-1.0000000000000001E-5</v>
      </c>
      <c r="L140" s="185">
        <f>IFERROR(IF($C140="",-0.00001,SUMIFS(Database!N:N,Database!$E:$E,$C140)),-0.00001)</f>
        <v>-1.0000000000000001E-5</v>
      </c>
      <c r="M140" s="185">
        <f>IFERROR(IF($C140="",-0.00001,SUMIFS(Database!O:O,Database!$E:$E,$C140)),-0.00001)</f>
        <v>-1.0000000000000001E-5</v>
      </c>
      <c r="N140" s="185">
        <f>IFERROR(IF($C140="",-0.00001,SUMIFS(Database!P:P,Database!$E:$E,$C140)),-0.00001)</f>
        <v>-1.0000000000000001E-5</v>
      </c>
      <c r="O140" s="185">
        <f>IFERROR(IF($C140="",-0.00001,SUMIFS(Database!Q:Q,Database!$E:$E,$C140)),-0.00001)</f>
        <v>-1.0000000000000001E-5</v>
      </c>
      <c r="P140" s="186">
        <f t="shared" si="6"/>
        <v>-1.0000000000000001E-5</v>
      </c>
      <c r="Q140" s="185">
        <f>IFERROR(IF($C140="",-0.00001,SUMIFS(Database!S:S,Database!$E:$E,$C140)),-0.00001)</f>
        <v>-1.0000000000000001E-5</v>
      </c>
      <c r="R140" s="185">
        <f>IFERROR(IF($C140="",-0.00001,SUMIFS(Database!T:T,Database!$E:$E,$C140)),-0.00001)</f>
        <v>-1.0000000000000001E-5</v>
      </c>
      <c r="S140" s="186">
        <f t="shared" si="7"/>
        <v>-1.0000000000000001E-5</v>
      </c>
      <c r="T140" s="185">
        <f>IFERROR(IF($C140="",-0.00001,SUMIFS(Database!V:V,Database!$E:$E,$C140)),-0.00001)</f>
        <v>-1.0000000000000001E-5</v>
      </c>
      <c r="U140" s="185">
        <f>IFERROR(IF($C140="",-0.00001,SUMIFS(Database!W:W,Database!$E:$E,$C140)),-0.00001)</f>
        <v>-1.0000000000000001E-5</v>
      </c>
      <c r="V140" s="186">
        <f t="shared" si="8"/>
        <v>-1.0000000000000001E-5</v>
      </c>
      <c r="W140" s="187"/>
      <c r="X140" s="187"/>
      <c r="Y140" s="187"/>
      <c r="Z140" s="187"/>
      <c r="AA140" s="187"/>
      <c r="AB140" s="187"/>
      <c r="AC140" s="187"/>
      <c r="AD140" s="187"/>
      <c r="AE140" s="187"/>
    </row>
    <row r="141" spans="1:31" x14ac:dyDescent="0.25">
      <c r="A141" s="187"/>
      <c r="B141" s="187" t="str">
        <f>IF($C141="","",MAX($B$4:$B140)+1)</f>
        <v/>
      </c>
      <c r="C141" s="183"/>
      <c r="D141" s="183"/>
      <c r="E141" s="185">
        <f>IF($C141="",-0.00001,COUNTIF(Database!E:E,$C141))</f>
        <v>-1.0000000000000001E-5</v>
      </c>
      <c r="F141" s="185">
        <f>IFERROR(IF($C141="",-0.00001,SUMIFS(Database!H:H,Database!$E:$E,$C141)),-0.00001)</f>
        <v>-1.0000000000000001E-5</v>
      </c>
      <c r="G141" s="185">
        <f>IFERROR(IF($C141="",-0.00001,SUMIFS(Database!I:I,Database!$E:$E,$C141)),-0.00001)</f>
        <v>-1.0000000000000001E-5</v>
      </c>
      <c r="H141" s="185">
        <f>IFERROR(IF($C141="",-0.00001,SUMIFS(Database!J:J,Database!$E:$E,$C141)),-0.00001)</f>
        <v>-1.0000000000000001E-5</v>
      </c>
      <c r="I141" s="185">
        <f>IFERROR(IF($C141="",-0.00001,SUMIFS(Database!K:K,Database!$E:$E,$C141)),-0.00001)</f>
        <v>-1.0000000000000001E-5</v>
      </c>
      <c r="J141" s="185">
        <f>IFERROR(IF($C141="",-0.00001,SUMIFS(Database!L:L,Database!$E:$E,$C141)),-0.00001)</f>
        <v>-1.0000000000000001E-5</v>
      </c>
      <c r="K141" s="185">
        <f>IFERROR(IF($C141="",-0.00001,SUMIFS(Database!M:M,Database!$E:$E,$C141)),-0.00001)</f>
        <v>-1.0000000000000001E-5</v>
      </c>
      <c r="L141" s="185">
        <f>IFERROR(IF($C141="",-0.00001,SUMIFS(Database!N:N,Database!$E:$E,$C141)),-0.00001)</f>
        <v>-1.0000000000000001E-5</v>
      </c>
      <c r="M141" s="185">
        <f>IFERROR(IF($C141="",-0.00001,SUMIFS(Database!O:O,Database!$E:$E,$C141)),-0.00001)</f>
        <v>-1.0000000000000001E-5</v>
      </c>
      <c r="N141" s="185">
        <f>IFERROR(IF($C141="",-0.00001,SUMIFS(Database!P:P,Database!$E:$E,$C141)),-0.00001)</f>
        <v>-1.0000000000000001E-5</v>
      </c>
      <c r="O141" s="185">
        <f>IFERROR(IF($C141="",-0.00001,SUMIFS(Database!Q:Q,Database!$E:$E,$C141)),-0.00001)</f>
        <v>-1.0000000000000001E-5</v>
      </c>
      <c r="P141" s="186">
        <f t="shared" si="6"/>
        <v>-1.0000000000000001E-5</v>
      </c>
      <c r="Q141" s="185">
        <f>IFERROR(IF($C141="",-0.00001,SUMIFS(Database!S:S,Database!$E:$E,$C141)),-0.00001)</f>
        <v>-1.0000000000000001E-5</v>
      </c>
      <c r="R141" s="185">
        <f>IFERROR(IF($C141="",-0.00001,SUMIFS(Database!T:T,Database!$E:$E,$C141)),-0.00001)</f>
        <v>-1.0000000000000001E-5</v>
      </c>
      <c r="S141" s="186">
        <f t="shared" si="7"/>
        <v>-1.0000000000000001E-5</v>
      </c>
      <c r="T141" s="185">
        <f>IFERROR(IF($C141="",-0.00001,SUMIFS(Database!V:V,Database!$E:$E,$C141)),-0.00001)</f>
        <v>-1.0000000000000001E-5</v>
      </c>
      <c r="U141" s="185">
        <f>IFERROR(IF($C141="",-0.00001,SUMIFS(Database!W:W,Database!$E:$E,$C141)),-0.00001)</f>
        <v>-1.0000000000000001E-5</v>
      </c>
      <c r="V141" s="186">
        <f t="shared" si="8"/>
        <v>-1.0000000000000001E-5</v>
      </c>
      <c r="W141" s="187"/>
      <c r="X141" s="187"/>
      <c r="Y141" s="187"/>
      <c r="Z141" s="187"/>
      <c r="AA141" s="187"/>
      <c r="AB141" s="187"/>
      <c r="AC141" s="187"/>
      <c r="AD141" s="187"/>
      <c r="AE141" s="187"/>
    </row>
    <row r="142" spans="1:31" x14ac:dyDescent="0.25">
      <c r="A142" s="187"/>
      <c r="B142" s="187" t="str">
        <f>IF($C142="","",MAX($B$4:$B141)+1)</f>
        <v/>
      </c>
      <c r="C142" s="183"/>
      <c r="D142" s="183"/>
      <c r="E142" s="185">
        <f>IF($C142="",-0.00001,COUNTIF(Database!E:E,$C142))</f>
        <v>-1.0000000000000001E-5</v>
      </c>
      <c r="F142" s="185">
        <f>IFERROR(IF($C142="",-0.00001,SUMIFS(Database!H:H,Database!$E:$E,$C142)),-0.00001)</f>
        <v>-1.0000000000000001E-5</v>
      </c>
      <c r="G142" s="185">
        <f>IFERROR(IF($C142="",-0.00001,SUMIFS(Database!I:I,Database!$E:$E,$C142)),-0.00001)</f>
        <v>-1.0000000000000001E-5</v>
      </c>
      <c r="H142" s="185">
        <f>IFERROR(IF($C142="",-0.00001,SUMIFS(Database!J:J,Database!$E:$E,$C142)),-0.00001)</f>
        <v>-1.0000000000000001E-5</v>
      </c>
      <c r="I142" s="185">
        <f>IFERROR(IF($C142="",-0.00001,SUMIFS(Database!K:K,Database!$E:$E,$C142)),-0.00001)</f>
        <v>-1.0000000000000001E-5</v>
      </c>
      <c r="J142" s="185">
        <f>IFERROR(IF($C142="",-0.00001,SUMIFS(Database!L:L,Database!$E:$E,$C142)),-0.00001)</f>
        <v>-1.0000000000000001E-5</v>
      </c>
      <c r="K142" s="185">
        <f>IFERROR(IF($C142="",-0.00001,SUMIFS(Database!M:M,Database!$E:$E,$C142)),-0.00001)</f>
        <v>-1.0000000000000001E-5</v>
      </c>
      <c r="L142" s="185">
        <f>IFERROR(IF($C142="",-0.00001,SUMIFS(Database!N:N,Database!$E:$E,$C142)),-0.00001)</f>
        <v>-1.0000000000000001E-5</v>
      </c>
      <c r="M142" s="185">
        <f>IFERROR(IF($C142="",-0.00001,SUMIFS(Database!O:O,Database!$E:$E,$C142)),-0.00001)</f>
        <v>-1.0000000000000001E-5</v>
      </c>
      <c r="N142" s="185">
        <f>IFERROR(IF($C142="",-0.00001,SUMIFS(Database!P:P,Database!$E:$E,$C142)),-0.00001)</f>
        <v>-1.0000000000000001E-5</v>
      </c>
      <c r="O142" s="185">
        <f>IFERROR(IF($C142="",-0.00001,SUMIFS(Database!Q:Q,Database!$E:$E,$C142)),-0.00001)</f>
        <v>-1.0000000000000001E-5</v>
      </c>
      <c r="P142" s="186">
        <f t="shared" si="6"/>
        <v>-1.0000000000000001E-5</v>
      </c>
      <c r="Q142" s="185">
        <f>IFERROR(IF($C142="",-0.00001,SUMIFS(Database!S:S,Database!$E:$E,$C142)),-0.00001)</f>
        <v>-1.0000000000000001E-5</v>
      </c>
      <c r="R142" s="185">
        <f>IFERROR(IF($C142="",-0.00001,SUMIFS(Database!T:T,Database!$E:$E,$C142)),-0.00001)</f>
        <v>-1.0000000000000001E-5</v>
      </c>
      <c r="S142" s="186">
        <f t="shared" si="7"/>
        <v>-1.0000000000000001E-5</v>
      </c>
      <c r="T142" s="185">
        <f>IFERROR(IF($C142="",-0.00001,SUMIFS(Database!V:V,Database!$E:$E,$C142)),-0.00001)</f>
        <v>-1.0000000000000001E-5</v>
      </c>
      <c r="U142" s="185">
        <f>IFERROR(IF($C142="",-0.00001,SUMIFS(Database!W:W,Database!$E:$E,$C142)),-0.00001)</f>
        <v>-1.0000000000000001E-5</v>
      </c>
      <c r="V142" s="186">
        <f t="shared" si="8"/>
        <v>-1.0000000000000001E-5</v>
      </c>
      <c r="W142" s="187"/>
      <c r="X142" s="187"/>
      <c r="Y142" s="187"/>
      <c r="Z142" s="187"/>
      <c r="AA142" s="187"/>
      <c r="AB142" s="187"/>
      <c r="AC142" s="187"/>
      <c r="AD142" s="187"/>
      <c r="AE142" s="187"/>
    </row>
    <row r="143" spans="1:31" x14ac:dyDescent="0.25">
      <c r="A143" s="187"/>
      <c r="B143" s="187" t="str">
        <f>IF($C143="","",MAX($B$4:$B142)+1)</f>
        <v/>
      </c>
      <c r="C143" s="183"/>
      <c r="D143" s="183"/>
      <c r="E143" s="185">
        <f>IF($C143="",-0.00001,COUNTIF(Database!E:E,$C143))</f>
        <v>-1.0000000000000001E-5</v>
      </c>
      <c r="F143" s="185">
        <f>IFERROR(IF($C143="",-0.00001,SUMIFS(Database!H:H,Database!$E:$E,$C143)),-0.00001)</f>
        <v>-1.0000000000000001E-5</v>
      </c>
      <c r="G143" s="185">
        <f>IFERROR(IF($C143="",-0.00001,SUMIFS(Database!I:I,Database!$E:$E,$C143)),-0.00001)</f>
        <v>-1.0000000000000001E-5</v>
      </c>
      <c r="H143" s="185">
        <f>IFERROR(IF($C143="",-0.00001,SUMIFS(Database!J:J,Database!$E:$E,$C143)),-0.00001)</f>
        <v>-1.0000000000000001E-5</v>
      </c>
      <c r="I143" s="185">
        <f>IFERROR(IF($C143="",-0.00001,SUMIFS(Database!K:K,Database!$E:$E,$C143)),-0.00001)</f>
        <v>-1.0000000000000001E-5</v>
      </c>
      <c r="J143" s="185">
        <f>IFERROR(IF($C143="",-0.00001,SUMIFS(Database!L:L,Database!$E:$E,$C143)),-0.00001)</f>
        <v>-1.0000000000000001E-5</v>
      </c>
      <c r="K143" s="185">
        <f>IFERROR(IF($C143="",-0.00001,SUMIFS(Database!M:M,Database!$E:$E,$C143)),-0.00001)</f>
        <v>-1.0000000000000001E-5</v>
      </c>
      <c r="L143" s="185">
        <f>IFERROR(IF($C143="",-0.00001,SUMIFS(Database!N:N,Database!$E:$E,$C143)),-0.00001)</f>
        <v>-1.0000000000000001E-5</v>
      </c>
      <c r="M143" s="185">
        <f>IFERROR(IF($C143="",-0.00001,SUMIFS(Database!O:O,Database!$E:$E,$C143)),-0.00001)</f>
        <v>-1.0000000000000001E-5</v>
      </c>
      <c r="N143" s="185">
        <f>IFERROR(IF($C143="",-0.00001,SUMIFS(Database!P:P,Database!$E:$E,$C143)),-0.00001)</f>
        <v>-1.0000000000000001E-5</v>
      </c>
      <c r="O143" s="185">
        <f>IFERROR(IF($C143="",-0.00001,SUMIFS(Database!Q:Q,Database!$E:$E,$C143)),-0.00001)</f>
        <v>-1.0000000000000001E-5</v>
      </c>
      <c r="P143" s="186">
        <f t="shared" si="6"/>
        <v>-1.0000000000000001E-5</v>
      </c>
      <c r="Q143" s="185">
        <f>IFERROR(IF($C143="",-0.00001,SUMIFS(Database!S:S,Database!$E:$E,$C143)),-0.00001)</f>
        <v>-1.0000000000000001E-5</v>
      </c>
      <c r="R143" s="185">
        <f>IFERROR(IF($C143="",-0.00001,SUMIFS(Database!T:T,Database!$E:$E,$C143)),-0.00001)</f>
        <v>-1.0000000000000001E-5</v>
      </c>
      <c r="S143" s="186">
        <f t="shared" si="7"/>
        <v>-1.0000000000000001E-5</v>
      </c>
      <c r="T143" s="185">
        <f>IFERROR(IF($C143="",-0.00001,SUMIFS(Database!V:V,Database!$E:$E,$C143)),-0.00001)</f>
        <v>-1.0000000000000001E-5</v>
      </c>
      <c r="U143" s="185">
        <f>IFERROR(IF($C143="",-0.00001,SUMIFS(Database!W:W,Database!$E:$E,$C143)),-0.00001)</f>
        <v>-1.0000000000000001E-5</v>
      </c>
      <c r="V143" s="186">
        <f t="shared" si="8"/>
        <v>-1.0000000000000001E-5</v>
      </c>
      <c r="W143" s="187"/>
      <c r="X143" s="187"/>
      <c r="Y143" s="187"/>
      <c r="Z143" s="187"/>
      <c r="AA143" s="187"/>
      <c r="AB143" s="187"/>
      <c r="AC143" s="187"/>
      <c r="AD143" s="187"/>
      <c r="AE143" s="187"/>
    </row>
    <row r="144" spans="1:31" x14ac:dyDescent="0.25">
      <c r="A144" s="187"/>
      <c r="B144" s="187" t="str">
        <f>IF($C144="","",MAX($B$4:$B143)+1)</f>
        <v/>
      </c>
      <c r="C144" s="183"/>
      <c r="D144" s="183"/>
      <c r="E144" s="185">
        <f>IF($C144="",-0.00001,COUNTIF(Database!E:E,$C144))</f>
        <v>-1.0000000000000001E-5</v>
      </c>
      <c r="F144" s="185">
        <f>IFERROR(IF($C144="",-0.00001,SUMIFS(Database!H:H,Database!$E:$E,$C144)),-0.00001)</f>
        <v>-1.0000000000000001E-5</v>
      </c>
      <c r="G144" s="185">
        <f>IFERROR(IF($C144="",-0.00001,SUMIFS(Database!I:I,Database!$E:$E,$C144)),-0.00001)</f>
        <v>-1.0000000000000001E-5</v>
      </c>
      <c r="H144" s="185">
        <f>IFERROR(IF($C144="",-0.00001,SUMIFS(Database!J:J,Database!$E:$E,$C144)),-0.00001)</f>
        <v>-1.0000000000000001E-5</v>
      </c>
      <c r="I144" s="185">
        <f>IFERROR(IF($C144="",-0.00001,SUMIFS(Database!K:K,Database!$E:$E,$C144)),-0.00001)</f>
        <v>-1.0000000000000001E-5</v>
      </c>
      <c r="J144" s="185">
        <f>IFERROR(IF($C144="",-0.00001,SUMIFS(Database!L:L,Database!$E:$E,$C144)),-0.00001)</f>
        <v>-1.0000000000000001E-5</v>
      </c>
      <c r="K144" s="185">
        <f>IFERROR(IF($C144="",-0.00001,SUMIFS(Database!M:M,Database!$E:$E,$C144)),-0.00001)</f>
        <v>-1.0000000000000001E-5</v>
      </c>
      <c r="L144" s="185">
        <f>IFERROR(IF($C144="",-0.00001,SUMIFS(Database!N:N,Database!$E:$E,$C144)),-0.00001)</f>
        <v>-1.0000000000000001E-5</v>
      </c>
      <c r="M144" s="185">
        <f>IFERROR(IF($C144="",-0.00001,SUMIFS(Database!O:O,Database!$E:$E,$C144)),-0.00001)</f>
        <v>-1.0000000000000001E-5</v>
      </c>
      <c r="N144" s="185">
        <f>IFERROR(IF($C144="",-0.00001,SUMIFS(Database!P:P,Database!$E:$E,$C144)),-0.00001)</f>
        <v>-1.0000000000000001E-5</v>
      </c>
      <c r="O144" s="185">
        <f>IFERROR(IF($C144="",-0.00001,SUMIFS(Database!Q:Q,Database!$E:$E,$C144)),-0.00001)</f>
        <v>-1.0000000000000001E-5</v>
      </c>
      <c r="P144" s="186">
        <f t="shared" si="6"/>
        <v>-1.0000000000000001E-5</v>
      </c>
      <c r="Q144" s="185">
        <f>IFERROR(IF($C144="",-0.00001,SUMIFS(Database!S:S,Database!$E:$E,$C144)),-0.00001)</f>
        <v>-1.0000000000000001E-5</v>
      </c>
      <c r="R144" s="185">
        <f>IFERROR(IF($C144="",-0.00001,SUMIFS(Database!T:T,Database!$E:$E,$C144)),-0.00001)</f>
        <v>-1.0000000000000001E-5</v>
      </c>
      <c r="S144" s="186">
        <f t="shared" si="7"/>
        <v>-1.0000000000000001E-5</v>
      </c>
      <c r="T144" s="185">
        <f>IFERROR(IF($C144="",-0.00001,SUMIFS(Database!V:V,Database!$E:$E,$C144)),-0.00001)</f>
        <v>-1.0000000000000001E-5</v>
      </c>
      <c r="U144" s="185">
        <f>IFERROR(IF($C144="",-0.00001,SUMIFS(Database!W:W,Database!$E:$E,$C144)),-0.00001)</f>
        <v>-1.0000000000000001E-5</v>
      </c>
      <c r="V144" s="186">
        <f t="shared" si="8"/>
        <v>-1.0000000000000001E-5</v>
      </c>
      <c r="W144" s="187"/>
      <c r="X144" s="187"/>
      <c r="Y144" s="187"/>
      <c r="Z144" s="187"/>
      <c r="AA144" s="187"/>
      <c r="AB144" s="187"/>
      <c r="AC144" s="187"/>
      <c r="AD144" s="187"/>
      <c r="AE144" s="187"/>
    </row>
    <row r="145" spans="1:31" x14ac:dyDescent="0.25">
      <c r="A145" s="187"/>
      <c r="B145" s="187" t="str">
        <f>IF($C145="","",MAX($B$4:$B144)+1)</f>
        <v/>
      </c>
      <c r="C145" s="183"/>
      <c r="D145" s="183"/>
      <c r="E145" s="185">
        <f>IF($C145="",-0.00001,COUNTIF(Database!E:E,$C145))</f>
        <v>-1.0000000000000001E-5</v>
      </c>
      <c r="F145" s="185">
        <f>IFERROR(IF($C145="",-0.00001,SUMIFS(Database!H:H,Database!$E:$E,$C145)),-0.00001)</f>
        <v>-1.0000000000000001E-5</v>
      </c>
      <c r="G145" s="185">
        <f>IFERROR(IF($C145="",-0.00001,SUMIFS(Database!I:I,Database!$E:$E,$C145)),-0.00001)</f>
        <v>-1.0000000000000001E-5</v>
      </c>
      <c r="H145" s="185">
        <f>IFERROR(IF($C145="",-0.00001,SUMIFS(Database!J:J,Database!$E:$E,$C145)),-0.00001)</f>
        <v>-1.0000000000000001E-5</v>
      </c>
      <c r="I145" s="185">
        <f>IFERROR(IF($C145="",-0.00001,SUMIFS(Database!K:K,Database!$E:$E,$C145)),-0.00001)</f>
        <v>-1.0000000000000001E-5</v>
      </c>
      <c r="J145" s="185">
        <f>IFERROR(IF($C145="",-0.00001,SUMIFS(Database!L:L,Database!$E:$E,$C145)),-0.00001)</f>
        <v>-1.0000000000000001E-5</v>
      </c>
      <c r="K145" s="185">
        <f>IFERROR(IF($C145="",-0.00001,SUMIFS(Database!M:M,Database!$E:$E,$C145)),-0.00001)</f>
        <v>-1.0000000000000001E-5</v>
      </c>
      <c r="L145" s="185">
        <f>IFERROR(IF($C145="",-0.00001,SUMIFS(Database!N:N,Database!$E:$E,$C145)),-0.00001)</f>
        <v>-1.0000000000000001E-5</v>
      </c>
      <c r="M145" s="185">
        <f>IFERROR(IF($C145="",-0.00001,SUMIFS(Database!O:O,Database!$E:$E,$C145)),-0.00001)</f>
        <v>-1.0000000000000001E-5</v>
      </c>
      <c r="N145" s="185">
        <f>IFERROR(IF($C145="",-0.00001,SUMIFS(Database!P:P,Database!$E:$E,$C145)),-0.00001)</f>
        <v>-1.0000000000000001E-5</v>
      </c>
      <c r="O145" s="185">
        <f>IFERROR(IF($C145="",-0.00001,SUMIFS(Database!Q:Q,Database!$E:$E,$C145)),-0.00001)</f>
        <v>-1.0000000000000001E-5</v>
      </c>
      <c r="P145" s="186">
        <f t="shared" si="6"/>
        <v>-1.0000000000000001E-5</v>
      </c>
      <c r="Q145" s="185">
        <f>IFERROR(IF($C145="",-0.00001,SUMIFS(Database!S:S,Database!$E:$E,$C145)),-0.00001)</f>
        <v>-1.0000000000000001E-5</v>
      </c>
      <c r="R145" s="185">
        <f>IFERROR(IF($C145="",-0.00001,SUMIFS(Database!T:T,Database!$E:$E,$C145)),-0.00001)</f>
        <v>-1.0000000000000001E-5</v>
      </c>
      <c r="S145" s="186">
        <f t="shared" si="7"/>
        <v>-1.0000000000000001E-5</v>
      </c>
      <c r="T145" s="185">
        <f>IFERROR(IF($C145="",-0.00001,SUMIFS(Database!V:V,Database!$E:$E,$C145)),-0.00001)</f>
        <v>-1.0000000000000001E-5</v>
      </c>
      <c r="U145" s="185">
        <f>IFERROR(IF($C145="",-0.00001,SUMIFS(Database!W:W,Database!$E:$E,$C145)),-0.00001)</f>
        <v>-1.0000000000000001E-5</v>
      </c>
      <c r="V145" s="186">
        <f t="shared" si="8"/>
        <v>-1.0000000000000001E-5</v>
      </c>
      <c r="W145" s="187"/>
      <c r="X145" s="187"/>
      <c r="Y145" s="187"/>
      <c r="Z145" s="187"/>
      <c r="AA145" s="187"/>
      <c r="AB145" s="187"/>
      <c r="AC145" s="187"/>
      <c r="AD145" s="187"/>
      <c r="AE145" s="187"/>
    </row>
    <row r="146" spans="1:31" x14ac:dyDescent="0.25">
      <c r="A146" s="187"/>
      <c r="B146" s="187" t="str">
        <f>IF($C146="","",MAX($B$4:$B145)+1)</f>
        <v/>
      </c>
      <c r="C146" s="183"/>
      <c r="D146" s="183"/>
      <c r="E146" s="185">
        <f>IF($C146="",-0.00001,COUNTIF(Database!E:E,$C146))</f>
        <v>-1.0000000000000001E-5</v>
      </c>
      <c r="F146" s="185">
        <f>IFERROR(IF($C146="",-0.00001,SUMIFS(Database!H:H,Database!$E:$E,$C146)),-0.00001)</f>
        <v>-1.0000000000000001E-5</v>
      </c>
      <c r="G146" s="185">
        <f>IFERROR(IF($C146="",-0.00001,SUMIFS(Database!I:I,Database!$E:$E,$C146)),-0.00001)</f>
        <v>-1.0000000000000001E-5</v>
      </c>
      <c r="H146" s="185">
        <f>IFERROR(IF($C146="",-0.00001,SUMIFS(Database!J:J,Database!$E:$E,$C146)),-0.00001)</f>
        <v>-1.0000000000000001E-5</v>
      </c>
      <c r="I146" s="185">
        <f>IFERROR(IF($C146="",-0.00001,SUMIFS(Database!K:K,Database!$E:$E,$C146)),-0.00001)</f>
        <v>-1.0000000000000001E-5</v>
      </c>
      <c r="J146" s="185">
        <f>IFERROR(IF($C146="",-0.00001,SUMIFS(Database!L:L,Database!$E:$E,$C146)),-0.00001)</f>
        <v>-1.0000000000000001E-5</v>
      </c>
      <c r="K146" s="185">
        <f>IFERROR(IF($C146="",-0.00001,SUMIFS(Database!M:M,Database!$E:$E,$C146)),-0.00001)</f>
        <v>-1.0000000000000001E-5</v>
      </c>
      <c r="L146" s="185">
        <f>IFERROR(IF($C146="",-0.00001,SUMIFS(Database!N:N,Database!$E:$E,$C146)),-0.00001)</f>
        <v>-1.0000000000000001E-5</v>
      </c>
      <c r="M146" s="185">
        <f>IFERROR(IF($C146="",-0.00001,SUMIFS(Database!O:O,Database!$E:$E,$C146)),-0.00001)</f>
        <v>-1.0000000000000001E-5</v>
      </c>
      <c r="N146" s="185">
        <f>IFERROR(IF($C146="",-0.00001,SUMIFS(Database!P:P,Database!$E:$E,$C146)),-0.00001)</f>
        <v>-1.0000000000000001E-5</v>
      </c>
      <c r="O146" s="185">
        <f>IFERROR(IF($C146="",-0.00001,SUMIFS(Database!Q:Q,Database!$E:$E,$C146)),-0.00001)</f>
        <v>-1.0000000000000001E-5</v>
      </c>
      <c r="P146" s="186">
        <f t="shared" si="6"/>
        <v>-1.0000000000000001E-5</v>
      </c>
      <c r="Q146" s="185">
        <f>IFERROR(IF($C146="",-0.00001,SUMIFS(Database!S:S,Database!$E:$E,$C146)),-0.00001)</f>
        <v>-1.0000000000000001E-5</v>
      </c>
      <c r="R146" s="185">
        <f>IFERROR(IF($C146="",-0.00001,SUMIFS(Database!T:T,Database!$E:$E,$C146)),-0.00001)</f>
        <v>-1.0000000000000001E-5</v>
      </c>
      <c r="S146" s="186">
        <f t="shared" si="7"/>
        <v>-1.0000000000000001E-5</v>
      </c>
      <c r="T146" s="185">
        <f>IFERROR(IF($C146="",-0.00001,SUMIFS(Database!V:V,Database!$E:$E,$C146)),-0.00001)</f>
        <v>-1.0000000000000001E-5</v>
      </c>
      <c r="U146" s="185">
        <f>IFERROR(IF($C146="",-0.00001,SUMIFS(Database!W:W,Database!$E:$E,$C146)),-0.00001)</f>
        <v>-1.0000000000000001E-5</v>
      </c>
      <c r="V146" s="186">
        <f t="shared" si="8"/>
        <v>-1.0000000000000001E-5</v>
      </c>
      <c r="W146" s="187"/>
      <c r="X146" s="187"/>
      <c r="Y146" s="187"/>
      <c r="Z146" s="187"/>
      <c r="AA146" s="187"/>
      <c r="AB146" s="187"/>
      <c r="AC146" s="187"/>
      <c r="AD146" s="187"/>
      <c r="AE146" s="187"/>
    </row>
    <row r="147" spans="1:31" x14ac:dyDescent="0.25">
      <c r="A147" s="187"/>
      <c r="B147" s="187" t="str">
        <f>IF($C147="","",MAX($B$4:$B146)+1)</f>
        <v/>
      </c>
      <c r="C147" s="183"/>
      <c r="D147" s="183"/>
      <c r="E147" s="185">
        <f>IF($C147="",-0.00001,COUNTIF(Database!E:E,$C147))</f>
        <v>-1.0000000000000001E-5</v>
      </c>
      <c r="F147" s="185">
        <f>IFERROR(IF($C147="",-0.00001,SUMIFS(Database!H:H,Database!$E:$E,$C147)),-0.00001)</f>
        <v>-1.0000000000000001E-5</v>
      </c>
      <c r="G147" s="185">
        <f>IFERROR(IF($C147="",-0.00001,SUMIFS(Database!I:I,Database!$E:$E,$C147)),-0.00001)</f>
        <v>-1.0000000000000001E-5</v>
      </c>
      <c r="H147" s="185">
        <f>IFERROR(IF($C147="",-0.00001,SUMIFS(Database!J:J,Database!$E:$E,$C147)),-0.00001)</f>
        <v>-1.0000000000000001E-5</v>
      </c>
      <c r="I147" s="185">
        <f>IFERROR(IF($C147="",-0.00001,SUMIFS(Database!K:K,Database!$E:$E,$C147)),-0.00001)</f>
        <v>-1.0000000000000001E-5</v>
      </c>
      <c r="J147" s="185">
        <f>IFERROR(IF($C147="",-0.00001,SUMIFS(Database!L:L,Database!$E:$E,$C147)),-0.00001)</f>
        <v>-1.0000000000000001E-5</v>
      </c>
      <c r="K147" s="185">
        <f>IFERROR(IF($C147="",-0.00001,SUMIFS(Database!M:M,Database!$E:$E,$C147)),-0.00001)</f>
        <v>-1.0000000000000001E-5</v>
      </c>
      <c r="L147" s="185">
        <f>IFERROR(IF($C147="",-0.00001,SUMIFS(Database!N:N,Database!$E:$E,$C147)),-0.00001)</f>
        <v>-1.0000000000000001E-5</v>
      </c>
      <c r="M147" s="185">
        <f>IFERROR(IF($C147="",-0.00001,SUMIFS(Database!O:O,Database!$E:$E,$C147)),-0.00001)</f>
        <v>-1.0000000000000001E-5</v>
      </c>
      <c r="N147" s="185">
        <f>IFERROR(IF($C147="",-0.00001,SUMIFS(Database!P:P,Database!$E:$E,$C147)),-0.00001)</f>
        <v>-1.0000000000000001E-5</v>
      </c>
      <c r="O147" s="185">
        <f>IFERROR(IF($C147="",-0.00001,SUMIFS(Database!Q:Q,Database!$E:$E,$C147)),-0.00001)</f>
        <v>-1.0000000000000001E-5</v>
      </c>
      <c r="P147" s="186">
        <f t="shared" si="6"/>
        <v>-1.0000000000000001E-5</v>
      </c>
      <c r="Q147" s="185">
        <f>IFERROR(IF($C147="",-0.00001,SUMIFS(Database!S:S,Database!$E:$E,$C147)),-0.00001)</f>
        <v>-1.0000000000000001E-5</v>
      </c>
      <c r="R147" s="185">
        <f>IFERROR(IF($C147="",-0.00001,SUMIFS(Database!T:T,Database!$E:$E,$C147)),-0.00001)</f>
        <v>-1.0000000000000001E-5</v>
      </c>
      <c r="S147" s="186">
        <f t="shared" si="7"/>
        <v>-1.0000000000000001E-5</v>
      </c>
      <c r="T147" s="185">
        <f>IFERROR(IF($C147="",-0.00001,SUMIFS(Database!V:V,Database!$E:$E,$C147)),-0.00001)</f>
        <v>-1.0000000000000001E-5</v>
      </c>
      <c r="U147" s="185">
        <f>IFERROR(IF($C147="",-0.00001,SUMIFS(Database!W:W,Database!$E:$E,$C147)),-0.00001)</f>
        <v>-1.0000000000000001E-5</v>
      </c>
      <c r="V147" s="186">
        <f t="shared" si="8"/>
        <v>-1.0000000000000001E-5</v>
      </c>
      <c r="W147" s="187"/>
      <c r="X147" s="187"/>
      <c r="Y147" s="187"/>
      <c r="Z147" s="187"/>
      <c r="AA147" s="187"/>
      <c r="AB147" s="187"/>
      <c r="AC147" s="187"/>
      <c r="AD147" s="187"/>
      <c r="AE147" s="187"/>
    </row>
    <row r="148" spans="1:31" x14ac:dyDescent="0.25">
      <c r="A148" s="187"/>
      <c r="B148" s="187" t="str">
        <f>IF($C148="","",MAX($B$4:$B147)+1)</f>
        <v/>
      </c>
      <c r="C148" s="183"/>
      <c r="D148" s="183"/>
      <c r="E148" s="185">
        <f>IF($C148="",-0.00001,COUNTIF(Database!E:E,$C148))</f>
        <v>-1.0000000000000001E-5</v>
      </c>
      <c r="F148" s="185">
        <f>IFERROR(IF($C148="",-0.00001,SUMIFS(Database!H:H,Database!$E:$E,$C148)),-0.00001)</f>
        <v>-1.0000000000000001E-5</v>
      </c>
      <c r="G148" s="185">
        <f>IFERROR(IF($C148="",-0.00001,SUMIFS(Database!I:I,Database!$E:$E,$C148)),-0.00001)</f>
        <v>-1.0000000000000001E-5</v>
      </c>
      <c r="H148" s="185">
        <f>IFERROR(IF($C148="",-0.00001,SUMIFS(Database!J:J,Database!$E:$E,$C148)),-0.00001)</f>
        <v>-1.0000000000000001E-5</v>
      </c>
      <c r="I148" s="185">
        <f>IFERROR(IF($C148="",-0.00001,SUMIFS(Database!K:K,Database!$E:$E,$C148)),-0.00001)</f>
        <v>-1.0000000000000001E-5</v>
      </c>
      <c r="J148" s="185">
        <f>IFERROR(IF($C148="",-0.00001,SUMIFS(Database!L:L,Database!$E:$E,$C148)),-0.00001)</f>
        <v>-1.0000000000000001E-5</v>
      </c>
      <c r="K148" s="185">
        <f>IFERROR(IF($C148="",-0.00001,SUMIFS(Database!M:M,Database!$E:$E,$C148)),-0.00001)</f>
        <v>-1.0000000000000001E-5</v>
      </c>
      <c r="L148" s="185">
        <f>IFERROR(IF($C148="",-0.00001,SUMIFS(Database!N:N,Database!$E:$E,$C148)),-0.00001)</f>
        <v>-1.0000000000000001E-5</v>
      </c>
      <c r="M148" s="185">
        <f>IFERROR(IF($C148="",-0.00001,SUMIFS(Database!O:O,Database!$E:$E,$C148)),-0.00001)</f>
        <v>-1.0000000000000001E-5</v>
      </c>
      <c r="N148" s="185">
        <f>IFERROR(IF($C148="",-0.00001,SUMIFS(Database!P:P,Database!$E:$E,$C148)),-0.00001)</f>
        <v>-1.0000000000000001E-5</v>
      </c>
      <c r="O148" s="185">
        <f>IFERROR(IF($C148="",-0.00001,SUMIFS(Database!Q:Q,Database!$E:$E,$C148)),-0.00001)</f>
        <v>-1.0000000000000001E-5</v>
      </c>
      <c r="P148" s="186">
        <f t="shared" si="6"/>
        <v>-1.0000000000000001E-5</v>
      </c>
      <c r="Q148" s="185">
        <f>IFERROR(IF($C148="",-0.00001,SUMIFS(Database!S:S,Database!$E:$E,$C148)),-0.00001)</f>
        <v>-1.0000000000000001E-5</v>
      </c>
      <c r="R148" s="185">
        <f>IFERROR(IF($C148="",-0.00001,SUMIFS(Database!T:T,Database!$E:$E,$C148)),-0.00001)</f>
        <v>-1.0000000000000001E-5</v>
      </c>
      <c r="S148" s="186">
        <f t="shared" si="7"/>
        <v>-1.0000000000000001E-5</v>
      </c>
      <c r="T148" s="185">
        <f>IFERROR(IF($C148="",-0.00001,SUMIFS(Database!V:V,Database!$E:$E,$C148)),-0.00001)</f>
        <v>-1.0000000000000001E-5</v>
      </c>
      <c r="U148" s="185">
        <f>IFERROR(IF($C148="",-0.00001,SUMIFS(Database!W:W,Database!$E:$E,$C148)),-0.00001)</f>
        <v>-1.0000000000000001E-5</v>
      </c>
      <c r="V148" s="186">
        <f t="shared" si="8"/>
        <v>-1.0000000000000001E-5</v>
      </c>
      <c r="W148" s="187"/>
      <c r="X148" s="187"/>
      <c r="Y148" s="187"/>
      <c r="Z148" s="187"/>
      <c r="AA148" s="187"/>
      <c r="AB148" s="187"/>
      <c r="AC148" s="187"/>
      <c r="AD148" s="187"/>
      <c r="AE148" s="187"/>
    </row>
    <row r="149" spans="1:31" x14ac:dyDescent="0.25">
      <c r="A149" s="187"/>
      <c r="B149" s="187" t="str">
        <f>IF($C149="","",MAX($B$4:$B148)+1)</f>
        <v/>
      </c>
      <c r="C149" s="183"/>
      <c r="D149" s="183"/>
      <c r="E149" s="185">
        <f>IF($C149="",-0.00001,COUNTIF(Database!E:E,$C149))</f>
        <v>-1.0000000000000001E-5</v>
      </c>
      <c r="F149" s="185">
        <f>IFERROR(IF($C149="",-0.00001,SUMIFS(Database!H:H,Database!$E:$E,$C149)),-0.00001)</f>
        <v>-1.0000000000000001E-5</v>
      </c>
      <c r="G149" s="185">
        <f>IFERROR(IF($C149="",-0.00001,SUMIFS(Database!I:I,Database!$E:$E,$C149)),-0.00001)</f>
        <v>-1.0000000000000001E-5</v>
      </c>
      <c r="H149" s="185">
        <f>IFERROR(IF($C149="",-0.00001,SUMIFS(Database!J:J,Database!$E:$E,$C149)),-0.00001)</f>
        <v>-1.0000000000000001E-5</v>
      </c>
      <c r="I149" s="185">
        <f>IFERROR(IF($C149="",-0.00001,SUMIFS(Database!K:K,Database!$E:$E,$C149)),-0.00001)</f>
        <v>-1.0000000000000001E-5</v>
      </c>
      <c r="J149" s="185">
        <f>IFERROR(IF($C149="",-0.00001,SUMIFS(Database!L:L,Database!$E:$E,$C149)),-0.00001)</f>
        <v>-1.0000000000000001E-5</v>
      </c>
      <c r="K149" s="185">
        <f>IFERROR(IF($C149="",-0.00001,SUMIFS(Database!M:M,Database!$E:$E,$C149)),-0.00001)</f>
        <v>-1.0000000000000001E-5</v>
      </c>
      <c r="L149" s="185">
        <f>IFERROR(IF($C149="",-0.00001,SUMIFS(Database!N:N,Database!$E:$E,$C149)),-0.00001)</f>
        <v>-1.0000000000000001E-5</v>
      </c>
      <c r="M149" s="185">
        <f>IFERROR(IF($C149="",-0.00001,SUMIFS(Database!O:O,Database!$E:$E,$C149)),-0.00001)</f>
        <v>-1.0000000000000001E-5</v>
      </c>
      <c r="N149" s="185">
        <f>IFERROR(IF($C149="",-0.00001,SUMIFS(Database!P:P,Database!$E:$E,$C149)),-0.00001)</f>
        <v>-1.0000000000000001E-5</v>
      </c>
      <c r="O149" s="185">
        <f>IFERROR(IF($C149="",-0.00001,SUMIFS(Database!Q:Q,Database!$E:$E,$C149)),-0.00001)</f>
        <v>-1.0000000000000001E-5</v>
      </c>
      <c r="P149" s="186">
        <f t="shared" si="6"/>
        <v>-1.0000000000000001E-5</v>
      </c>
      <c r="Q149" s="185">
        <f>IFERROR(IF($C149="",-0.00001,SUMIFS(Database!S:S,Database!$E:$E,$C149)),-0.00001)</f>
        <v>-1.0000000000000001E-5</v>
      </c>
      <c r="R149" s="185">
        <f>IFERROR(IF($C149="",-0.00001,SUMIFS(Database!T:T,Database!$E:$E,$C149)),-0.00001)</f>
        <v>-1.0000000000000001E-5</v>
      </c>
      <c r="S149" s="186">
        <f t="shared" si="7"/>
        <v>-1.0000000000000001E-5</v>
      </c>
      <c r="T149" s="185">
        <f>IFERROR(IF($C149="",-0.00001,SUMIFS(Database!V:V,Database!$E:$E,$C149)),-0.00001)</f>
        <v>-1.0000000000000001E-5</v>
      </c>
      <c r="U149" s="185">
        <f>IFERROR(IF($C149="",-0.00001,SUMIFS(Database!W:W,Database!$E:$E,$C149)),-0.00001)</f>
        <v>-1.0000000000000001E-5</v>
      </c>
      <c r="V149" s="186">
        <f t="shared" si="8"/>
        <v>-1.0000000000000001E-5</v>
      </c>
      <c r="W149" s="187"/>
      <c r="X149" s="187"/>
      <c r="Y149" s="187"/>
      <c r="Z149" s="187"/>
      <c r="AA149" s="187"/>
      <c r="AB149" s="187"/>
      <c r="AC149" s="187"/>
      <c r="AD149" s="187"/>
      <c r="AE149" s="187"/>
    </row>
    <row r="150" spans="1:31" x14ac:dyDescent="0.25">
      <c r="A150" s="187"/>
      <c r="B150" s="187" t="str">
        <f>IF($C150="","",MAX($B$4:$B149)+1)</f>
        <v/>
      </c>
      <c r="C150" s="183"/>
      <c r="D150" s="183"/>
      <c r="E150" s="185">
        <f>IF($C150="",-0.00001,COUNTIF(Database!E:E,$C150))</f>
        <v>-1.0000000000000001E-5</v>
      </c>
      <c r="F150" s="185">
        <f>IFERROR(IF($C150="",-0.00001,SUMIFS(Database!H:H,Database!$E:$E,$C150)),-0.00001)</f>
        <v>-1.0000000000000001E-5</v>
      </c>
      <c r="G150" s="185">
        <f>IFERROR(IF($C150="",-0.00001,SUMIFS(Database!I:I,Database!$E:$E,$C150)),-0.00001)</f>
        <v>-1.0000000000000001E-5</v>
      </c>
      <c r="H150" s="185">
        <f>IFERROR(IF($C150="",-0.00001,SUMIFS(Database!J:J,Database!$E:$E,$C150)),-0.00001)</f>
        <v>-1.0000000000000001E-5</v>
      </c>
      <c r="I150" s="185">
        <f>IFERROR(IF($C150="",-0.00001,SUMIFS(Database!K:K,Database!$E:$E,$C150)),-0.00001)</f>
        <v>-1.0000000000000001E-5</v>
      </c>
      <c r="J150" s="185">
        <f>IFERROR(IF($C150="",-0.00001,SUMIFS(Database!L:L,Database!$E:$E,$C150)),-0.00001)</f>
        <v>-1.0000000000000001E-5</v>
      </c>
      <c r="K150" s="185">
        <f>IFERROR(IF($C150="",-0.00001,SUMIFS(Database!M:M,Database!$E:$E,$C150)),-0.00001)</f>
        <v>-1.0000000000000001E-5</v>
      </c>
      <c r="L150" s="185">
        <f>IFERROR(IF($C150="",-0.00001,SUMIFS(Database!N:N,Database!$E:$E,$C150)),-0.00001)</f>
        <v>-1.0000000000000001E-5</v>
      </c>
      <c r="M150" s="185">
        <f>IFERROR(IF($C150="",-0.00001,SUMIFS(Database!O:O,Database!$E:$E,$C150)),-0.00001)</f>
        <v>-1.0000000000000001E-5</v>
      </c>
      <c r="N150" s="185">
        <f>IFERROR(IF($C150="",-0.00001,SUMIFS(Database!P:P,Database!$E:$E,$C150)),-0.00001)</f>
        <v>-1.0000000000000001E-5</v>
      </c>
      <c r="O150" s="185">
        <f>IFERROR(IF($C150="",-0.00001,SUMIFS(Database!Q:Q,Database!$E:$E,$C150)),-0.00001)</f>
        <v>-1.0000000000000001E-5</v>
      </c>
      <c r="P150" s="186">
        <f t="shared" si="6"/>
        <v>-1.0000000000000001E-5</v>
      </c>
      <c r="Q150" s="185">
        <f>IFERROR(IF($C150="",-0.00001,SUMIFS(Database!S:S,Database!$E:$E,$C150)),-0.00001)</f>
        <v>-1.0000000000000001E-5</v>
      </c>
      <c r="R150" s="185">
        <f>IFERROR(IF($C150="",-0.00001,SUMIFS(Database!T:T,Database!$E:$E,$C150)),-0.00001)</f>
        <v>-1.0000000000000001E-5</v>
      </c>
      <c r="S150" s="186">
        <f t="shared" si="7"/>
        <v>-1.0000000000000001E-5</v>
      </c>
      <c r="T150" s="185">
        <f>IFERROR(IF($C150="",-0.00001,SUMIFS(Database!V:V,Database!$E:$E,$C150)),-0.00001)</f>
        <v>-1.0000000000000001E-5</v>
      </c>
      <c r="U150" s="185">
        <f>IFERROR(IF($C150="",-0.00001,SUMIFS(Database!W:W,Database!$E:$E,$C150)),-0.00001)</f>
        <v>-1.0000000000000001E-5</v>
      </c>
      <c r="V150" s="186">
        <f t="shared" si="8"/>
        <v>-1.0000000000000001E-5</v>
      </c>
      <c r="W150" s="187"/>
      <c r="X150" s="187"/>
      <c r="Y150" s="187"/>
      <c r="Z150" s="187"/>
      <c r="AA150" s="187"/>
      <c r="AB150" s="187"/>
      <c r="AC150" s="187"/>
      <c r="AD150" s="187"/>
      <c r="AE150" s="187"/>
    </row>
    <row r="151" spans="1:31" x14ac:dyDescent="0.25">
      <c r="A151" s="187"/>
      <c r="B151" s="187" t="str">
        <f>IF($C151="","",MAX($B$4:$B150)+1)</f>
        <v/>
      </c>
      <c r="C151" s="183"/>
      <c r="D151" s="183"/>
      <c r="E151" s="185">
        <f>IF($C151="",-0.00001,COUNTIF(Database!E:E,$C151))</f>
        <v>-1.0000000000000001E-5</v>
      </c>
      <c r="F151" s="185">
        <f>IFERROR(IF($C151="",-0.00001,SUMIFS(Database!H:H,Database!$E:$E,$C151)),-0.00001)</f>
        <v>-1.0000000000000001E-5</v>
      </c>
      <c r="G151" s="185">
        <f>IFERROR(IF($C151="",-0.00001,SUMIFS(Database!I:I,Database!$E:$E,$C151)),-0.00001)</f>
        <v>-1.0000000000000001E-5</v>
      </c>
      <c r="H151" s="185">
        <f>IFERROR(IF($C151="",-0.00001,SUMIFS(Database!J:J,Database!$E:$E,$C151)),-0.00001)</f>
        <v>-1.0000000000000001E-5</v>
      </c>
      <c r="I151" s="185">
        <f>IFERROR(IF($C151="",-0.00001,SUMIFS(Database!K:K,Database!$E:$E,$C151)),-0.00001)</f>
        <v>-1.0000000000000001E-5</v>
      </c>
      <c r="J151" s="185">
        <f>IFERROR(IF($C151="",-0.00001,SUMIFS(Database!L:L,Database!$E:$E,$C151)),-0.00001)</f>
        <v>-1.0000000000000001E-5</v>
      </c>
      <c r="K151" s="185">
        <f>IFERROR(IF($C151="",-0.00001,SUMIFS(Database!M:M,Database!$E:$E,$C151)),-0.00001)</f>
        <v>-1.0000000000000001E-5</v>
      </c>
      <c r="L151" s="185">
        <f>IFERROR(IF($C151="",-0.00001,SUMIFS(Database!N:N,Database!$E:$E,$C151)),-0.00001)</f>
        <v>-1.0000000000000001E-5</v>
      </c>
      <c r="M151" s="185">
        <f>IFERROR(IF($C151="",-0.00001,SUMIFS(Database!O:O,Database!$E:$E,$C151)),-0.00001)</f>
        <v>-1.0000000000000001E-5</v>
      </c>
      <c r="N151" s="185">
        <f>IFERROR(IF($C151="",-0.00001,SUMIFS(Database!P:P,Database!$E:$E,$C151)),-0.00001)</f>
        <v>-1.0000000000000001E-5</v>
      </c>
      <c r="O151" s="185">
        <f>IFERROR(IF($C151="",-0.00001,SUMIFS(Database!Q:Q,Database!$E:$E,$C151)),-0.00001)</f>
        <v>-1.0000000000000001E-5</v>
      </c>
      <c r="P151" s="186">
        <f t="shared" si="6"/>
        <v>-1.0000000000000001E-5</v>
      </c>
      <c r="Q151" s="185">
        <f>IFERROR(IF($C151="",-0.00001,SUMIFS(Database!S:S,Database!$E:$E,$C151)),-0.00001)</f>
        <v>-1.0000000000000001E-5</v>
      </c>
      <c r="R151" s="185">
        <f>IFERROR(IF($C151="",-0.00001,SUMIFS(Database!T:T,Database!$E:$E,$C151)),-0.00001)</f>
        <v>-1.0000000000000001E-5</v>
      </c>
      <c r="S151" s="186">
        <f t="shared" si="7"/>
        <v>-1.0000000000000001E-5</v>
      </c>
      <c r="T151" s="185">
        <f>IFERROR(IF($C151="",-0.00001,SUMIFS(Database!V:V,Database!$E:$E,$C151)),-0.00001)</f>
        <v>-1.0000000000000001E-5</v>
      </c>
      <c r="U151" s="185">
        <f>IFERROR(IF($C151="",-0.00001,SUMIFS(Database!W:W,Database!$E:$E,$C151)),-0.00001)</f>
        <v>-1.0000000000000001E-5</v>
      </c>
      <c r="V151" s="186">
        <f t="shared" si="8"/>
        <v>-1.0000000000000001E-5</v>
      </c>
      <c r="W151" s="187"/>
      <c r="X151" s="187"/>
      <c r="Y151" s="187"/>
      <c r="Z151" s="187"/>
      <c r="AA151" s="187"/>
      <c r="AB151" s="187"/>
      <c r="AC151" s="187"/>
      <c r="AD151" s="187"/>
      <c r="AE151" s="187"/>
    </row>
    <row r="152" spans="1:31" x14ac:dyDescent="0.25">
      <c r="A152" s="187"/>
      <c r="B152" s="187" t="str">
        <f>IF($C152="","",MAX($B$4:$B151)+1)</f>
        <v/>
      </c>
      <c r="C152" s="183"/>
      <c r="D152" s="183"/>
      <c r="E152" s="185">
        <f>IF($C152="",-0.00001,COUNTIF(Database!E:E,$C152))</f>
        <v>-1.0000000000000001E-5</v>
      </c>
      <c r="F152" s="185">
        <f>IFERROR(IF($C152="",-0.00001,SUMIFS(Database!H:H,Database!$E:$E,$C152)),-0.00001)</f>
        <v>-1.0000000000000001E-5</v>
      </c>
      <c r="G152" s="185">
        <f>IFERROR(IF($C152="",-0.00001,SUMIFS(Database!I:I,Database!$E:$E,$C152)),-0.00001)</f>
        <v>-1.0000000000000001E-5</v>
      </c>
      <c r="H152" s="185">
        <f>IFERROR(IF($C152="",-0.00001,SUMIFS(Database!J:J,Database!$E:$E,$C152)),-0.00001)</f>
        <v>-1.0000000000000001E-5</v>
      </c>
      <c r="I152" s="185">
        <f>IFERROR(IF($C152="",-0.00001,SUMIFS(Database!K:K,Database!$E:$E,$C152)),-0.00001)</f>
        <v>-1.0000000000000001E-5</v>
      </c>
      <c r="J152" s="185">
        <f>IFERROR(IF($C152="",-0.00001,SUMIFS(Database!L:L,Database!$E:$E,$C152)),-0.00001)</f>
        <v>-1.0000000000000001E-5</v>
      </c>
      <c r="K152" s="185">
        <f>IFERROR(IF($C152="",-0.00001,SUMIFS(Database!M:M,Database!$E:$E,$C152)),-0.00001)</f>
        <v>-1.0000000000000001E-5</v>
      </c>
      <c r="L152" s="185">
        <f>IFERROR(IF($C152="",-0.00001,SUMIFS(Database!N:N,Database!$E:$E,$C152)),-0.00001)</f>
        <v>-1.0000000000000001E-5</v>
      </c>
      <c r="M152" s="185">
        <f>IFERROR(IF($C152="",-0.00001,SUMIFS(Database!O:O,Database!$E:$E,$C152)),-0.00001)</f>
        <v>-1.0000000000000001E-5</v>
      </c>
      <c r="N152" s="185">
        <f>IFERROR(IF($C152="",-0.00001,SUMIFS(Database!P:P,Database!$E:$E,$C152)),-0.00001)</f>
        <v>-1.0000000000000001E-5</v>
      </c>
      <c r="O152" s="185">
        <f>IFERROR(IF($C152="",-0.00001,SUMIFS(Database!Q:Q,Database!$E:$E,$C152)),-0.00001)</f>
        <v>-1.0000000000000001E-5</v>
      </c>
      <c r="P152" s="186">
        <f t="shared" si="6"/>
        <v>-1.0000000000000001E-5</v>
      </c>
      <c r="Q152" s="185">
        <f>IFERROR(IF($C152="",-0.00001,SUMIFS(Database!S:S,Database!$E:$E,$C152)),-0.00001)</f>
        <v>-1.0000000000000001E-5</v>
      </c>
      <c r="R152" s="185">
        <f>IFERROR(IF($C152="",-0.00001,SUMIFS(Database!T:T,Database!$E:$E,$C152)),-0.00001)</f>
        <v>-1.0000000000000001E-5</v>
      </c>
      <c r="S152" s="186">
        <f t="shared" si="7"/>
        <v>-1.0000000000000001E-5</v>
      </c>
      <c r="T152" s="185">
        <f>IFERROR(IF($C152="",-0.00001,SUMIFS(Database!V:V,Database!$E:$E,$C152)),-0.00001)</f>
        <v>-1.0000000000000001E-5</v>
      </c>
      <c r="U152" s="185">
        <f>IFERROR(IF($C152="",-0.00001,SUMIFS(Database!W:W,Database!$E:$E,$C152)),-0.00001)</f>
        <v>-1.0000000000000001E-5</v>
      </c>
      <c r="V152" s="186">
        <f t="shared" si="8"/>
        <v>-1.0000000000000001E-5</v>
      </c>
      <c r="W152" s="187"/>
      <c r="X152" s="187"/>
      <c r="Y152" s="187"/>
      <c r="Z152" s="187"/>
      <c r="AA152" s="187"/>
      <c r="AB152" s="187"/>
      <c r="AC152" s="187"/>
      <c r="AD152" s="187"/>
      <c r="AE152" s="187"/>
    </row>
    <row r="153" spans="1:31" x14ac:dyDescent="0.25">
      <c r="A153" s="187"/>
      <c r="B153" s="187" t="str">
        <f>IF($C153="","",MAX($B$4:$B152)+1)</f>
        <v/>
      </c>
      <c r="C153" s="183"/>
      <c r="D153" s="183"/>
      <c r="E153" s="185">
        <f>IF($C153="",-0.00001,COUNTIF(Database!E:E,$C153))</f>
        <v>-1.0000000000000001E-5</v>
      </c>
      <c r="F153" s="185">
        <f>IFERROR(IF($C153="",-0.00001,SUMIFS(Database!H:H,Database!$E:$E,$C153)),-0.00001)</f>
        <v>-1.0000000000000001E-5</v>
      </c>
      <c r="G153" s="185">
        <f>IFERROR(IF($C153="",-0.00001,SUMIFS(Database!I:I,Database!$E:$E,$C153)),-0.00001)</f>
        <v>-1.0000000000000001E-5</v>
      </c>
      <c r="H153" s="185">
        <f>IFERROR(IF($C153="",-0.00001,SUMIFS(Database!J:J,Database!$E:$E,$C153)),-0.00001)</f>
        <v>-1.0000000000000001E-5</v>
      </c>
      <c r="I153" s="185">
        <f>IFERROR(IF($C153="",-0.00001,SUMIFS(Database!K:K,Database!$E:$E,$C153)),-0.00001)</f>
        <v>-1.0000000000000001E-5</v>
      </c>
      <c r="J153" s="185">
        <f>IFERROR(IF($C153="",-0.00001,SUMIFS(Database!L:L,Database!$E:$E,$C153)),-0.00001)</f>
        <v>-1.0000000000000001E-5</v>
      </c>
      <c r="K153" s="185">
        <f>IFERROR(IF($C153="",-0.00001,SUMIFS(Database!M:M,Database!$E:$E,$C153)),-0.00001)</f>
        <v>-1.0000000000000001E-5</v>
      </c>
      <c r="L153" s="185">
        <f>IFERROR(IF($C153="",-0.00001,SUMIFS(Database!N:N,Database!$E:$E,$C153)),-0.00001)</f>
        <v>-1.0000000000000001E-5</v>
      </c>
      <c r="M153" s="185">
        <f>IFERROR(IF($C153="",-0.00001,SUMIFS(Database!O:O,Database!$E:$E,$C153)),-0.00001)</f>
        <v>-1.0000000000000001E-5</v>
      </c>
      <c r="N153" s="185">
        <f>IFERROR(IF($C153="",-0.00001,SUMIFS(Database!P:P,Database!$E:$E,$C153)),-0.00001)</f>
        <v>-1.0000000000000001E-5</v>
      </c>
      <c r="O153" s="185">
        <f>IFERROR(IF($C153="",-0.00001,SUMIFS(Database!Q:Q,Database!$E:$E,$C153)),-0.00001)</f>
        <v>-1.0000000000000001E-5</v>
      </c>
      <c r="P153" s="186">
        <f t="shared" si="6"/>
        <v>-1.0000000000000001E-5</v>
      </c>
      <c r="Q153" s="185">
        <f>IFERROR(IF($C153="",-0.00001,SUMIFS(Database!S:S,Database!$E:$E,$C153)),-0.00001)</f>
        <v>-1.0000000000000001E-5</v>
      </c>
      <c r="R153" s="185">
        <f>IFERROR(IF($C153="",-0.00001,SUMIFS(Database!T:T,Database!$E:$E,$C153)),-0.00001)</f>
        <v>-1.0000000000000001E-5</v>
      </c>
      <c r="S153" s="186">
        <f t="shared" si="7"/>
        <v>-1.0000000000000001E-5</v>
      </c>
      <c r="T153" s="185">
        <f>IFERROR(IF($C153="",-0.00001,SUMIFS(Database!V:V,Database!$E:$E,$C153)),-0.00001)</f>
        <v>-1.0000000000000001E-5</v>
      </c>
      <c r="U153" s="185">
        <f>IFERROR(IF($C153="",-0.00001,SUMIFS(Database!W:W,Database!$E:$E,$C153)),-0.00001)</f>
        <v>-1.0000000000000001E-5</v>
      </c>
      <c r="V153" s="186">
        <f t="shared" si="8"/>
        <v>-1.0000000000000001E-5</v>
      </c>
      <c r="W153" s="187"/>
      <c r="X153" s="187"/>
      <c r="Y153" s="187"/>
      <c r="Z153" s="187"/>
      <c r="AA153" s="187"/>
      <c r="AB153" s="187"/>
      <c r="AC153" s="187"/>
      <c r="AD153" s="187"/>
      <c r="AE153" s="187"/>
    </row>
    <row r="154" spans="1:31" x14ac:dyDescent="0.25">
      <c r="A154" s="187"/>
      <c r="B154" s="187" t="str">
        <f>IF($C154="","",MAX($B$4:$B153)+1)</f>
        <v/>
      </c>
      <c r="C154" s="183"/>
      <c r="D154" s="183"/>
      <c r="E154" s="185">
        <f>IF($C154="",-0.00001,COUNTIF(Database!E:E,$C154))</f>
        <v>-1.0000000000000001E-5</v>
      </c>
      <c r="F154" s="185">
        <f>IFERROR(IF($C154="",-0.00001,SUMIFS(Database!H:H,Database!$E:$E,$C154)),-0.00001)</f>
        <v>-1.0000000000000001E-5</v>
      </c>
      <c r="G154" s="185">
        <f>IFERROR(IF($C154="",-0.00001,SUMIFS(Database!I:I,Database!$E:$E,$C154)),-0.00001)</f>
        <v>-1.0000000000000001E-5</v>
      </c>
      <c r="H154" s="185">
        <f>IFERROR(IF($C154="",-0.00001,SUMIFS(Database!J:J,Database!$E:$E,$C154)),-0.00001)</f>
        <v>-1.0000000000000001E-5</v>
      </c>
      <c r="I154" s="185">
        <f>IFERROR(IF($C154="",-0.00001,SUMIFS(Database!K:K,Database!$E:$E,$C154)),-0.00001)</f>
        <v>-1.0000000000000001E-5</v>
      </c>
      <c r="J154" s="185">
        <f>IFERROR(IF($C154="",-0.00001,SUMIFS(Database!L:L,Database!$E:$E,$C154)),-0.00001)</f>
        <v>-1.0000000000000001E-5</v>
      </c>
      <c r="K154" s="185">
        <f>IFERROR(IF($C154="",-0.00001,SUMIFS(Database!M:M,Database!$E:$E,$C154)),-0.00001)</f>
        <v>-1.0000000000000001E-5</v>
      </c>
      <c r="L154" s="185">
        <f>IFERROR(IF($C154="",-0.00001,SUMIFS(Database!N:N,Database!$E:$E,$C154)),-0.00001)</f>
        <v>-1.0000000000000001E-5</v>
      </c>
      <c r="M154" s="185">
        <f>IFERROR(IF($C154="",-0.00001,SUMIFS(Database!O:O,Database!$E:$E,$C154)),-0.00001)</f>
        <v>-1.0000000000000001E-5</v>
      </c>
      <c r="N154" s="185">
        <f>IFERROR(IF($C154="",-0.00001,SUMIFS(Database!P:P,Database!$E:$E,$C154)),-0.00001)</f>
        <v>-1.0000000000000001E-5</v>
      </c>
      <c r="O154" s="185">
        <f>IFERROR(IF($C154="",-0.00001,SUMIFS(Database!Q:Q,Database!$E:$E,$C154)),-0.00001)</f>
        <v>-1.0000000000000001E-5</v>
      </c>
      <c r="P154" s="186">
        <f t="shared" si="6"/>
        <v>-1.0000000000000001E-5</v>
      </c>
      <c r="Q154" s="185">
        <f>IFERROR(IF($C154="",-0.00001,SUMIFS(Database!S:S,Database!$E:$E,$C154)),-0.00001)</f>
        <v>-1.0000000000000001E-5</v>
      </c>
      <c r="R154" s="185">
        <f>IFERROR(IF($C154="",-0.00001,SUMIFS(Database!T:T,Database!$E:$E,$C154)),-0.00001)</f>
        <v>-1.0000000000000001E-5</v>
      </c>
      <c r="S154" s="186">
        <f t="shared" si="7"/>
        <v>-1.0000000000000001E-5</v>
      </c>
      <c r="T154" s="185">
        <f>IFERROR(IF($C154="",-0.00001,SUMIFS(Database!V:V,Database!$E:$E,$C154)),-0.00001)</f>
        <v>-1.0000000000000001E-5</v>
      </c>
      <c r="U154" s="185">
        <f>IFERROR(IF($C154="",-0.00001,SUMIFS(Database!W:W,Database!$E:$E,$C154)),-0.00001)</f>
        <v>-1.0000000000000001E-5</v>
      </c>
      <c r="V154" s="186">
        <f t="shared" si="8"/>
        <v>-1.0000000000000001E-5</v>
      </c>
      <c r="W154" s="187"/>
      <c r="X154" s="187"/>
      <c r="Y154" s="187"/>
      <c r="Z154" s="187"/>
      <c r="AA154" s="187"/>
      <c r="AB154" s="187"/>
      <c r="AC154" s="187"/>
      <c r="AD154" s="187"/>
      <c r="AE154" s="187"/>
    </row>
    <row r="155" spans="1:31" x14ac:dyDescent="0.25">
      <c r="A155" s="187"/>
      <c r="B155" s="187" t="str">
        <f>IF($C155="","",MAX($B$4:$B154)+1)</f>
        <v/>
      </c>
      <c r="C155" s="183"/>
      <c r="D155" s="183"/>
      <c r="E155" s="185">
        <f>IF($C155="",-0.00001,COUNTIF(Database!E:E,$C155))</f>
        <v>-1.0000000000000001E-5</v>
      </c>
      <c r="F155" s="185">
        <f>IFERROR(IF($C155="",-0.00001,SUMIFS(Database!H:H,Database!$E:$E,$C155)),-0.00001)</f>
        <v>-1.0000000000000001E-5</v>
      </c>
      <c r="G155" s="185">
        <f>IFERROR(IF($C155="",-0.00001,SUMIFS(Database!I:I,Database!$E:$E,$C155)),-0.00001)</f>
        <v>-1.0000000000000001E-5</v>
      </c>
      <c r="H155" s="185">
        <f>IFERROR(IF($C155="",-0.00001,SUMIFS(Database!J:J,Database!$E:$E,$C155)),-0.00001)</f>
        <v>-1.0000000000000001E-5</v>
      </c>
      <c r="I155" s="185">
        <f>IFERROR(IF($C155="",-0.00001,SUMIFS(Database!K:K,Database!$E:$E,$C155)),-0.00001)</f>
        <v>-1.0000000000000001E-5</v>
      </c>
      <c r="J155" s="185">
        <f>IFERROR(IF($C155="",-0.00001,SUMIFS(Database!L:L,Database!$E:$E,$C155)),-0.00001)</f>
        <v>-1.0000000000000001E-5</v>
      </c>
      <c r="K155" s="185">
        <f>IFERROR(IF($C155="",-0.00001,SUMIFS(Database!M:M,Database!$E:$E,$C155)),-0.00001)</f>
        <v>-1.0000000000000001E-5</v>
      </c>
      <c r="L155" s="185">
        <f>IFERROR(IF($C155="",-0.00001,SUMIFS(Database!N:N,Database!$E:$E,$C155)),-0.00001)</f>
        <v>-1.0000000000000001E-5</v>
      </c>
      <c r="M155" s="185">
        <f>IFERROR(IF($C155="",-0.00001,SUMIFS(Database!O:O,Database!$E:$E,$C155)),-0.00001)</f>
        <v>-1.0000000000000001E-5</v>
      </c>
      <c r="N155" s="185">
        <f>IFERROR(IF($C155="",-0.00001,SUMIFS(Database!P:P,Database!$E:$E,$C155)),-0.00001)</f>
        <v>-1.0000000000000001E-5</v>
      </c>
      <c r="O155" s="185">
        <f>IFERROR(IF($C155="",-0.00001,SUMIFS(Database!Q:Q,Database!$E:$E,$C155)),-0.00001)</f>
        <v>-1.0000000000000001E-5</v>
      </c>
      <c r="P155" s="186">
        <f t="shared" si="6"/>
        <v>-1.0000000000000001E-5</v>
      </c>
      <c r="Q155" s="185">
        <f>IFERROR(IF($C155="",-0.00001,SUMIFS(Database!S:S,Database!$E:$E,$C155)),-0.00001)</f>
        <v>-1.0000000000000001E-5</v>
      </c>
      <c r="R155" s="185">
        <f>IFERROR(IF($C155="",-0.00001,SUMIFS(Database!T:T,Database!$E:$E,$C155)),-0.00001)</f>
        <v>-1.0000000000000001E-5</v>
      </c>
      <c r="S155" s="186">
        <f t="shared" si="7"/>
        <v>-1.0000000000000001E-5</v>
      </c>
      <c r="T155" s="185">
        <f>IFERROR(IF($C155="",-0.00001,SUMIFS(Database!V:V,Database!$E:$E,$C155)),-0.00001)</f>
        <v>-1.0000000000000001E-5</v>
      </c>
      <c r="U155" s="185">
        <f>IFERROR(IF($C155="",-0.00001,SUMIFS(Database!W:W,Database!$E:$E,$C155)),-0.00001)</f>
        <v>-1.0000000000000001E-5</v>
      </c>
      <c r="V155" s="186">
        <f t="shared" si="8"/>
        <v>-1.0000000000000001E-5</v>
      </c>
      <c r="W155" s="187"/>
      <c r="X155" s="187"/>
      <c r="Y155" s="187"/>
      <c r="Z155" s="187"/>
      <c r="AA155" s="187"/>
      <c r="AB155" s="187"/>
      <c r="AC155" s="187"/>
      <c r="AD155" s="187"/>
      <c r="AE155" s="187"/>
    </row>
    <row r="156" spans="1:31" x14ac:dyDescent="0.25">
      <c r="A156" s="187"/>
      <c r="B156" s="187" t="str">
        <f>IF($C156="","",MAX($B$4:$B155)+1)</f>
        <v/>
      </c>
      <c r="C156" s="183"/>
      <c r="D156" s="183"/>
      <c r="E156" s="185">
        <f>IF($C156="",-0.00001,COUNTIF(Database!E:E,$C156))</f>
        <v>-1.0000000000000001E-5</v>
      </c>
      <c r="F156" s="185">
        <f>IFERROR(IF($C156="",-0.00001,SUMIFS(Database!H:H,Database!$E:$E,$C156)),-0.00001)</f>
        <v>-1.0000000000000001E-5</v>
      </c>
      <c r="G156" s="185">
        <f>IFERROR(IF($C156="",-0.00001,SUMIFS(Database!I:I,Database!$E:$E,$C156)),-0.00001)</f>
        <v>-1.0000000000000001E-5</v>
      </c>
      <c r="H156" s="185">
        <f>IFERROR(IF($C156="",-0.00001,SUMIFS(Database!J:J,Database!$E:$E,$C156)),-0.00001)</f>
        <v>-1.0000000000000001E-5</v>
      </c>
      <c r="I156" s="185">
        <f>IFERROR(IF($C156="",-0.00001,SUMIFS(Database!K:K,Database!$E:$E,$C156)),-0.00001)</f>
        <v>-1.0000000000000001E-5</v>
      </c>
      <c r="J156" s="185">
        <f>IFERROR(IF($C156="",-0.00001,SUMIFS(Database!L:L,Database!$E:$E,$C156)),-0.00001)</f>
        <v>-1.0000000000000001E-5</v>
      </c>
      <c r="K156" s="185">
        <f>IFERROR(IF($C156="",-0.00001,SUMIFS(Database!M:M,Database!$E:$E,$C156)),-0.00001)</f>
        <v>-1.0000000000000001E-5</v>
      </c>
      <c r="L156" s="185">
        <f>IFERROR(IF($C156="",-0.00001,SUMIFS(Database!N:N,Database!$E:$E,$C156)),-0.00001)</f>
        <v>-1.0000000000000001E-5</v>
      </c>
      <c r="M156" s="185">
        <f>IFERROR(IF($C156="",-0.00001,SUMIFS(Database!O:O,Database!$E:$E,$C156)),-0.00001)</f>
        <v>-1.0000000000000001E-5</v>
      </c>
      <c r="N156" s="185">
        <f>IFERROR(IF($C156="",-0.00001,SUMIFS(Database!P:P,Database!$E:$E,$C156)),-0.00001)</f>
        <v>-1.0000000000000001E-5</v>
      </c>
      <c r="O156" s="185">
        <f>IFERROR(IF($C156="",-0.00001,SUMIFS(Database!Q:Q,Database!$E:$E,$C156)),-0.00001)</f>
        <v>-1.0000000000000001E-5</v>
      </c>
      <c r="P156" s="186">
        <f t="shared" si="6"/>
        <v>-1.0000000000000001E-5</v>
      </c>
      <c r="Q156" s="185">
        <f>IFERROR(IF($C156="",-0.00001,SUMIFS(Database!S:S,Database!$E:$E,$C156)),-0.00001)</f>
        <v>-1.0000000000000001E-5</v>
      </c>
      <c r="R156" s="185">
        <f>IFERROR(IF($C156="",-0.00001,SUMIFS(Database!T:T,Database!$E:$E,$C156)),-0.00001)</f>
        <v>-1.0000000000000001E-5</v>
      </c>
      <c r="S156" s="186">
        <f t="shared" si="7"/>
        <v>-1.0000000000000001E-5</v>
      </c>
      <c r="T156" s="185">
        <f>IFERROR(IF($C156="",-0.00001,SUMIFS(Database!V:V,Database!$E:$E,$C156)),-0.00001)</f>
        <v>-1.0000000000000001E-5</v>
      </c>
      <c r="U156" s="185">
        <f>IFERROR(IF($C156="",-0.00001,SUMIFS(Database!W:W,Database!$E:$E,$C156)),-0.00001)</f>
        <v>-1.0000000000000001E-5</v>
      </c>
      <c r="V156" s="186">
        <f t="shared" si="8"/>
        <v>-1.0000000000000001E-5</v>
      </c>
      <c r="W156" s="187"/>
      <c r="X156" s="187"/>
      <c r="Y156" s="187"/>
      <c r="Z156" s="187"/>
      <c r="AA156" s="187"/>
      <c r="AB156" s="187"/>
      <c r="AC156" s="187"/>
      <c r="AD156" s="187"/>
      <c r="AE156" s="187"/>
    </row>
    <row r="157" spans="1:31" x14ac:dyDescent="0.25">
      <c r="A157" s="187"/>
      <c r="B157" s="187" t="str">
        <f>IF($C157="","",MAX($B$4:$B156)+1)</f>
        <v/>
      </c>
      <c r="C157" s="183"/>
      <c r="D157" s="183"/>
      <c r="E157" s="185">
        <f>IF($C157="",-0.00001,COUNTIF(Database!E:E,$C157))</f>
        <v>-1.0000000000000001E-5</v>
      </c>
      <c r="F157" s="185">
        <f>IFERROR(IF($C157="",-0.00001,SUMIFS(Database!H:H,Database!$E:$E,$C157)),-0.00001)</f>
        <v>-1.0000000000000001E-5</v>
      </c>
      <c r="G157" s="185">
        <f>IFERROR(IF($C157="",-0.00001,SUMIFS(Database!I:I,Database!$E:$E,$C157)),-0.00001)</f>
        <v>-1.0000000000000001E-5</v>
      </c>
      <c r="H157" s="185">
        <f>IFERROR(IF($C157="",-0.00001,SUMIFS(Database!J:J,Database!$E:$E,$C157)),-0.00001)</f>
        <v>-1.0000000000000001E-5</v>
      </c>
      <c r="I157" s="185">
        <f>IFERROR(IF($C157="",-0.00001,SUMIFS(Database!K:K,Database!$E:$E,$C157)),-0.00001)</f>
        <v>-1.0000000000000001E-5</v>
      </c>
      <c r="J157" s="185">
        <f>IFERROR(IF($C157="",-0.00001,SUMIFS(Database!L:L,Database!$E:$E,$C157)),-0.00001)</f>
        <v>-1.0000000000000001E-5</v>
      </c>
      <c r="K157" s="185">
        <f>IFERROR(IF($C157="",-0.00001,SUMIFS(Database!M:M,Database!$E:$E,$C157)),-0.00001)</f>
        <v>-1.0000000000000001E-5</v>
      </c>
      <c r="L157" s="185">
        <f>IFERROR(IF($C157="",-0.00001,SUMIFS(Database!N:N,Database!$E:$E,$C157)),-0.00001)</f>
        <v>-1.0000000000000001E-5</v>
      </c>
      <c r="M157" s="185">
        <f>IFERROR(IF($C157="",-0.00001,SUMIFS(Database!O:O,Database!$E:$E,$C157)),-0.00001)</f>
        <v>-1.0000000000000001E-5</v>
      </c>
      <c r="N157" s="185">
        <f>IFERROR(IF($C157="",-0.00001,SUMIFS(Database!P:P,Database!$E:$E,$C157)),-0.00001)</f>
        <v>-1.0000000000000001E-5</v>
      </c>
      <c r="O157" s="185">
        <f>IFERROR(IF($C157="",-0.00001,SUMIFS(Database!Q:Q,Database!$E:$E,$C157)),-0.00001)</f>
        <v>-1.0000000000000001E-5</v>
      </c>
      <c r="P157" s="186">
        <f t="shared" si="6"/>
        <v>-1.0000000000000001E-5</v>
      </c>
      <c r="Q157" s="185">
        <f>IFERROR(IF($C157="",-0.00001,SUMIFS(Database!S:S,Database!$E:$E,$C157)),-0.00001)</f>
        <v>-1.0000000000000001E-5</v>
      </c>
      <c r="R157" s="185">
        <f>IFERROR(IF($C157="",-0.00001,SUMIFS(Database!T:T,Database!$E:$E,$C157)),-0.00001)</f>
        <v>-1.0000000000000001E-5</v>
      </c>
      <c r="S157" s="186">
        <f t="shared" si="7"/>
        <v>-1.0000000000000001E-5</v>
      </c>
      <c r="T157" s="185">
        <f>IFERROR(IF($C157="",-0.00001,SUMIFS(Database!V:V,Database!$E:$E,$C157)),-0.00001)</f>
        <v>-1.0000000000000001E-5</v>
      </c>
      <c r="U157" s="185">
        <f>IFERROR(IF($C157="",-0.00001,SUMIFS(Database!W:W,Database!$E:$E,$C157)),-0.00001)</f>
        <v>-1.0000000000000001E-5</v>
      </c>
      <c r="V157" s="186">
        <f t="shared" si="8"/>
        <v>-1.0000000000000001E-5</v>
      </c>
      <c r="W157" s="187"/>
      <c r="X157" s="187"/>
      <c r="Y157" s="187"/>
      <c r="Z157" s="187"/>
      <c r="AA157" s="187"/>
      <c r="AB157" s="187"/>
      <c r="AC157" s="187"/>
      <c r="AD157" s="187"/>
      <c r="AE157" s="187"/>
    </row>
    <row r="158" spans="1:31" x14ac:dyDescent="0.25">
      <c r="A158" s="187"/>
      <c r="B158" s="187" t="str">
        <f>IF($C158="","",MAX($B$4:$B157)+1)</f>
        <v/>
      </c>
      <c r="C158" s="183"/>
      <c r="D158" s="183"/>
      <c r="E158" s="185">
        <f>IF($C158="",-0.00001,COUNTIF(Database!E:E,$C158))</f>
        <v>-1.0000000000000001E-5</v>
      </c>
      <c r="F158" s="185">
        <f>IFERROR(IF($C158="",-0.00001,SUMIFS(Database!H:H,Database!$E:$E,$C158)),-0.00001)</f>
        <v>-1.0000000000000001E-5</v>
      </c>
      <c r="G158" s="185">
        <f>IFERROR(IF($C158="",-0.00001,SUMIFS(Database!I:I,Database!$E:$E,$C158)),-0.00001)</f>
        <v>-1.0000000000000001E-5</v>
      </c>
      <c r="H158" s="185">
        <f>IFERROR(IF($C158="",-0.00001,SUMIFS(Database!J:J,Database!$E:$E,$C158)),-0.00001)</f>
        <v>-1.0000000000000001E-5</v>
      </c>
      <c r="I158" s="185">
        <f>IFERROR(IF($C158="",-0.00001,SUMIFS(Database!K:K,Database!$E:$E,$C158)),-0.00001)</f>
        <v>-1.0000000000000001E-5</v>
      </c>
      <c r="J158" s="185">
        <f>IFERROR(IF($C158="",-0.00001,SUMIFS(Database!L:L,Database!$E:$E,$C158)),-0.00001)</f>
        <v>-1.0000000000000001E-5</v>
      </c>
      <c r="K158" s="185">
        <f>IFERROR(IF($C158="",-0.00001,SUMIFS(Database!M:M,Database!$E:$E,$C158)),-0.00001)</f>
        <v>-1.0000000000000001E-5</v>
      </c>
      <c r="L158" s="185">
        <f>IFERROR(IF($C158="",-0.00001,SUMIFS(Database!N:N,Database!$E:$E,$C158)),-0.00001)</f>
        <v>-1.0000000000000001E-5</v>
      </c>
      <c r="M158" s="185">
        <f>IFERROR(IF($C158="",-0.00001,SUMIFS(Database!O:O,Database!$E:$E,$C158)),-0.00001)</f>
        <v>-1.0000000000000001E-5</v>
      </c>
      <c r="N158" s="185">
        <f>IFERROR(IF($C158="",-0.00001,SUMIFS(Database!P:P,Database!$E:$E,$C158)),-0.00001)</f>
        <v>-1.0000000000000001E-5</v>
      </c>
      <c r="O158" s="185">
        <f>IFERROR(IF($C158="",-0.00001,SUMIFS(Database!Q:Q,Database!$E:$E,$C158)),-0.00001)</f>
        <v>-1.0000000000000001E-5</v>
      </c>
      <c r="P158" s="186">
        <f t="shared" si="6"/>
        <v>-1.0000000000000001E-5</v>
      </c>
      <c r="Q158" s="185">
        <f>IFERROR(IF($C158="",-0.00001,SUMIFS(Database!S:S,Database!$E:$E,$C158)),-0.00001)</f>
        <v>-1.0000000000000001E-5</v>
      </c>
      <c r="R158" s="185">
        <f>IFERROR(IF($C158="",-0.00001,SUMIFS(Database!T:T,Database!$E:$E,$C158)),-0.00001)</f>
        <v>-1.0000000000000001E-5</v>
      </c>
      <c r="S158" s="186">
        <f t="shared" si="7"/>
        <v>-1.0000000000000001E-5</v>
      </c>
      <c r="T158" s="185">
        <f>IFERROR(IF($C158="",-0.00001,SUMIFS(Database!V:V,Database!$E:$E,$C158)),-0.00001)</f>
        <v>-1.0000000000000001E-5</v>
      </c>
      <c r="U158" s="185">
        <f>IFERROR(IF($C158="",-0.00001,SUMIFS(Database!W:W,Database!$E:$E,$C158)),-0.00001)</f>
        <v>-1.0000000000000001E-5</v>
      </c>
      <c r="V158" s="186">
        <f t="shared" si="8"/>
        <v>-1.0000000000000001E-5</v>
      </c>
      <c r="W158" s="187"/>
      <c r="X158" s="187"/>
      <c r="Y158" s="187"/>
      <c r="Z158" s="187"/>
      <c r="AA158" s="187"/>
      <c r="AB158" s="187"/>
      <c r="AC158" s="187"/>
      <c r="AD158" s="187"/>
      <c r="AE158" s="187"/>
    </row>
    <row r="159" spans="1:31" x14ac:dyDescent="0.25">
      <c r="A159" s="187"/>
      <c r="B159" s="187" t="str">
        <f>IF($C159="","",MAX($B$4:$B158)+1)</f>
        <v/>
      </c>
      <c r="C159" s="183"/>
      <c r="D159" s="183"/>
      <c r="E159" s="185">
        <f>IF($C159="",-0.00001,COUNTIF(Database!E:E,$C159))</f>
        <v>-1.0000000000000001E-5</v>
      </c>
      <c r="F159" s="185">
        <f>IFERROR(IF($C159="",-0.00001,SUMIFS(Database!H:H,Database!$E:$E,$C159)),-0.00001)</f>
        <v>-1.0000000000000001E-5</v>
      </c>
      <c r="G159" s="185">
        <f>IFERROR(IF($C159="",-0.00001,SUMIFS(Database!I:I,Database!$E:$E,$C159)),-0.00001)</f>
        <v>-1.0000000000000001E-5</v>
      </c>
      <c r="H159" s="185">
        <f>IFERROR(IF($C159="",-0.00001,SUMIFS(Database!J:J,Database!$E:$E,$C159)),-0.00001)</f>
        <v>-1.0000000000000001E-5</v>
      </c>
      <c r="I159" s="185">
        <f>IFERROR(IF($C159="",-0.00001,SUMIFS(Database!K:K,Database!$E:$E,$C159)),-0.00001)</f>
        <v>-1.0000000000000001E-5</v>
      </c>
      <c r="J159" s="185">
        <f>IFERROR(IF($C159="",-0.00001,SUMIFS(Database!L:L,Database!$E:$E,$C159)),-0.00001)</f>
        <v>-1.0000000000000001E-5</v>
      </c>
      <c r="K159" s="185">
        <f>IFERROR(IF($C159="",-0.00001,SUMIFS(Database!M:M,Database!$E:$E,$C159)),-0.00001)</f>
        <v>-1.0000000000000001E-5</v>
      </c>
      <c r="L159" s="185">
        <f>IFERROR(IF($C159="",-0.00001,SUMIFS(Database!N:N,Database!$E:$E,$C159)),-0.00001)</f>
        <v>-1.0000000000000001E-5</v>
      </c>
      <c r="M159" s="185">
        <f>IFERROR(IF($C159="",-0.00001,SUMIFS(Database!O:O,Database!$E:$E,$C159)),-0.00001)</f>
        <v>-1.0000000000000001E-5</v>
      </c>
      <c r="N159" s="185">
        <f>IFERROR(IF($C159="",-0.00001,SUMIFS(Database!P:P,Database!$E:$E,$C159)),-0.00001)</f>
        <v>-1.0000000000000001E-5</v>
      </c>
      <c r="O159" s="185">
        <f>IFERROR(IF($C159="",-0.00001,SUMIFS(Database!Q:Q,Database!$E:$E,$C159)),-0.00001)</f>
        <v>-1.0000000000000001E-5</v>
      </c>
      <c r="P159" s="186">
        <f t="shared" si="6"/>
        <v>-1.0000000000000001E-5</v>
      </c>
      <c r="Q159" s="185">
        <f>IFERROR(IF($C159="",-0.00001,SUMIFS(Database!S:S,Database!$E:$E,$C159)),-0.00001)</f>
        <v>-1.0000000000000001E-5</v>
      </c>
      <c r="R159" s="185">
        <f>IFERROR(IF($C159="",-0.00001,SUMIFS(Database!T:T,Database!$E:$E,$C159)),-0.00001)</f>
        <v>-1.0000000000000001E-5</v>
      </c>
      <c r="S159" s="186">
        <f t="shared" si="7"/>
        <v>-1.0000000000000001E-5</v>
      </c>
      <c r="T159" s="185">
        <f>IFERROR(IF($C159="",-0.00001,SUMIFS(Database!V:V,Database!$E:$E,$C159)),-0.00001)</f>
        <v>-1.0000000000000001E-5</v>
      </c>
      <c r="U159" s="185">
        <f>IFERROR(IF($C159="",-0.00001,SUMIFS(Database!W:W,Database!$E:$E,$C159)),-0.00001)</f>
        <v>-1.0000000000000001E-5</v>
      </c>
      <c r="V159" s="186">
        <f t="shared" si="8"/>
        <v>-1.0000000000000001E-5</v>
      </c>
      <c r="W159" s="187"/>
      <c r="X159" s="187"/>
      <c r="Y159" s="187"/>
      <c r="Z159" s="187"/>
      <c r="AA159" s="187"/>
      <c r="AB159" s="187"/>
      <c r="AC159" s="187"/>
      <c r="AD159" s="187"/>
      <c r="AE159" s="187"/>
    </row>
    <row r="160" spans="1:31" x14ac:dyDescent="0.25">
      <c r="A160" s="187"/>
      <c r="B160" s="187" t="str">
        <f>IF($C160="","",MAX($B$4:$B159)+1)</f>
        <v/>
      </c>
      <c r="C160" s="183"/>
      <c r="D160" s="183"/>
      <c r="E160" s="185">
        <f>IF($C160="",-0.00001,COUNTIF(Database!E:E,$C160))</f>
        <v>-1.0000000000000001E-5</v>
      </c>
      <c r="F160" s="185">
        <f>IFERROR(IF($C160="",-0.00001,SUMIFS(Database!H:H,Database!$E:$E,$C160)),-0.00001)</f>
        <v>-1.0000000000000001E-5</v>
      </c>
      <c r="G160" s="185">
        <f>IFERROR(IF($C160="",-0.00001,SUMIFS(Database!I:I,Database!$E:$E,$C160)),-0.00001)</f>
        <v>-1.0000000000000001E-5</v>
      </c>
      <c r="H160" s="185">
        <f>IFERROR(IF($C160="",-0.00001,SUMIFS(Database!J:J,Database!$E:$E,$C160)),-0.00001)</f>
        <v>-1.0000000000000001E-5</v>
      </c>
      <c r="I160" s="185">
        <f>IFERROR(IF($C160="",-0.00001,SUMIFS(Database!K:K,Database!$E:$E,$C160)),-0.00001)</f>
        <v>-1.0000000000000001E-5</v>
      </c>
      <c r="J160" s="185">
        <f>IFERROR(IF($C160="",-0.00001,SUMIFS(Database!L:L,Database!$E:$E,$C160)),-0.00001)</f>
        <v>-1.0000000000000001E-5</v>
      </c>
      <c r="K160" s="185">
        <f>IFERROR(IF($C160="",-0.00001,SUMIFS(Database!M:M,Database!$E:$E,$C160)),-0.00001)</f>
        <v>-1.0000000000000001E-5</v>
      </c>
      <c r="L160" s="185">
        <f>IFERROR(IF($C160="",-0.00001,SUMIFS(Database!N:N,Database!$E:$E,$C160)),-0.00001)</f>
        <v>-1.0000000000000001E-5</v>
      </c>
      <c r="M160" s="185">
        <f>IFERROR(IF($C160="",-0.00001,SUMIFS(Database!O:O,Database!$E:$E,$C160)),-0.00001)</f>
        <v>-1.0000000000000001E-5</v>
      </c>
      <c r="N160" s="185">
        <f>IFERROR(IF($C160="",-0.00001,SUMIFS(Database!P:P,Database!$E:$E,$C160)),-0.00001)</f>
        <v>-1.0000000000000001E-5</v>
      </c>
      <c r="O160" s="185">
        <f>IFERROR(IF($C160="",-0.00001,SUMIFS(Database!Q:Q,Database!$E:$E,$C160)),-0.00001)</f>
        <v>-1.0000000000000001E-5</v>
      </c>
      <c r="P160" s="186">
        <f t="shared" si="6"/>
        <v>-1.0000000000000001E-5</v>
      </c>
      <c r="Q160" s="185">
        <f>IFERROR(IF($C160="",-0.00001,SUMIFS(Database!S:S,Database!$E:$E,$C160)),-0.00001)</f>
        <v>-1.0000000000000001E-5</v>
      </c>
      <c r="R160" s="185">
        <f>IFERROR(IF($C160="",-0.00001,SUMIFS(Database!T:T,Database!$E:$E,$C160)),-0.00001)</f>
        <v>-1.0000000000000001E-5</v>
      </c>
      <c r="S160" s="186">
        <f t="shared" si="7"/>
        <v>-1.0000000000000001E-5</v>
      </c>
      <c r="T160" s="185">
        <f>IFERROR(IF($C160="",-0.00001,SUMIFS(Database!V:V,Database!$E:$E,$C160)),-0.00001)</f>
        <v>-1.0000000000000001E-5</v>
      </c>
      <c r="U160" s="185">
        <f>IFERROR(IF($C160="",-0.00001,SUMIFS(Database!W:W,Database!$E:$E,$C160)),-0.00001)</f>
        <v>-1.0000000000000001E-5</v>
      </c>
      <c r="V160" s="186">
        <f t="shared" si="8"/>
        <v>-1.0000000000000001E-5</v>
      </c>
      <c r="W160" s="187"/>
      <c r="X160" s="187"/>
      <c r="Y160" s="187"/>
      <c r="Z160" s="187"/>
      <c r="AA160" s="187"/>
      <c r="AB160" s="187"/>
      <c r="AC160" s="187"/>
      <c r="AD160" s="187"/>
      <c r="AE160" s="187"/>
    </row>
    <row r="161" spans="1:31" x14ac:dyDescent="0.25">
      <c r="A161" s="187"/>
      <c r="B161" s="187" t="str">
        <f>IF($C161="","",MAX($B$4:$B160)+1)</f>
        <v/>
      </c>
      <c r="C161" s="183"/>
      <c r="D161" s="183"/>
      <c r="E161" s="185">
        <f>IF($C161="",-0.00001,COUNTIF(Database!E:E,$C161))</f>
        <v>-1.0000000000000001E-5</v>
      </c>
      <c r="F161" s="185">
        <f>IFERROR(IF($C161="",-0.00001,SUMIFS(Database!H:H,Database!$E:$E,$C161)),-0.00001)</f>
        <v>-1.0000000000000001E-5</v>
      </c>
      <c r="G161" s="185">
        <f>IFERROR(IF($C161="",-0.00001,SUMIFS(Database!I:I,Database!$E:$E,$C161)),-0.00001)</f>
        <v>-1.0000000000000001E-5</v>
      </c>
      <c r="H161" s="185">
        <f>IFERROR(IF($C161="",-0.00001,SUMIFS(Database!J:J,Database!$E:$E,$C161)),-0.00001)</f>
        <v>-1.0000000000000001E-5</v>
      </c>
      <c r="I161" s="185">
        <f>IFERROR(IF($C161="",-0.00001,SUMIFS(Database!K:K,Database!$E:$E,$C161)),-0.00001)</f>
        <v>-1.0000000000000001E-5</v>
      </c>
      <c r="J161" s="185">
        <f>IFERROR(IF($C161="",-0.00001,SUMIFS(Database!L:L,Database!$E:$E,$C161)),-0.00001)</f>
        <v>-1.0000000000000001E-5</v>
      </c>
      <c r="K161" s="185">
        <f>IFERROR(IF($C161="",-0.00001,SUMIFS(Database!M:M,Database!$E:$E,$C161)),-0.00001)</f>
        <v>-1.0000000000000001E-5</v>
      </c>
      <c r="L161" s="185">
        <f>IFERROR(IF($C161="",-0.00001,SUMIFS(Database!N:N,Database!$E:$E,$C161)),-0.00001)</f>
        <v>-1.0000000000000001E-5</v>
      </c>
      <c r="M161" s="185">
        <f>IFERROR(IF($C161="",-0.00001,SUMIFS(Database!O:O,Database!$E:$E,$C161)),-0.00001)</f>
        <v>-1.0000000000000001E-5</v>
      </c>
      <c r="N161" s="185">
        <f>IFERROR(IF($C161="",-0.00001,SUMIFS(Database!P:P,Database!$E:$E,$C161)),-0.00001)</f>
        <v>-1.0000000000000001E-5</v>
      </c>
      <c r="O161" s="185">
        <f>IFERROR(IF($C161="",-0.00001,SUMIFS(Database!Q:Q,Database!$E:$E,$C161)),-0.00001)</f>
        <v>-1.0000000000000001E-5</v>
      </c>
      <c r="P161" s="186">
        <f t="shared" si="6"/>
        <v>-1.0000000000000001E-5</v>
      </c>
      <c r="Q161" s="185">
        <f>IFERROR(IF($C161="",-0.00001,SUMIFS(Database!S:S,Database!$E:$E,$C161)),-0.00001)</f>
        <v>-1.0000000000000001E-5</v>
      </c>
      <c r="R161" s="185">
        <f>IFERROR(IF($C161="",-0.00001,SUMIFS(Database!T:T,Database!$E:$E,$C161)),-0.00001)</f>
        <v>-1.0000000000000001E-5</v>
      </c>
      <c r="S161" s="186">
        <f t="shared" si="7"/>
        <v>-1.0000000000000001E-5</v>
      </c>
      <c r="T161" s="185">
        <f>IFERROR(IF($C161="",-0.00001,SUMIFS(Database!V:V,Database!$E:$E,$C161)),-0.00001)</f>
        <v>-1.0000000000000001E-5</v>
      </c>
      <c r="U161" s="185">
        <f>IFERROR(IF($C161="",-0.00001,SUMIFS(Database!W:W,Database!$E:$E,$C161)),-0.00001)</f>
        <v>-1.0000000000000001E-5</v>
      </c>
      <c r="V161" s="186">
        <f t="shared" si="8"/>
        <v>-1.0000000000000001E-5</v>
      </c>
      <c r="W161" s="187"/>
      <c r="X161" s="187"/>
      <c r="Y161" s="187"/>
      <c r="Z161" s="187"/>
      <c r="AA161" s="187"/>
      <c r="AB161" s="187"/>
      <c r="AC161" s="187"/>
      <c r="AD161" s="187"/>
      <c r="AE161" s="187"/>
    </row>
    <row r="162" spans="1:31" x14ac:dyDescent="0.25">
      <c r="A162" s="187"/>
      <c r="B162" s="187" t="str">
        <f>IF($C162="","",MAX($B$4:$B161)+1)</f>
        <v/>
      </c>
      <c r="C162" s="183"/>
      <c r="D162" s="183"/>
      <c r="E162" s="185">
        <f>IF($C162="",-0.00001,COUNTIF(Database!E:E,$C162))</f>
        <v>-1.0000000000000001E-5</v>
      </c>
      <c r="F162" s="185">
        <f>IFERROR(IF($C162="",-0.00001,SUMIFS(Database!H:H,Database!$E:$E,$C162)),-0.00001)</f>
        <v>-1.0000000000000001E-5</v>
      </c>
      <c r="G162" s="185">
        <f>IFERROR(IF($C162="",-0.00001,SUMIFS(Database!I:I,Database!$E:$E,$C162)),-0.00001)</f>
        <v>-1.0000000000000001E-5</v>
      </c>
      <c r="H162" s="185">
        <f>IFERROR(IF($C162="",-0.00001,SUMIFS(Database!J:J,Database!$E:$E,$C162)),-0.00001)</f>
        <v>-1.0000000000000001E-5</v>
      </c>
      <c r="I162" s="185">
        <f>IFERROR(IF($C162="",-0.00001,SUMIFS(Database!K:K,Database!$E:$E,$C162)),-0.00001)</f>
        <v>-1.0000000000000001E-5</v>
      </c>
      <c r="J162" s="185">
        <f>IFERROR(IF($C162="",-0.00001,SUMIFS(Database!L:L,Database!$E:$E,$C162)),-0.00001)</f>
        <v>-1.0000000000000001E-5</v>
      </c>
      <c r="K162" s="185">
        <f>IFERROR(IF($C162="",-0.00001,SUMIFS(Database!M:M,Database!$E:$E,$C162)),-0.00001)</f>
        <v>-1.0000000000000001E-5</v>
      </c>
      <c r="L162" s="185">
        <f>IFERROR(IF($C162="",-0.00001,SUMIFS(Database!N:N,Database!$E:$E,$C162)),-0.00001)</f>
        <v>-1.0000000000000001E-5</v>
      </c>
      <c r="M162" s="185">
        <f>IFERROR(IF($C162="",-0.00001,SUMIFS(Database!O:O,Database!$E:$E,$C162)),-0.00001)</f>
        <v>-1.0000000000000001E-5</v>
      </c>
      <c r="N162" s="185">
        <f>IFERROR(IF($C162="",-0.00001,SUMIFS(Database!P:P,Database!$E:$E,$C162)),-0.00001)</f>
        <v>-1.0000000000000001E-5</v>
      </c>
      <c r="O162" s="185">
        <f>IFERROR(IF($C162="",-0.00001,SUMIFS(Database!Q:Q,Database!$E:$E,$C162)),-0.00001)</f>
        <v>-1.0000000000000001E-5</v>
      </c>
      <c r="P162" s="186">
        <f t="shared" si="6"/>
        <v>-1.0000000000000001E-5</v>
      </c>
      <c r="Q162" s="185">
        <f>IFERROR(IF($C162="",-0.00001,SUMIFS(Database!S:S,Database!$E:$E,$C162)),-0.00001)</f>
        <v>-1.0000000000000001E-5</v>
      </c>
      <c r="R162" s="185">
        <f>IFERROR(IF($C162="",-0.00001,SUMIFS(Database!T:T,Database!$E:$E,$C162)),-0.00001)</f>
        <v>-1.0000000000000001E-5</v>
      </c>
      <c r="S162" s="186">
        <f t="shared" si="7"/>
        <v>-1.0000000000000001E-5</v>
      </c>
      <c r="T162" s="185">
        <f>IFERROR(IF($C162="",-0.00001,SUMIFS(Database!V:V,Database!$E:$E,$C162)),-0.00001)</f>
        <v>-1.0000000000000001E-5</v>
      </c>
      <c r="U162" s="185">
        <f>IFERROR(IF($C162="",-0.00001,SUMIFS(Database!W:W,Database!$E:$E,$C162)),-0.00001)</f>
        <v>-1.0000000000000001E-5</v>
      </c>
      <c r="V162" s="186">
        <f t="shared" si="8"/>
        <v>-1.0000000000000001E-5</v>
      </c>
      <c r="W162" s="187"/>
      <c r="X162" s="187"/>
      <c r="Y162" s="187"/>
      <c r="Z162" s="187"/>
      <c r="AA162" s="187"/>
      <c r="AB162" s="187"/>
      <c r="AC162" s="187"/>
      <c r="AD162" s="187"/>
      <c r="AE162" s="187"/>
    </row>
    <row r="163" spans="1:31" x14ac:dyDescent="0.25">
      <c r="A163" s="187"/>
      <c r="B163" s="187" t="str">
        <f>IF($C163="","",MAX($B$4:$B162)+1)</f>
        <v/>
      </c>
      <c r="C163" s="183"/>
      <c r="D163" s="183"/>
      <c r="E163" s="185">
        <f>IF($C163="",-0.00001,COUNTIF(Database!E:E,$C163))</f>
        <v>-1.0000000000000001E-5</v>
      </c>
      <c r="F163" s="185">
        <f>IFERROR(IF($C163="",-0.00001,SUMIFS(Database!H:H,Database!$E:$E,$C163)),-0.00001)</f>
        <v>-1.0000000000000001E-5</v>
      </c>
      <c r="G163" s="185">
        <f>IFERROR(IF($C163="",-0.00001,SUMIFS(Database!I:I,Database!$E:$E,$C163)),-0.00001)</f>
        <v>-1.0000000000000001E-5</v>
      </c>
      <c r="H163" s="185">
        <f>IFERROR(IF($C163="",-0.00001,SUMIFS(Database!J:J,Database!$E:$E,$C163)),-0.00001)</f>
        <v>-1.0000000000000001E-5</v>
      </c>
      <c r="I163" s="185">
        <f>IFERROR(IF($C163="",-0.00001,SUMIFS(Database!K:K,Database!$E:$E,$C163)),-0.00001)</f>
        <v>-1.0000000000000001E-5</v>
      </c>
      <c r="J163" s="185">
        <f>IFERROR(IF($C163="",-0.00001,SUMIFS(Database!L:L,Database!$E:$E,$C163)),-0.00001)</f>
        <v>-1.0000000000000001E-5</v>
      </c>
      <c r="K163" s="185">
        <f>IFERROR(IF($C163="",-0.00001,SUMIFS(Database!M:M,Database!$E:$E,$C163)),-0.00001)</f>
        <v>-1.0000000000000001E-5</v>
      </c>
      <c r="L163" s="185">
        <f>IFERROR(IF($C163="",-0.00001,SUMIFS(Database!N:N,Database!$E:$E,$C163)),-0.00001)</f>
        <v>-1.0000000000000001E-5</v>
      </c>
      <c r="M163" s="185">
        <f>IFERROR(IF($C163="",-0.00001,SUMIFS(Database!O:O,Database!$E:$E,$C163)),-0.00001)</f>
        <v>-1.0000000000000001E-5</v>
      </c>
      <c r="N163" s="185">
        <f>IFERROR(IF($C163="",-0.00001,SUMIFS(Database!P:P,Database!$E:$E,$C163)),-0.00001)</f>
        <v>-1.0000000000000001E-5</v>
      </c>
      <c r="O163" s="185">
        <f>IFERROR(IF($C163="",-0.00001,SUMIFS(Database!Q:Q,Database!$E:$E,$C163)),-0.00001)</f>
        <v>-1.0000000000000001E-5</v>
      </c>
      <c r="P163" s="186">
        <f t="shared" si="6"/>
        <v>-1.0000000000000001E-5</v>
      </c>
      <c r="Q163" s="185">
        <f>IFERROR(IF($C163="",-0.00001,SUMIFS(Database!S:S,Database!$E:$E,$C163)),-0.00001)</f>
        <v>-1.0000000000000001E-5</v>
      </c>
      <c r="R163" s="185">
        <f>IFERROR(IF($C163="",-0.00001,SUMIFS(Database!T:T,Database!$E:$E,$C163)),-0.00001)</f>
        <v>-1.0000000000000001E-5</v>
      </c>
      <c r="S163" s="186">
        <f t="shared" si="7"/>
        <v>-1.0000000000000001E-5</v>
      </c>
      <c r="T163" s="185">
        <f>IFERROR(IF($C163="",-0.00001,SUMIFS(Database!V:V,Database!$E:$E,$C163)),-0.00001)</f>
        <v>-1.0000000000000001E-5</v>
      </c>
      <c r="U163" s="185">
        <f>IFERROR(IF($C163="",-0.00001,SUMIFS(Database!W:W,Database!$E:$E,$C163)),-0.00001)</f>
        <v>-1.0000000000000001E-5</v>
      </c>
      <c r="V163" s="186">
        <f t="shared" si="8"/>
        <v>-1.0000000000000001E-5</v>
      </c>
      <c r="W163" s="187"/>
      <c r="X163" s="187"/>
      <c r="Y163" s="187"/>
      <c r="Z163" s="187"/>
      <c r="AA163" s="187"/>
      <c r="AB163" s="187"/>
      <c r="AC163" s="187"/>
      <c r="AD163" s="187"/>
      <c r="AE163" s="187"/>
    </row>
    <row r="164" spans="1:31" x14ac:dyDescent="0.25">
      <c r="A164" s="187"/>
      <c r="B164" s="187" t="str">
        <f>IF($C164="","",MAX($B$4:$B163)+1)</f>
        <v/>
      </c>
      <c r="C164" s="183"/>
      <c r="D164" s="183"/>
      <c r="E164" s="185">
        <f>IF($C164="",-0.00001,COUNTIF(Database!E:E,$C164))</f>
        <v>-1.0000000000000001E-5</v>
      </c>
      <c r="F164" s="185">
        <f>IFERROR(IF($C164="",-0.00001,SUMIFS(Database!H:H,Database!$E:$E,$C164)),-0.00001)</f>
        <v>-1.0000000000000001E-5</v>
      </c>
      <c r="G164" s="185">
        <f>IFERROR(IF($C164="",-0.00001,SUMIFS(Database!I:I,Database!$E:$E,$C164)),-0.00001)</f>
        <v>-1.0000000000000001E-5</v>
      </c>
      <c r="H164" s="185">
        <f>IFERROR(IF($C164="",-0.00001,SUMIFS(Database!J:J,Database!$E:$E,$C164)),-0.00001)</f>
        <v>-1.0000000000000001E-5</v>
      </c>
      <c r="I164" s="185">
        <f>IFERROR(IF($C164="",-0.00001,SUMIFS(Database!K:K,Database!$E:$E,$C164)),-0.00001)</f>
        <v>-1.0000000000000001E-5</v>
      </c>
      <c r="J164" s="185">
        <f>IFERROR(IF($C164="",-0.00001,SUMIFS(Database!L:L,Database!$E:$E,$C164)),-0.00001)</f>
        <v>-1.0000000000000001E-5</v>
      </c>
      <c r="K164" s="185">
        <f>IFERROR(IF($C164="",-0.00001,SUMIFS(Database!M:M,Database!$E:$E,$C164)),-0.00001)</f>
        <v>-1.0000000000000001E-5</v>
      </c>
      <c r="L164" s="185">
        <f>IFERROR(IF($C164="",-0.00001,SUMIFS(Database!N:N,Database!$E:$E,$C164)),-0.00001)</f>
        <v>-1.0000000000000001E-5</v>
      </c>
      <c r="M164" s="185">
        <f>IFERROR(IF($C164="",-0.00001,SUMIFS(Database!O:O,Database!$E:$E,$C164)),-0.00001)</f>
        <v>-1.0000000000000001E-5</v>
      </c>
      <c r="N164" s="185">
        <f>IFERROR(IF($C164="",-0.00001,SUMIFS(Database!P:P,Database!$E:$E,$C164)),-0.00001)</f>
        <v>-1.0000000000000001E-5</v>
      </c>
      <c r="O164" s="185">
        <f>IFERROR(IF($C164="",-0.00001,SUMIFS(Database!Q:Q,Database!$E:$E,$C164)),-0.00001)</f>
        <v>-1.0000000000000001E-5</v>
      </c>
      <c r="P164" s="186">
        <f t="shared" si="6"/>
        <v>-1.0000000000000001E-5</v>
      </c>
      <c r="Q164" s="185">
        <f>IFERROR(IF($C164="",-0.00001,SUMIFS(Database!S:S,Database!$E:$E,$C164)),-0.00001)</f>
        <v>-1.0000000000000001E-5</v>
      </c>
      <c r="R164" s="185">
        <f>IFERROR(IF($C164="",-0.00001,SUMIFS(Database!T:T,Database!$E:$E,$C164)),-0.00001)</f>
        <v>-1.0000000000000001E-5</v>
      </c>
      <c r="S164" s="186">
        <f t="shared" si="7"/>
        <v>-1.0000000000000001E-5</v>
      </c>
      <c r="T164" s="185">
        <f>IFERROR(IF($C164="",-0.00001,SUMIFS(Database!V:V,Database!$E:$E,$C164)),-0.00001)</f>
        <v>-1.0000000000000001E-5</v>
      </c>
      <c r="U164" s="185">
        <f>IFERROR(IF($C164="",-0.00001,SUMIFS(Database!W:W,Database!$E:$E,$C164)),-0.00001)</f>
        <v>-1.0000000000000001E-5</v>
      </c>
      <c r="V164" s="186">
        <f t="shared" si="8"/>
        <v>-1.0000000000000001E-5</v>
      </c>
      <c r="W164" s="187"/>
      <c r="X164" s="187"/>
      <c r="Y164" s="187"/>
      <c r="Z164" s="187"/>
      <c r="AA164" s="187"/>
      <c r="AB164" s="187"/>
      <c r="AC164" s="187"/>
      <c r="AD164" s="187"/>
      <c r="AE164" s="187"/>
    </row>
    <row r="165" spans="1:31" x14ac:dyDescent="0.25">
      <c r="A165" s="187"/>
      <c r="B165" s="187" t="str">
        <f>IF($C165="","",MAX($B$4:$B164)+1)</f>
        <v/>
      </c>
      <c r="C165" s="183"/>
      <c r="D165" s="183"/>
      <c r="E165" s="185">
        <f>IF($C165="",-0.00001,COUNTIF(Database!E:E,$C165))</f>
        <v>-1.0000000000000001E-5</v>
      </c>
      <c r="F165" s="185">
        <f>IFERROR(IF($C165="",-0.00001,SUMIFS(Database!H:H,Database!$E:$E,$C165)),-0.00001)</f>
        <v>-1.0000000000000001E-5</v>
      </c>
      <c r="G165" s="185">
        <f>IFERROR(IF($C165="",-0.00001,SUMIFS(Database!I:I,Database!$E:$E,$C165)),-0.00001)</f>
        <v>-1.0000000000000001E-5</v>
      </c>
      <c r="H165" s="185">
        <f>IFERROR(IF($C165="",-0.00001,SUMIFS(Database!J:J,Database!$E:$E,$C165)),-0.00001)</f>
        <v>-1.0000000000000001E-5</v>
      </c>
      <c r="I165" s="185">
        <f>IFERROR(IF($C165="",-0.00001,SUMIFS(Database!K:K,Database!$E:$E,$C165)),-0.00001)</f>
        <v>-1.0000000000000001E-5</v>
      </c>
      <c r="J165" s="185">
        <f>IFERROR(IF($C165="",-0.00001,SUMIFS(Database!L:L,Database!$E:$E,$C165)),-0.00001)</f>
        <v>-1.0000000000000001E-5</v>
      </c>
      <c r="K165" s="185">
        <f>IFERROR(IF($C165="",-0.00001,SUMIFS(Database!M:M,Database!$E:$E,$C165)),-0.00001)</f>
        <v>-1.0000000000000001E-5</v>
      </c>
      <c r="L165" s="185">
        <f>IFERROR(IF($C165="",-0.00001,SUMIFS(Database!N:N,Database!$E:$E,$C165)),-0.00001)</f>
        <v>-1.0000000000000001E-5</v>
      </c>
      <c r="M165" s="185">
        <f>IFERROR(IF($C165="",-0.00001,SUMIFS(Database!O:O,Database!$E:$E,$C165)),-0.00001)</f>
        <v>-1.0000000000000001E-5</v>
      </c>
      <c r="N165" s="185">
        <f>IFERROR(IF($C165="",-0.00001,SUMIFS(Database!P:P,Database!$E:$E,$C165)),-0.00001)</f>
        <v>-1.0000000000000001E-5</v>
      </c>
      <c r="O165" s="185">
        <f>IFERROR(IF($C165="",-0.00001,SUMIFS(Database!Q:Q,Database!$E:$E,$C165)),-0.00001)</f>
        <v>-1.0000000000000001E-5</v>
      </c>
      <c r="P165" s="186">
        <f t="shared" si="6"/>
        <v>-1.0000000000000001E-5</v>
      </c>
      <c r="Q165" s="185">
        <f>IFERROR(IF($C165="",-0.00001,SUMIFS(Database!S:S,Database!$E:$E,$C165)),-0.00001)</f>
        <v>-1.0000000000000001E-5</v>
      </c>
      <c r="R165" s="185">
        <f>IFERROR(IF($C165="",-0.00001,SUMIFS(Database!T:T,Database!$E:$E,$C165)),-0.00001)</f>
        <v>-1.0000000000000001E-5</v>
      </c>
      <c r="S165" s="186">
        <f t="shared" si="7"/>
        <v>-1.0000000000000001E-5</v>
      </c>
      <c r="T165" s="185">
        <f>IFERROR(IF($C165="",-0.00001,SUMIFS(Database!V:V,Database!$E:$E,$C165)),-0.00001)</f>
        <v>-1.0000000000000001E-5</v>
      </c>
      <c r="U165" s="185">
        <f>IFERROR(IF($C165="",-0.00001,SUMIFS(Database!W:W,Database!$E:$E,$C165)),-0.00001)</f>
        <v>-1.0000000000000001E-5</v>
      </c>
      <c r="V165" s="186">
        <f t="shared" si="8"/>
        <v>-1.0000000000000001E-5</v>
      </c>
      <c r="W165" s="187"/>
      <c r="X165" s="187"/>
      <c r="Y165" s="187"/>
      <c r="Z165" s="187"/>
      <c r="AA165" s="187"/>
      <c r="AB165" s="187"/>
      <c r="AC165" s="187"/>
      <c r="AD165" s="187"/>
      <c r="AE165" s="187"/>
    </row>
    <row r="166" spans="1:31" x14ac:dyDescent="0.25">
      <c r="A166" s="187"/>
      <c r="B166" s="187" t="str">
        <f>IF($C166="","",MAX($B$4:$B165)+1)</f>
        <v/>
      </c>
      <c r="C166" s="183"/>
      <c r="D166" s="183"/>
      <c r="E166" s="185">
        <f>IF($C166="",-0.00001,COUNTIF(Database!E:E,$C166))</f>
        <v>-1.0000000000000001E-5</v>
      </c>
      <c r="F166" s="185">
        <f>IFERROR(IF($C166="",-0.00001,SUMIFS(Database!H:H,Database!$E:$E,$C166)),-0.00001)</f>
        <v>-1.0000000000000001E-5</v>
      </c>
      <c r="G166" s="185">
        <f>IFERROR(IF($C166="",-0.00001,SUMIFS(Database!I:I,Database!$E:$E,$C166)),-0.00001)</f>
        <v>-1.0000000000000001E-5</v>
      </c>
      <c r="H166" s="185">
        <f>IFERROR(IF($C166="",-0.00001,SUMIFS(Database!J:J,Database!$E:$E,$C166)),-0.00001)</f>
        <v>-1.0000000000000001E-5</v>
      </c>
      <c r="I166" s="185">
        <f>IFERROR(IF($C166="",-0.00001,SUMIFS(Database!K:K,Database!$E:$E,$C166)),-0.00001)</f>
        <v>-1.0000000000000001E-5</v>
      </c>
      <c r="J166" s="185">
        <f>IFERROR(IF($C166="",-0.00001,SUMIFS(Database!L:L,Database!$E:$E,$C166)),-0.00001)</f>
        <v>-1.0000000000000001E-5</v>
      </c>
      <c r="K166" s="185">
        <f>IFERROR(IF($C166="",-0.00001,SUMIFS(Database!M:M,Database!$E:$E,$C166)),-0.00001)</f>
        <v>-1.0000000000000001E-5</v>
      </c>
      <c r="L166" s="185">
        <f>IFERROR(IF($C166="",-0.00001,SUMIFS(Database!N:N,Database!$E:$E,$C166)),-0.00001)</f>
        <v>-1.0000000000000001E-5</v>
      </c>
      <c r="M166" s="185">
        <f>IFERROR(IF($C166="",-0.00001,SUMIFS(Database!O:O,Database!$E:$E,$C166)),-0.00001)</f>
        <v>-1.0000000000000001E-5</v>
      </c>
      <c r="N166" s="185">
        <f>IFERROR(IF($C166="",-0.00001,SUMIFS(Database!P:P,Database!$E:$E,$C166)),-0.00001)</f>
        <v>-1.0000000000000001E-5</v>
      </c>
      <c r="O166" s="185">
        <f>IFERROR(IF($C166="",-0.00001,SUMIFS(Database!Q:Q,Database!$E:$E,$C166)),-0.00001)</f>
        <v>-1.0000000000000001E-5</v>
      </c>
      <c r="P166" s="186">
        <f t="shared" si="6"/>
        <v>-1.0000000000000001E-5</v>
      </c>
      <c r="Q166" s="185">
        <f>IFERROR(IF($C166="",-0.00001,SUMIFS(Database!S:S,Database!$E:$E,$C166)),-0.00001)</f>
        <v>-1.0000000000000001E-5</v>
      </c>
      <c r="R166" s="185">
        <f>IFERROR(IF($C166="",-0.00001,SUMIFS(Database!T:T,Database!$E:$E,$C166)),-0.00001)</f>
        <v>-1.0000000000000001E-5</v>
      </c>
      <c r="S166" s="186">
        <f t="shared" si="7"/>
        <v>-1.0000000000000001E-5</v>
      </c>
      <c r="T166" s="185">
        <f>IFERROR(IF($C166="",-0.00001,SUMIFS(Database!V:V,Database!$E:$E,$C166)),-0.00001)</f>
        <v>-1.0000000000000001E-5</v>
      </c>
      <c r="U166" s="185">
        <f>IFERROR(IF($C166="",-0.00001,SUMIFS(Database!W:W,Database!$E:$E,$C166)),-0.00001)</f>
        <v>-1.0000000000000001E-5</v>
      </c>
      <c r="V166" s="186">
        <f t="shared" si="8"/>
        <v>-1.0000000000000001E-5</v>
      </c>
      <c r="W166" s="187"/>
      <c r="X166" s="187"/>
      <c r="Y166" s="187"/>
      <c r="Z166" s="187"/>
      <c r="AA166" s="187"/>
      <c r="AB166" s="187"/>
      <c r="AC166" s="187"/>
      <c r="AD166" s="187"/>
      <c r="AE166" s="187"/>
    </row>
    <row r="167" spans="1:31" x14ac:dyDescent="0.25">
      <c r="A167" s="187"/>
      <c r="B167" s="187" t="str">
        <f>IF($C167="","",MAX($B$4:$B166)+1)</f>
        <v/>
      </c>
      <c r="C167" s="183"/>
      <c r="D167" s="183"/>
      <c r="E167" s="185">
        <f>IF($C167="",-0.00001,COUNTIF(Database!E:E,$C167))</f>
        <v>-1.0000000000000001E-5</v>
      </c>
      <c r="F167" s="185">
        <f>IFERROR(IF($C167="",-0.00001,SUMIFS(Database!H:H,Database!$E:$E,$C167)),-0.00001)</f>
        <v>-1.0000000000000001E-5</v>
      </c>
      <c r="G167" s="185">
        <f>IFERROR(IF($C167="",-0.00001,SUMIFS(Database!I:I,Database!$E:$E,$C167)),-0.00001)</f>
        <v>-1.0000000000000001E-5</v>
      </c>
      <c r="H167" s="185">
        <f>IFERROR(IF($C167="",-0.00001,SUMIFS(Database!J:J,Database!$E:$E,$C167)),-0.00001)</f>
        <v>-1.0000000000000001E-5</v>
      </c>
      <c r="I167" s="185">
        <f>IFERROR(IF($C167="",-0.00001,SUMIFS(Database!K:K,Database!$E:$E,$C167)),-0.00001)</f>
        <v>-1.0000000000000001E-5</v>
      </c>
      <c r="J167" s="185">
        <f>IFERROR(IF($C167="",-0.00001,SUMIFS(Database!L:L,Database!$E:$E,$C167)),-0.00001)</f>
        <v>-1.0000000000000001E-5</v>
      </c>
      <c r="K167" s="185">
        <f>IFERROR(IF($C167="",-0.00001,SUMIFS(Database!M:M,Database!$E:$E,$C167)),-0.00001)</f>
        <v>-1.0000000000000001E-5</v>
      </c>
      <c r="L167" s="185">
        <f>IFERROR(IF($C167="",-0.00001,SUMIFS(Database!N:N,Database!$E:$E,$C167)),-0.00001)</f>
        <v>-1.0000000000000001E-5</v>
      </c>
      <c r="M167" s="185">
        <f>IFERROR(IF($C167="",-0.00001,SUMIFS(Database!O:O,Database!$E:$E,$C167)),-0.00001)</f>
        <v>-1.0000000000000001E-5</v>
      </c>
      <c r="N167" s="185">
        <f>IFERROR(IF($C167="",-0.00001,SUMIFS(Database!P:P,Database!$E:$E,$C167)),-0.00001)</f>
        <v>-1.0000000000000001E-5</v>
      </c>
      <c r="O167" s="185">
        <f>IFERROR(IF($C167="",-0.00001,SUMIFS(Database!Q:Q,Database!$E:$E,$C167)),-0.00001)</f>
        <v>-1.0000000000000001E-5</v>
      </c>
      <c r="P167" s="186">
        <f t="shared" si="6"/>
        <v>-1.0000000000000001E-5</v>
      </c>
      <c r="Q167" s="185">
        <f>IFERROR(IF($C167="",-0.00001,SUMIFS(Database!S:S,Database!$E:$E,$C167)),-0.00001)</f>
        <v>-1.0000000000000001E-5</v>
      </c>
      <c r="R167" s="185">
        <f>IFERROR(IF($C167="",-0.00001,SUMIFS(Database!T:T,Database!$E:$E,$C167)),-0.00001)</f>
        <v>-1.0000000000000001E-5</v>
      </c>
      <c r="S167" s="186">
        <f t="shared" si="7"/>
        <v>-1.0000000000000001E-5</v>
      </c>
      <c r="T167" s="185">
        <f>IFERROR(IF($C167="",-0.00001,SUMIFS(Database!V:V,Database!$E:$E,$C167)),-0.00001)</f>
        <v>-1.0000000000000001E-5</v>
      </c>
      <c r="U167" s="185">
        <f>IFERROR(IF($C167="",-0.00001,SUMIFS(Database!W:W,Database!$E:$E,$C167)),-0.00001)</f>
        <v>-1.0000000000000001E-5</v>
      </c>
      <c r="V167" s="186">
        <f t="shared" si="8"/>
        <v>-1.0000000000000001E-5</v>
      </c>
      <c r="W167" s="187"/>
      <c r="X167" s="187"/>
      <c r="Y167" s="187"/>
      <c r="Z167" s="187"/>
      <c r="AA167" s="187"/>
      <c r="AB167" s="187"/>
      <c r="AC167" s="187"/>
      <c r="AD167" s="187"/>
      <c r="AE167" s="187"/>
    </row>
    <row r="168" spans="1:31" x14ac:dyDescent="0.25">
      <c r="A168" s="187"/>
      <c r="B168" s="187" t="str">
        <f>IF($C168="","",MAX($B$4:$B167)+1)</f>
        <v/>
      </c>
      <c r="C168" s="183"/>
      <c r="D168" s="183"/>
      <c r="E168" s="185">
        <f>IF($C168="",-0.00001,COUNTIF(Database!E:E,$C168))</f>
        <v>-1.0000000000000001E-5</v>
      </c>
      <c r="F168" s="185">
        <f>IFERROR(IF($C168="",-0.00001,SUMIFS(Database!H:H,Database!$E:$E,$C168)),-0.00001)</f>
        <v>-1.0000000000000001E-5</v>
      </c>
      <c r="G168" s="185">
        <f>IFERROR(IF($C168="",-0.00001,SUMIFS(Database!I:I,Database!$E:$E,$C168)),-0.00001)</f>
        <v>-1.0000000000000001E-5</v>
      </c>
      <c r="H168" s="185">
        <f>IFERROR(IF($C168="",-0.00001,SUMIFS(Database!J:J,Database!$E:$E,$C168)),-0.00001)</f>
        <v>-1.0000000000000001E-5</v>
      </c>
      <c r="I168" s="185">
        <f>IFERROR(IF($C168="",-0.00001,SUMIFS(Database!K:K,Database!$E:$E,$C168)),-0.00001)</f>
        <v>-1.0000000000000001E-5</v>
      </c>
      <c r="J168" s="185">
        <f>IFERROR(IF($C168="",-0.00001,SUMIFS(Database!L:L,Database!$E:$E,$C168)),-0.00001)</f>
        <v>-1.0000000000000001E-5</v>
      </c>
      <c r="K168" s="185">
        <f>IFERROR(IF($C168="",-0.00001,SUMIFS(Database!M:M,Database!$E:$E,$C168)),-0.00001)</f>
        <v>-1.0000000000000001E-5</v>
      </c>
      <c r="L168" s="185">
        <f>IFERROR(IF($C168="",-0.00001,SUMIFS(Database!N:N,Database!$E:$E,$C168)),-0.00001)</f>
        <v>-1.0000000000000001E-5</v>
      </c>
      <c r="M168" s="185">
        <f>IFERROR(IF($C168="",-0.00001,SUMIFS(Database!O:O,Database!$E:$E,$C168)),-0.00001)</f>
        <v>-1.0000000000000001E-5</v>
      </c>
      <c r="N168" s="185">
        <f>IFERROR(IF($C168="",-0.00001,SUMIFS(Database!P:P,Database!$E:$E,$C168)),-0.00001)</f>
        <v>-1.0000000000000001E-5</v>
      </c>
      <c r="O168" s="185">
        <f>IFERROR(IF($C168="",-0.00001,SUMIFS(Database!Q:Q,Database!$E:$E,$C168)),-0.00001)</f>
        <v>-1.0000000000000001E-5</v>
      </c>
      <c r="P168" s="186">
        <f t="shared" si="6"/>
        <v>-1.0000000000000001E-5</v>
      </c>
      <c r="Q168" s="185">
        <f>IFERROR(IF($C168="",-0.00001,SUMIFS(Database!S:S,Database!$E:$E,$C168)),-0.00001)</f>
        <v>-1.0000000000000001E-5</v>
      </c>
      <c r="R168" s="185">
        <f>IFERROR(IF($C168="",-0.00001,SUMIFS(Database!T:T,Database!$E:$E,$C168)),-0.00001)</f>
        <v>-1.0000000000000001E-5</v>
      </c>
      <c r="S168" s="186">
        <f t="shared" si="7"/>
        <v>-1.0000000000000001E-5</v>
      </c>
      <c r="T168" s="185">
        <f>IFERROR(IF($C168="",-0.00001,SUMIFS(Database!V:V,Database!$E:$E,$C168)),-0.00001)</f>
        <v>-1.0000000000000001E-5</v>
      </c>
      <c r="U168" s="185">
        <f>IFERROR(IF($C168="",-0.00001,SUMIFS(Database!W:W,Database!$E:$E,$C168)),-0.00001)</f>
        <v>-1.0000000000000001E-5</v>
      </c>
      <c r="V168" s="186">
        <f t="shared" si="8"/>
        <v>-1.0000000000000001E-5</v>
      </c>
      <c r="W168" s="187"/>
      <c r="X168" s="187"/>
      <c r="Y168" s="187"/>
      <c r="Z168" s="187"/>
      <c r="AA168" s="187"/>
      <c r="AB168" s="187"/>
      <c r="AC168" s="187"/>
      <c r="AD168" s="187"/>
      <c r="AE168" s="187"/>
    </row>
    <row r="169" spans="1:31" x14ac:dyDescent="0.25">
      <c r="A169" s="187"/>
      <c r="B169" s="187" t="str">
        <f>IF($C169="","",MAX($B$4:$B168)+1)</f>
        <v/>
      </c>
      <c r="C169" s="183"/>
      <c r="D169" s="183"/>
      <c r="E169" s="185">
        <f>IF($C169="",-0.00001,COUNTIF(Database!E:E,$C169))</f>
        <v>-1.0000000000000001E-5</v>
      </c>
      <c r="F169" s="185">
        <f>IFERROR(IF($C169="",-0.00001,SUMIFS(Database!H:H,Database!$E:$E,$C169)),-0.00001)</f>
        <v>-1.0000000000000001E-5</v>
      </c>
      <c r="G169" s="185">
        <f>IFERROR(IF($C169="",-0.00001,SUMIFS(Database!I:I,Database!$E:$E,$C169)),-0.00001)</f>
        <v>-1.0000000000000001E-5</v>
      </c>
      <c r="H169" s="185">
        <f>IFERROR(IF($C169="",-0.00001,SUMIFS(Database!J:J,Database!$E:$E,$C169)),-0.00001)</f>
        <v>-1.0000000000000001E-5</v>
      </c>
      <c r="I169" s="185">
        <f>IFERROR(IF($C169="",-0.00001,SUMIFS(Database!K:K,Database!$E:$E,$C169)),-0.00001)</f>
        <v>-1.0000000000000001E-5</v>
      </c>
      <c r="J169" s="185">
        <f>IFERROR(IF($C169="",-0.00001,SUMIFS(Database!L:L,Database!$E:$E,$C169)),-0.00001)</f>
        <v>-1.0000000000000001E-5</v>
      </c>
      <c r="K169" s="185">
        <f>IFERROR(IF($C169="",-0.00001,SUMIFS(Database!M:M,Database!$E:$E,$C169)),-0.00001)</f>
        <v>-1.0000000000000001E-5</v>
      </c>
      <c r="L169" s="185">
        <f>IFERROR(IF($C169="",-0.00001,SUMIFS(Database!N:N,Database!$E:$E,$C169)),-0.00001)</f>
        <v>-1.0000000000000001E-5</v>
      </c>
      <c r="M169" s="185">
        <f>IFERROR(IF($C169="",-0.00001,SUMIFS(Database!O:O,Database!$E:$E,$C169)),-0.00001)</f>
        <v>-1.0000000000000001E-5</v>
      </c>
      <c r="N169" s="185">
        <f>IFERROR(IF($C169="",-0.00001,SUMIFS(Database!P:P,Database!$E:$E,$C169)),-0.00001)</f>
        <v>-1.0000000000000001E-5</v>
      </c>
      <c r="O169" s="185">
        <f>IFERROR(IF($C169="",-0.00001,SUMIFS(Database!Q:Q,Database!$E:$E,$C169)),-0.00001)</f>
        <v>-1.0000000000000001E-5</v>
      </c>
      <c r="P169" s="186">
        <f t="shared" si="6"/>
        <v>-1.0000000000000001E-5</v>
      </c>
      <c r="Q169" s="185">
        <f>IFERROR(IF($C169="",-0.00001,SUMIFS(Database!S:S,Database!$E:$E,$C169)),-0.00001)</f>
        <v>-1.0000000000000001E-5</v>
      </c>
      <c r="R169" s="185">
        <f>IFERROR(IF($C169="",-0.00001,SUMIFS(Database!T:T,Database!$E:$E,$C169)),-0.00001)</f>
        <v>-1.0000000000000001E-5</v>
      </c>
      <c r="S169" s="186">
        <f t="shared" si="7"/>
        <v>-1.0000000000000001E-5</v>
      </c>
      <c r="T169" s="185">
        <f>IFERROR(IF($C169="",-0.00001,SUMIFS(Database!V:V,Database!$E:$E,$C169)),-0.00001)</f>
        <v>-1.0000000000000001E-5</v>
      </c>
      <c r="U169" s="185">
        <f>IFERROR(IF($C169="",-0.00001,SUMIFS(Database!W:W,Database!$E:$E,$C169)),-0.00001)</f>
        <v>-1.0000000000000001E-5</v>
      </c>
      <c r="V169" s="186">
        <f t="shared" si="8"/>
        <v>-1.0000000000000001E-5</v>
      </c>
      <c r="W169" s="187"/>
      <c r="X169" s="187"/>
      <c r="Y169" s="187"/>
      <c r="Z169" s="187"/>
      <c r="AA169" s="187"/>
      <c r="AB169" s="187"/>
      <c r="AC169" s="187"/>
      <c r="AD169" s="187"/>
      <c r="AE169" s="187"/>
    </row>
    <row r="170" spans="1:31" x14ac:dyDescent="0.25">
      <c r="A170" s="187"/>
      <c r="B170" s="187" t="str">
        <f>IF($C170="","",MAX($B$4:$B169)+1)</f>
        <v/>
      </c>
      <c r="C170" s="183"/>
      <c r="D170" s="183"/>
      <c r="E170" s="185">
        <f>IF($C170="",-0.00001,COUNTIF(Database!E:E,$C170))</f>
        <v>-1.0000000000000001E-5</v>
      </c>
      <c r="F170" s="185">
        <f>IFERROR(IF($C170="",-0.00001,SUMIFS(Database!H:H,Database!$E:$E,$C170)),-0.00001)</f>
        <v>-1.0000000000000001E-5</v>
      </c>
      <c r="G170" s="185">
        <f>IFERROR(IF($C170="",-0.00001,SUMIFS(Database!I:I,Database!$E:$E,$C170)),-0.00001)</f>
        <v>-1.0000000000000001E-5</v>
      </c>
      <c r="H170" s="185">
        <f>IFERROR(IF($C170="",-0.00001,SUMIFS(Database!J:J,Database!$E:$E,$C170)),-0.00001)</f>
        <v>-1.0000000000000001E-5</v>
      </c>
      <c r="I170" s="185">
        <f>IFERROR(IF($C170="",-0.00001,SUMIFS(Database!K:K,Database!$E:$E,$C170)),-0.00001)</f>
        <v>-1.0000000000000001E-5</v>
      </c>
      <c r="J170" s="185">
        <f>IFERROR(IF($C170="",-0.00001,SUMIFS(Database!L:L,Database!$E:$E,$C170)),-0.00001)</f>
        <v>-1.0000000000000001E-5</v>
      </c>
      <c r="K170" s="185">
        <f>IFERROR(IF($C170="",-0.00001,SUMIFS(Database!M:M,Database!$E:$E,$C170)),-0.00001)</f>
        <v>-1.0000000000000001E-5</v>
      </c>
      <c r="L170" s="185">
        <f>IFERROR(IF($C170="",-0.00001,SUMIFS(Database!N:N,Database!$E:$E,$C170)),-0.00001)</f>
        <v>-1.0000000000000001E-5</v>
      </c>
      <c r="M170" s="185">
        <f>IFERROR(IF($C170="",-0.00001,SUMIFS(Database!O:O,Database!$E:$E,$C170)),-0.00001)</f>
        <v>-1.0000000000000001E-5</v>
      </c>
      <c r="N170" s="185">
        <f>IFERROR(IF($C170="",-0.00001,SUMIFS(Database!P:P,Database!$E:$E,$C170)),-0.00001)</f>
        <v>-1.0000000000000001E-5</v>
      </c>
      <c r="O170" s="185">
        <f>IFERROR(IF($C170="",-0.00001,SUMIFS(Database!Q:Q,Database!$E:$E,$C170)),-0.00001)</f>
        <v>-1.0000000000000001E-5</v>
      </c>
      <c r="P170" s="186">
        <f t="shared" si="6"/>
        <v>-1.0000000000000001E-5</v>
      </c>
      <c r="Q170" s="185">
        <f>IFERROR(IF($C170="",-0.00001,SUMIFS(Database!S:S,Database!$E:$E,$C170)),-0.00001)</f>
        <v>-1.0000000000000001E-5</v>
      </c>
      <c r="R170" s="185">
        <f>IFERROR(IF($C170="",-0.00001,SUMIFS(Database!T:T,Database!$E:$E,$C170)),-0.00001)</f>
        <v>-1.0000000000000001E-5</v>
      </c>
      <c r="S170" s="186">
        <f t="shared" si="7"/>
        <v>-1.0000000000000001E-5</v>
      </c>
      <c r="T170" s="185">
        <f>IFERROR(IF($C170="",-0.00001,SUMIFS(Database!V:V,Database!$E:$E,$C170)),-0.00001)</f>
        <v>-1.0000000000000001E-5</v>
      </c>
      <c r="U170" s="185">
        <f>IFERROR(IF($C170="",-0.00001,SUMIFS(Database!W:W,Database!$E:$E,$C170)),-0.00001)</f>
        <v>-1.0000000000000001E-5</v>
      </c>
      <c r="V170" s="186">
        <f t="shared" si="8"/>
        <v>-1.0000000000000001E-5</v>
      </c>
      <c r="W170" s="187"/>
      <c r="X170" s="187"/>
      <c r="Y170" s="187"/>
      <c r="Z170" s="187"/>
      <c r="AA170" s="187"/>
      <c r="AB170" s="187"/>
      <c r="AC170" s="187"/>
      <c r="AD170" s="187"/>
      <c r="AE170" s="187"/>
    </row>
    <row r="171" spans="1:31" x14ac:dyDescent="0.25">
      <c r="A171" s="187"/>
      <c r="B171" s="187" t="str">
        <f>IF($C171="","",MAX($B$4:$B170)+1)</f>
        <v/>
      </c>
      <c r="C171" s="183"/>
      <c r="D171" s="183"/>
      <c r="E171" s="185">
        <f>IF($C171="",-0.00001,COUNTIF(Database!E:E,$C171))</f>
        <v>-1.0000000000000001E-5</v>
      </c>
      <c r="F171" s="185">
        <f>IFERROR(IF($C171="",-0.00001,SUMIFS(Database!H:H,Database!$E:$E,$C171)),-0.00001)</f>
        <v>-1.0000000000000001E-5</v>
      </c>
      <c r="G171" s="185">
        <f>IFERROR(IF($C171="",-0.00001,SUMIFS(Database!I:I,Database!$E:$E,$C171)),-0.00001)</f>
        <v>-1.0000000000000001E-5</v>
      </c>
      <c r="H171" s="185">
        <f>IFERROR(IF($C171="",-0.00001,SUMIFS(Database!J:J,Database!$E:$E,$C171)),-0.00001)</f>
        <v>-1.0000000000000001E-5</v>
      </c>
      <c r="I171" s="185">
        <f>IFERROR(IF($C171="",-0.00001,SUMIFS(Database!K:K,Database!$E:$E,$C171)),-0.00001)</f>
        <v>-1.0000000000000001E-5</v>
      </c>
      <c r="J171" s="185">
        <f>IFERROR(IF($C171="",-0.00001,SUMIFS(Database!L:L,Database!$E:$E,$C171)),-0.00001)</f>
        <v>-1.0000000000000001E-5</v>
      </c>
      <c r="K171" s="185">
        <f>IFERROR(IF($C171="",-0.00001,SUMIFS(Database!M:M,Database!$E:$E,$C171)),-0.00001)</f>
        <v>-1.0000000000000001E-5</v>
      </c>
      <c r="L171" s="185">
        <f>IFERROR(IF($C171="",-0.00001,SUMIFS(Database!N:N,Database!$E:$E,$C171)),-0.00001)</f>
        <v>-1.0000000000000001E-5</v>
      </c>
      <c r="M171" s="185">
        <f>IFERROR(IF($C171="",-0.00001,SUMIFS(Database!O:O,Database!$E:$E,$C171)),-0.00001)</f>
        <v>-1.0000000000000001E-5</v>
      </c>
      <c r="N171" s="185">
        <f>IFERROR(IF($C171="",-0.00001,SUMIFS(Database!P:P,Database!$E:$E,$C171)),-0.00001)</f>
        <v>-1.0000000000000001E-5</v>
      </c>
      <c r="O171" s="185">
        <f>IFERROR(IF($C171="",-0.00001,SUMIFS(Database!Q:Q,Database!$E:$E,$C171)),-0.00001)</f>
        <v>-1.0000000000000001E-5</v>
      </c>
      <c r="P171" s="186">
        <f t="shared" si="6"/>
        <v>-1.0000000000000001E-5</v>
      </c>
      <c r="Q171" s="185">
        <f>IFERROR(IF($C171="",-0.00001,SUMIFS(Database!S:S,Database!$E:$E,$C171)),-0.00001)</f>
        <v>-1.0000000000000001E-5</v>
      </c>
      <c r="R171" s="185">
        <f>IFERROR(IF($C171="",-0.00001,SUMIFS(Database!T:T,Database!$E:$E,$C171)),-0.00001)</f>
        <v>-1.0000000000000001E-5</v>
      </c>
      <c r="S171" s="186">
        <f t="shared" si="7"/>
        <v>-1.0000000000000001E-5</v>
      </c>
      <c r="T171" s="185">
        <f>IFERROR(IF($C171="",-0.00001,SUMIFS(Database!V:V,Database!$E:$E,$C171)),-0.00001)</f>
        <v>-1.0000000000000001E-5</v>
      </c>
      <c r="U171" s="185">
        <f>IFERROR(IF($C171="",-0.00001,SUMIFS(Database!W:W,Database!$E:$E,$C171)),-0.00001)</f>
        <v>-1.0000000000000001E-5</v>
      </c>
      <c r="V171" s="186">
        <f t="shared" si="8"/>
        <v>-1.0000000000000001E-5</v>
      </c>
      <c r="W171" s="187"/>
      <c r="X171" s="187"/>
      <c r="Y171" s="187"/>
      <c r="Z171" s="187"/>
      <c r="AA171" s="187"/>
      <c r="AB171" s="187"/>
      <c r="AC171" s="187"/>
      <c r="AD171" s="187"/>
      <c r="AE171" s="187"/>
    </row>
    <row r="172" spans="1:31" x14ac:dyDescent="0.25">
      <c r="A172" s="187"/>
      <c r="B172" s="187" t="str">
        <f>IF($C172="","",MAX($B$4:$B171)+1)</f>
        <v/>
      </c>
      <c r="C172" s="183"/>
      <c r="D172" s="183"/>
      <c r="E172" s="185">
        <f>IF($C172="",-0.00001,COUNTIF(Database!E:E,$C172))</f>
        <v>-1.0000000000000001E-5</v>
      </c>
      <c r="F172" s="185">
        <f>IFERROR(IF($C172="",-0.00001,SUMIFS(Database!H:H,Database!$E:$E,$C172)),-0.00001)</f>
        <v>-1.0000000000000001E-5</v>
      </c>
      <c r="G172" s="185">
        <f>IFERROR(IF($C172="",-0.00001,SUMIFS(Database!I:I,Database!$E:$E,$C172)),-0.00001)</f>
        <v>-1.0000000000000001E-5</v>
      </c>
      <c r="H172" s="185">
        <f>IFERROR(IF($C172="",-0.00001,SUMIFS(Database!J:J,Database!$E:$E,$C172)),-0.00001)</f>
        <v>-1.0000000000000001E-5</v>
      </c>
      <c r="I172" s="185">
        <f>IFERROR(IF($C172="",-0.00001,SUMIFS(Database!K:K,Database!$E:$E,$C172)),-0.00001)</f>
        <v>-1.0000000000000001E-5</v>
      </c>
      <c r="J172" s="185">
        <f>IFERROR(IF($C172="",-0.00001,SUMIFS(Database!L:L,Database!$E:$E,$C172)),-0.00001)</f>
        <v>-1.0000000000000001E-5</v>
      </c>
      <c r="K172" s="185">
        <f>IFERROR(IF($C172="",-0.00001,SUMIFS(Database!M:M,Database!$E:$E,$C172)),-0.00001)</f>
        <v>-1.0000000000000001E-5</v>
      </c>
      <c r="L172" s="185">
        <f>IFERROR(IF($C172="",-0.00001,SUMIFS(Database!N:N,Database!$E:$E,$C172)),-0.00001)</f>
        <v>-1.0000000000000001E-5</v>
      </c>
      <c r="M172" s="185">
        <f>IFERROR(IF($C172="",-0.00001,SUMIFS(Database!O:O,Database!$E:$E,$C172)),-0.00001)</f>
        <v>-1.0000000000000001E-5</v>
      </c>
      <c r="N172" s="185">
        <f>IFERROR(IF($C172="",-0.00001,SUMIFS(Database!P:P,Database!$E:$E,$C172)),-0.00001)</f>
        <v>-1.0000000000000001E-5</v>
      </c>
      <c r="O172" s="185">
        <f>IFERROR(IF($C172="",-0.00001,SUMIFS(Database!Q:Q,Database!$E:$E,$C172)),-0.00001)</f>
        <v>-1.0000000000000001E-5</v>
      </c>
      <c r="P172" s="186">
        <f t="shared" si="6"/>
        <v>-1.0000000000000001E-5</v>
      </c>
      <c r="Q172" s="185">
        <f>IFERROR(IF($C172="",-0.00001,SUMIFS(Database!S:S,Database!$E:$E,$C172)),-0.00001)</f>
        <v>-1.0000000000000001E-5</v>
      </c>
      <c r="R172" s="185">
        <f>IFERROR(IF($C172="",-0.00001,SUMIFS(Database!T:T,Database!$E:$E,$C172)),-0.00001)</f>
        <v>-1.0000000000000001E-5</v>
      </c>
      <c r="S172" s="186">
        <f t="shared" si="7"/>
        <v>-1.0000000000000001E-5</v>
      </c>
      <c r="T172" s="185">
        <f>IFERROR(IF($C172="",-0.00001,SUMIFS(Database!V:V,Database!$E:$E,$C172)),-0.00001)</f>
        <v>-1.0000000000000001E-5</v>
      </c>
      <c r="U172" s="185">
        <f>IFERROR(IF($C172="",-0.00001,SUMIFS(Database!W:W,Database!$E:$E,$C172)),-0.00001)</f>
        <v>-1.0000000000000001E-5</v>
      </c>
      <c r="V172" s="186">
        <f t="shared" si="8"/>
        <v>-1.0000000000000001E-5</v>
      </c>
      <c r="W172" s="187"/>
      <c r="X172" s="187"/>
      <c r="Y172" s="187"/>
      <c r="Z172" s="187"/>
      <c r="AA172" s="187"/>
      <c r="AB172" s="187"/>
      <c r="AC172" s="187"/>
      <c r="AD172" s="187"/>
      <c r="AE172" s="187"/>
    </row>
    <row r="173" spans="1:31" x14ac:dyDescent="0.25">
      <c r="A173" s="187"/>
      <c r="B173" s="187" t="str">
        <f>IF($C173="","",MAX($B$4:$B172)+1)</f>
        <v/>
      </c>
      <c r="C173" s="183"/>
      <c r="D173" s="183"/>
      <c r="E173" s="185">
        <f>IF($C173="",-0.00001,COUNTIF(Database!E:E,$C173))</f>
        <v>-1.0000000000000001E-5</v>
      </c>
      <c r="F173" s="185">
        <f>IFERROR(IF($C173="",-0.00001,SUMIFS(Database!H:H,Database!$E:$E,$C173)),-0.00001)</f>
        <v>-1.0000000000000001E-5</v>
      </c>
      <c r="G173" s="185">
        <f>IFERROR(IF($C173="",-0.00001,SUMIFS(Database!I:I,Database!$E:$E,$C173)),-0.00001)</f>
        <v>-1.0000000000000001E-5</v>
      </c>
      <c r="H173" s="185">
        <f>IFERROR(IF($C173="",-0.00001,SUMIFS(Database!J:J,Database!$E:$E,$C173)),-0.00001)</f>
        <v>-1.0000000000000001E-5</v>
      </c>
      <c r="I173" s="185">
        <f>IFERROR(IF($C173="",-0.00001,SUMIFS(Database!K:K,Database!$E:$E,$C173)),-0.00001)</f>
        <v>-1.0000000000000001E-5</v>
      </c>
      <c r="J173" s="185">
        <f>IFERROR(IF($C173="",-0.00001,SUMIFS(Database!L:L,Database!$E:$E,$C173)),-0.00001)</f>
        <v>-1.0000000000000001E-5</v>
      </c>
      <c r="K173" s="185">
        <f>IFERROR(IF($C173="",-0.00001,SUMIFS(Database!M:M,Database!$E:$E,$C173)),-0.00001)</f>
        <v>-1.0000000000000001E-5</v>
      </c>
      <c r="L173" s="185">
        <f>IFERROR(IF($C173="",-0.00001,SUMIFS(Database!N:N,Database!$E:$E,$C173)),-0.00001)</f>
        <v>-1.0000000000000001E-5</v>
      </c>
      <c r="M173" s="185">
        <f>IFERROR(IF($C173="",-0.00001,SUMIFS(Database!O:O,Database!$E:$E,$C173)),-0.00001)</f>
        <v>-1.0000000000000001E-5</v>
      </c>
      <c r="N173" s="185">
        <f>IFERROR(IF($C173="",-0.00001,SUMIFS(Database!P:P,Database!$E:$E,$C173)),-0.00001)</f>
        <v>-1.0000000000000001E-5</v>
      </c>
      <c r="O173" s="185">
        <f>IFERROR(IF($C173="",-0.00001,SUMIFS(Database!Q:Q,Database!$E:$E,$C173)),-0.00001)</f>
        <v>-1.0000000000000001E-5</v>
      </c>
      <c r="P173" s="186">
        <f t="shared" si="6"/>
        <v>-1.0000000000000001E-5</v>
      </c>
      <c r="Q173" s="185">
        <f>IFERROR(IF($C173="",-0.00001,SUMIFS(Database!S:S,Database!$E:$E,$C173)),-0.00001)</f>
        <v>-1.0000000000000001E-5</v>
      </c>
      <c r="R173" s="185">
        <f>IFERROR(IF($C173="",-0.00001,SUMIFS(Database!T:T,Database!$E:$E,$C173)),-0.00001)</f>
        <v>-1.0000000000000001E-5</v>
      </c>
      <c r="S173" s="186">
        <f t="shared" si="7"/>
        <v>-1.0000000000000001E-5</v>
      </c>
      <c r="T173" s="185">
        <f>IFERROR(IF($C173="",-0.00001,SUMIFS(Database!V:V,Database!$E:$E,$C173)),-0.00001)</f>
        <v>-1.0000000000000001E-5</v>
      </c>
      <c r="U173" s="185">
        <f>IFERROR(IF($C173="",-0.00001,SUMIFS(Database!W:W,Database!$E:$E,$C173)),-0.00001)</f>
        <v>-1.0000000000000001E-5</v>
      </c>
      <c r="V173" s="186">
        <f t="shared" si="8"/>
        <v>-1.0000000000000001E-5</v>
      </c>
      <c r="W173" s="187"/>
      <c r="X173" s="187"/>
      <c r="Y173" s="187"/>
      <c r="Z173" s="187"/>
      <c r="AA173" s="187"/>
      <c r="AB173" s="187"/>
      <c r="AC173" s="187"/>
      <c r="AD173" s="187"/>
      <c r="AE173" s="187"/>
    </row>
    <row r="174" spans="1:31" x14ac:dyDescent="0.25">
      <c r="A174" s="187"/>
      <c r="B174" s="187" t="str">
        <f>IF($C174="","",MAX($B$4:$B173)+1)</f>
        <v/>
      </c>
      <c r="C174" s="183"/>
      <c r="D174" s="183"/>
      <c r="E174" s="185">
        <f>IF($C174="",-0.00001,COUNTIF(Database!E:E,$C174))</f>
        <v>-1.0000000000000001E-5</v>
      </c>
      <c r="F174" s="185">
        <f>IFERROR(IF($C174="",-0.00001,SUMIFS(Database!H:H,Database!$E:$E,$C174)),-0.00001)</f>
        <v>-1.0000000000000001E-5</v>
      </c>
      <c r="G174" s="185">
        <f>IFERROR(IF($C174="",-0.00001,SUMIFS(Database!I:I,Database!$E:$E,$C174)),-0.00001)</f>
        <v>-1.0000000000000001E-5</v>
      </c>
      <c r="H174" s="185">
        <f>IFERROR(IF($C174="",-0.00001,SUMIFS(Database!J:J,Database!$E:$E,$C174)),-0.00001)</f>
        <v>-1.0000000000000001E-5</v>
      </c>
      <c r="I174" s="185">
        <f>IFERROR(IF($C174="",-0.00001,SUMIFS(Database!K:K,Database!$E:$E,$C174)),-0.00001)</f>
        <v>-1.0000000000000001E-5</v>
      </c>
      <c r="J174" s="185">
        <f>IFERROR(IF($C174="",-0.00001,SUMIFS(Database!L:L,Database!$E:$E,$C174)),-0.00001)</f>
        <v>-1.0000000000000001E-5</v>
      </c>
      <c r="K174" s="185">
        <f>IFERROR(IF($C174="",-0.00001,SUMIFS(Database!M:M,Database!$E:$E,$C174)),-0.00001)</f>
        <v>-1.0000000000000001E-5</v>
      </c>
      <c r="L174" s="185">
        <f>IFERROR(IF($C174="",-0.00001,SUMIFS(Database!N:N,Database!$E:$E,$C174)),-0.00001)</f>
        <v>-1.0000000000000001E-5</v>
      </c>
      <c r="M174" s="185">
        <f>IFERROR(IF($C174="",-0.00001,SUMIFS(Database!O:O,Database!$E:$E,$C174)),-0.00001)</f>
        <v>-1.0000000000000001E-5</v>
      </c>
      <c r="N174" s="185">
        <f>IFERROR(IF($C174="",-0.00001,SUMIFS(Database!P:P,Database!$E:$E,$C174)),-0.00001)</f>
        <v>-1.0000000000000001E-5</v>
      </c>
      <c r="O174" s="185">
        <f>IFERROR(IF($C174="",-0.00001,SUMIFS(Database!Q:Q,Database!$E:$E,$C174)),-0.00001)</f>
        <v>-1.0000000000000001E-5</v>
      </c>
      <c r="P174" s="186">
        <f t="shared" si="6"/>
        <v>-1.0000000000000001E-5</v>
      </c>
      <c r="Q174" s="185">
        <f>IFERROR(IF($C174="",-0.00001,SUMIFS(Database!S:S,Database!$E:$E,$C174)),-0.00001)</f>
        <v>-1.0000000000000001E-5</v>
      </c>
      <c r="R174" s="185">
        <f>IFERROR(IF($C174="",-0.00001,SUMIFS(Database!T:T,Database!$E:$E,$C174)),-0.00001)</f>
        <v>-1.0000000000000001E-5</v>
      </c>
      <c r="S174" s="186">
        <f t="shared" si="7"/>
        <v>-1.0000000000000001E-5</v>
      </c>
      <c r="T174" s="185">
        <f>IFERROR(IF($C174="",-0.00001,SUMIFS(Database!V:V,Database!$E:$E,$C174)),-0.00001)</f>
        <v>-1.0000000000000001E-5</v>
      </c>
      <c r="U174" s="185">
        <f>IFERROR(IF($C174="",-0.00001,SUMIFS(Database!W:W,Database!$E:$E,$C174)),-0.00001)</f>
        <v>-1.0000000000000001E-5</v>
      </c>
      <c r="V174" s="186">
        <f t="shared" si="8"/>
        <v>-1.0000000000000001E-5</v>
      </c>
      <c r="W174" s="187"/>
      <c r="X174" s="187"/>
      <c r="Y174" s="187"/>
      <c r="Z174" s="187"/>
      <c r="AA174" s="187"/>
      <c r="AB174" s="187"/>
      <c r="AC174" s="187"/>
      <c r="AD174" s="187"/>
      <c r="AE174" s="187"/>
    </row>
    <row r="175" spans="1:31" x14ac:dyDescent="0.25">
      <c r="A175" s="187"/>
      <c r="B175" s="187" t="str">
        <f>IF($C175="","",MAX($B$4:$B174)+1)</f>
        <v/>
      </c>
      <c r="C175" s="183"/>
      <c r="D175" s="183"/>
      <c r="E175" s="185">
        <f>IF($C175="",-0.00001,COUNTIF(Database!E:E,$C175))</f>
        <v>-1.0000000000000001E-5</v>
      </c>
      <c r="F175" s="185">
        <f>IFERROR(IF($C175="",-0.00001,SUMIFS(Database!H:H,Database!$E:$E,$C175)),-0.00001)</f>
        <v>-1.0000000000000001E-5</v>
      </c>
      <c r="G175" s="185">
        <f>IFERROR(IF($C175="",-0.00001,SUMIFS(Database!I:I,Database!$E:$E,$C175)),-0.00001)</f>
        <v>-1.0000000000000001E-5</v>
      </c>
      <c r="H175" s="185">
        <f>IFERROR(IF($C175="",-0.00001,SUMIFS(Database!J:J,Database!$E:$E,$C175)),-0.00001)</f>
        <v>-1.0000000000000001E-5</v>
      </c>
      <c r="I175" s="185">
        <f>IFERROR(IF($C175="",-0.00001,SUMIFS(Database!K:K,Database!$E:$E,$C175)),-0.00001)</f>
        <v>-1.0000000000000001E-5</v>
      </c>
      <c r="J175" s="185">
        <f>IFERROR(IF($C175="",-0.00001,SUMIFS(Database!L:L,Database!$E:$E,$C175)),-0.00001)</f>
        <v>-1.0000000000000001E-5</v>
      </c>
      <c r="K175" s="185">
        <f>IFERROR(IF($C175="",-0.00001,SUMIFS(Database!M:M,Database!$E:$E,$C175)),-0.00001)</f>
        <v>-1.0000000000000001E-5</v>
      </c>
      <c r="L175" s="185">
        <f>IFERROR(IF($C175="",-0.00001,SUMIFS(Database!N:N,Database!$E:$E,$C175)),-0.00001)</f>
        <v>-1.0000000000000001E-5</v>
      </c>
      <c r="M175" s="185">
        <f>IFERROR(IF($C175="",-0.00001,SUMIFS(Database!O:O,Database!$E:$E,$C175)),-0.00001)</f>
        <v>-1.0000000000000001E-5</v>
      </c>
      <c r="N175" s="185">
        <f>IFERROR(IF($C175="",-0.00001,SUMIFS(Database!P:P,Database!$E:$E,$C175)),-0.00001)</f>
        <v>-1.0000000000000001E-5</v>
      </c>
      <c r="O175" s="185">
        <f>IFERROR(IF($C175="",-0.00001,SUMIFS(Database!Q:Q,Database!$E:$E,$C175)),-0.00001)</f>
        <v>-1.0000000000000001E-5</v>
      </c>
      <c r="P175" s="186">
        <f t="shared" si="6"/>
        <v>-1.0000000000000001E-5</v>
      </c>
      <c r="Q175" s="185">
        <f>IFERROR(IF($C175="",-0.00001,SUMIFS(Database!S:S,Database!$E:$E,$C175)),-0.00001)</f>
        <v>-1.0000000000000001E-5</v>
      </c>
      <c r="R175" s="185">
        <f>IFERROR(IF($C175="",-0.00001,SUMIFS(Database!T:T,Database!$E:$E,$C175)),-0.00001)</f>
        <v>-1.0000000000000001E-5</v>
      </c>
      <c r="S175" s="186">
        <f t="shared" si="7"/>
        <v>-1.0000000000000001E-5</v>
      </c>
      <c r="T175" s="185">
        <f>IFERROR(IF($C175="",-0.00001,SUMIFS(Database!V:V,Database!$E:$E,$C175)),-0.00001)</f>
        <v>-1.0000000000000001E-5</v>
      </c>
      <c r="U175" s="185">
        <f>IFERROR(IF($C175="",-0.00001,SUMIFS(Database!W:W,Database!$E:$E,$C175)),-0.00001)</f>
        <v>-1.0000000000000001E-5</v>
      </c>
      <c r="V175" s="186">
        <f t="shared" si="8"/>
        <v>-1.0000000000000001E-5</v>
      </c>
      <c r="W175" s="187"/>
      <c r="X175" s="187"/>
      <c r="Y175" s="187"/>
      <c r="Z175" s="187"/>
      <c r="AA175" s="187"/>
      <c r="AB175" s="187"/>
      <c r="AC175" s="187"/>
      <c r="AD175" s="187"/>
      <c r="AE175" s="187"/>
    </row>
    <row r="176" spans="1:31" x14ac:dyDescent="0.25">
      <c r="A176" s="187"/>
      <c r="B176" s="187" t="str">
        <f>IF($C176="","",MAX($B$4:$B175)+1)</f>
        <v/>
      </c>
      <c r="C176" s="183"/>
      <c r="D176" s="183"/>
      <c r="E176" s="185">
        <f>IF($C176="",-0.00001,COUNTIF(Database!E:E,$C176))</f>
        <v>-1.0000000000000001E-5</v>
      </c>
      <c r="F176" s="185">
        <f>IFERROR(IF($C176="",-0.00001,SUMIFS(Database!H:H,Database!$E:$E,$C176)),-0.00001)</f>
        <v>-1.0000000000000001E-5</v>
      </c>
      <c r="G176" s="185">
        <f>IFERROR(IF($C176="",-0.00001,SUMIFS(Database!I:I,Database!$E:$E,$C176)),-0.00001)</f>
        <v>-1.0000000000000001E-5</v>
      </c>
      <c r="H176" s="185">
        <f>IFERROR(IF($C176="",-0.00001,SUMIFS(Database!J:J,Database!$E:$E,$C176)),-0.00001)</f>
        <v>-1.0000000000000001E-5</v>
      </c>
      <c r="I176" s="185">
        <f>IFERROR(IF($C176="",-0.00001,SUMIFS(Database!K:K,Database!$E:$E,$C176)),-0.00001)</f>
        <v>-1.0000000000000001E-5</v>
      </c>
      <c r="J176" s="185">
        <f>IFERROR(IF($C176="",-0.00001,SUMIFS(Database!L:L,Database!$E:$E,$C176)),-0.00001)</f>
        <v>-1.0000000000000001E-5</v>
      </c>
      <c r="K176" s="185">
        <f>IFERROR(IF($C176="",-0.00001,SUMIFS(Database!M:M,Database!$E:$E,$C176)),-0.00001)</f>
        <v>-1.0000000000000001E-5</v>
      </c>
      <c r="L176" s="185">
        <f>IFERROR(IF($C176="",-0.00001,SUMIFS(Database!N:N,Database!$E:$E,$C176)),-0.00001)</f>
        <v>-1.0000000000000001E-5</v>
      </c>
      <c r="M176" s="185">
        <f>IFERROR(IF($C176="",-0.00001,SUMIFS(Database!O:O,Database!$E:$E,$C176)),-0.00001)</f>
        <v>-1.0000000000000001E-5</v>
      </c>
      <c r="N176" s="185">
        <f>IFERROR(IF($C176="",-0.00001,SUMIFS(Database!P:P,Database!$E:$E,$C176)),-0.00001)</f>
        <v>-1.0000000000000001E-5</v>
      </c>
      <c r="O176" s="185">
        <f>IFERROR(IF($C176="",-0.00001,SUMIFS(Database!Q:Q,Database!$E:$E,$C176)),-0.00001)</f>
        <v>-1.0000000000000001E-5</v>
      </c>
      <c r="P176" s="186">
        <f t="shared" si="6"/>
        <v>-1.0000000000000001E-5</v>
      </c>
      <c r="Q176" s="185">
        <f>IFERROR(IF($C176="",-0.00001,SUMIFS(Database!S:S,Database!$E:$E,$C176)),-0.00001)</f>
        <v>-1.0000000000000001E-5</v>
      </c>
      <c r="R176" s="185">
        <f>IFERROR(IF($C176="",-0.00001,SUMIFS(Database!T:T,Database!$E:$E,$C176)),-0.00001)</f>
        <v>-1.0000000000000001E-5</v>
      </c>
      <c r="S176" s="186">
        <f t="shared" si="7"/>
        <v>-1.0000000000000001E-5</v>
      </c>
      <c r="T176" s="185">
        <f>IFERROR(IF($C176="",-0.00001,SUMIFS(Database!V:V,Database!$E:$E,$C176)),-0.00001)</f>
        <v>-1.0000000000000001E-5</v>
      </c>
      <c r="U176" s="185">
        <f>IFERROR(IF($C176="",-0.00001,SUMIFS(Database!W:W,Database!$E:$E,$C176)),-0.00001)</f>
        <v>-1.0000000000000001E-5</v>
      </c>
      <c r="V176" s="186">
        <f t="shared" si="8"/>
        <v>-1.0000000000000001E-5</v>
      </c>
      <c r="W176" s="187"/>
      <c r="X176" s="187"/>
      <c r="Y176" s="187"/>
      <c r="Z176" s="187"/>
      <c r="AA176" s="187"/>
      <c r="AB176" s="187"/>
      <c r="AC176" s="187"/>
      <c r="AD176" s="187"/>
      <c r="AE176" s="187"/>
    </row>
    <row r="177" spans="1:31" x14ac:dyDescent="0.25">
      <c r="A177" s="187"/>
      <c r="B177" s="187" t="str">
        <f>IF($C177="","",MAX($B$4:$B176)+1)</f>
        <v/>
      </c>
      <c r="C177" s="183"/>
      <c r="D177" s="183"/>
      <c r="E177" s="185">
        <f>IF($C177="",-0.00001,COUNTIF(Database!E:E,$C177))</f>
        <v>-1.0000000000000001E-5</v>
      </c>
      <c r="F177" s="185">
        <f>IFERROR(IF($C177="",-0.00001,SUMIFS(Database!H:H,Database!$E:$E,$C177)),-0.00001)</f>
        <v>-1.0000000000000001E-5</v>
      </c>
      <c r="G177" s="185">
        <f>IFERROR(IF($C177="",-0.00001,SUMIFS(Database!I:I,Database!$E:$E,$C177)),-0.00001)</f>
        <v>-1.0000000000000001E-5</v>
      </c>
      <c r="H177" s="185">
        <f>IFERROR(IF($C177="",-0.00001,SUMIFS(Database!J:J,Database!$E:$E,$C177)),-0.00001)</f>
        <v>-1.0000000000000001E-5</v>
      </c>
      <c r="I177" s="185">
        <f>IFERROR(IF($C177="",-0.00001,SUMIFS(Database!K:K,Database!$E:$E,$C177)),-0.00001)</f>
        <v>-1.0000000000000001E-5</v>
      </c>
      <c r="J177" s="185">
        <f>IFERROR(IF($C177="",-0.00001,SUMIFS(Database!L:L,Database!$E:$E,$C177)),-0.00001)</f>
        <v>-1.0000000000000001E-5</v>
      </c>
      <c r="K177" s="185">
        <f>IFERROR(IF($C177="",-0.00001,SUMIFS(Database!M:M,Database!$E:$E,$C177)),-0.00001)</f>
        <v>-1.0000000000000001E-5</v>
      </c>
      <c r="L177" s="185">
        <f>IFERROR(IF($C177="",-0.00001,SUMIFS(Database!N:N,Database!$E:$E,$C177)),-0.00001)</f>
        <v>-1.0000000000000001E-5</v>
      </c>
      <c r="M177" s="185">
        <f>IFERROR(IF($C177="",-0.00001,SUMIFS(Database!O:O,Database!$E:$E,$C177)),-0.00001)</f>
        <v>-1.0000000000000001E-5</v>
      </c>
      <c r="N177" s="185">
        <f>IFERROR(IF($C177="",-0.00001,SUMIFS(Database!P:P,Database!$E:$E,$C177)),-0.00001)</f>
        <v>-1.0000000000000001E-5</v>
      </c>
      <c r="O177" s="185">
        <f>IFERROR(IF($C177="",-0.00001,SUMIFS(Database!Q:Q,Database!$E:$E,$C177)),-0.00001)</f>
        <v>-1.0000000000000001E-5</v>
      </c>
      <c r="P177" s="186">
        <f t="shared" si="6"/>
        <v>-1.0000000000000001E-5</v>
      </c>
      <c r="Q177" s="185">
        <f>IFERROR(IF($C177="",-0.00001,SUMIFS(Database!S:S,Database!$E:$E,$C177)),-0.00001)</f>
        <v>-1.0000000000000001E-5</v>
      </c>
      <c r="R177" s="185">
        <f>IFERROR(IF($C177="",-0.00001,SUMIFS(Database!T:T,Database!$E:$E,$C177)),-0.00001)</f>
        <v>-1.0000000000000001E-5</v>
      </c>
      <c r="S177" s="186">
        <f t="shared" si="7"/>
        <v>-1.0000000000000001E-5</v>
      </c>
      <c r="T177" s="185">
        <f>IFERROR(IF($C177="",-0.00001,SUMIFS(Database!V:V,Database!$E:$E,$C177)),-0.00001)</f>
        <v>-1.0000000000000001E-5</v>
      </c>
      <c r="U177" s="185">
        <f>IFERROR(IF($C177="",-0.00001,SUMIFS(Database!W:W,Database!$E:$E,$C177)),-0.00001)</f>
        <v>-1.0000000000000001E-5</v>
      </c>
      <c r="V177" s="186">
        <f t="shared" si="8"/>
        <v>-1.0000000000000001E-5</v>
      </c>
      <c r="W177" s="187"/>
      <c r="X177" s="187"/>
      <c r="Y177" s="187"/>
      <c r="Z177" s="187"/>
      <c r="AA177" s="187"/>
      <c r="AB177" s="187"/>
      <c r="AC177" s="187"/>
      <c r="AD177" s="187"/>
      <c r="AE177" s="187"/>
    </row>
    <row r="178" spans="1:31" x14ac:dyDescent="0.25">
      <c r="A178" s="187"/>
      <c r="B178" s="187" t="str">
        <f>IF($C178="","",MAX($B$4:$B177)+1)</f>
        <v/>
      </c>
      <c r="C178" s="183"/>
      <c r="D178" s="183"/>
      <c r="E178" s="185">
        <f>IF($C178="",-0.00001,COUNTIF(Database!E:E,$C178))</f>
        <v>-1.0000000000000001E-5</v>
      </c>
      <c r="F178" s="185">
        <f>IFERROR(IF($C178="",-0.00001,SUMIFS(Database!H:H,Database!$E:$E,$C178)),-0.00001)</f>
        <v>-1.0000000000000001E-5</v>
      </c>
      <c r="G178" s="185">
        <f>IFERROR(IF($C178="",-0.00001,SUMIFS(Database!I:I,Database!$E:$E,$C178)),-0.00001)</f>
        <v>-1.0000000000000001E-5</v>
      </c>
      <c r="H178" s="185">
        <f>IFERROR(IF($C178="",-0.00001,SUMIFS(Database!J:J,Database!$E:$E,$C178)),-0.00001)</f>
        <v>-1.0000000000000001E-5</v>
      </c>
      <c r="I178" s="185">
        <f>IFERROR(IF($C178="",-0.00001,SUMIFS(Database!K:K,Database!$E:$E,$C178)),-0.00001)</f>
        <v>-1.0000000000000001E-5</v>
      </c>
      <c r="J178" s="185">
        <f>IFERROR(IF($C178="",-0.00001,SUMIFS(Database!L:L,Database!$E:$E,$C178)),-0.00001)</f>
        <v>-1.0000000000000001E-5</v>
      </c>
      <c r="K178" s="185">
        <f>IFERROR(IF($C178="",-0.00001,SUMIFS(Database!M:M,Database!$E:$E,$C178)),-0.00001)</f>
        <v>-1.0000000000000001E-5</v>
      </c>
      <c r="L178" s="185">
        <f>IFERROR(IF($C178="",-0.00001,SUMIFS(Database!N:N,Database!$E:$E,$C178)),-0.00001)</f>
        <v>-1.0000000000000001E-5</v>
      </c>
      <c r="M178" s="185">
        <f>IFERROR(IF($C178="",-0.00001,SUMIFS(Database!O:O,Database!$E:$E,$C178)),-0.00001)</f>
        <v>-1.0000000000000001E-5</v>
      </c>
      <c r="N178" s="185">
        <f>IFERROR(IF($C178="",-0.00001,SUMIFS(Database!P:P,Database!$E:$E,$C178)),-0.00001)</f>
        <v>-1.0000000000000001E-5</v>
      </c>
      <c r="O178" s="185">
        <f>IFERROR(IF($C178="",-0.00001,SUMIFS(Database!Q:Q,Database!$E:$E,$C178)),-0.00001)</f>
        <v>-1.0000000000000001E-5</v>
      </c>
      <c r="P178" s="186">
        <f t="shared" si="6"/>
        <v>-1.0000000000000001E-5</v>
      </c>
      <c r="Q178" s="185">
        <f>IFERROR(IF($C178="",-0.00001,SUMIFS(Database!S:S,Database!$E:$E,$C178)),-0.00001)</f>
        <v>-1.0000000000000001E-5</v>
      </c>
      <c r="R178" s="185">
        <f>IFERROR(IF($C178="",-0.00001,SUMIFS(Database!T:T,Database!$E:$E,$C178)),-0.00001)</f>
        <v>-1.0000000000000001E-5</v>
      </c>
      <c r="S178" s="186">
        <f t="shared" si="7"/>
        <v>-1.0000000000000001E-5</v>
      </c>
      <c r="T178" s="185">
        <f>IFERROR(IF($C178="",-0.00001,SUMIFS(Database!V:V,Database!$E:$E,$C178)),-0.00001)</f>
        <v>-1.0000000000000001E-5</v>
      </c>
      <c r="U178" s="185">
        <f>IFERROR(IF($C178="",-0.00001,SUMIFS(Database!W:W,Database!$E:$E,$C178)),-0.00001)</f>
        <v>-1.0000000000000001E-5</v>
      </c>
      <c r="V178" s="186">
        <f t="shared" si="8"/>
        <v>-1.0000000000000001E-5</v>
      </c>
      <c r="W178" s="187"/>
      <c r="X178" s="187"/>
      <c r="Y178" s="187"/>
      <c r="Z178" s="187"/>
      <c r="AA178" s="187"/>
      <c r="AB178" s="187"/>
      <c r="AC178" s="187"/>
      <c r="AD178" s="187"/>
      <c r="AE178" s="187"/>
    </row>
    <row r="179" spans="1:31" x14ac:dyDescent="0.25">
      <c r="A179" s="187"/>
      <c r="B179" s="187" t="str">
        <f>IF($C179="","",MAX($B$4:$B178)+1)</f>
        <v/>
      </c>
      <c r="C179" s="183"/>
      <c r="D179" s="183"/>
      <c r="E179" s="185">
        <f>IF($C179="",-0.00001,COUNTIF(Database!E:E,$C179))</f>
        <v>-1.0000000000000001E-5</v>
      </c>
      <c r="F179" s="185">
        <f>IFERROR(IF($C179="",-0.00001,SUMIFS(Database!H:H,Database!$E:$E,$C179)),-0.00001)</f>
        <v>-1.0000000000000001E-5</v>
      </c>
      <c r="G179" s="185">
        <f>IFERROR(IF($C179="",-0.00001,SUMIFS(Database!I:I,Database!$E:$E,$C179)),-0.00001)</f>
        <v>-1.0000000000000001E-5</v>
      </c>
      <c r="H179" s="185">
        <f>IFERROR(IF($C179="",-0.00001,SUMIFS(Database!J:J,Database!$E:$E,$C179)),-0.00001)</f>
        <v>-1.0000000000000001E-5</v>
      </c>
      <c r="I179" s="185">
        <f>IFERROR(IF($C179="",-0.00001,SUMIFS(Database!K:K,Database!$E:$E,$C179)),-0.00001)</f>
        <v>-1.0000000000000001E-5</v>
      </c>
      <c r="J179" s="185">
        <f>IFERROR(IF($C179="",-0.00001,SUMIFS(Database!L:L,Database!$E:$E,$C179)),-0.00001)</f>
        <v>-1.0000000000000001E-5</v>
      </c>
      <c r="K179" s="185">
        <f>IFERROR(IF($C179="",-0.00001,SUMIFS(Database!M:M,Database!$E:$E,$C179)),-0.00001)</f>
        <v>-1.0000000000000001E-5</v>
      </c>
      <c r="L179" s="185">
        <f>IFERROR(IF($C179="",-0.00001,SUMIFS(Database!N:N,Database!$E:$E,$C179)),-0.00001)</f>
        <v>-1.0000000000000001E-5</v>
      </c>
      <c r="M179" s="185">
        <f>IFERROR(IF($C179="",-0.00001,SUMIFS(Database!O:O,Database!$E:$E,$C179)),-0.00001)</f>
        <v>-1.0000000000000001E-5</v>
      </c>
      <c r="N179" s="185">
        <f>IFERROR(IF($C179="",-0.00001,SUMIFS(Database!P:P,Database!$E:$E,$C179)),-0.00001)</f>
        <v>-1.0000000000000001E-5</v>
      </c>
      <c r="O179" s="185">
        <f>IFERROR(IF($C179="",-0.00001,SUMIFS(Database!Q:Q,Database!$E:$E,$C179)),-0.00001)</f>
        <v>-1.0000000000000001E-5</v>
      </c>
      <c r="P179" s="186">
        <f t="shared" si="6"/>
        <v>-1.0000000000000001E-5</v>
      </c>
      <c r="Q179" s="185">
        <f>IFERROR(IF($C179="",-0.00001,SUMIFS(Database!S:S,Database!$E:$E,$C179)),-0.00001)</f>
        <v>-1.0000000000000001E-5</v>
      </c>
      <c r="R179" s="185">
        <f>IFERROR(IF($C179="",-0.00001,SUMIFS(Database!T:T,Database!$E:$E,$C179)),-0.00001)</f>
        <v>-1.0000000000000001E-5</v>
      </c>
      <c r="S179" s="186">
        <f t="shared" si="7"/>
        <v>-1.0000000000000001E-5</v>
      </c>
      <c r="T179" s="185">
        <f>IFERROR(IF($C179="",-0.00001,SUMIFS(Database!V:V,Database!$E:$E,$C179)),-0.00001)</f>
        <v>-1.0000000000000001E-5</v>
      </c>
      <c r="U179" s="185">
        <f>IFERROR(IF($C179="",-0.00001,SUMIFS(Database!W:W,Database!$E:$E,$C179)),-0.00001)</f>
        <v>-1.0000000000000001E-5</v>
      </c>
      <c r="V179" s="186">
        <f t="shared" si="8"/>
        <v>-1.0000000000000001E-5</v>
      </c>
      <c r="W179" s="187"/>
      <c r="X179" s="187"/>
      <c r="Y179" s="187"/>
      <c r="Z179" s="187"/>
      <c r="AA179" s="187"/>
      <c r="AB179" s="187"/>
      <c r="AC179" s="187"/>
      <c r="AD179" s="187"/>
      <c r="AE179" s="187"/>
    </row>
    <row r="180" spans="1:31" x14ac:dyDescent="0.25">
      <c r="A180" s="187"/>
      <c r="B180" s="187" t="str">
        <f>IF($C180="","",MAX($B$4:$B179)+1)</f>
        <v/>
      </c>
      <c r="C180" s="183"/>
      <c r="D180" s="183"/>
      <c r="E180" s="185">
        <f>IF($C180="",-0.00001,COUNTIF(Database!E:E,$C180))</f>
        <v>-1.0000000000000001E-5</v>
      </c>
      <c r="F180" s="185">
        <f>IFERROR(IF($C180="",-0.00001,SUMIFS(Database!H:H,Database!$E:$E,$C180)),-0.00001)</f>
        <v>-1.0000000000000001E-5</v>
      </c>
      <c r="G180" s="185">
        <f>IFERROR(IF($C180="",-0.00001,SUMIFS(Database!I:I,Database!$E:$E,$C180)),-0.00001)</f>
        <v>-1.0000000000000001E-5</v>
      </c>
      <c r="H180" s="185">
        <f>IFERROR(IF($C180="",-0.00001,SUMIFS(Database!J:J,Database!$E:$E,$C180)),-0.00001)</f>
        <v>-1.0000000000000001E-5</v>
      </c>
      <c r="I180" s="185">
        <f>IFERROR(IF($C180="",-0.00001,SUMIFS(Database!K:K,Database!$E:$E,$C180)),-0.00001)</f>
        <v>-1.0000000000000001E-5</v>
      </c>
      <c r="J180" s="185">
        <f>IFERROR(IF($C180="",-0.00001,SUMIFS(Database!L:L,Database!$E:$E,$C180)),-0.00001)</f>
        <v>-1.0000000000000001E-5</v>
      </c>
      <c r="K180" s="185">
        <f>IFERROR(IF($C180="",-0.00001,SUMIFS(Database!M:M,Database!$E:$E,$C180)),-0.00001)</f>
        <v>-1.0000000000000001E-5</v>
      </c>
      <c r="L180" s="185">
        <f>IFERROR(IF($C180="",-0.00001,SUMIFS(Database!N:N,Database!$E:$E,$C180)),-0.00001)</f>
        <v>-1.0000000000000001E-5</v>
      </c>
      <c r="M180" s="185">
        <f>IFERROR(IF($C180="",-0.00001,SUMIFS(Database!O:O,Database!$E:$E,$C180)),-0.00001)</f>
        <v>-1.0000000000000001E-5</v>
      </c>
      <c r="N180" s="185">
        <f>IFERROR(IF($C180="",-0.00001,SUMIFS(Database!P:P,Database!$E:$E,$C180)),-0.00001)</f>
        <v>-1.0000000000000001E-5</v>
      </c>
      <c r="O180" s="185">
        <f>IFERROR(IF($C180="",-0.00001,SUMIFS(Database!Q:Q,Database!$E:$E,$C180)),-0.00001)</f>
        <v>-1.0000000000000001E-5</v>
      </c>
      <c r="P180" s="186">
        <f t="shared" si="6"/>
        <v>-1.0000000000000001E-5</v>
      </c>
      <c r="Q180" s="185">
        <f>IFERROR(IF($C180="",-0.00001,SUMIFS(Database!S:S,Database!$E:$E,$C180)),-0.00001)</f>
        <v>-1.0000000000000001E-5</v>
      </c>
      <c r="R180" s="185">
        <f>IFERROR(IF($C180="",-0.00001,SUMIFS(Database!T:T,Database!$E:$E,$C180)),-0.00001)</f>
        <v>-1.0000000000000001E-5</v>
      </c>
      <c r="S180" s="186">
        <f t="shared" si="7"/>
        <v>-1.0000000000000001E-5</v>
      </c>
      <c r="T180" s="185">
        <f>IFERROR(IF($C180="",-0.00001,SUMIFS(Database!V:V,Database!$E:$E,$C180)),-0.00001)</f>
        <v>-1.0000000000000001E-5</v>
      </c>
      <c r="U180" s="185">
        <f>IFERROR(IF($C180="",-0.00001,SUMIFS(Database!W:W,Database!$E:$E,$C180)),-0.00001)</f>
        <v>-1.0000000000000001E-5</v>
      </c>
      <c r="V180" s="186">
        <f t="shared" si="8"/>
        <v>-1.0000000000000001E-5</v>
      </c>
      <c r="W180" s="187"/>
      <c r="X180" s="187"/>
      <c r="Y180" s="187"/>
      <c r="Z180" s="187"/>
      <c r="AA180" s="187"/>
      <c r="AB180" s="187"/>
      <c r="AC180" s="187"/>
      <c r="AD180" s="187"/>
      <c r="AE180" s="187"/>
    </row>
    <row r="181" spans="1:31" x14ac:dyDescent="0.25">
      <c r="A181" s="187"/>
      <c r="B181" s="187" t="str">
        <f>IF($C181="","",MAX($B$4:$B180)+1)</f>
        <v/>
      </c>
      <c r="C181" s="183"/>
      <c r="D181" s="183"/>
      <c r="E181" s="185">
        <f>IF($C181="",-0.00001,COUNTIF(Database!E:E,$C181))</f>
        <v>-1.0000000000000001E-5</v>
      </c>
      <c r="F181" s="185">
        <f>IFERROR(IF($C181="",-0.00001,SUMIFS(Database!H:H,Database!$E:$E,$C181)),-0.00001)</f>
        <v>-1.0000000000000001E-5</v>
      </c>
      <c r="G181" s="185">
        <f>IFERROR(IF($C181="",-0.00001,SUMIFS(Database!I:I,Database!$E:$E,$C181)),-0.00001)</f>
        <v>-1.0000000000000001E-5</v>
      </c>
      <c r="H181" s="185">
        <f>IFERROR(IF($C181="",-0.00001,SUMIFS(Database!J:J,Database!$E:$E,$C181)),-0.00001)</f>
        <v>-1.0000000000000001E-5</v>
      </c>
      <c r="I181" s="185">
        <f>IFERROR(IF($C181="",-0.00001,SUMIFS(Database!K:K,Database!$E:$E,$C181)),-0.00001)</f>
        <v>-1.0000000000000001E-5</v>
      </c>
      <c r="J181" s="185">
        <f>IFERROR(IF($C181="",-0.00001,SUMIFS(Database!L:L,Database!$E:$E,$C181)),-0.00001)</f>
        <v>-1.0000000000000001E-5</v>
      </c>
      <c r="K181" s="185">
        <f>IFERROR(IF($C181="",-0.00001,SUMIFS(Database!M:M,Database!$E:$E,$C181)),-0.00001)</f>
        <v>-1.0000000000000001E-5</v>
      </c>
      <c r="L181" s="185">
        <f>IFERROR(IF($C181="",-0.00001,SUMIFS(Database!N:N,Database!$E:$E,$C181)),-0.00001)</f>
        <v>-1.0000000000000001E-5</v>
      </c>
      <c r="M181" s="185">
        <f>IFERROR(IF($C181="",-0.00001,SUMIFS(Database!O:O,Database!$E:$E,$C181)),-0.00001)</f>
        <v>-1.0000000000000001E-5</v>
      </c>
      <c r="N181" s="185">
        <f>IFERROR(IF($C181="",-0.00001,SUMIFS(Database!P:P,Database!$E:$E,$C181)),-0.00001)</f>
        <v>-1.0000000000000001E-5</v>
      </c>
      <c r="O181" s="185">
        <f>IFERROR(IF($C181="",-0.00001,SUMIFS(Database!Q:Q,Database!$E:$E,$C181)),-0.00001)</f>
        <v>-1.0000000000000001E-5</v>
      </c>
      <c r="P181" s="186">
        <f t="shared" si="6"/>
        <v>-1.0000000000000001E-5</v>
      </c>
      <c r="Q181" s="185">
        <f>IFERROR(IF($C181="",-0.00001,SUMIFS(Database!S:S,Database!$E:$E,$C181)),-0.00001)</f>
        <v>-1.0000000000000001E-5</v>
      </c>
      <c r="R181" s="185">
        <f>IFERROR(IF($C181="",-0.00001,SUMIFS(Database!T:T,Database!$E:$E,$C181)),-0.00001)</f>
        <v>-1.0000000000000001E-5</v>
      </c>
      <c r="S181" s="186">
        <f t="shared" si="7"/>
        <v>-1.0000000000000001E-5</v>
      </c>
      <c r="T181" s="185">
        <f>IFERROR(IF($C181="",-0.00001,SUMIFS(Database!V:V,Database!$E:$E,$C181)),-0.00001)</f>
        <v>-1.0000000000000001E-5</v>
      </c>
      <c r="U181" s="185">
        <f>IFERROR(IF($C181="",-0.00001,SUMIFS(Database!W:W,Database!$E:$E,$C181)),-0.00001)</f>
        <v>-1.0000000000000001E-5</v>
      </c>
      <c r="V181" s="186">
        <f t="shared" si="8"/>
        <v>-1.0000000000000001E-5</v>
      </c>
      <c r="W181" s="187"/>
      <c r="X181" s="187"/>
      <c r="Y181" s="187"/>
      <c r="Z181" s="187"/>
      <c r="AA181" s="187"/>
      <c r="AB181" s="187"/>
      <c r="AC181" s="187"/>
      <c r="AD181" s="187"/>
      <c r="AE181" s="187"/>
    </row>
    <row r="182" spans="1:31" x14ac:dyDescent="0.25">
      <c r="A182" s="187"/>
      <c r="B182" s="187" t="str">
        <f>IF($C182="","",MAX($B$4:$B181)+1)</f>
        <v/>
      </c>
      <c r="C182" s="183"/>
      <c r="D182" s="183"/>
      <c r="E182" s="185">
        <f>IF($C182="",-0.00001,COUNTIF(Database!E:E,$C182))</f>
        <v>-1.0000000000000001E-5</v>
      </c>
      <c r="F182" s="185">
        <f>IFERROR(IF($C182="",-0.00001,SUMIFS(Database!H:H,Database!$E:$E,$C182)),-0.00001)</f>
        <v>-1.0000000000000001E-5</v>
      </c>
      <c r="G182" s="185">
        <f>IFERROR(IF($C182="",-0.00001,SUMIFS(Database!I:I,Database!$E:$E,$C182)),-0.00001)</f>
        <v>-1.0000000000000001E-5</v>
      </c>
      <c r="H182" s="185">
        <f>IFERROR(IF($C182="",-0.00001,SUMIFS(Database!J:J,Database!$E:$E,$C182)),-0.00001)</f>
        <v>-1.0000000000000001E-5</v>
      </c>
      <c r="I182" s="185">
        <f>IFERROR(IF($C182="",-0.00001,SUMIFS(Database!K:K,Database!$E:$E,$C182)),-0.00001)</f>
        <v>-1.0000000000000001E-5</v>
      </c>
      <c r="J182" s="185">
        <f>IFERROR(IF($C182="",-0.00001,SUMIFS(Database!L:L,Database!$E:$E,$C182)),-0.00001)</f>
        <v>-1.0000000000000001E-5</v>
      </c>
      <c r="K182" s="185">
        <f>IFERROR(IF($C182="",-0.00001,SUMIFS(Database!M:M,Database!$E:$E,$C182)),-0.00001)</f>
        <v>-1.0000000000000001E-5</v>
      </c>
      <c r="L182" s="185">
        <f>IFERROR(IF($C182="",-0.00001,SUMIFS(Database!N:N,Database!$E:$E,$C182)),-0.00001)</f>
        <v>-1.0000000000000001E-5</v>
      </c>
      <c r="M182" s="185">
        <f>IFERROR(IF($C182="",-0.00001,SUMIFS(Database!O:O,Database!$E:$E,$C182)),-0.00001)</f>
        <v>-1.0000000000000001E-5</v>
      </c>
      <c r="N182" s="185">
        <f>IFERROR(IF($C182="",-0.00001,SUMIFS(Database!P:P,Database!$E:$E,$C182)),-0.00001)</f>
        <v>-1.0000000000000001E-5</v>
      </c>
      <c r="O182" s="185">
        <f>IFERROR(IF($C182="",-0.00001,SUMIFS(Database!Q:Q,Database!$E:$E,$C182)),-0.00001)</f>
        <v>-1.0000000000000001E-5</v>
      </c>
      <c r="P182" s="186">
        <f t="shared" si="6"/>
        <v>-1.0000000000000001E-5</v>
      </c>
      <c r="Q182" s="185">
        <f>IFERROR(IF($C182="",-0.00001,SUMIFS(Database!S:S,Database!$E:$E,$C182)),-0.00001)</f>
        <v>-1.0000000000000001E-5</v>
      </c>
      <c r="R182" s="185">
        <f>IFERROR(IF($C182="",-0.00001,SUMIFS(Database!T:T,Database!$E:$E,$C182)),-0.00001)</f>
        <v>-1.0000000000000001E-5</v>
      </c>
      <c r="S182" s="186">
        <f t="shared" si="7"/>
        <v>-1.0000000000000001E-5</v>
      </c>
      <c r="T182" s="185">
        <f>IFERROR(IF($C182="",-0.00001,SUMIFS(Database!V:V,Database!$E:$E,$C182)),-0.00001)</f>
        <v>-1.0000000000000001E-5</v>
      </c>
      <c r="U182" s="185">
        <f>IFERROR(IF($C182="",-0.00001,SUMIFS(Database!W:W,Database!$E:$E,$C182)),-0.00001)</f>
        <v>-1.0000000000000001E-5</v>
      </c>
      <c r="V182" s="186">
        <f t="shared" si="8"/>
        <v>-1.0000000000000001E-5</v>
      </c>
      <c r="W182" s="187"/>
      <c r="X182" s="187"/>
      <c r="Y182" s="187"/>
      <c r="Z182" s="187"/>
      <c r="AA182" s="187"/>
      <c r="AB182" s="187"/>
      <c r="AC182" s="187"/>
      <c r="AD182" s="187"/>
      <c r="AE182" s="187"/>
    </row>
    <row r="183" spans="1:31" x14ac:dyDescent="0.25">
      <c r="A183" s="187"/>
      <c r="B183" s="187" t="str">
        <f>IF($C183="","",MAX($B$4:$B182)+1)</f>
        <v/>
      </c>
      <c r="C183" s="183"/>
      <c r="D183" s="183"/>
      <c r="E183" s="185">
        <f>IF($C183="",-0.00001,COUNTIF(Database!E:E,$C183))</f>
        <v>-1.0000000000000001E-5</v>
      </c>
      <c r="F183" s="185">
        <f>IFERROR(IF($C183="",-0.00001,SUMIFS(Database!H:H,Database!$E:$E,$C183)),-0.00001)</f>
        <v>-1.0000000000000001E-5</v>
      </c>
      <c r="G183" s="185">
        <f>IFERROR(IF($C183="",-0.00001,SUMIFS(Database!I:I,Database!$E:$E,$C183)),-0.00001)</f>
        <v>-1.0000000000000001E-5</v>
      </c>
      <c r="H183" s="185">
        <f>IFERROR(IF($C183="",-0.00001,SUMIFS(Database!J:J,Database!$E:$E,$C183)),-0.00001)</f>
        <v>-1.0000000000000001E-5</v>
      </c>
      <c r="I183" s="185">
        <f>IFERROR(IF($C183="",-0.00001,SUMIFS(Database!K:K,Database!$E:$E,$C183)),-0.00001)</f>
        <v>-1.0000000000000001E-5</v>
      </c>
      <c r="J183" s="185">
        <f>IFERROR(IF($C183="",-0.00001,SUMIFS(Database!L:L,Database!$E:$E,$C183)),-0.00001)</f>
        <v>-1.0000000000000001E-5</v>
      </c>
      <c r="K183" s="185">
        <f>IFERROR(IF($C183="",-0.00001,SUMIFS(Database!M:M,Database!$E:$E,$C183)),-0.00001)</f>
        <v>-1.0000000000000001E-5</v>
      </c>
      <c r="L183" s="185">
        <f>IFERROR(IF($C183="",-0.00001,SUMIFS(Database!N:N,Database!$E:$E,$C183)),-0.00001)</f>
        <v>-1.0000000000000001E-5</v>
      </c>
      <c r="M183" s="185">
        <f>IFERROR(IF($C183="",-0.00001,SUMIFS(Database!O:O,Database!$E:$E,$C183)),-0.00001)</f>
        <v>-1.0000000000000001E-5</v>
      </c>
      <c r="N183" s="185">
        <f>IFERROR(IF($C183="",-0.00001,SUMIFS(Database!P:P,Database!$E:$E,$C183)),-0.00001)</f>
        <v>-1.0000000000000001E-5</v>
      </c>
      <c r="O183" s="185">
        <f>IFERROR(IF($C183="",-0.00001,SUMIFS(Database!Q:Q,Database!$E:$E,$C183)),-0.00001)</f>
        <v>-1.0000000000000001E-5</v>
      </c>
      <c r="P183" s="186">
        <f t="shared" si="6"/>
        <v>-1.0000000000000001E-5</v>
      </c>
      <c r="Q183" s="185">
        <f>IFERROR(IF($C183="",-0.00001,SUMIFS(Database!S:S,Database!$E:$E,$C183)),-0.00001)</f>
        <v>-1.0000000000000001E-5</v>
      </c>
      <c r="R183" s="185">
        <f>IFERROR(IF($C183="",-0.00001,SUMIFS(Database!T:T,Database!$E:$E,$C183)),-0.00001)</f>
        <v>-1.0000000000000001E-5</v>
      </c>
      <c r="S183" s="186">
        <f t="shared" si="7"/>
        <v>-1.0000000000000001E-5</v>
      </c>
      <c r="T183" s="185">
        <f>IFERROR(IF($C183="",-0.00001,SUMIFS(Database!V:V,Database!$E:$E,$C183)),-0.00001)</f>
        <v>-1.0000000000000001E-5</v>
      </c>
      <c r="U183" s="185">
        <f>IFERROR(IF($C183="",-0.00001,SUMIFS(Database!W:W,Database!$E:$E,$C183)),-0.00001)</f>
        <v>-1.0000000000000001E-5</v>
      </c>
      <c r="V183" s="186">
        <f t="shared" si="8"/>
        <v>-1.0000000000000001E-5</v>
      </c>
      <c r="W183" s="187"/>
      <c r="X183" s="187"/>
      <c r="Y183" s="187"/>
      <c r="Z183" s="187"/>
      <c r="AA183" s="187"/>
      <c r="AB183" s="187"/>
      <c r="AC183" s="187"/>
      <c r="AD183" s="187"/>
      <c r="AE183" s="187"/>
    </row>
    <row r="184" spans="1:31" x14ac:dyDescent="0.25">
      <c r="A184" s="187"/>
      <c r="B184" s="187" t="str">
        <f>IF($C184="","",MAX($B$4:$B183)+1)</f>
        <v/>
      </c>
      <c r="C184" s="183"/>
      <c r="D184" s="183"/>
      <c r="E184" s="185">
        <f>IF($C184="",-0.00001,COUNTIF(Database!E:E,$C184))</f>
        <v>-1.0000000000000001E-5</v>
      </c>
      <c r="F184" s="185">
        <f>IFERROR(IF($C184="",-0.00001,SUMIFS(Database!H:H,Database!$E:$E,$C184)),-0.00001)</f>
        <v>-1.0000000000000001E-5</v>
      </c>
      <c r="G184" s="185">
        <f>IFERROR(IF($C184="",-0.00001,SUMIFS(Database!I:I,Database!$E:$E,$C184)),-0.00001)</f>
        <v>-1.0000000000000001E-5</v>
      </c>
      <c r="H184" s="185">
        <f>IFERROR(IF($C184="",-0.00001,SUMIFS(Database!J:J,Database!$E:$E,$C184)),-0.00001)</f>
        <v>-1.0000000000000001E-5</v>
      </c>
      <c r="I184" s="185">
        <f>IFERROR(IF($C184="",-0.00001,SUMIFS(Database!K:K,Database!$E:$E,$C184)),-0.00001)</f>
        <v>-1.0000000000000001E-5</v>
      </c>
      <c r="J184" s="185">
        <f>IFERROR(IF($C184="",-0.00001,SUMIFS(Database!L:L,Database!$E:$E,$C184)),-0.00001)</f>
        <v>-1.0000000000000001E-5</v>
      </c>
      <c r="K184" s="185">
        <f>IFERROR(IF($C184="",-0.00001,SUMIFS(Database!M:M,Database!$E:$E,$C184)),-0.00001)</f>
        <v>-1.0000000000000001E-5</v>
      </c>
      <c r="L184" s="185">
        <f>IFERROR(IF($C184="",-0.00001,SUMIFS(Database!N:N,Database!$E:$E,$C184)),-0.00001)</f>
        <v>-1.0000000000000001E-5</v>
      </c>
      <c r="M184" s="185">
        <f>IFERROR(IF($C184="",-0.00001,SUMIFS(Database!O:O,Database!$E:$E,$C184)),-0.00001)</f>
        <v>-1.0000000000000001E-5</v>
      </c>
      <c r="N184" s="185">
        <f>IFERROR(IF($C184="",-0.00001,SUMIFS(Database!P:P,Database!$E:$E,$C184)),-0.00001)</f>
        <v>-1.0000000000000001E-5</v>
      </c>
      <c r="O184" s="185">
        <f>IFERROR(IF($C184="",-0.00001,SUMIFS(Database!Q:Q,Database!$E:$E,$C184)),-0.00001)</f>
        <v>-1.0000000000000001E-5</v>
      </c>
      <c r="P184" s="186">
        <f t="shared" si="6"/>
        <v>-1.0000000000000001E-5</v>
      </c>
      <c r="Q184" s="185">
        <f>IFERROR(IF($C184="",-0.00001,SUMIFS(Database!S:S,Database!$E:$E,$C184)),-0.00001)</f>
        <v>-1.0000000000000001E-5</v>
      </c>
      <c r="R184" s="185">
        <f>IFERROR(IF($C184="",-0.00001,SUMIFS(Database!T:T,Database!$E:$E,$C184)),-0.00001)</f>
        <v>-1.0000000000000001E-5</v>
      </c>
      <c r="S184" s="186">
        <f t="shared" si="7"/>
        <v>-1.0000000000000001E-5</v>
      </c>
      <c r="T184" s="185">
        <f>IFERROR(IF($C184="",-0.00001,SUMIFS(Database!V:V,Database!$E:$E,$C184)),-0.00001)</f>
        <v>-1.0000000000000001E-5</v>
      </c>
      <c r="U184" s="185">
        <f>IFERROR(IF($C184="",-0.00001,SUMIFS(Database!W:W,Database!$E:$E,$C184)),-0.00001)</f>
        <v>-1.0000000000000001E-5</v>
      </c>
      <c r="V184" s="186">
        <f t="shared" si="8"/>
        <v>-1.0000000000000001E-5</v>
      </c>
      <c r="W184" s="187"/>
      <c r="X184" s="187"/>
      <c r="Y184" s="187"/>
      <c r="Z184" s="187"/>
      <c r="AA184" s="187"/>
      <c r="AB184" s="187"/>
      <c r="AC184" s="187"/>
      <c r="AD184" s="187"/>
      <c r="AE184" s="187"/>
    </row>
    <row r="185" spans="1:31" x14ac:dyDescent="0.25">
      <c r="A185" s="187"/>
      <c r="B185" s="187" t="str">
        <f>IF($C185="","",MAX($B$4:$B184)+1)</f>
        <v/>
      </c>
      <c r="C185" s="183"/>
      <c r="D185" s="183"/>
      <c r="E185" s="185">
        <f>IF($C185="",-0.00001,COUNTIF(Database!E:E,$C185))</f>
        <v>-1.0000000000000001E-5</v>
      </c>
      <c r="F185" s="185">
        <f>IFERROR(IF($C185="",-0.00001,SUMIFS(Database!H:H,Database!$E:$E,$C185)),-0.00001)</f>
        <v>-1.0000000000000001E-5</v>
      </c>
      <c r="G185" s="185">
        <f>IFERROR(IF($C185="",-0.00001,SUMIFS(Database!I:I,Database!$E:$E,$C185)),-0.00001)</f>
        <v>-1.0000000000000001E-5</v>
      </c>
      <c r="H185" s="185">
        <f>IFERROR(IF($C185="",-0.00001,SUMIFS(Database!J:J,Database!$E:$E,$C185)),-0.00001)</f>
        <v>-1.0000000000000001E-5</v>
      </c>
      <c r="I185" s="185">
        <f>IFERROR(IF($C185="",-0.00001,SUMIFS(Database!K:K,Database!$E:$E,$C185)),-0.00001)</f>
        <v>-1.0000000000000001E-5</v>
      </c>
      <c r="J185" s="185">
        <f>IFERROR(IF($C185="",-0.00001,SUMIFS(Database!L:L,Database!$E:$E,$C185)),-0.00001)</f>
        <v>-1.0000000000000001E-5</v>
      </c>
      <c r="K185" s="185">
        <f>IFERROR(IF($C185="",-0.00001,SUMIFS(Database!M:M,Database!$E:$E,$C185)),-0.00001)</f>
        <v>-1.0000000000000001E-5</v>
      </c>
      <c r="L185" s="185">
        <f>IFERROR(IF($C185="",-0.00001,SUMIFS(Database!N:N,Database!$E:$E,$C185)),-0.00001)</f>
        <v>-1.0000000000000001E-5</v>
      </c>
      <c r="M185" s="185">
        <f>IFERROR(IF($C185="",-0.00001,SUMIFS(Database!O:O,Database!$E:$E,$C185)),-0.00001)</f>
        <v>-1.0000000000000001E-5</v>
      </c>
      <c r="N185" s="185">
        <f>IFERROR(IF($C185="",-0.00001,SUMIFS(Database!P:P,Database!$E:$E,$C185)),-0.00001)</f>
        <v>-1.0000000000000001E-5</v>
      </c>
      <c r="O185" s="185">
        <f>IFERROR(IF($C185="",-0.00001,SUMIFS(Database!Q:Q,Database!$E:$E,$C185)),-0.00001)</f>
        <v>-1.0000000000000001E-5</v>
      </c>
      <c r="P185" s="186">
        <f t="shared" si="6"/>
        <v>-1.0000000000000001E-5</v>
      </c>
      <c r="Q185" s="185">
        <f>IFERROR(IF($C185="",-0.00001,SUMIFS(Database!S:S,Database!$E:$E,$C185)),-0.00001)</f>
        <v>-1.0000000000000001E-5</v>
      </c>
      <c r="R185" s="185">
        <f>IFERROR(IF($C185="",-0.00001,SUMIFS(Database!T:T,Database!$E:$E,$C185)),-0.00001)</f>
        <v>-1.0000000000000001E-5</v>
      </c>
      <c r="S185" s="186">
        <f t="shared" si="7"/>
        <v>-1.0000000000000001E-5</v>
      </c>
      <c r="T185" s="185">
        <f>IFERROR(IF($C185="",-0.00001,SUMIFS(Database!V:V,Database!$E:$E,$C185)),-0.00001)</f>
        <v>-1.0000000000000001E-5</v>
      </c>
      <c r="U185" s="185">
        <f>IFERROR(IF($C185="",-0.00001,SUMIFS(Database!W:W,Database!$E:$E,$C185)),-0.00001)</f>
        <v>-1.0000000000000001E-5</v>
      </c>
      <c r="V185" s="186">
        <f t="shared" si="8"/>
        <v>-1.0000000000000001E-5</v>
      </c>
      <c r="W185" s="187"/>
      <c r="X185" s="187"/>
      <c r="Y185" s="187"/>
      <c r="Z185" s="187"/>
      <c r="AA185" s="187"/>
      <c r="AB185" s="187"/>
      <c r="AC185" s="187"/>
      <c r="AD185" s="187"/>
      <c r="AE185" s="187"/>
    </row>
    <row r="186" spans="1:31" x14ac:dyDescent="0.25">
      <c r="A186" s="187"/>
      <c r="B186" s="187" t="str">
        <f>IF($C186="","",MAX($B$4:$B185)+1)</f>
        <v/>
      </c>
      <c r="C186" s="183"/>
      <c r="D186" s="183"/>
      <c r="E186" s="185">
        <f>IF($C186="",-0.00001,COUNTIF(Database!E:E,$C186))</f>
        <v>-1.0000000000000001E-5</v>
      </c>
      <c r="F186" s="185">
        <f>IFERROR(IF($C186="",-0.00001,SUMIFS(Database!H:H,Database!$E:$E,$C186)),-0.00001)</f>
        <v>-1.0000000000000001E-5</v>
      </c>
      <c r="G186" s="185">
        <f>IFERROR(IF($C186="",-0.00001,SUMIFS(Database!I:I,Database!$E:$E,$C186)),-0.00001)</f>
        <v>-1.0000000000000001E-5</v>
      </c>
      <c r="H186" s="185">
        <f>IFERROR(IF($C186="",-0.00001,SUMIFS(Database!J:J,Database!$E:$E,$C186)),-0.00001)</f>
        <v>-1.0000000000000001E-5</v>
      </c>
      <c r="I186" s="185">
        <f>IFERROR(IF($C186="",-0.00001,SUMIFS(Database!K:K,Database!$E:$E,$C186)),-0.00001)</f>
        <v>-1.0000000000000001E-5</v>
      </c>
      <c r="J186" s="185">
        <f>IFERROR(IF($C186="",-0.00001,SUMIFS(Database!L:L,Database!$E:$E,$C186)),-0.00001)</f>
        <v>-1.0000000000000001E-5</v>
      </c>
      <c r="K186" s="185">
        <f>IFERROR(IF($C186="",-0.00001,SUMIFS(Database!M:M,Database!$E:$E,$C186)),-0.00001)</f>
        <v>-1.0000000000000001E-5</v>
      </c>
      <c r="L186" s="185">
        <f>IFERROR(IF($C186="",-0.00001,SUMIFS(Database!N:N,Database!$E:$E,$C186)),-0.00001)</f>
        <v>-1.0000000000000001E-5</v>
      </c>
      <c r="M186" s="185">
        <f>IFERROR(IF($C186="",-0.00001,SUMIFS(Database!O:O,Database!$E:$E,$C186)),-0.00001)</f>
        <v>-1.0000000000000001E-5</v>
      </c>
      <c r="N186" s="185">
        <f>IFERROR(IF($C186="",-0.00001,SUMIFS(Database!P:P,Database!$E:$E,$C186)),-0.00001)</f>
        <v>-1.0000000000000001E-5</v>
      </c>
      <c r="O186" s="185">
        <f>IFERROR(IF($C186="",-0.00001,SUMIFS(Database!Q:Q,Database!$E:$E,$C186)),-0.00001)</f>
        <v>-1.0000000000000001E-5</v>
      </c>
      <c r="P186" s="186">
        <f t="shared" si="6"/>
        <v>-1.0000000000000001E-5</v>
      </c>
      <c r="Q186" s="185">
        <f>IFERROR(IF($C186="",-0.00001,SUMIFS(Database!S:S,Database!$E:$E,$C186)),-0.00001)</f>
        <v>-1.0000000000000001E-5</v>
      </c>
      <c r="R186" s="185">
        <f>IFERROR(IF($C186="",-0.00001,SUMIFS(Database!T:T,Database!$E:$E,$C186)),-0.00001)</f>
        <v>-1.0000000000000001E-5</v>
      </c>
      <c r="S186" s="186">
        <f t="shared" si="7"/>
        <v>-1.0000000000000001E-5</v>
      </c>
      <c r="T186" s="185">
        <f>IFERROR(IF($C186="",-0.00001,SUMIFS(Database!V:V,Database!$E:$E,$C186)),-0.00001)</f>
        <v>-1.0000000000000001E-5</v>
      </c>
      <c r="U186" s="185">
        <f>IFERROR(IF($C186="",-0.00001,SUMIFS(Database!W:W,Database!$E:$E,$C186)),-0.00001)</f>
        <v>-1.0000000000000001E-5</v>
      </c>
      <c r="V186" s="186">
        <f t="shared" si="8"/>
        <v>-1.0000000000000001E-5</v>
      </c>
      <c r="W186" s="187"/>
      <c r="X186" s="187"/>
      <c r="Y186" s="187"/>
      <c r="Z186" s="187"/>
      <c r="AA186" s="187"/>
      <c r="AB186" s="187"/>
      <c r="AC186" s="187"/>
      <c r="AD186" s="187"/>
      <c r="AE186" s="187"/>
    </row>
    <row r="187" spans="1:31" x14ac:dyDescent="0.25">
      <c r="A187" s="187"/>
      <c r="B187" s="187" t="str">
        <f>IF($C187="","",MAX($B$4:$B186)+1)</f>
        <v/>
      </c>
      <c r="C187" s="183"/>
      <c r="D187" s="183"/>
      <c r="E187" s="185">
        <f>IF($C187="",-0.00001,COUNTIF(Database!E:E,$C187))</f>
        <v>-1.0000000000000001E-5</v>
      </c>
      <c r="F187" s="185">
        <f>IFERROR(IF($C187="",-0.00001,SUMIFS(Database!H:H,Database!$E:$E,$C187)),-0.00001)</f>
        <v>-1.0000000000000001E-5</v>
      </c>
      <c r="G187" s="185">
        <f>IFERROR(IF($C187="",-0.00001,SUMIFS(Database!I:I,Database!$E:$E,$C187)),-0.00001)</f>
        <v>-1.0000000000000001E-5</v>
      </c>
      <c r="H187" s="185">
        <f>IFERROR(IF($C187="",-0.00001,SUMIFS(Database!J:J,Database!$E:$E,$C187)),-0.00001)</f>
        <v>-1.0000000000000001E-5</v>
      </c>
      <c r="I187" s="185">
        <f>IFERROR(IF($C187="",-0.00001,SUMIFS(Database!K:K,Database!$E:$E,$C187)),-0.00001)</f>
        <v>-1.0000000000000001E-5</v>
      </c>
      <c r="J187" s="185">
        <f>IFERROR(IF($C187="",-0.00001,SUMIFS(Database!L:L,Database!$E:$E,$C187)),-0.00001)</f>
        <v>-1.0000000000000001E-5</v>
      </c>
      <c r="K187" s="185">
        <f>IFERROR(IF($C187="",-0.00001,SUMIFS(Database!M:M,Database!$E:$E,$C187)),-0.00001)</f>
        <v>-1.0000000000000001E-5</v>
      </c>
      <c r="L187" s="185">
        <f>IFERROR(IF($C187="",-0.00001,SUMIFS(Database!N:N,Database!$E:$E,$C187)),-0.00001)</f>
        <v>-1.0000000000000001E-5</v>
      </c>
      <c r="M187" s="185">
        <f>IFERROR(IF($C187="",-0.00001,SUMIFS(Database!O:O,Database!$E:$E,$C187)),-0.00001)</f>
        <v>-1.0000000000000001E-5</v>
      </c>
      <c r="N187" s="185">
        <f>IFERROR(IF($C187="",-0.00001,SUMIFS(Database!P:P,Database!$E:$E,$C187)),-0.00001)</f>
        <v>-1.0000000000000001E-5</v>
      </c>
      <c r="O187" s="185">
        <f>IFERROR(IF($C187="",-0.00001,SUMIFS(Database!Q:Q,Database!$E:$E,$C187)),-0.00001)</f>
        <v>-1.0000000000000001E-5</v>
      </c>
      <c r="P187" s="186">
        <f t="shared" si="6"/>
        <v>-1.0000000000000001E-5</v>
      </c>
      <c r="Q187" s="185">
        <f>IFERROR(IF($C187="",-0.00001,SUMIFS(Database!S:S,Database!$E:$E,$C187)),-0.00001)</f>
        <v>-1.0000000000000001E-5</v>
      </c>
      <c r="R187" s="185">
        <f>IFERROR(IF($C187="",-0.00001,SUMIFS(Database!T:T,Database!$E:$E,$C187)),-0.00001)</f>
        <v>-1.0000000000000001E-5</v>
      </c>
      <c r="S187" s="186">
        <f t="shared" si="7"/>
        <v>-1.0000000000000001E-5</v>
      </c>
      <c r="T187" s="185">
        <f>IFERROR(IF($C187="",-0.00001,SUMIFS(Database!V:V,Database!$E:$E,$C187)),-0.00001)</f>
        <v>-1.0000000000000001E-5</v>
      </c>
      <c r="U187" s="185">
        <f>IFERROR(IF($C187="",-0.00001,SUMIFS(Database!W:W,Database!$E:$E,$C187)),-0.00001)</f>
        <v>-1.0000000000000001E-5</v>
      </c>
      <c r="V187" s="186">
        <f t="shared" si="8"/>
        <v>-1.0000000000000001E-5</v>
      </c>
      <c r="W187" s="187"/>
      <c r="X187" s="187"/>
      <c r="Y187" s="187"/>
      <c r="Z187" s="187"/>
      <c r="AA187" s="187"/>
      <c r="AB187" s="187"/>
      <c r="AC187" s="187"/>
      <c r="AD187" s="187"/>
      <c r="AE187" s="187"/>
    </row>
    <row r="188" spans="1:31" x14ac:dyDescent="0.25">
      <c r="A188" s="187"/>
      <c r="B188" s="187" t="str">
        <f>IF($C188="","",MAX($B$4:$B187)+1)</f>
        <v/>
      </c>
      <c r="C188" s="183"/>
      <c r="D188" s="183"/>
      <c r="E188" s="185">
        <f>IF($C188="",-0.00001,COUNTIF(Database!E:E,$C188))</f>
        <v>-1.0000000000000001E-5</v>
      </c>
      <c r="F188" s="185">
        <f>IFERROR(IF($C188="",-0.00001,SUMIFS(Database!H:H,Database!$E:$E,$C188)),-0.00001)</f>
        <v>-1.0000000000000001E-5</v>
      </c>
      <c r="G188" s="185">
        <f>IFERROR(IF($C188="",-0.00001,SUMIFS(Database!I:I,Database!$E:$E,$C188)),-0.00001)</f>
        <v>-1.0000000000000001E-5</v>
      </c>
      <c r="H188" s="185">
        <f>IFERROR(IF($C188="",-0.00001,SUMIFS(Database!J:J,Database!$E:$E,$C188)),-0.00001)</f>
        <v>-1.0000000000000001E-5</v>
      </c>
      <c r="I188" s="185">
        <f>IFERROR(IF($C188="",-0.00001,SUMIFS(Database!K:K,Database!$E:$E,$C188)),-0.00001)</f>
        <v>-1.0000000000000001E-5</v>
      </c>
      <c r="J188" s="185">
        <f>IFERROR(IF($C188="",-0.00001,SUMIFS(Database!L:L,Database!$E:$E,$C188)),-0.00001)</f>
        <v>-1.0000000000000001E-5</v>
      </c>
      <c r="K188" s="185">
        <f>IFERROR(IF($C188="",-0.00001,SUMIFS(Database!M:M,Database!$E:$E,$C188)),-0.00001)</f>
        <v>-1.0000000000000001E-5</v>
      </c>
      <c r="L188" s="185">
        <f>IFERROR(IF($C188="",-0.00001,SUMIFS(Database!N:N,Database!$E:$E,$C188)),-0.00001)</f>
        <v>-1.0000000000000001E-5</v>
      </c>
      <c r="M188" s="185">
        <f>IFERROR(IF($C188="",-0.00001,SUMIFS(Database!O:O,Database!$E:$E,$C188)),-0.00001)</f>
        <v>-1.0000000000000001E-5</v>
      </c>
      <c r="N188" s="185">
        <f>IFERROR(IF($C188="",-0.00001,SUMIFS(Database!P:P,Database!$E:$E,$C188)),-0.00001)</f>
        <v>-1.0000000000000001E-5</v>
      </c>
      <c r="O188" s="185">
        <f>IFERROR(IF($C188="",-0.00001,SUMIFS(Database!Q:Q,Database!$E:$E,$C188)),-0.00001)</f>
        <v>-1.0000000000000001E-5</v>
      </c>
      <c r="P188" s="186">
        <f t="shared" si="6"/>
        <v>-1.0000000000000001E-5</v>
      </c>
      <c r="Q188" s="185">
        <f>IFERROR(IF($C188="",-0.00001,SUMIFS(Database!S:S,Database!$E:$E,$C188)),-0.00001)</f>
        <v>-1.0000000000000001E-5</v>
      </c>
      <c r="R188" s="185">
        <f>IFERROR(IF($C188="",-0.00001,SUMIFS(Database!T:T,Database!$E:$E,$C188)),-0.00001)</f>
        <v>-1.0000000000000001E-5</v>
      </c>
      <c r="S188" s="186">
        <f t="shared" si="7"/>
        <v>-1.0000000000000001E-5</v>
      </c>
      <c r="T188" s="185">
        <f>IFERROR(IF($C188="",-0.00001,SUMIFS(Database!V:V,Database!$E:$E,$C188)),-0.00001)</f>
        <v>-1.0000000000000001E-5</v>
      </c>
      <c r="U188" s="185">
        <f>IFERROR(IF($C188="",-0.00001,SUMIFS(Database!W:W,Database!$E:$E,$C188)),-0.00001)</f>
        <v>-1.0000000000000001E-5</v>
      </c>
      <c r="V188" s="186">
        <f t="shared" si="8"/>
        <v>-1.0000000000000001E-5</v>
      </c>
      <c r="W188" s="187"/>
      <c r="X188" s="187"/>
      <c r="Y188" s="187"/>
      <c r="Z188" s="187"/>
      <c r="AA188" s="187"/>
      <c r="AB188" s="187"/>
      <c r="AC188" s="187"/>
      <c r="AD188" s="187"/>
      <c r="AE188" s="187"/>
    </row>
    <row r="189" spans="1:31" x14ac:dyDescent="0.25">
      <c r="A189" s="187"/>
      <c r="B189" s="187" t="str">
        <f>IF($C189="","",MAX($B$4:$B188)+1)</f>
        <v/>
      </c>
      <c r="C189" s="183"/>
      <c r="D189" s="183"/>
      <c r="E189" s="185">
        <f>IF($C189="",-0.00001,COUNTIF(Database!E:E,$C189))</f>
        <v>-1.0000000000000001E-5</v>
      </c>
      <c r="F189" s="185">
        <f>IFERROR(IF($C189="",-0.00001,SUMIFS(Database!H:H,Database!$E:$E,$C189)),-0.00001)</f>
        <v>-1.0000000000000001E-5</v>
      </c>
      <c r="G189" s="185">
        <f>IFERROR(IF($C189="",-0.00001,SUMIFS(Database!I:I,Database!$E:$E,$C189)),-0.00001)</f>
        <v>-1.0000000000000001E-5</v>
      </c>
      <c r="H189" s="185">
        <f>IFERROR(IF($C189="",-0.00001,SUMIFS(Database!J:J,Database!$E:$E,$C189)),-0.00001)</f>
        <v>-1.0000000000000001E-5</v>
      </c>
      <c r="I189" s="185">
        <f>IFERROR(IF($C189="",-0.00001,SUMIFS(Database!K:K,Database!$E:$E,$C189)),-0.00001)</f>
        <v>-1.0000000000000001E-5</v>
      </c>
      <c r="J189" s="185">
        <f>IFERROR(IF($C189="",-0.00001,SUMIFS(Database!L:L,Database!$E:$E,$C189)),-0.00001)</f>
        <v>-1.0000000000000001E-5</v>
      </c>
      <c r="K189" s="185">
        <f>IFERROR(IF($C189="",-0.00001,SUMIFS(Database!M:M,Database!$E:$E,$C189)),-0.00001)</f>
        <v>-1.0000000000000001E-5</v>
      </c>
      <c r="L189" s="185">
        <f>IFERROR(IF($C189="",-0.00001,SUMIFS(Database!N:N,Database!$E:$E,$C189)),-0.00001)</f>
        <v>-1.0000000000000001E-5</v>
      </c>
      <c r="M189" s="185">
        <f>IFERROR(IF($C189="",-0.00001,SUMIFS(Database!O:O,Database!$E:$E,$C189)),-0.00001)</f>
        <v>-1.0000000000000001E-5</v>
      </c>
      <c r="N189" s="185">
        <f>IFERROR(IF($C189="",-0.00001,SUMIFS(Database!P:P,Database!$E:$E,$C189)),-0.00001)</f>
        <v>-1.0000000000000001E-5</v>
      </c>
      <c r="O189" s="185">
        <f>IFERROR(IF($C189="",-0.00001,SUMIFS(Database!Q:Q,Database!$E:$E,$C189)),-0.00001)</f>
        <v>-1.0000000000000001E-5</v>
      </c>
      <c r="P189" s="186">
        <f t="shared" si="6"/>
        <v>-1.0000000000000001E-5</v>
      </c>
      <c r="Q189" s="185">
        <f>IFERROR(IF($C189="",-0.00001,SUMIFS(Database!S:S,Database!$E:$E,$C189)),-0.00001)</f>
        <v>-1.0000000000000001E-5</v>
      </c>
      <c r="R189" s="185">
        <f>IFERROR(IF($C189="",-0.00001,SUMIFS(Database!T:T,Database!$E:$E,$C189)),-0.00001)</f>
        <v>-1.0000000000000001E-5</v>
      </c>
      <c r="S189" s="186">
        <f t="shared" si="7"/>
        <v>-1.0000000000000001E-5</v>
      </c>
      <c r="T189" s="185">
        <f>IFERROR(IF($C189="",-0.00001,SUMIFS(Database!V:V,Database!$E:$E,$C189)),-0.00001)</f>
        <v>-1.0000000000000001E-5</v>
      </c>
      <c r="U189" s="185">
        <f>IFERROR(IF($C189="",-0.00001,SUMIFS(Database!W:W,Database!$E:$E,$C189)),-0.00001)</f>
        <v>-1.0000000000000001E-5</v>
      </c>
      <c r="V189" s="186">
        <f t="shared" si="8"/>
        <v>-1.0000000000000001E-5</v>
      </c>
      <c r="W189" s="187"/>
      <c r="X189" s="187"/>
      <c r="Y189" s="187"/>
      <c r="Z189" s="187"/>
      <c r="AA189" s="187"/>
      <c r="AB189" s="187"/>
      <c r="AC189" s="187"/>
      <c r="AD189" s="187"/>
      <c r="AE189" s="187"/>
    </row>
    <row r="190" spans="1:31" x14ac:dyDescent="0.25">
      <c r="A190" s="187"/>
      <c r="B190" s="187" t="str">
        <f>IF($C190="","",MAX($B$4:$B189)+1)</f>
        <v/>
      </c>
      <c r="C190" s="183"/>
      <c r="D190" s="183"/>
      <c r="E190" s="185">
        <f>IF($C190="",-0.00001,COUNTIF(Database!E:E,$C190))</f>
        <v>-1.0000000000000001E-5</v>
      </c>
      <c r="F190" s="185">
        <f>IFERROR(IF($C190="",-0.00001,SUMIFS(Database!H:H,Database!$E:$E,$C190)),-0.00001)</f>
        <v>-1.0000000000000001E-5</v>
      </c>
      <c r="G190" s="185">
        <f>IFERROR(IF($C190="",-0.00001,SUMIFS(Database!I:I,Database!$E:$E,$C190)),-0.00001)</f>
        <v>-1.0000000000000001E-5</v>
      </c>
      <c r="H190" s="185">
        <f>IFERROR(IF($C190="",-0.00001,SUMIFS(Database!J:J,Database!$E:$E,$C190)),-0.00001)</f>
        <v>-1.0000000000000001E-5</v>
      </c>
      <c r="I190" s="185">
        <f>IFERROR(IF($C190="",-0.00001,SUMIFS(Database!K:K,Database!$E:$E,$C190)),-0.00001)</f>
        <v>-1.0000000000000001E-5</v>
      </c>
      <c r="J190" s="185">
        <f>IFERROR(IF($C190="",-0.00001,SUMIFS(Database!L:L,Database!$E:$E,$C190)),-0.00001)</f>
        <v>-1.0000000000000001E-5</v>
      </c>
      <c r="K190" s="185">
        <f>IFERROR(IF($C190="",-0.00001,SUMIFS(Database!M:M,Database!$E:$E,$C190)),-0.00001)</f>
        <v>-1.0000000000000001E-5</v>
      </c>
      <c r="L190" s="185">
        <f>IFERROR(IF($C190="",-0.00001,SUMIFS(Database!N:N,Database!$E:$E,$C190)),-0.00001)</f>
        <v>-1.0000000000000001E-5</v>
      </c>
      <c r="M190" s="185">
        <f>IFERROR(IF($C190="",-0.00001,SUMIFS(Database!O:O,Database!$E:$E,$C190)),-0.00001)</f>
        <v>-1.0000000000000001E-5</v>
      </c>
      <c r="N190" s="185">
        <f>IFERROR(IF($C190="",-0.00001,SUMIFS(Database!P:P,Database!$E:$E,$C190)),-0.00001)</f>
        <v>-1.0000000000000001E-5</v>
      </c>
      <c r="O190" s="185">
        <f>IFERROR(IF($C190="",-0.00001,SUMIFS(Database!Q:Q,Database!$E:$E,$C190)),-0.00001)</f>
        <v>-1.0000000000000001E-5</v>
      </c>
      <c r="P190" s="186">
        <f t="shared" si="6"/>
        <v>-1.0000000000000001E-5</v>
      </c>
      <c r="Q190" s="185">
        <f>IFERROR(IF($C190="",-0.00001,SUMIFS(Database!S:S,Database!$E:$E,$C190)),-0.00001)</f>
        <v>-1.0000000000000001E-5</v>
      </c>
      <c r="R190" s="185">
        <f>IFERROR(IF($C190="",-0.00001,SUMIFS(Database!T:T,Database!$E:$E,$C190)),-0.00001)</f>
        <v>-1.0000000000000001E-5</v>
      </c>
      <c r="S190" s="186">
        <f t="shared" si="7"/>
        <v>-1.0000000000000001E-5</v>
      </c>
      <c r="T190" s="185">
        <f>IFERROR(IF($C190="",-0.00001,SUMIFS(Database!V:V,Database!$E:$E,$C190)),-0.00001)</f>
        <v>-1.0000000000000001E-5</v>
      </c>
      <c r="U190" s="185">
        <f>IFERROR(IF($C190="",-0.00001,SUMIFS(Database!W:W,Database!$E:$E,$C190)),-0.00001)</f>
        <v>-1.0000000000000001E-5</v>
      </c>
      <c r="V190" s="186">
        <f t="shared" si="8"/>
        <v>-1.0000000000000001E-5</v>
      </c>
      <c r="W190" s="187"/>
      <c r="X190" s="187"/>
      <c r="Y190" s="187"/>
      <c r="Z190" s="187"/>
      <c r="AA190" s="187"/>
      <c r="AB190" s="187"/>
      <c r="AC190" s="187"/>
      <c r="AD190" s="187"/>
      <c r="AE190" s="187"/>
    </row>
    <row r="191" spans="1:31" x14ac:dyDescent="0.25">
      <c r="A191" s="187"/>
      <c r="B191" s="187" t="str">
        <f>IF($C191="","",MAX($B$4:$B190)+1)</f>
        <v/>
      </c>
      <c r="C191" s="183"/>
      <c r="D191" s="183"/>
      <c r="E191" s="185">
        <f>IF($C191="",-0.00001,COUNTIF(Database!E:E,$C191))</f>
        <v>-1.0000000000000001E-5</v>
      </c>
      <c r="F191" s="185">
        <f>IFERROR(IF($C191="",-0.00001,SUMIFS(Database!H:H,Database!$E:$E,$C191)),-0.00001)</f>
        <v>-1.0000000000000001E-5</v>
      </c>
      <c r="G191" s="185">
        <f>IFERROR(IF($C191="",-0.00001,SUMIFS(Database!I:I,Database!$E:$E,$C191)),-0.00001)</f>
        <v>-1.0000000000000001E-5</v>
      </c>
      <c r="H191" s="185">
        <f>IFERROR(IF($C191="",-0.00001,SUMIFS(Database!J:J,Database!$E:$E,$C191)),-0.00001)</f>
        <v>-1.0000000000000001E-5</v>
      </c>
      <c r="I191" s="185">
        <f>IFERROR(IF($C191="",-0.00001,SUMIFS(Database!K:K,Database!$E:$E,$C191)),-0.00001)</f>
        <v>-1.0000000000000001E-5</v>
      </c>
      <c r="J191" s="185">
        <f>IFERROR(IF($C191="",-0.00001,SUMIFS(Database!L:L,Database!$E:$E,$C191)),-0.00001)</f>
        <v>-1.0000000000000001E-5</v>
      </c>
      <c r="K191" s="185">
        <f>IFERROR(IF($C191="",-0.00001,SUMIFS(Database!M:M,Database!$E:$E,$C191)),-0.00001)</f>
        <v>-1.0000000000000001E-5</v>
      </c>
      <c r="L191" s="185">
        <f>IFERROR(IF($C191="",-0.00001,SUMIFS(Database!N:N,Database!$E:$E,$C191)),-0.00001)</f>
        <v>-1.0000000000000001E-5</v>
      </c>
      <c r="M191" s="185">
        <f>IFERROR(IF($C191="",-0.00001,SUMIFS(Database!O:O,Database!$E:$E,$C191)),-0.00001)</f>
        <v>-1.0000000000000001E-5</v>
      </c>
      <c r="N191" s="185">
        <f>IFERROR(IF($C191="",-0.00001,SUMIFS(Database!P:P,Database!$E:$E,$C191)),-0.00001)</f>
        <v>-1.0000000000000001E-5</v>
      </c>
      <c r="O191" s="185">
        <f>IFERROR(IF($C191="",-0.00001,SUMIFS(Database!Q:Q,Database!$E:$E,$C191)),-0.00001)</f>
        <v>-1.0000000000000001E-5</v>
      </c>
      <c r="P191" s="186">
        <f t="shared" si="6"/>
        <v>-1.0000000000000001E-5</v>
      </c>
      <c r="Q191" s="185">
        <f>IFERROR(IF($C191="",-0.00001,SUMIFS(Database!S:S,Database!$E:$E,$C191)),-0.00001)</f>
        <v>-1.0000000000000001E-5</v>
      </c>
      <c r="R191" s="185">
        <f>IFERROR(IF($C191="",-0.00001,SUMIFS(Database!T:T,Database!$E:$E,$C191)),-0.00001)</f>
        <v>-1.0000000000000001E-5</v>
      </c>
      <c r="S191" s="186">
        <f t="shared" si="7"/>
        <v>-1.0000000000000001E-5</v>
      </c>
      <c r="T191" s="185">
        <f>IFERROR(IF($C191="",-0.00001,SUMIFS(Database!V:V,Database!$E:$E,$C191)),-0.00001)</f>
        <v>-1.0000000000000001E-5</v>
      </c>
      <c r="U191" s="185">
        <f>IFERROR(IF($C191="",-0.00001,SUMIFS(Database!W:W,Database!$E:$E,$C191)),-0.00001)</f>
        <v>-1.0000000000000001E-5</v>
      </c>
      <c r="V191" s="186">
        <f t="shared" si="8"/>
        <v>-1.0000000000000001E-5</v>
      </c>
      <c r="W191" s="187"/>
      <c r="X191" s="187"/>
      <c r="Y191" s="187"/>
      <c r="Z191" s="187"/>
      <c r="AA191" s="187"/>
      <c r="AB191" s="187"/>
      <c r="AC191" s="187"/>
      <c r="AD191" s="187"/>
      <c r="AE191" s="187"/>
    </row>
    <row r="192" spans="1:31" x14ac:dyDescent="0.25">
      <c r="A192" s="187"/>
      <c r="B192" s="187" t="str">
        <f>IF($C192="","",MAX($B$4:$B191)+1)</f>
        <v/>
      </c>
      <c r="C192" s="183"/>
      <c r="D192" s="183"/>
      <c r="E192" s="185">
        <f>IF($C192="",-0.00001,COUNTIF(Database!E:E,$C192))</f>
        <v>-1.0000000000000001E-5</v>
      </c>
      <c r="F192" s="185">
        <f>IFERROR(IF($C192="",-0.00001,SUMIFS(Database!H:H,Database!$E:$E,$C192)),-0.00001)</f>
        <v>-1.0000000000000001E-5</v>
      </c>
      <c r="G192" s="185">
        <f>IFERROR(IF($C192="",-0.00001,SUMIFS(Database!I:I,Database!$E:$E,$C192)),-0.00001)</f>
        <v>-1.0000000000000001E-5</v>
      </c>
      <c r="H192" s="185">
        <f>IFERROR(IF($C192="",-0.00001,SUMIFS(Database!J:J,Database!$E:$E,$C192)),-0.00001)</f>
        <v>-1.0000000000000001E-5</v>
      </c>
      <c r="I192" s="185">
        <f>IFERROR(IF($C192="",-0.00001,SUMIFS(Database!K:K,Database!$E:$E,$C192)),-0.00001)</f>
        <v>-1.0000000000000001E-5</v>
      </c>
      <c r="J192" s="185">
        <f>IFERROR(IF($C192="",-0.00001,SUMIFS(Database!L:L,Database!$E:$E,$C192)),-0.00001)</f>
        <v>-1.0000000000000001E-5</v>
      </c>
      <c r="K192" s="185">
        <f>IFERROR(IF($C192="",-0.00001,SUMIFS(Database!M:M,Database!$E:$E,$C192)),-0.00001)</f>
        <v>-1.0000000000000001E-5</v>
      </c>
      <c r="L192" s="185">
        <f>IFERROR(IF($C192="",-0.00001,SUMIFS(Database!N:N,Database!$E:$E,$C192)),-0.00001)</f>
        <v>-1.0000000000000001E-5</v>
      </c>
      <c r="M192" s="185">
        <f>IFERROR(IF($C192="",-0.00001,SUMIFS(Database!O:O,Database!$E:$E,$C192)),-0.00001)</f>
        <v>-1.0000000000000001E-5</v>
      </c>
      <c r="N192" s="185">
        <f>IFERROR(IF($C192="",-0.00001,SUMIFS(Database!P:P,Database!$E:$E,$C192)),-0.00001)</f>
        <v>-1.0000000000000001E-5</v>
      </c>
      <c r="O192" s="185">
        <f>IFERROR(IF($C192="",-0.00001,SUMIFS(Database!Q:Q,Database!$E:$E,$C192)),-0.00001)</f>
        <v>-1.0000000000000001E-5</v>
      </c>
      <c r="P192" s="186">
        <f t="shared" si="6"/>
        <v>-1.0000000000000001E-5</v>
      </c>
      <c r="Q192" s="185">
        <f>IFERROR(IF($C192="",-0.00001,SUMIFS(Database!S:S,Database!$E:$E,$C192)),-0.00001)</f>
        <v>-1.0000000000000001E-5</v>
      </c>
      <c r="R192" s="185">
        <f>IFERROR(IF($C192="",-0.00001,SUMIFS(Database!T:T,Database!$E:$E,$C192)),-0.00001)</f>
        <v>-1.0000000000000001E-5</v>
      </c>
      <c r="S192" s="186">
        <f t="shared" si="7"/>
        <v>-1.0000000000000001E-5</v>
      </c>
      <c r="T192" s="185">
        <f>IFERROR(IF($C192="",-0.00001,SUMIFS(Database!V:V,Database!$E:$E,$C192)),-0.00001)</f>
        <v>-1.0000000000000001E-5</v>
      </c>
      <c r="U192" s="185">
        <f>IFERROR(IF($C192="",-0.00001,SUMIFS(Database!W:W,Database!$E:$E,$C192)),-0.00001)</f>
        <v>-1.0000000000000001E-5</v>
      </c>
      <c r="V192" s="186">
        <f t="shared" si="8"/>
        <v>-1.0000000000000001E-5</v>
      </c>
      <c r="W192" s="187"/>
      <c r="X192" s="187"/>
      <c r="Y192" s="187"/>
      <c r="Z192" s="187"/>
      <c r="AA192" s="187"/>
      <c r="AB192" s="187"/>
      <c r="AC192" s="187"/>
      <c r="AD192" s="187"/>
      <c r="AE192" s="187"/>
    </row>
    <row r="193" spans="1:31" x14ac:dyDescent="0.25">
      <c r="A193" s="187"/>
      <c r="B193" s="187" t="str">
        <f>IF($C193="","",MAX($B$4:$B192)+1)</f>
        <v/>
      </c>
      <c r="C193" s="183"/>
      <c r="D193" s="183"/>
      <c r="E193" s="185">
        <f>IF($C193="",-0.00001,COUNTIF(Database!E:E,$C193))</f>
        <v>-1.0000000000000001E-5</v>
      </c>
      <c r="F193" s="185">
        <f>IFERROR(IF($C193="",-0.00001,SUMIFS(Database!H:H,Database!$E:$E,$C193)),-0.00001)</f>
        <v>-1.0000000000000001E-5</v>
      </c>
      <c r="G193" s="185">
        <f>IFERROR(IF($C193="",-0.00001,SUMIFS(Database!I:I,Database!$E:$E,$C193)),-0.00001)</f>
        <v>-1.0000000000000001E-5</v>
      </c>
      <c r="H193" s="185">
        <f>IFERROR(IF($C193="",-0.00001,SUMIFS(Database!J:J,Database!$E:$E,$C193)),-0.00001)</f>
        <v>-1.0000000000000001E-5</v>
      </c>
      <c r="I193" s="185">
        <f>IFERROR(IF($C193="",-0.00001,SUMIFS(Database!K:K,Database!$E:$E,$C193)),-0.00001)</f>
        <v>-1.0000000000000001E-5</v>
      </c>
      <c r="J193" s="185">
        <f>IFERROR(IF($C193="",-0.00001,SUMIFS(Database!L:L,Database!$E:$E,$C193)),-0.00001)</f>
        <v>-1.0000000000000001E-5</v>
      </c>
      <c r="K193" s="185">
        <f>IFERROR(IF($C193="",-0.00001,SUMIFS(Database!M:M,Database!$E:$E,$C193)),-0.00001)</f>
        <v>-1.0000000000000001E-5</v>
      </c>
      <c r="L193" s="185">
        <f>IFERROR(IF($C193="",-0.00001,SUMIFS(Database!N:N,Database!$E:$E,$C193)),-0.00001)</f>
        <v>-1.0000000000000001E-5</v>
      </c>
      <c r="M193" s="185">
        <f>IFERROR(IF($C193="",-0.00001,SUMIFS(Database!O:O,Database!$E:$E,$C193)),-0.00001)</f>
        <v>-1.0000000000000001E-5</v>
      </c>
      <c r="N193" s="185">
        <f>IFERROR(IF($C193="",-0.00001,SUMIFS(Database!P:P,Database!$E:$E,$C193)),-0.00001)</f>
        <v>-1.0000000000000001E-5</v>
      </c>
      <c r="O193" s="185">
        <f>IFERROR(IF($C193="",-0.00001,SUMIFS(Database!Q:Q,Database!$E:$E,$C193)),-0.00001)</f>
        <v>-1.0000000000000001E-5</v>
      </c>
      <c r="P193" s="186">
        <f t="shared" si="6"/>
        <v>-1.0000000000000001E-5</v>
      </c>
      <c r="Q193" s="185">
        <f>IFERROR(IF($C193="",-0.00001,SUMIFS(Database!S:S,Database!$E:$E,$C193)),-0.00001)</f>
        <v>-1.0000000000000001E-5</v>
      </c>
      <c r="R193" s="185">
        <f>IFERROR(IF($C193="",-0.00001,SUMIFS(Database!T:T,Database!$E:$E,$C193)),-0.00001)</f>
        <v>-1.0000000000000001E-5</v>
      </c>
      <c r="S193" s="186">
        <f t="shared" si="7"/>
        <v>-1.0000000000000001E-5</v>
      </c>
      <c r="T193" s="185">
        <f>IFERROR(IF($C193="",-0.00001,SUMIFS(Database!V:V,Database!$E:$E,$C193)),-0.00001)</f>
        <v>-1.0000000000000001E-5</v>
      </c>
      <c r="U193" s="185">
        <f>IFERROR(IF($C193="",-0.00001,SUMIFS(Database!W:W,Database!$E:$E,$C193)),-0.00001)</f>
        <v>-1.0000000000000001E-5</v>
      </c>
      <c r="V193" s="186">
        <f t="shared" si="8"/>
        <v>-1.0000000000000001E-5</v>
      </c>
      <c r="W193" s="187"/>
      <c r="X193" s="187"/>
      <c r="Y193" s="187"/>
      <c r="Z193" s="187"/>
      <c r="AA193" s="187"/>
      <c r="AB193" s="187"/>
      <c r="AC193" s="187"/>
      <c r="AD193" s="187"/>
      <c r="AE193" s="187"/>
    </row>
    <row r="194" spans="1:31" x14ac:dyDescent="0.25">
      <c r="A194" s="187"/>
      <c r="B194" s="187" t="str">
        <f>IF($C194="","",MAX($B$4:$B193)+1)</f>
        <v/>
      </c>
      <c r="C194" s="183"/>
      <c r="D194" s="183"/>
      <c r="E194" s="185">
        <f>IF($C194="",-0.00001,COUNTIF(Database!E:E,$C194))</f>
        <v>-1.0000000000000001E-5</v>
      </c>
      <c r="F194" s="185">
        <f>IFERROR(IF($C194="",-0.00001,SUMIFS(Database!H:H,Database!$E:$E,$C194)),-0.00001)</f>
        <v>-1.0000000000000001E-5</v>
      </c>
      <c r="G194" s="185">
        <f>IFERROR(IF($C194="",-0.00001,SUMIFS(Database!I:I,Database!$E:$E,$C194)),-0.00001)</f>
        <v>-1.0000000000000001E-5</v>
      </c>
      <c r="H194" s="185">
        <f>IFERROR(IF($C194="",-0.00001,SUMIFS(Database!J:J,Database!$E:$E,$C194)),-0.00001)</f>
        <v>-1.0000000000000001E-5</v>
      </c>
      <c r="I194" s="185">
        <f>IFERROR(IF($C194="",-0.00001,SUMIFS(Database!K:K,Database!$E:$E,$C194)),-0.00001)</f>
        <v>-1.0000000000000001E-5</v>
      </c>
      <c r="J194" s="185">
        <f>IFERROR(IF($C194="",-0.00001,SUMIFS(Database!L:L,Database!$E:$E,$C194)),-0.00001)</f>
        <v>-1.0000000000000001E-5</v>
      </c>
      <c r="K194" s="185">
        <f>IFERROR(IF($C194="",-0.00001,SUMIFS(Database!M:M,Database!$E:$E,$C194)),-0.00001)</f>
        <v>-1.0000000000000001E-5</v>
      </c>
      <c r="L194" s="185">
        <f>IFERROR(IF($C194="",-0.00001,SUMIFS(Database!N:N,Database!$E:$E,$C194)),-0.00001)</f>
        <v>-1.0000000000000001E-5</v>
      </c>
      <c r="M194" s="185">
        <f>IFERROR(IF($C194="",-0.00001,SUMIFS(Database!O:O,Database!$E:$E,$C194)),-0.00001)</f>
        <v>-1.0000000000000001E-5</v>
      </c>
      <c r="N194" s="185">
        <f>IFERROR(IF($C194="",-0.00001,SUMIFS(Database!P:P,Database!$E:$E,$C194)),-0.00001)</f>
        <v>-1.0000000000000001E-5</v>
      </c>
      <c r="O194" s="185">
        <f>IFERROR(IF($C194="",-0.00001,SUMIFS(Database!Q:Q,Database!$E:$E,$C194)),-0.00001)</f>
        <v>-1.0000000000000001E-5</v>
      </c>
      <c r="P194" s="186">
        <f t="shared" si="6"/>
        <v>-1.0000000000000001E-5</v>
      </c>
      <c r="Q194" s="185">
        <f>IFERROR(IF($C194="",-0.00001,SUMIFS(Database!S:S,Database!$E:$E,$C194)),-0.00001)</f>
        <v>-1.0000000000000001E-5</v>
      </c>
      <c r="R194" s="185">
        <f>IFERROR(IF($C194="",-0.00001,SUMIFS(Database!T:T,Database!$E:$E,$C194)),-0.00001)</f>
        <v>-1.0000000000000001E-5</v>
      </c>
      <c r="S194" s="186">
        <f t="shared" si="7"/>
        <v>-1.0000000000000001E-5</v>
      </c>
      <c r="T194" s="185">
        <f>IFERROR(IF($C194="",-0.00001,SUMIFS(Database!V:V,Database!$E:$E,$C194)),-0.00001)</f>
        <v>-1.0000000000000001E-5</v>
      </c>
      <c r="U194" s="185">
        <f>IFERROR(IF($C194="",-0.00001,SUMIFS(Database!W:W,Database!$E:$E,$C194)),-0.00001)</f>
        <v>-1.0000000000000001E-5</v>
      </c>
      <c r="V194" s="186">
        <f t="shared" si="8"/>
        <v>-1.0000000000000001E-5</v>
      </c>
      <c r="W194" s="187"/>
      <c r="X194" s="187"/>
      <c r="Y194" s="187"/>
      <c r="Z194" s="187"/>
      <c r="AA194" s="187"/>
      <c r="AB194" s="187"/>
      <c r="AC194" s="187"/>
      <c r="AD194" s="187"/>
      <c r="AE194" s="187"/>
    </row>
    <row r="195" spans="1:31" x14ac:dyDescent="0.25">
      <c r="A195" s="187"/>
      <c r="B195" s="187" t="str">
        <f>IF($C195="","",MAX($B$4:$B194)+1)</f>
        <v/>
      </c>
      <c r="C195" s="183"/>
      <c r="D195" s="183"/>
      <c r="E195" s="185">
        <f>IF($C195="",-0.00001,COUNTIF(Database!E:E,$C195))</f>
        <v>-1.0000000000000001E-5</v>
      </c>
      <c r="F195" s="185">
        <f>IFERROR(IF($C195="",-0.00001,SUMIFS(Database!H:H,Database!$E:$E,$C195)),-0.00001)</f>
        <v>-1.0000000000000001E-5</v>
      </c>
      <c r="G195" s="185">
        <f>IFERROR(IF($C195="",-0.00001,SUMIFS(Database!I:I,Database!$E:$E,$C195)),-0.00001)</f>
        <v>-1.0000000000000001E-5</v>
      </c>
      <c r="H195" s="185">
        <f>IFERROR(IF($C195="",-0.00001,SUMIFS(Database!J:J,Database!$E:$E,$C195)),-0.00001)</f>
        <v>-1.0000000000000001E-5</v>
      </c>
      <c r="I195" s="185">
        <f>IFERROR(IF($C195="",-0.00001,SUMIFS(Database!K:K,Database!$E:$E,$C195)),-0.00001)</f>
        <v>-1.0000000000000001E-5</v>
      </c>
      <c r="J195" s="185">
        <f>IFERROR(IF($C195="",-0.00001,SUMIFS(Database!L:L,Database!$E:$E,$C195)),-0.00001)</f>
        <v>-1.0000000000000001E-5</v>
      </c>
      <c r="K195" s="185">
        <f>IFERROR(IF($C195="",-0.00001,SUMIFS(Database!M:M,Database!$E:$E,$C195)),-0.00001)</f>
        <v>-1.0000000000000001E-5</v>
      </c>
      <c r="L195" s="185">
        <f>IFERROR(IF($C195="",-0.00001,SUMIFS(Database!N:N,Database!$E:$E,$C195)),-0.00001)</f>
        <v>-1.0000000000000001E-5</v>
      </c>
      <c r="M195" s="185">
        <f>IFERROR(IF($C195="",-0.00001,SUMIFS(Database!O:O,Database!$E:$E,$C195)),-0.00001)</f>
        <v>-1.0000000000000001E-5</v>
      </c>
      <c r="N195" s="185">
        <f>IFERROR(IF($C195="",-0.00001,SUMIFS(Database!P:P,Database!$E:$E,$C195)),-0.00001)</f>
        <v>-1.0000000000000001E-5</v>
      </c>
      <c r="O195" s="185">
        <f>IFERROR(IF($C195="",-0.00001,SUMIFS(Database!Q:Q,Database!$E:$E,$C195)),-0.00001)</f>
        <v>-1.0000000000000001E-5</v>
      </c>
      <c r="P195" s="186">
        <f t="shared" si="6"/>
        <v>-1.0000000000000001E-5</v>
      </c>
      <c r="Q195" s="185">
        <f>IFERROR(IF($C195="",-0.00001,SUMIFS(Database!S:S,Database!$E:$E,$C195)),-0.00001)</f>
        <v>-1.0000000000000001E-5</v>
      </c>
      <c r="R195" s="185">
        <f>IFERROR(IF($C195="",-0.00001,SUMIFS(Database!T:T,Database!$E:$E,$C195)),-0.00001)</f>
        <v>-1.0000000000000001E-5</v>
      </c>
      <c r="S195" s="186">
        <f t="shared" si="7"/>
        <v>-1.0000000000000001E-5</v>
      </c>
      <c r="T195" s="185">
        <f>IFERROR(IF($C195="",-0.00001,SUMIFS(Database!V:V,Database!$E:$E,$C195)),-0.00001)</f>
        <v>-1.0000000000000001E-5</v>
      </c>
      <c r="U195" s="185">
        <f>IFERROR(IF($C195="",-0.00001,SUMIFS(Database!W:W,Database!$E:$E,$C195)),-0.00001)</f>
        <v>-1.0000000000000001E-5</v>
      </c>
      <c r="V195" s="186">
        <f t="shared" si="8"/>
        <v>-1.0000000000000001E-5</v>
      </c>
      <c r="W195" s="187"/>
      <c r="X195" s="187"/>
      <c r="Y195" s="187"/>
      <c r="Z195" s="187"/>
      <c r="AA195" s="187"/>
      <c r="AB195" s="187"/>
      <c r="AC195" s="187"/>
      <c r="AD195" s="187"/>
      <c r="AE195" s="187"/>
    </row>
    <row r="196" spans="1:31" x14ac:dyDescent="0.25">
      <c r="A196" s="187"/>
      <c r="B196" s="187" t="str">
        <f>IF($C196="","",MAX($B$4:$B195)+1)</f>
        <v/>
      </c>
      <c r="C196" s="183"/>
      <c r="D196" s="183"/>
      <c r="E196" s="185">
        <f>IF($C196="",-0.00001,COUNTIF(Database!E:E,$C196))</f>
        <v>-1.0000000000000001E-5</v>
      </c>
      <c r="F196" s="185">
        <f>IFERROR(IF($C196="",-0.00001,SUMIFS(Database!H:H,Database!$E:$E,$C196)),-0.00001)</f>
        <v>-1.0000000000000001E-5</v>
      </c>
      <c r="G196" s="185">
        <f>IFERROR(IF($C196="",-0.00001,SUMIFS(Database!I:I,Database!$E:$E,$C196)),-0.00001)</f>
        <v>-1.0000000000000001E-5</v>
      </c>
      <c r="H196" s="185">
        <f>IFERROR(IF($C196="",-0.00001,SUMIFS(Database!J:J,Database!$E:$E,$C196)),-0.00001)</f>
        <v>-1.0000000000000001E-5</v>
      </c>
      <c r="I196" s="185">
        <f>IFERROR(IF($C196="",-0.00001,SUMIFS(Database!K:K,Database!$E:$E,$C196)),-0.00001)</f>
        <v>-1.0000000000000001E-5</v>
      </c>
      <c r="J196" s="185">
        <f>IFERROR(IF($C196="",-0.00001,SUMIFS(Database!L:L,Database!$E:$E,$C196)),-0.00001)</f>
        <v>-1.0000000000000001E-5</v>
      </c>
      <c r="K196" s="185">
        <f>IFERROR(IF($C196="",-0.00001,SUMIFS(Database!M:M,Database!$E:$E,$C196)),-0.00001)</f>
        <v>-1.0000000000000001E-5</v>
      </c>
      <c r="L196" s="185">
        <f>IFERROR(IF($C196="",-0.00001,SUMIFS(Database!N:N,Database!$E:$E,$C196)),-0.00001)</f>
        <v>-1.0000000000000001E-5</v>
      </c>
      <c r="M196" s="185">
        <f>IFERROR(IF($C196="",-0.00001,SUMIFS(Database!O:O,Database!$E:$E,$C196)),-0.00001)</f>
        <v>-1.0000000000000001E-5</v>
      </c>
      <c r="N196" s="185">
        <f>IFERROR(IF($C196="",-0.00001,SUMIFS(Database!P:P,Database!$E:$E,$C196)),-0.00001)</f>
        <v>-1.0000000000000001E-5</v>
      </c>
      <c r="O196" s="185">
        <f>IFERROR(IF($C196="",-0.00001,SUMIFS(Database!Q:Q,Database!$E:$E,$C196)),-0.00001)</f>
        <v>-1.0000000000000001E-5</v>
      </c>
      <c r="P196" s="186">
        <f t="shared" ref="P196:P250" si="9">IFERROR(IF($C196="",-0.00001,$N196/$O196),-0.00001)</f>
        <v>-1.0000000000000001E-5</v>
      </c>
      <c r="Q196" s="185">
        <f>IFERROR(IF($C196="",-0.00001,SUMIFS(Database!S:S,Database!$E:$E,$C196)),-0.00001)</f>
        <v>-1.0000000000000001E-5</v>
      </c>
      <c r="R196" s="185">
        <f>IFERROR(IF($C196="",-0.00001,SUMIFS(Database!T:T,Database!$E:$E,$C196)),-0.00001)</f>
        <v>-1.0000000000000001E-5</v>
      </c>
      <c r="S196" s="186">
        <f t="shared" ref="S196:S250" si="10">IFERROR(IF($C196="",-0.00001,$Q196/$R196),-0.00001)</f>
        <v>-1.0000000000000001E-5</v>
      </c>
      <c r="T196" s="185">
        <f>IFERROR(IF($C196="",-0.00001,SUMIFS(Database!V:V,Database!$E:$E,$C196)),-0.00001)</f>
        <v>-1.0000000000000001E-5</v>
      </c>
      <c r="U196" s="185">
        <f>IFERROR(IF($C196="",-0.00001,SUMIFS(Database!W:W,Database!$E:$E,$C196)),-0.00001)</f>
        <v>-1.0000000000000001E-5</v>
      </c>
      <c r="V196" s="186">
        <f t="shared" ref="V196:V250" si="11">IFERROR(IF($C196="",-0.00001,$T196/$U196),-0.00001)</f>
        <v>-1.0000000000000001E-5</v>
      </c>
      <c r="W196" s="187"/>
      <c r="X196" s="187"/>
      <c r="Y196" s="187"/>
      <c r="Z196" s="187"/>
      <c r="AA196" s="187"/>
      <c r="AB196" s="187"/>
      <c r="AC196" s="187"/>
      <c r="AD196" s="187"/>
      <c r="AE196" s="187"/>
    </row>
    <row r="197" spans="1:31" x14ac:dyDescent="0.25">
      <c r="A197" s="187"/>
      <c r="B197" s="187" t="str">
        <f>IF($C197="","",MAX($B$4:$B196)+1)</f>
        <v/>
      </c>
      <c r="C197" s="183"/>
      <c r="D197" s="183"/>
      <c r="E197" s="185">
        <f>IF($C197="",-0.00001,COUNTIF(Database!E:E,$C197))</f>
        <v>-1.0000000000000001E-5</v>
      </c>
      <c r="F197" s="185">
        <f>IFERROR(IF($C197="",-0.00001,SUMIFS(Database!H:H,Database!$E:$E,$C197)),-0.00001)</f>
        <v>-1.0000000000000001E-5</v>
      </c>
      <c r="G197" s="185">
        <f>IFERROR(IF($C197="",-0.00001,SUMIFS(Database!I:I,Database!$E:$E,$C197)),-0.00001)</f>
        <v>-1.0000000000000001E-5</v>
      </c>
      <c r="H197" s="185">
        <f>IFERROR(IF($C197="",-0.00001,SUMIFS(Database!J:J,Database!$E:$E,$C197)),-0.00001)</f>
        <v>-1.0000000000000001E-5</v>
      </c>
      <c r="I197" s="185">
        <f>IFERROR(IF($C197="",-0.00001,SUMIFS(Database!K:K,Database!$E:$E,$C197)),-0.00001)</f>
        <v>-1.0000000000000001E-5</v>
      </c>
      <c r="J197" s="185">
        <f>IFERROR(IF($C197="",-0.00001,SUMIFS(Database!L:L,Database!$E:$E,$C197)),-0.00001)</f>
        <v>-1.0000000000000001E-5</v>
      </c>
      <c r="K197" s="185">
        <f>IFERROR(IF($C197="",-0.00001,SUMIFS(Database!M:M,Database!$E:$E,$C197)),-0.00001)</f>
        <v>-1.0000000000000001E-5</v>
      </c>
      <c r="L197" s="185">
        <f>IFERROR(IF($C197="",-0.00001,SUMIFS(Database!N:N,Database!$E:$E,$C197)),-0.00001)</f>
        <v>-1.0000000000000001E-5</v>
      </c>
      <c r="M197" s="185">
        <f>IFERROR(IF($C197="",-0.00001,SUMIFS(Database!O:O,Database!$E:$E,$C197)),-0.00001)</f>
        <v>-1.0000000000000001E-5</v>
      </c>
      <c r="N197" s="185">
        <f>IFERROR(IF($C197="",-0.00001,SUMIFS(Database!P:P,Database!$E:$E,$C197)),-0.00001)</f>
        <v>-1.0000000000000001E-5</v>
      </c>
      <c r="O197" s="185">
        <f>IFERROR(IF($C197="",-0.00001,SUMIFS(Database!Q:Q,Database!$E:$E,$C197)),-0.00001)</f>
        <v>-1.0000000000000001E-5</v>
      </c>
      <c r="P197" s="186">
        <f t="shared" si="9"/>
        <v>-1.0000000000000001E-5</v>
      </c>
      <c r="Q197" s="185">
        <f>IFERROR(IF($C197="",-0.00001,SUMIFS(Database!S:S,Database!$E:$E,$C197)),-0.00001)</f>
        <v>-1.0000000000000001E-5</v>
      </c>
      <c r="R197" s="185">
        <f>IFERROR(IF($C197="",-0.00001,SUMIFS(Database!T:T,Database!$E:$E,$C197)),-0.00001)</f>
        <v>-1.0000000000000001E-5</v>
      </c>
      <c r="S197" s="186">
        <f t="shared" si="10"/>
        <v>-1.0000000000000001E-5</v>
      </c>
      <c r="T197" s="185">
        <f>IFERROR(IF($C197="",-0.00001,SUMIFS(Database!V:V,Database!$E:$E,$C197)),-0.00001)</f>
        <v>-1.0000000000000001E-5</v>
      </c>
      <c r="U197" s="185">
        <f>IFERROR(IF($C197="",-0.00001,SUMIFS(Database!W:W,Database!$E:$E,$C197)),-0.00001)</f>
        <v>-1.0000000000000001E-5</v>
      </c>
      <c r="V197" s="186">
        <f t="shared" si="11"/>
        <v>-1.0000000000000001E-5</v>
      </c>
      <c r="W197" s="187"/>
      <c r="X197" s="187"/>
      <c r="Y197" s="187"/>
      <c r="Z197" s="187"/>
      <c r="AA197" s="187"/>
      <c r="AB197" s="187"/>
      <c r="AC197" s="187"/>
      <c r="AD197" s="187"/>
      <c r="AE197" s="187"/>
    </row>
    <row r="198" spans="1:31" x14ac:dyDescent="0.25">
      <c r="A198" s="187"/>
      <c r="B198" s="187" t="str">
        <f>IF($C198="","",MAX($B$4:$B197)+1)</f>
        <v/>
      </c>
      <c r="C198" s="183"/>
      <c r="D198" s="183"/>
      <c r="E198" s="185">
        <f>IF($C198="",-0.00001,COUNTIF(Database!E:E,$C198))</f>
        <v>-1.0000000000000001E-5</v>
      </c>
      <c r="F198" s="185">
        <f>IFERROR(IF($C198="",-0.00001,SUMIFS(Database!H:H,Database!$E:$E,$C198)),-0.00001)</f>
        <v>-1.0000000000000001E-5</v>
      </c>
      <c r="G198" s="185">
        <f>IFERROR(IF($C198="",-0.00001,SUMIFS(Database!I:I,Database!$E:$E,$C198)),-0.00001)</f>
        <v>-1.0000000000000001E-5</v>
      </c>
      <c r="H198" s="185">
        <f>IFERROR(IF($C198="",-0.00001,SUMIFS(Database!J:J,Database!$E:$E,$C198)),-0.00001)</f>
        <v>-1.0000000000000001E-5</v>
      </c>
      <c r="I198" s="185">
        <f>IFERROR(IF($C198="",-0.00001,SUMIFS(Database!K:K,Database!$E:$E,$C198)),-0.00001)</f>
        <v>-1.0000000000000001E-5</v>
      </c>
      <c r="J198" s="185">
        <f>IFERROR(IF($C198="",-0.00001,SUMIFS(Database!L:L,Database!$E:$E,$C198)),-0.00001)</f>
        <v>-1.0000000000000001E-5</v>
      </c>
      <c r="K198" s="185">
        <f>IFERROR(IF($C198="",-0.00001,SUMIFS(Database!M:M,Database!$E:$E,$C198)),-0.00001)</f>
        <v>-1.0000000000000001E-5</v>
      </c>
      <c r="L198" s="185">
        <f>IFERROR(IF($C198="",-0.00001,SUMIFS(Database!N:N,Database!$E:$E,$C198)),-0.00001)</f>
        <v>-1.0000000000000001E-5</v>
      </c>
      <c r="M198" s="185">
        <f>IFERROR(IF($C198="",-0.00001,SUMIFS(Database!O:O,Database!$E:$E,$C198)),-0.00001)</f>
        <v>-1.0000000000000001E-5</v>
      </c>
      <c r="N198" s="185">
        <f>IFERROR(IF($C198="",-0.00001,SUMIFS(Database!P:P,Database!$E:$E,$C198)),-0.00001)</f>
        <v>-1.0000000000000001E-5</v>
      </c>
      <c r="O198" s="185">
        <f>IFERROR(IF($C198="",-0.00001,SUMIFS(Database!Q:Q,Database!$E:$E,$C198)),-0.00001)</f>
        <v>-1.0000000000000001E-5</v>
      </c>
      <c r="P198" s="186">
        <f t="shared" si="9"/>
        <v>-1.0000000000000001E-5</v>
      </c>
      <c r="Q198" s="185">
        <f>IFERROR(IF($C198="",-0.00001,SUMIFS(Database!S:S,Database!$E:$E,$C198)),-0.00001)</f>
        <v>-1.0000000000000001E-5</v>
      </c>
      <c r="R198" s="185">
        <f>IFERROR(IF($C198="",-0.00001,SUMIFS(Database!T:T,Database!$E:$E,$C198)),-0.00001)</f>
        <v>-1.0000000000000001E-5</v>
      </c>
      <c r="S198" s="186">
        <f t="shared" si="10"/>
        <v>-1.0000000000000001E-5</v>
      </c>
      <c r="T198" s="185">
        <f>IFERROR(IF($C198="",-0.00001,SUMIFS(Database!V:V,Database!$E:$E,$C198)),-0.00001)</f>
        <v>-1.0000000000000001E-5</v>
      </c>
      <c r="U198" s="185">
        <f>IFERROR(IF($C198="",-0.00001,SUMIFS(Database!W:W,Database!$E:$E,$C198)),-0.00001)</f>
        <v>-1.0000000000000001E-5</v>
      </c>
      <c r="V198" s="186">
        <f t="shared" si="11"/>
        <v>-1.0000000000000001E-5</v>
      </c>
      <c r="W198" s="187"/>
      <c r="X198" s="187"/>
      <c r="Y198" s="187"/>
      <c r="Z198" s="187"/>
      <c r="AA198" s="187"/>
      <c r="AB198" s="187"/>
      <c r="AC198" s="187"/>
      <c r="AD198" s="187"/>
      <c r="AE198" s="187"/>
    </row>
    <row r="199" spans="1:31" x14ac:dyDescent="0.25">
      <c r="A199" s="187"/>
      <c r="B199" s="187" t="str">
        <f>IF($C199="","",MAX($B$4:$B198)+1)</f>
        <v/>
      </c>
      <c r="C199" s="183"/>
      <c r="D199" s="183"/>
      <c r="E199" s="185">
        <f>IF($C199="",-0.00001,COUNTIF(Database!E:E,$C199))</f>
        <v>-1.0000000000000001E-5</v>
      </c>
      <c r="F199" s="185">
        <f>IFERROR(IF($C199="",-0.00001,SUMIFS(Database!H:H,Database!$E:$E,$C199)),-0.00001)</f>
        <v>-1.0000000000000001E-5</v>
      </c>
      <c r="G199" s="185">
        <f>IFERROR(IF($C199="",-0.00001,SUMIFS(Database!I:I,Database!$E:$E,$C199)),-0.00001)</f>
        <v>-1.0000000000000001E-5</v>
      </c>
      <c r="H199" s="185">
        <f>IFERROR(IF($C199="",-0.00001,SUMIFS(Database!J:J,Database!$E:$E,$C199)),-0.00001)</f>
        <v>-1.0000000000000001E-5</v>
      </c>
      <c r="I199" s="185">
        <f>IFERROR(IF($C199="",-0.00001,SUMIFS(Database!K:K,Database!$E:$E,$C199)),-0.00001)</f>
        <v>-1.0000000000000001E-5</v>
      </c>
      <c r="J199" s="185">
        <f>IFERROR(IF($C199="",-0.00001,SUMIFS(Database!L:L,Database!$E:$E,$C199)),-0.00001)</f>
        <v>-1.0000000000000001E-5</v>
      </c>
      <c r="K199" s="185">
        <f>IFERROR(IF($C199="",-0.00001,SUMIFS(Database!M:M,Database!$E:$E,$C199)),-0.00001)</f>
        <v>-1.0000000000000001E-5</v>
      </c>
      <c r="L199" s="185">
        <f>IFERROR(IF($C199="",-0.00001,SUMIFS(Database!N:N,Database!$E:$E,$C199)),-0.00001)</f>
        <v>-1.0000000000000001E-5</v>
      </c>
      <c r="M199" s="185">
        <f>IFERROR(IF($C199="",-0.00001,SUMIFS(Database!O:O,Database!$E:$E,$C199)),-0.00001)</f>
        <v>-1.0000000000000001E-5</v>
      </c>
      <c r="N199" s="185">
        <f>IFERROR(IF($C199="",-0.00001,SUMIFS(Database!P:P,Database!$E:$E,$C199)),-0.00001)</f>
        <v>-1.0000000000000001E-5</v>
      </c>
      <c r="O199" s="185">
        <f>IFERROR(IF($C199="",-0.00001,SUMIFS(Database!Q:Q,Database!$E:$E,$C199)),-0.00001)</f>
        <v>-1.0000000000000001E-5</v>
      </c>
      <c r="P199" s="186">
        <f t="shared" si="9"/>
        <v>-1.0000000000000001E-5</v>
      </c>
      <c r="Q199" s="185">
        <f>IFERROR(IF($C199="",-0.00001,SUMIFS(Database!S:S,Database!$E:$E,$C199)),-0.00001)</f>
        <v>-1.0000000000000001E-5</v>
      </c>
      <c r="R199" s="185">
        <f>IFERROR(IF($C199="",-0.00001,SUMIFS(Database!T:T,Database!$E:$E,$C199)),-0.00001)</f>
        <v>-1.0000000000000001E-5</v>
      </c>
      <c r="S199" s="186">
        <f t="shared" si="10"/>
        <v>-1.0000000000000001E-5</v>
      </c>
      <c r="T199" s="185">
        <f>IFERROR(IF($C199="",-0.00001,SUMIFS(Database!V:V,Database!$E:$E,$C199)),-0.00001)</f>
        <v>-1.0000000000000001E-5</v>
      </c>
      <c r="U199" s="185">
        <f>IFERROR(IF($C199="",-0.00001,SUMIFS(Database!W:W,Database!$E:$E,$C199)),-0.00001)</f>
        <v>-1.0000000000000001E-5</v>
      </c>
      <c r="V199" s="186">
        <f t="shared" si="11"/>
        <v>-1.0000000000000001E-5</v>
      </c>
      <c r="W199" s="187"/>
      <c r="X199" s="187"/>
      <c r="Y199" s="187"/>
      <c r="Z199" s="187"/>
      <c r="AA199" s="187"/>
      <c r="AB199" s="187"/>
      <c r="AC199" s="187"/>
      <c r="AD199" s="187"/>
      <c r="AE199" s="187"/>
    </row>
    <row r="200" spans="1:31" x14ac:dyDescent="0.25">
      <c r="A200" s="187"/>
      <c r="B200" s="187" t="str">
        <f>IF($C200="","",MAX($B$4:$B199)+1)</f>
        <v/>
      </c>
      <c r="C200" s="183"/>
      <c r="D200" s="183"/>
      <c r="E200" s="185">
        <f>IF($C200="",-0.00001,COUNTIF(Database!E:E,$C200))</f>
        <v>-1.0000000000000001E-5</v>
      </c>
      <c r="F200" s="185">
        <f>IFERROR(IF($C200="",-0.00001,SUMIFS(Database!H:H,Database!$E:$E,$C200)),-0.00001)</f>
        <v>-1.0000000000000001E-5</v>
      </c>
      <c r="G200" s="185">
        <f>IFERROR(IF($C200="",-0.00001,SUMIFS(Database!I:I,Database!$E:$E,$C200)),-0.00001)</f>
        <v>-1.0000000000000001E-5</v>
      </c>
      <c r="H200" s="185">
        <f>IFERROR(IF($C200="",-0.00001,SUMIFS(Database!J:J,Database!$E:$E,$C200)),-0.00001)</f>
        <v>-1.0000000000000001E-5</v>
      </c>
      <c r="I200" s="185">
        <f>IFERROR(IF($C200="",-0.00001,SUMIFS(Database!K:K,Database!$E:$E,$C200)),-0.00001)</f>
        <v>-1.0000000000000001E-5</v>
      </c>
      <c r="J200" s="185">
        <f>IFERROR(IF($C200="",-0.00001,SUMIFS(Database!L:L,Database!$E:$E,$C200)),-0.00001)</f>
        <v>-1.0000000000000001E-5</v>
      </c>
      <c r="K200" s="185">
        <f>IFERROR(IF($C200="",-0.00001,SUMIFS(Database!M:M,Database!$E:$E,$C200)),-0.00001)</f>
        <v>-1.0000000000000001E-5</v>
      </c>
      <c r="L200" s="185">
        <f>IFERROR(IF($C200="",-0.00001,SUMIFS(Database!N:N,Database!$E:$E,$C200)),-0.00001)</f>
        <v>-1.0000000000000001E-5</v>
      </c>
      <c r="M200" s="185">
        <f>IFERROR(IF($C200="",-0.00001,SUMIFS(Database!O:O,Database!$E:$E,$C200)),-0.00001)</f>
        <v>-1.0000000000000001E-5</v>
      </c>
      <c r="N200" s="185">
        <f>IFERROR(IF($C200="",-0.00001,SUMIFS(Database!P:P,Database!$E:$E,$C200)),-0.00001)</f>
        <v>-1.0000000000000001E-5</v>
      </c>
      <c r="O200" s="185">
        <f>IFERROR(IF($C200="",-0.00001,SUMIFS(Database!Q:Q,Database!$E:$E,$C200)),-0.00001)</f>
        <v>-1.0000000000000001E-5</v>
      </c>
      <c r="P200" s="186">
        <f t="shared" si="9"/>
        <v>-1.0000000000000001E-5</v>
      </c>
      <c r="Q200" s="185">
        <f>IFERROR(IF($C200="",-0.00001,SUMIFS(Database!S:S,Database!$E:$E,$C200)),-0.00001)</f>
        <v>-1.0000000000000001E-5</v>
      </c>
      <c r="R200" s="185">
        <f>IFERROR(IF($C200="",-0.00001,SUMIFS(Database!T:T,Database!$E:$E,$C200)),-0.00001)</f>
        <v>-1.0000000000000001E-5</v>
      </c>
      <c r="S200" s="186">
        <f t="shared" si="10"/>
        <v>-1.0000000000000001E-5</v>
      </c>
      <c r="T200" s="185">
        <f>IFERROR(IF($C200="",-0.00001,SUMIFS(Database!V:V,Database!$E:$E,$C200)),-0.00001)</f>
        <v>-1.0000000000000001E-5</v>
      </c>
      <c r="U200" s="185">
        <f>IFERROR(IF($C200="",-0.00001,SUMIFS(Database!W:W,Database!$E:$E,$C200)),-0.00001)</f>
        <v>-1.0000000000000001E-5</v>
      </c>
      <c r="V200" s="186">
        <f t="shared" si="11"/>
        <v>-1.0000000000000001E-5</v>
      </c>
      <c r="W200" s="187"/>
      <c r="X200" s="187"/>
      <c r="Y200" s="187"/>
      <c r="Z200" s="187"/>
      <c r="AA200" s="187"/>
      <c r="AB200" s="187"/>
      <c r="AC200" s="187"/>
      <c r="AD200" s="187"/>
      <c r="AE200" s="187"/>
    </row>
    <row r="201" spans="1:31" x14ac:dyDescent="0.25">
      <c r="A201" s="187"/>
      <c r="B201" s="187" t="str">
        <f>IF($C201="","",MAX($B$4:$B200)+1)</f>
        <v/>
      </c>
      <c r="C201" s="183"/>
      <c r="D201" s="183"/>
      <c r="E201" s="185">
        <f>IF($C201="",-0.00001,COUNTIF(Database!E:E,$C201))</f>
        <v>-1.0000000000000001E-5</v>
      </c>
      <c r="F201" s="185">
        <f>IFERROR(IF($C201="",-0.00001,SUMIFS(Database!H:H,Database!$E:$E,$C201)),-0.00001)</f>
        <v>-1.0000000000000001E-5</v>
      </c>
      <c r="G201" s="185">
        <f>IFERROR(IF($C201="",-0.00001,SUMIFS(Database!I:I,Database!$E:$E,$C201)),-0.00001)</f>
        <v>-1.0000000000000001E-5</v>
      </c>
      <c r="H201" s="185">
        <f>IFERROR(IF($C201="",-0.00001,SUMIFS(Database!J:J,Database!$E:$E,$C201)),-0.00001)</f>
        <v>-1.0000000000000001E-5</v>
      </c>
      <c r="I201" s="185">
        <f>IFERROR(IF($C201="",-0.00001,SUMIFS(Database!K:K,Database!$E:$E,$C201)),-0.00001)</f>
        <v>-1.0000000000000001E-5</v>
      </c>
      <c r="J201" s="185">
        <f>IFERROR(IF($C201="",-0.00001,SUMIFS(Database!L:L,Database!$E:$E,$C201)),-0.00001)</f>
        <v>-1.0000000000000001E-5</v>
      </c>
      <c r="K201" s="185">
        <f>IFERROR(IF($C201="",-0.00001,SUMIFS(Database!M:M,Database!$E:$E,$C201)),-0.00001)</f>
        <v>-1.0000000000000001E-5</v>
      </c>
      <c r="L201" s="185">
        <f>IFERROR(IF($C201="",-0.00001,SUMIFS(Database!N:N,Database!$E:$E,$C201)),-0.00001)</f>
        <v>-1.0000000000000001E-5</v>
      </c>
      <c r="M201" s="185">
        <f>IFERROR(IF($C201="",-0.00001,SUMIFS(Database!O:O,Database!$E:$E,$C201)),-0.00001)</f>
        <v>-1.0000000000000001E-5</v>
      </c>
      <c r="N201" s="185">
        <f>IFERROR(IF($C201="",-0.00001,SUMIFS(Database!P:P,Database!$E:$E,$C201)),-0.00001)</f>
        <v>-1.0000000000000001E-5</v>
      </c>
      <c r="O201" s="185">
        <f>IFERROR(IF($C201="",-0.00001,SUMIFS(Database!Q:Q,Database!$E:$E,$C201)),-0.00001)</f>
        <v>-1.0000000000000001E-5</v>
      </c>
      <c r="P201" s="186">
        <f t="shared" si="9"/>
        <v>-1.0000000000000001E-5</v>
      </c>
      <c r="Q201" s="185">
        <f>IFERROR(IF($C201="",-0.00001,SUMIFS(Database!S:S,Database!$E:$E,$C201)),-0.00001)</f>
        <v>-1.0000000000000001E-5</v>
      </c>
      <c r="R201" s="185">
        <f>IFERROR(IF($C201="",-0.00001,SUMIFS(Database!T:T,Database!$E:$E,$C201)),-0.00001)</f>
        <v>-1.0000000000000001E-5</v>
      </c>
      <c r="S201" s="186">
        <f t="shared" si="10"/>
        <v>-1.0000000000000001E-5</v>
      </c>
      <c r="T201" s="185">
        <f>IFERROR(IF($C201="",-0.00001,SUMIFS(Database!V:V,Database!$E:$E,$C201)),-0.00001)</f>
        <v>-1.0000000000000001E-5</v>
      </c>
      <c r="U201" s="185">
        <f>IFERROR(IF($C201="",-0.00001,SUMIFS(Database!W:W,Database!$E:$E,$C201)),-0.00001)</f>
        <v>-1.0000000000000001E-5</v>
      </c>
      <c r="V201" s="186">
        <f t="shared" si="11"/>
        <v>-1.0000000000000001E-5</v>
      </c>
      <c r="W201" s="187"/>
      <c r="X201" s="187"/>
      <c r="Y201" s="187"/>
      <c r="Z201" s="187"/>
      <c r="AA201" s="187"/>
      <c r="AB201" s="187"/>
      <c r="AC201" s="187"/>
      <c r="AD201" s="187"/>
      <c r="AE201" s="187"/>
    </row>
    <row r="202" spans="1:31" x14ac:dyDescent="0.25">
      <c r="A202" s="187"/>
      <c r="B202" s="187" t="str">
        <f>IF($C202="","",MAX($B$4:$B201)+1)</f>
        <v/>
      </c>
      <c r="C202" s="183"/>
      <c r="D202" s="183"/>
      <c r="E202" s="185">
        <f>IF($C202="",-0.00001,COUNTIF(Database!E:E,$C202))</f>
        <v>-1.0000000000000001E-5</v>
      </c>
      <c r="F202" s="185">
        <f>IFERROR(IF($C202="",-0.00001,SUMIFS(Database!H:H,Database!$E:$E,$C202)),-0.00001)</f>
        <v>-1.0000000000000001E-5</v>
      </c>
      <c r="G202" s="185">
        <f>IFERROR(IF($C202="",-0.00001,SUMIFS(Database!I:I,Database!$E:$E,$C202)),-0.00001)</f>
        <v>-1.0000000000000001E-5</v>
      </c>
      <c r="H202" s="185">
        <f>IFERROR(IF($C202="",-0.00001,SUMIFS(Database!J:J,Database!$E:$E,$C202)),-0.00001)</f>
        <v>-1.0000000000000001E-5</v>
      </c>
      <c r="I202" s="185">
        <f>IFERROR(IF($C202="",-0.00001,SUMIFS(Database!K:K,Database!$E:$E,$C202)),-0.00001)</f>
        <v>-1.0000000000000001E-5</v>
      </c>
      <c r="J202" s="185">
        <f>IFERROR(IF($C202="",-0.00001,SUMIFS(Database!L:L,Database!$E:$E,$C202)),-0.00001)</f>
        <v>-1.0000000000000001E-5</v>
      </c>
      <c r="K202" s="185">
        <f>IFERROR(IF($C202="",-0.00001,SUMIFS(Database!M:M,Database!$E:$E,$C202)),-0.00001)</f>
        <v>-1.0000000000000001E-5</v>
      </c>
      <c r="L202" s="185">
        <f>IFERROR(IF($C202="",-0.00001,SUMIFS(Database!N:N,Database!$E:$E,$C202)),-0.00001)</f>
        <v>-1.0000000000000001E-5</v>
      </c>
      <c r="M202" s="185">
        <f>IFERROR(IF($C202="",-0.00001,SUMIFS(Database!O:O,Database!$E:$E,$C202)),-0.00001)</f>
        <v>-1.0000000000000001E-5</v>
      </c>
      <c r="N202" s="185">
        <f>IFERROR(IF($C202="",-0.00001,SUMIFS(Database!P:P,Database!$E:$E,$C202)),-0.00001)</f>
        <v>-1.0000000000000001E-5</v>
      </c>
      <c r="O202" s="185">
        <f>IFERROR(IF($C202="",-0.00001,SUMIFS(Database!Q:Q,Database!$E:$E,$C202)),-0.00001)</f>
        <v>-1.0000000000000001E-5</v>
      </c>
      <c r="P202" s="186">
        <f t="shared" si="9"/>
        <v>-1.0000000000000001E-5</v>
      </c>
      <c r="Q202" s="185">
        <f>IFERROR(IF($C202="",-0.00001,SUMIFS(Database!S:S,Database!$E:$E,$C202)),-0.00001)</f>
        <v>-1.0000000000000001E-5</v>
      </c>
      <c r="R202" s="185">
        <f>IFERROR(IF($C202="",-0.00001,SUMIFS(Database!T:T,Database!$E:$E,$C202)),-0.00001)</f>
        <v>-1.0000000000000001E-5</v>
      </c>
      <c r="S202" s="186">
        <f t="shared" si="10"/>
        <v>-1.0000000000000001E-5</v>
      </c>
      <c r="T202" s="185">
        <f>IFERROR(IF($C202="",-0.00001,SUMIFS(Database!V:V,Database!$E:$E,$C202)),-0.00001)</f>
        <v>-1.0000000000000001E-5</v>
      </c>
      <c r="U202" s="185">
        <f>IFERROR(IF($C202="",-0.00001,SUMIFS(Database!W:W,Database!$E:$E,$C202)),-0.00001)</f>
        <v>-1.0000000000000001E-5</v>
      </c>
      <c r="V202" s="186">
        <f t="shared" si="11"/>
        <v>-1.0000000000000001E-5</v>
      </c>
      <c r="W202" s="187"/>
      <c r="X202" s="187"/>
      <c r="Y202" s="187"/>
      <c r="Z202" s="187"/>
      <c r="AA202" s="187"/>
      <c r="AB202" s="187"/>
      <c r="AC202" s="187"/>
      <c r="AD202" s="187"/>
      <c r="AE202" s="187"/>
    </row>
    <row r="203" spans="1:31" x14ac:dyDescent="0.25">
      <c r="A203" s="187"/>
      <c r="B203" s="187" t="str">
        <f>IF($C203="","",MAX($B$4:$B202)+1)</f>
        <v/>
      </c>
      <c r="C203" s="183"/>
      <c r="D203" s="183"/>
      <c r="E203" s="185">
        <f>IF($C203="",-0.00001,COUNTIF(Database!E:E,$C203))</f>
        <v>-1.0000000000000001E-5</v>
      </c>
      <c r="F203" s="185">
        <f>IFERROR(IF($C203="",-0.00001,SUMIFS(Database!H:H,Database!$E:$E,$C203)),-0.00001)</f>
        <v>-1.0000000000000001E-5</v>
      </c>
      <c r="G203" s="185">
        <f>IFERROR(IF($C203="",-0.00001,SUMIFS(Database!I:I,Database!$E:$E,$C203)),-0.00001)</f>
        <v>-1.0000000000000001E-5</v>
      </c>
      <c r="H203" s="185">
        <f>IFERROR(IF($C203="",-0.00001,SUMIFS(Database!J:J,Database!$E:$E,$C203)),-0.00001)</f>
        <v>-1.0000000000000001E-5</v>
      </c>
      <c r="I203" s="185">
        <f>IFERROR(IF($C203="",-0.00001,SUMIFS(Database!K:K,Database!$E:$E,$C203)),-0.00001)</f>
        <v>-1.0000000000000001E-5</v>
      </c>
      <c r="J203" s="185">
        <f>IFERROR(IF($C203="",-0.00001,SUMIFS(Database!L:L,Database!$E:$E,$C203)),-0.00001)</f>
        <v>-1.0000000000000001E-5</v>
      </c>
      <c r="K203" s="185">
        <f>IFERROR(IF($C203="",-0.00001,SUMIFS(Database!M:M,Database!$E:$E,$C203)),-0.00001)</f>
        <v>-1.0000000000000001E-5</v>
      </c>
      <c r="L203" s="185">
        <f>IFERROR(IF($C203="",-0.00001,SUMIFS(Database!N:N,Database!$E:$E,$C203)),-0.00001)</f>
        <v>-1.0000000000000001E-5</v>
      </c>
      <c r="M203" s="185">
        <f>IFERROR(IF($C203="",-0.00001,SUMIFS(Database!O:O,Database!$E:$E,$C203)),-0.00001)</f>
        <v>-1.0000000000000001E-5</v>
      </c>
      <c r="N203" s="185">
        <f>IFERROR(IF($C203="",-0.00001,SUMIFS(Database!P:P,Database!$E:$E,$C203)),-0.00001)</f>
        <v>-1.0000000000000001E-5</v>
      </c>
      <c r="O203" s="185">
        <f>IFERROR(IF($C203="",-0.00001,SUMIFS(Database!Q:Q,Database!$E:$E,$C203)),-0.00001)</f>
        <v>-1.0000000000000001E-5</v>
      </c>
      <c r="P203" s="186">
        <f t="shared" si="9"/>
        <v>-1.0000000000000001E-5</v>
      </c>
      <c r="Q203" s="185">
        <f>IFERROR(IF($C203="",-0.00001,SUMIFS(Database!S:S,Database!$E:$E,$C203)),-0.00001)</f>
        <v>-1.0000000000000001E-5</v>
      </c>
      <c r="R203" s="185">
        <f>IFERROR(IF($C203="",-0.00001,SUMIFS(Database!T:T,Database!$E:$E,$C203)),-0.00001)</f>
        <v>-1.0000000000000001E-5</v>
      </c>
      <c r="S203" s="186">
        <f t="shared" si="10"/>
        <v>-1.0000000000000001E-5</v>
      </c>
      <c r="T203" s="185">
        <f>IFERROR(IF($C203="",-0.00001,SUMIFS(Database!V:V,Database!$E:$E,$C203)),-0.00001)</f>
        <v>-1.0000000000000001E-5</v>
      </c>
      <c r="U203" s="185">
        <f>IFERROR(IF($C203="",-0.00001,SUMIFS(Database!W:W,Database!$E:$E,$C203)),-0.00001)</f>
        <v>-1.0000000000000001E-5</v>
      </c>
      <c r="V203" s="186">
        <f t="shared" si="11"/>
        <v>-1.0000000000000001E-5</v>
      </c>
      <c r="W203" s="187"/>
      <c r="X203" s="187"/>
      <c r="Y203" s="187"/>
      <c r="Z203" s="187"/>
      <c r="AA203" s="187"/>
      <c r="AB203" s="187"/>
      <c r="AC203" s="187"/>
      <c r="AD203" s="187"/>
      <c r="AE203" s="187"/>
    </row>
    <row r="204" spans="1:31" x14ac:dyDescent="0.25">
      <c r="A204" s="187"/>
      <c r="B204" s="187" t="str">
        <f>IF($C204="","",MAX($B$4:$B203)+1)</f>
        <v/>
      </c>
      <c r="C204" s="183"/>
      <c r="D204" s="183"/>
      <c r="E204" s="185">
        <f>IF($C204="",-0.00001,COUNTIF(Database!E:E,$C204))</f>
        <v>-1.0000000000000001E-5</v>
      </c>
      <c r="F204" s="185">
        <f>IFERROR(IF($C204="",-0.00001,SUMIFS(Database!H:H,Database!$E:$E,$C204)),-0.00001)</f>
        <v>-1.0000000000000001E-5</v>
      </c>
      <c r="G204" s="185">
        <f>IFERROR(IF($C204="",-0.00001,SUMIFS(Database!I:I,Database!$E:$E,$C204)),-0.00001)</f>
        <v>-1.0000000000000001E-5</v>
      </c>
      <c r="H204" s="185">
        <f>IFERROR(IF($C204="",-0.00001,SUMIFS(Database!J:J,Database!$E:$E,$C204)),-0.00001)</f>
        <v>-1.0000000000000001E-5</v>
      </c>
      <c r="I204" s="185">
        <f>IFERROR(IF($C204="",-0.00001,SUMIFS(Database!K:K,Database!$E:$E,$C204)),-0.00001)</f>
        <v>-1.0000000000000001E-5</v>
      </c>
      <c r="J204" s="185">
        <f>IFERROR(IF($C204="",-0.00001,SUMIFS(Database!L:L,Database!$E:$E,$C204)),-0.00001)</f>
        <v>-1.0000000000000001E-5</v>
      </c>
      <c r="K204" s="185">
        <f>IFERROR(IF($C204="",-0.00001,SUMIFS(Database!M:M,Database!$E:$E,$C204)),-0.00001)</f>
        <v>-1.0000000000000001E-5</v>
      </c>
      <c r="L204" s="185">
        <f>IFERROR(IF($C204="",-0.00001,SUMIFS(Database!N:N,Database!$E:$E,$C204)),-0.00001)</f>
        <v>-1.0000000000000001E-5</v>
      </c>
      <c r="M204" s="185">
        <f>IFERROR(IF($C204="",-0.00001,SUMIFS(Database!O:O,Database!$E:$E,$C204)),-0.00001)</f>
        <v>-1.0000000000000001E-5</v>
      </c>
      <c r="N204" s="185">
        <f>IFERROR(IF($C204="",-0.00001,SUMIFS(Database!P:P,Database!$E:$E,$C204)),-0.00001)</f>
        <v>-1.0000000000000001E-5</v>
      </c>
      <c r="O204" s="185">
        <f>IFERROR(IF($C204="",-0.00001,SUMIFS(Database!Q:Q,Database!$E:$E,$C204)),-0.00001)</f>
        <v>-1.0000000000000001E-5</v>
      </c>
      <c r="P204" s="186">
        <f t="shared" si="9"/>
        <v>-1.0000000000000001E-5</v>
      </c>
      <c r="Q204" s="185">
        <f>IFERROR(IF($C204="",-0.00001,SUMIFS(Database!S:S,Database!$E:$E,$C204)),-0.00001)</f>
        <v>-1.0000000000000001E-5</v>
      </c>
      <c r="R204" s="185">
        <f>IFERROR(IF($C204="",-0.00001,SUMIFS(Database!T:T,Database!$E:$E,$C204)),-0.00001)</f>
        <v>-1.0000000000000001E-5</v>
      </c>
      <c r="S204" s="186">
        <f t="shared" si="10"/>
        <v>-1.0000000000000001E-5</v>
      </c>
      <c r="T204" s="185">
        <f>IFERROR(IF($C204="",-0.00001,SUMIFS(Database!V:V,Database!$E:$E,$C204)),-0.00001)</f>
        <v>-1.0000000000000001E-5</v>
      </c>
      <c r="U204" s="185">
        <f>IFERROR(IF($C204="",-0.00001,SUMIFS(Database!W:W,Database!$E:$E,$C204)),-0.00001)</f>
        <v>-1.0000000000000001E-5</v>
      </c>
      <c r="V204" s="186">
        <f t="shared" si="11"/>
        <v>-1.0000000000000001E-5</v>
      </c>
      <c r="W204" s="187"/>
      <c r="X204" s="187"/>
      <c r="Y204" s="187"/>
      <c r="Z204" s="187"/>
      <c r="AA204" s="187"/>
      <c r="AB204" s="187"/>
      <c r="AC204" s="187"/>
      <c r="AD204" s="187"/>
      <c r="AE204" s="187"/>
    </row>
    <row r="205" spans="1:31" x14ac:dyDescent="0.25">
      <c r="A205" s="187"/>
      <c r="B205" s="187" t="str">
        <f>IF($C205="","",MAX($B$4:$B204)+1)</f>
        <v/>
      </c>
      <c r="C205" s="183"/>
      <c r="D205" s="183"/>
      <c r="E205" s="185">
        <f>IF($C205="",-0.00001,COUNTIF(Database!E:E,$C205))</f>
        <v>-1.0000000000000001E-5</v>
      </c>
      <c r="F205" s="185">
        <f>IFERROR(IF($C205="",-0.00001,SUMIFS(Database!H:H,Database!$E:$E,$C205)),-0.00001)</f>
        <v>-1.0000000000000001E-5</v>
      </c>
      <c r="G205" s="185">
        <f>IFERROR(IF($C205="",-0.00001,SUMIFS(Database!I:I,Database!$E:$E,$C205)),-0.00001)</f>
        <v>-1.0000000000000001E-5</v>
      </c>
      <c r="H205" s="185">
        <f>IFERROR(IF($C205="",-0.00001,SUMIFS(Database!J:J,Database!$E:$E,$C205)),-0.00001)</f>
        <v>-1.0000000000000001E-5</v>
      </c>
      <c r="I205" s="185">
        <f>IFERROR(IF($C205="",-0.00001,SUMIFS(Database!K:K,Database!$E:$E,$C205)),-0.00001)</f>
        <v>-1.0000000000000001E-5</v>
      </c>
      <c r="J205" s="185">
        <f>IFERROR(IF($C205="",-0.00001,SUMIFS(Database!L:L,Database!$E:$E,$C205)),-0.00001)</f>
        <v>-1.0000000000000001E-5</v>
      </c>
      <c r="K205" s="185">
        <f>IFERROR(IF($C205="",-0.00001,SUMIFS(Database!M:M,Database!$E:$E,$C205)),-0.00001)</f>
        <v>-1.0000000000000001E-5</v>
      </c>
      <c r="L205" s="185">
        <f>IFERROR(IF($C205="",-0.00001,SUMIFS(Database!N:N,Database!$E:$E,$C205)),-0.00001)</f>
        <v>-1.0000000000000001E-5</v>
      </c>
      <c r="M205" s="185">
        <f>IFERROR(IF($C205="",-0.00001,SUMIFS(Database!O:O,Database!$E:$E,$C205)),-0.00001)</f>
        <v>-1.0000000000000001E-5</v>
      </c>
      <c r="N205" s="185">
        <f>IFERROR(IF($C205="",-0.00001,SUMIFS(Database!P:P,Database!$E:$E,$C205)),-0.00001)</f>
        <v>-1.0000000000000001E-5</v>
      </c>
      <c r="O205" s="185">
        <f>IFERROR(IF($C205="",-0.00001,SUMIFS(Database!Q:Q,Database!$E:$E,$C205)),-0.00001)</f>
        <v>-1.0000000000000001E-5</v>
      </c>
      <c r="P205" s="186">
        <f t="shared" si="9"/>
        <v>-1.0000000000000001E-5</v>
      </c>
      <c r="Q205" s="185">
        <f>IFERROR(IF($C205="",-0.00001,SUMIFS(Database!S:S,Database!$E:$E,$C205)),-0.00001)</f>
        <v>-1.0000000000000001E-5</v>
      </c>
      <c r="R205" s="185">
        <f>IFERROR(IF($C205="",-0.00001,SUMIFS(Database!T:T,Database!$E:$E,$C205)),-0.00001)</f>
        <v>-1.0000000000000001E-5</v>
      </c>
      <c r="S205" s="186">
        <f t="shared" si="10"/>
        <v>-1.0000000000000001E-5</v>
      </c>
      <c r="T205" s="185">
        <f>IFERROR(IF($C205="",-0.00001,SUMIFS(Database!V:V,Database!$E:$E,$C205)),-0.00001)</f>
        <v>-1.0000000000000001E-5</v>
      </c>
      <c r="U205" s="185">
        <f>IFERROR(IF($C205="",-0.00001,SUMIFS(Database!W:W,Database!$E:$E,$C205)),-0.00001)</f>
        <v>-1.0000000000000001E-5</v>
      </c>
      <c r="V205" s="186">
        <f t="shared" si="11"/>
        <v>-1.0000000000000001E-5</v>
      </c>
      <c r="W205" s="187"/>
      <c r="X205" s="187"/>
      <c r="Y205" s="187"/>
      <c r="Z205" s="187"/>
      <c r="AA205" s="187"/>
      <c r="AB205" s="187"/>
      <c r="AC205" s="187"/>
      <c r="AD205" s="187"/>
      <c r="AE205" s="187"/>
    </row>
    <row r="206" spans="1:31" x14ac:dyDescent="0.25">
      <c r="A206" s="187"/>
      <c r="B206" s="187" t="str">
        <f>IF($C206="","",MAX($B$4:$B205)+1)</f>
        <v/>
      </c>
      <c r="C206" s="183"/>
      <c r="D206" s="183"/>
      <c r="E206" s="185">
        <f>IF($C206="",-0.00001,COUNTIF(Database!E:E,$C206))</f>
        <v>-1.0000000000000001E-5</v>
      </c>
      <c r="F206" s="185">
        <f>IFERROR(IF($C206="",-0.00001,SUMIFS(Database!H:H,Database!$E:$E,$C206)),-0.00001)</f>
        <v>-1.0000000000000001E-5</v>
      </c>
      <c r="G206" s="185">
        <f>IFERROR(IF($C206="",-0.00001,SUMIFS(Database!I:I,Database!$E:$E,$C206)),-0.00001)</f>
        <v>-1.0000000000000001E-5</v>
      </c>
      <c r="H206" s="185">
        <f>IFERROR(IF($C206="",-0.00001,SUMIFS(Database!J:J,Database!$E:$E,$C206)),-0.00001)</f>
        <v>-1.0000000000000001E-5</v>
      </c>
      <c r="I206" s="185">
        <f>IFERROR(IF($C206="",-0.00001,SUMIFS(Database!K:K,Database!$E:$E,$C206)),-0.00001)</f>
        <v>-1.0000000000000001E-5</v>
      </c>
      <c r="J206" s="185">
        <f>IFERROR(IF($C206="",-0.00001,SUMIFS(Database!L:L,Database!$E:$E,$C206)),-0.00001)</f>
        <v>-1.0000000000000001E-5</v>
      </c>
      <c r="K206" s="185">
        <f>IFERROR(IF($C206="",-0.00001,SUMIFS(Database!M:M,Database!$E:$E,$C206)),-0.00001)</f>
        <v>-1.0000000000000001E-5</v>
      </c>
      <c r="L206" s="185">
        <f>IFERROR(IF($C206="",-0.00001,SUMIFS(Database!N:N,Database!$E:$E,$C206)),-0.00001)</f>
        <v>-1.0000000000000001E-5</v>
      </c>
      <c r="M206" s="185">
        <f>IFERROR(IF($C206="",-0.00001,SUMIFS(Database!O:O,Database!$E:$E,$C206)),-0.00001)</f>
        <v>-1.0000000000000001E-5</v>
      </c>
      <c r="N206" s="185">
        <f>IFERROR(IF($C206="",-0.00001,SUMIFS(Database!P:P,Database!$E:$E,$C206)),-0.00001)</f>
        <v>-1.0000000000000001E-5</v>
      </c>
      <c r="O206" s="185">
        <f>IFERROR(IF($C206="",-0.00001,SUMIFS(Database!Q:Q,Database!$E:$E,$C206)),-0.00001)</f>
        <v>-1.0000000000000001E-5</v>
      </c>
      <c r="P206" s="186">
        <f t="shared" si="9"/>
        <v>-1.0000000000000001E-5</v>
      </c>
      <c r="Q206" s="185">
        <f>IFERROR(IF($C206="",-0.00001,SUMIFS(Database!S:S,Database!$E:$E,$C206)),-0.00001)</f>
        <v>-1.0000000000000001E-5</v>
      </c>
      <c r="R206" s="185">
        <f>IFERROR(IF($C206="",-0.00001,SUMIFS(Database!T:T,Database!$E:$E,$C206)),-0.00001)</f>
        <v>-1.0000000000000001E-5</v>
      </c>
      <c r="S206" s="186">
        <f t="shared" si="10"/>
        <v>-1.0000000000000001E-5</v>
      </c>
      <c r="T206" s="185">
        <f>IFERROR(IF($C206="",-0.00001,SUMIFS(Database!V:V,Database!$E:$E,$C206)),-0.00001)</f>
        <v>-1.0000000000000001E-5</v>
      </c>
      <c r="U206" s="185">
        <f>IFERROR(IF($C206="",-0.00001,SUMIFS(Database!W:W,Database!$E:$E,$C206)),-0.00001)</f>
        <v>-1.0000000000000001E-5</v>
      </c>
      <c r="V206" s="186">
        <f t="shared" si="11"/>
        <v>-1.0000000000000001E-5</v>
      </c>
      <c r="W206" s="187"/>
      <c r="X206" s="187"/>
      <c r="Y206" s="187"/>
      <c r="Z206" s="187"/>
      <c r="AA206" s="187"/>
      <c r="AB206" s="187"/>
      <c r="AC206" s="187"/>
      <c r="AD206" s="187"/>
      <c r="AE206" s="187"/>
    </row>
    <row r="207" spans="1:31" x14ac:dyDescent="0.25">
      <c r="A207" s="187"/>
      <c r="B207" s="187" t="str">
        <f>IF($C207="","",MAX($B$4:$B206)+1)</f>
        <v/>
      </c>
      <c r="C207" s="183"/>
      <c r="D207" s="183"/>
      <c r="E207" s="185">
        <f>IF($C207="",-0.00001,COUNTIF(Database!E:E,$C207))</f>
        <v>-1.0000000000000001E-5</v>
      </c>
      <c r="F207" s="185">
        <f>IFERROR(IF($C207="",-0.00001,SUMIFS(Database!H:H,Database!$E:$E,$C207)),-0.00001)</f>
        <v>-1.0000000000000001E-5</v>
      </c>
      <c r="G207" s="185">
        <f>IFERROR(IF($C207="",-0.00001,SUMIFS(Database!I:I,Database!$E:$E,$C207)),-0.00001)</f>
        <v>-1.0000000000000001E-5</v>
      </c>
      <c r="H207" s="185">
        <f>IFERROR(IF($C207="",-0.00001,SUMIFS(Database!J:J,Database!$E:$E,$C207)),-0.00001)</f>
        <v>-1.0000000000000001E-5</v>
      </c>
      <c r="I207" s="185">
        <f>IFERROR(IF($C207="",-0.00001,SUMIFS(Database!K:K,Database!$E:$E,$C207)),-0.00001)</f>
        <v>-1.0000000000000001E-5</v>
      </c>
      <c r="J207" s="185">
        <f>IFERROR(IF($C207="",-0.00001,SUMIFS(Database!L:L,Database!$E:$E,$C207)),-0.00001)</f>
        <v>-1.0000000000000001E-5</v>
      </c>
      <c r="K207" s="185">
        <f>IFERROR(IF($C207="",-0.00001,SUMIFS(Database!M:M,Database!$E:$E,$C207)),-0.00001)</f>
        <v>-1.0000000000000001E-5</v>
      </c>
      <c r="L207" s="185">
        <f>IFERROR(IF($C207="",-0.00001,SUMIFS(Database!N:N,Database!$E:$E,$C207)),-0.00001)</f>
        <v>-1.0000000000000001E-5</v>
      </c>
      <c r="M207" s="185">
        <f>IFERROR(IF($C207="",-0.00001,SUMIFS(Database!O:O,Database!$E:$E,$C207)),-0.00001)</f>
        <v>-1.0000000000000001E-5</v>
      </c>
      <c r="N207" s="185">
        <f>IFERROR(IF($C207="",-0.00001,SUMIFS(Database!P:P,Database!$E:$E,$C207)),-0.00001)</f>
        <v>-1.0000000000000001E-5</v>
      </c>
      <c r="O207" s="185">
        <f>IFERROR(IF($C207="",-0.00001,SUMIFS(Database!Q:Q,Database!$E:$E,$C207)),-0.00001)</f>
        <v>-1.0000000000000001E-5</v>
      </c>
      <c r="P207" s="186">
        <f t="shared" si="9"/>
        <v>-1.0000000000000001E-5</v>
      </c>
      <c r="Q207" s="185">
        <f>IFERROR(IF($C207="",-0.00001,SUMIFS(Database!S:S,Database!$E:$E,$C207)),-0.00001)</f>
        <v>-1.0000000000000001E-5</v>
      </c>
      <c r="R207" s="185">
        <f>IFERROR(IF($C207="",-0.00001,SUMIFS(Database!T:T,Database!$E:$E,$C207)),-0.00001)</f>
        <v>-1.0000000000000001E-5</v>
      </c>
      <c r="S207" s="186">
        <f t="shared" si="10"/>
        <v>-1.0000000000000001E-5</v>
      </c>
      <c r="T207" s="185">
        <f>IFERROR(IF($C207="",-0.00001,SUMIFS(Database!V:V,Database!$E:$E,$C207)),-0.00001)</f>
        <v>-1.0000000000000001E-5</v>
      </c>
      <c r="U207" s="185">
        <f>IFERROR(IF($C207="",-0.00001,SUMIFS(Database!W:W,Database!$E:$E,$C207)),-0.00001)</f>
        <v>-1.0000000000000001E-5</v>
      </c>
      <c r="V207" s="186">
        <f t="shared" si="11"/>
        <v>-1.0000000000000001E-5</v>
      </c>
      <c r="W207" s="187"/>
      <c r="X207" s="187"/>
      <c r="Y207" s="187"/>
      <c r="Z207" s="187"/>
      <c r="AA207" s="187"/>
      <c r="AB207" s="187"/>
      <c r="AC207" s="187"/>
      <c r="AD207" s="187"/>
      <c r="AE207" s="187"/>
    </row>
    <row r="208" spans="1:31" x14ac:dyDescent="0.25">
      <c r="A208" s="187"/>
      <c r="B208" s="187" t="str">
        <f>IF($C208="","",MAX($B$4:$B207)+1)</f>
        <v/>
      </c>
      <c r="C208" s="183"/>
      <c r="D208" s="183"/>
      <c r="E208" s="185">
        <f>IF($C208="",-0.00001,COUNTIF(Database!E:E,$C208))</f>
        <v>-1.0000000000000001E-5</v>
      </c>
      <c r="F208" s="185">
        <f>IFERROR(IF($C208="",-0.00001,SUMIFS(Database!H:H,Database!$E:$E,$C208)),-0.00001)</f>
        <v>-1.0000000000000001E-5</v>
      </c>
      <c r="G208" s="185">
        <f>IFERROR(IF($C208="",-0.00001,SUMIFS(Database!I:I,Database!$E:$E,$C208)),-0.00001)</f>
        <v>-1.0000000000000001E-5</v>
      </c>
      <c r="H208" s="185">
        <f>IFERROR(IF($C208="",-0.00001,SUMIFS(Database!J:J,Database!$E:$E,$C208)),-0.00001)</f>
        <v>-1.0000000000000001E-5</v>
      </c>
      <c r="I208" s="185">
        <f>IFERROR(IF($C208="",-0.00001,SUMIFS(Database!K:K,Database!$E:$E,$C208)),-0.00001)</f>
        <v>-1.0000000000000001E-5</v>
      </c>
      <c r="J208" s="185">
        <f>IFERROR(IF($C208="",-0.00001,SUMIFS(Database!L:L,Database!$E:$E,$C208)),-0.00001)</f>
        <v>-1.0000000000000001E-5</v>
      </c>
      <c r="K208" s="185">
        <f>IFERROR(IF($C208="",-0.00001,SUMIFS(Database!M:M,Database!$E:$E,$C208)),-0.00001)</f>
        <v>-1.0000000000000001E-5</v>
      </c>
      <c r="L208" s="185">
        <f>IFERROR(IF($C208="",-0.00001,SUMIFS(Database!N:N,Database!$E:$E,$C208)),-0.00001)</f>
        <v>-1.0000000000000001E-5</v>
      </c>
      <c r="M208" s="185">
        <f>IFERROR(IF($C208="",-0.00001,SUMIFS(Database!O:O,Database!$E:$E,$C208)),-0.00001)</f>
        <v>-1.0000000000000001E-5</v>
      </c>
      <c r="N208" s="185">
        <f>IFERROR(IF($C208="",-0.00001,SUMIFS(Database!P:P,Database!$E:$E,$C208)),-0.00001)</f>
        <v>-1.0000000000000001E-5</v>
      </c>
      <c r="O208" s="185">
        <f>IFERROR(IF($C208="",-0.00001,SUMIFS(Database!Q:Q,Database!$E:$E,$C208)),-0.00001)</f>
        <v>-1.0000000000000001E-5</v>
      </c>
      <c r="P208" s="186">
        <f t="shared" si="9"/>
        <v>-1.0000000000000001E-5</v>
      </c>
      <c r="Q208" s="185">
        <f>IFERROR(IF($C208="",-0.00001,SUMIFS(Database!S:S,Database!$E:$E,$C208)),-0.00001)</f>
        <v>-1.0000000000000001E-5</v>
      </c>
      <c r="R208" s="185">
        <f>IFERROR(IF($C208="",-0.00001,SUMIFS(Database!T:T,Database!$E:$E,$C208)),-0.00001)</f>
        <v>-1.0000000000000001E-5</v>
      </c>
      <c r="S208" s="186">
        <f t="shared" si="10"/>
        <v>-1.0000000000000001E-5</v>
      </c>
      <c r="T208" s="185">
        <f>IFERROR(IF($C208="",-0.00001,SUMIFS(Database!V:V,Database!$E:$E,$C208)),-0.00001)</f>
        <v>-1.0000000000000001E-5</v>
      </c>
      <c r="U208" s="185">
        <f>IFERROR(IF($C208="",-0.00001,SUMIFS(Database!W:W,Database!$E:$E,$C208)),-0.00001)</f>
        <v>-1.0000000000000001E-5</v>
      </c>
      <c r="V208" s="186">
        <f t="shared" si="11"/>
        <v>-1.0000000000000001E-5</v>
      </c>
      <c r="W208" s="187"/>
      <c r="X208" s="187"/>
      <c r="Y208" s="187"/>
      <c r="Z208" s="187"/>
      <c r="AA208" s="187"/>
      <c r="AB208" s="187"/>
      <c r="AC208" s="187"/>
      <c r="AD208" s="187"/>
      <c r="AE208" s="187"/>
    </row>
    <row r="209" spans="1:31" x14ac:dyDescent="0.25">
      <c r="A209" s="187"/>
      <c r="B209" s="187" t="str">
        <f>IF($C209="","",MAX($B$4:$B208)+1)</f>
        <v/>
      </c>
      <c r="C209" s="183"/>
      <c r="D209" s="183"/>
      <c r="E209" s="185">
        <f>IF($C209="",-0.00001,COUNTIF(Database!E:E,$C209))</f>
        <v>-1.0000000000000001E-5</v>
      </c>
      <c r="F209" s="185">
        <f>IFERROR(IF($C209="",-0.00001,SUMIFS(Database!H:H,Database!$E:$E,$C209)),-0.00001)</f>
        <v>-1.0000000000000001E-5</v>
      </c>
      <c r="G209" s="185">
        <f>IFERROR(IF($C209="",-0.00001,SUMIFS(Database!I:I,Database!$E:$E,$C209)),-0.00001)</f>
        <v>-1.0000000000000001E-5</v>
      </c>
      <c r="H209" s="185">
        <f>IFERROR(IF($C209="",-0.00001,SUMIFS(Database!J:J,Database!$E:$E,$C209)),-0.00001)</f>
        <v>-1.0000000000000001E-5</v>
      </c>
      <c r="I209" s="185">
        <f>IFERROR(IF($C209="",-0.00001,SUMIFS(Database!K:K,Database!$E:$E,$C209)),-0.00001)</f>
        <v>-1.0000000000000001E-5</v>
      </c>
      <c r="J209" s="185">
        <f>IFERROR(IF($C209="",-0.00001,SUMIFS(Database!L:L,Database!$E:$E,$C209)),-0.00001)</f>
        <v>-1.0000000000000001E-5</v>
      </c>
      <c r="K209" s="185">
        <f>IFERROR(IF($C209="",-0.00001,SUMIFS(Database!M:M,Database!$E:$E,$C209)),-0.00001)</f>
        <v>-1.0000000000000001E-5</v>
      </c>
      <c r="L209" s="185">
        <f>IFERROR(IF($C209="",-0.00001,SUMIFS(Database!N:N,Database!$E:$E,$C209)),-0.00001)</f>
        <v>-1.0000000000000001E-5</v>
      </c>
      <c r="M209" s="185">
        <f>IFERROR(IF($C209="",-0.00001,SUMIFS(Database!O:O,Database!$E:$E,$C209)),-0.00001)</f>
        <v>-1.0000000000000001E-5</v>
      </c>
      <c r="N209" s="185">
        <f>IFERROR(IF($C209="",-0.00001,SUMIFS(Database!P:P,Database!$E:$E,$C209)),-0.00001)</f>
        <v>-1.0000000000000001E-5</v>
      </c>
      <c r="O209" s="185">
        <f>IFERROR(IF($C209="",-0.00001,SUMIFS(Database!Q:Q,Database!$E:$E,$C209)),-0.00001)</f>
        <v>-1.0000000000000001E-5</v>
      </c>
      <c r="P209" s="186">
        <f t="shared" si="9"/>
        <v>-1.0000000000000001E-5</v>
      </c>
      <c r="Q209" s="185">
        <f>IFERROR(IF($C209="",-0.00001,SUMIFS(Database!S:S,Database!$E:$E,$C209)),-0.00001)</f>
        <v>-1.0000000000000001E-5</v>
      </c>
      <c r="R209" s="185">
        <f>IFERROR(IF($C209="",-0.00001,SUMIFS(Database!T:T,Database!$E:$E,$C209)),-0.00001)</f>
        <v>-1.0000000000000001E-5</v>
      </c>
      <c r="S209" s="186">
        <f t="shared" si="10"/>
        <v>-1.0000000000000001E-5</v>
      </c>
      <c r="T209" s="185">
        <f>IFERROR(IF($C209="",-0.00001,SUMIFS(Database!V:V,Database!$E:$E,$C209)),-0.00001)</f>
        <v>-1.0000000000000001E-5</v>
      </c>
      <c r="U209" s="185">
        <f>IFERROR(IF($C209="",-0.00001,SUMIFS(Database!W:W,Database!$E:$E,$C209)),-0.00001)</f>
        <v>-1.0000000000000001E-5</v>
      </c>
      <c r="V209" s="186">
        <f t="shared" si="11"/>
        <v>-1.0000000000000001E-5</v>
      </c>
      <c r="W209" s="187"/>
      <c r="X209" s="187"/>
      <c r="Y209" s="187"/>
      <c r="Z209" s="187"/>
      <c r="AA209" s="187"/>
      <c r="AB209" s="187"/>
      <c r="AC209" s="187"/>
      <c r="AD209" s="187"/>
      <c r="AE209" s="187"/>
    </row>
    <row r="210" spans="1:31" x14ac:dyDescent="0.25">
      <c r="A210" s="187"/>
      <c r="B210" s="187" t="str">
        <f>IF($C210="","",MAX($B$4:$B209)+1)</f>
        <v/>
      </c>
      <c r="C210" s="183"/>
      <c r="D210" s="183"/>
      <c r="E210" s="185">
        <f>IF($C210="",-0.00001,COUNTIF(Database!E:E,$C210))</f>
        <v>-1.0000000000000001E-5</v>
      </c>
      <c r="F210" s="185">
        <f>IFERROR(IF($C210="",-0.00001,SUMIFS(Database!H:H,Database!$E:$E,$C210)),-0.00001)</f>
        <v>-1.0000000000000001E-5</v>
      </c>
      <c r="G210" s="185">
        <f>IFERROR(IF($C210="",-0.00001,SUMIFS(Database!I:I,Database!$E:$E,$C210)),-0.00001)</f>
        <v>-1.0000000000000001E-5</v>
      </c>
      <c r="H210" s="185">
        <f>IFERROR(IF($C210="",-0.00001,SUMIFS(Database!J:J,Database!$E:$E,$C210)),-0.00001)</f>
        <v>-1.0000000000000001E-5</v>
      </c>
      <c r="I210" s="185">
        <f>IFERROR(IF($C210="",-0.00001,SUMIFS(Database!K:K,Database!$E:$E,$C210)),-0.00001)</f>
        <v>-1.0000000000000001E-5</v>
      </c>
      <c r="J210" s="185">
        <f>IFERROR(IF($C210="",-0.00001,SUMIFS(Database!L:L,Database!$E:$E,$C210)),-0.00001)</f>
        <v>-1.0000000000000001E-5</v>
      </c>
      <c r="K210" s="185">
        <f>IFERROR(IF($C210="",-0.00001,SUMIFS(Database!M:M,Database!$E:$E,$C210)),-0.00001)</f>
        <v>-1.0000000000000001E-5</v>
      </c>
      <c r="L210" s="185">
        <f>IFERROR(IF($C210="",-0.00001,SUMIFS(Database!N:N,Database!$E:$E,$C210)),-0.00001)</f>
        <v>-1.0000000000000001E-5</v>
      </c>
      <c r="M210" s="185">
        <f>IFERROR(IF($C210="",-0.00001,SUMIFS(Database!O:O,Database!$E:$E,$C210)),-0.00001)</f>
        <v>-1.0000000000000001E-5</v>
      </c>
      <c r="N210" s="185">
        <f>IFERROR(IF($C210="",-0.00001,SUMIFS(Database!P:P,Database!$E:$E,$C210)),-0.00001)</f>
        <v>-1.0000000000000001E-5</v>
      </c>
      <c r="O210" s="185">
        <f>IFERROR(IF($C210="",-0.00001,SUMIFS(Database!Q:Q,Database!$E:$E,$C210)),-0.00001)</f>
        <v>-1.0000000000000001E-5</v>
      </c>
      <c r="P210" s="186">
        <f t="shared" si="9"/>
        <v>-1.0000000000000001E-5</v>
      </c>
      <c r="Q210" s="185">
        <f>IFERROR(IF($C210="",-0.00001,SUMIFS(Database!S:S,Database!$E:$E,$C210)),-0.00001)</f>
        <v>-1.0000000000000001E-5</v>
      </c>
      <c r="R210" s="185">
        <f>IFERROR(IF($C210="",-0.00001,SUMIFS(Database!T:T,Database!$E:$E,$C210)),-0.00001)</f>
        <v>-1.0000000000000001E-5</v>
      </c>
      <c r="S210" s="186">
        <f t="shared" si="10"/>
        <v>-1.0000000000000001E-5</v>
      </c>
      <c r="T210" s="185">
        <f>IFERROR(IF($C210="",-0.00001,SUMIFS(Database!V:V,Database!$E:$E,$C210)),-0.00001)</f>
        <v>-1.0000000000000001E-5</v>
      </c>
      <c r="U210" s="185">
        <f>IFERROR(IF($C210="",-0.00001,SUMIFS(Database!W:W,Database!$E:$E,$C210)),-0.00001)</f>
        <v>-1.0000000000000001E-5</v>
      </c>
      <c r="V210" s="186">
        <f t="shared" si="11"/>
        <v>-1.0000000000000001E-5</v>
      </c>
      <c r="W210" s="187"/>
      <c r="X210" s="187"/>
      <c r="Y210" s="187"/>
      <c r="Z210" s="187"/>
      <c r="AA210" s="187"/>
      <c r="AB210" s="187"/>
      <c r="AC210" s="187"/>
      <c r="AD210" s="187"/>
      <c r="AE210" s="187"/>
    </row>
    <row r="211" spans="1:31" x14ac:dyDescent="0.25">
      <c r="A211" s="187"/>
      <c r="B211" s="187" t="str">
        <f>IF($C211="","",MAX($B$4:$B210)+1)</f>
        <v/>
      </c>
      <c r="C211" s="183"/>
      <c r="D211" s="183"/>
      <c r="E211" s="185">
        <f>IF($C211="",-0.00001,COUNTIF(Database!E:E,$C211))</f>
        <v>-1.0000000000000001E-5</v>
      </c>
      <c r="F211" s="185">
        <f>IFERROR(IF($C211="",-0.00001,SUMIFS(Database!H:H,Database!$E:$E,$C211)),-0.00001)</f>
        <v>-1.0000000000000001E-5</v>
      </c>
      <c r="G211" s="185">
        <f>IFERROR(IF($C211="",-0.00001,SUMIFS(Database!I:I,Database!$E:$E,$C211)),-0.00001)</f>
        <v>-1.0000000000000001E-5</v>
      </c>
      <c r="H211" s="185">
        <f>IFERROR(IF($C211="",-0.00001,SUMIFS(Database!J:J,Database!$E:$E,$C211)),-0.00001)</f>
        <v>-1.0000000000000001E-5</v>
      </c>
      <c r="I211" s="185">
        <f>IFERROR(IF($C211="",-0.00001,SUMIFS(Database!K:K,Database!$E:$E,$C211)),-0.00001)</f>
        <v>-1.0000000000000001E-5</v>
      </c>
      <c r="J211" s="185">
        <f>IFERROR(IF($C211="",-0.00001,SUMIFS(Database!L:L,Database!$E:$E,$C211)),-0.00001)</f>
        <v>-1.0000000000000001E-5</v>
      </c>
      <c r="K211" s="185">
        <f>IFERROR(IF($C211="",-0.00001,SUMIFS(Database!M:M,Database!$E:$E,$C211)),-0.00001)</f>
        <v>-1.0000000000000001E-5</v>
      </c>
      <c r="L211" s="185">
        <f>IFERROR(IF($C211="",-0.00001,SUMIFS(Database!N:N,Database!$E:$E,$C211)),-0.00001)</f>
        <v>-1.0000000000000001E-5</v>
      </c>
      <c r="M211" s="185">
        <f>IFERROR(IF($C211="",-0.00001,SUMIFS(Database!O:O,Database!$E:$E,$C211)),-0.00001)</f>
        <v>-1.0000000000000001E-5</v>
      </c>
      <c r="N211" s="185">
        <f>IFERROR(IF($C211="",-0.00001,SUMIFS(Database!P:P,Database!$E:$E,$C211)),-0.00001)</f>
        <v>-1.0000000000000001E-5</v>
      </c>
      <c r="O211" s="185">
        <f>IFERROR(IF($C211="",-0.00001,SUMIFS(Database!Q:Q,Database!$E:$E,$C211)),-0.00001)</f>
        <v>-1.0000000000000001E-5</v>
      </c>
      <c r="P211" s="186">
        <f t="shared" si="9"/>
        <v>-1.0000000000000001E-5</v>
      </c>
      <c r="Q211" s="185">
        <f>IFERROR(IF($C211="",-0.00001,SUMIFS(Database!S:S,Database!$E:$E,$C211)),-0.00001)</f>
        <v>-1.0000000000000001E-5</v>
      </c>
      <c r="R211" s="185">
        <f>IFERROR(IF($C211="",-0.00001,SUMIFS(Database!T:T,Database!$E:$E,$C211)),-0.00001)</f>
        <v>-1.0000000000000001E-5</v>
      </c>
      <c r="S211" s="186">
        <f t="shared" si="10"/>
        <v>-1.0000000000000001E-5</v>
      </c>
      <c r="T211" s="185">
        <f>IFERROR(IF($C211="",-0.00001,SUMIFS(Database!V:V,Database!$E:$E,$C211)),-0.00001)</f>
        <v>-1.0000000000000001E-5</v>
      </c>
      <c r="U211" s="185">
        <f>IFERROR(IF($C211="",-0.00001,SUMIFS(Database!W:W,Database!$E:$E,$C211)),-0.00001)</f>
        <v>-1.0000000000000001E-5</v>
      </c>
      <c r="V211" s="186">
        <f t="shared" si="11"/>
        <v>-1.0000000000000001E-5</v>
      </c>
      <c r="W211" s="187"/>
      <c r="X211" s="187"/>
      <c r="Y211" s="187"/>
      <c r="Z211" s="187"/>
      <c r="AA211" s="187"/>
      <c r="AB211" s="187"/>
      <c r="AC211" s="187"/>
      <c r="AD211" s="187"/>
      <c r="AE211" s="187"/>
    </row>
    <row r="212" spans="1:31" x14ac:dyDescent="0.25">
      <c r="A212" s="187"/>
      <c r="B212" s="187" t="str">
        <f>IF($C212="","",MAX($B$4:$B211)+1)</f>
        <v/>
      </c>
      <c r="C212" s="183"/>
      <c r="D212" s="183"/>
      <c r="E212" s="185">
        <f>IF($C212="",-0.00001,COUNTIF(Database!E:E,$C212))</f>
        <v>-1.0000000000000001E-5</v>
      </c>
      <c r="F212" s="185">
        <f>IFERROR(IF($C212="",-0.00001,SUMIFS(Database!H:H,Database!$E:$E,$C212)),-0.00001)</f>
        <v>-1.0000000000000001E-5</v>
      </c>
      <c r="G212" s="185">
        <f>IFERROR(IF($C212="",-0.00001,SUMIFS(Database!I:I,Database!$E:$E,$C212)),-0.00001)</f>
        <v>-1.0000000000000001E-5</v>
      </c>
      <c r="H212" s="185">
        <f>IFERROR(IF($C212="",-0.00001,SUMIFS(Database!J:J,Database!$E:$E,$C212)),-0.00001)</f>
        <v>-1.0000000000000001E-5</v>
      </c>
      <c r="I212" s="185">
        <f>IFERROR(IF($C212="",-0.00001,SUMIFS(Database!K:K,Database!$E:$E,$C212)),-0.00001)</f>
        <v>-1.0000000000000001E-5</v>
      </c>
      <c r="J212" s="185">
        <f>IFERROR(IF($C212="",-0.00001,SUMIFS(Database!L:L,Database!$E:$E,$C212)),-0.00001)</f>
        <v>-1.0000000000000001E-5</v>
      </c>
      <c r="K212" s="185">
        <f>IFERROR(IF($C212="",-0.00001,SUMIFS(Database!M:M,Database!$E:$E,$C212)),-0.00001)</f>
        <v>-1.0000000000000001E-5</v>
      </c>
      <c r="L212" s="185">
        <f>IFERROR(IF($C212="",-0.00001,SUMIFS(Database!N:N,Database!$E:$E,$C212)),-0.00001)</f>
        <v>-1.0000000000000001E-5</v>
      </c>
      <c r="M212" s="185">
        <f>IFERROR(IF($C212="",-0.00001,SUMIFS(Database!O:O,Database!$E:$E,$C212)),-0.00001)</f>
        <v>-1.0000000000000001E-5</v>
      </c>
      <c r="N212" s="185">
        <f>IFERROR(IF($C212="",-0.00001,SUMIFS(Database!P:P,Database!$E:$E,$C212)),-0.00001)</f>
        <v>-1.0000000000000001E-5</v>
      </c>
      <c r="O212" s="185">
        <f>IFERROR(IF($C212="",-0.00001,SUMIFS(Database!Q:Q,Database!$E:$E,$C212)),-0.00001)</f>
        <v>-1.0000000000000001E-5</v>
      </c>
      <c r="P212" s="186">
        <f t="shared" si="9"/>
        <v>-1.0000000000000001E-5</v>
      </c>
      <c r="Q212" s="185">
        <f>IFERROR(IF($C212="",-0.00001,SUMIFS(Database!S:S,Database!$E:$E,$C212)),-0.00001)</f>
        <v>-1.0000000000000001E-5</v>
      </c>
      <c r="R212" s="185">
        <f>IFERROR(IF($C212="",-0.00001,SUMIFS(Database!T:T,Database!$E:$E,$C212)),-0.00001)</f>
        <v>-1.0000000000000001E-5</v>
      </c>
      <c r="S212" s="186">
        <f t="shared" si="10"/>
        <v>-1.0000000000000001E-5</v>
      </c>
      <c r="T212" s="185">
        <f>IFERROR(IF($C212="",-0.00001,SUMIFS(Database!V:V,Database!$E:$E,$C212)),-0.00001)</f>
        <v>-1.0000000000000001E-5</v>
      </c>
      <c r="U212" s="185">
        <f>IFERROR(IF($C212="",-0.00001,SUMIFS(Database!W:W,Database!$E:$E,$C212)),-0.00001)</f>
        <v>-1.0000000000000001E-5</v>
      </c>
      <c r="V212" s="186">
        <f t="shared" si="11"/>
        <v>-1.0000000000000001E-5</v>
      </c>
      <c r="W212" s="187"/>
      <c r="X212" s="187"/>
      <c r="Y212" s="187"/>
      <c r="Z212" s="187"/>
      <c r="AA212" s="187"/>
      <c r="AB212" s="187"/>
      <c r="AC212" s="187"/>
      <c r="AD212" s="187"/>
      <c r="AE212" s="187"/>
    </row>
    <row r="213" spans="1:31" x14ac:dyDescent="0.25">
      <c r="A213" s="187"/>
      <c r="B213" s="187" t="str">
        <f>IF($C213="","",MAX($B$4:$B212)+1)</f>
        <v/>
      </c>
      <c r="C213" s="183"/>
      <c r="D213" s="183"/>
      <c r="E213" s="185">
        <f>IF($C213="",-0.00001,COUNTIF(Database!E:E,$C213))</f>
        <v>-1.0000000000000001E-5</v>
      </c>
      <c r="F213" s="185">
        <f>IFERROR(IF($C213="",-0.00001,SUMIFS(Database!H:H,Database!$E:$E,$C213)),-0.00001)</f>
        <v>-1.0000000000000001E-5</v>
      </c>
      <c r="G213" s="185">
        <f>IFERROR(IF($C213="",-0.00001,SUMIFS(Database!I:I,Database!$E:$E,$C213)),-0.00001)</f>
        <v>-1.0000000000000001E-5</v>
      </c>
      <c r="H213" s="185">
        <f>IFERROR(IF($C213="",-0.00001,SUMIFS(Database!J:J,Database!$E:$E,$C213)),-0.00001)</f>
        <v>-1.0000000000000001E-5</v>
      </c>
      <c r="I213" s="185">
        <f>IFERROR(IF($C213="",-0.00001,SUMIFS(Database!K:K,Database!$E:$E,$C213)),-0.00001)</f>
        <v>-1.0000000000000001E-5</v>
      </c>
      <c r="J213" s="185">
        <f>IFERROR(IF($C213="",-0.00001,SUMIFS(Database!L:L,Database!$E:$E,$C213)),-0.00001)</f>
        <v>-1.0000000000000001E-5</v>
      </c>
      <c r="K213" s="185">
        <f>IFERROR(IF($C213="",-0.00001,SUMIFS(Database!M:M,Database!$E:$E,$C213)),-0.00001)</f>
        <v>-1.0000000000000001E-5</v>
      </c>
      <c r="L213" s="185">
        <f>IFERROR(IF($C213="",-0.00001,SUMIFS(Database!N:N,Database!$E:$E,$C213)),-0.00001)</f>
        <v>-1.0000000000000001E-5</v>
      </c>
      <c r="M213" s="185">
        <f>IFERROR(IF($C213="",-0.00001,SUMIFS(Database!O:O,Database!$E:$E,$C213)),-0.00001)</f>
        <v>-1.0000000000000001E-5</v>
      </c>
      <c r="N213" s="185">
        <f>IFERROR(IF($C213="",-0.00001,SUMIFS(Database!P:P,Database!$E:$E,$C213)),-0.00001)</f>
        <v>-1.0000000000000001E-5</v>
      </c>
      <c r="O213" s="185">
        <f>IFERROR(IF($C213="",-0.00001,SUMIFS(Database!Q:Q,Database!$E:$E,$C213)),-0.00001)</f>
        <v>-1.0000000000000001E-5</v>
      </c>
      <c r="P213" s="186">
        <f t="shared" si="9"/>
        <v>-1.0000000000000001E-5</v>
      </c>
      <c r="Q213" s="185">
        <f>IFERROR(IF($C213="",-0.00001,SUMIFS(Database!S:S,Database!$E:$E,$C213)),-0.00001)</f>
        <v>-1.0000000000000001E-5</v>
      </c>
      <c r="R213" s="185">
        <f>IFERROR(IF($C213="",-0.00001,SUMIFS(Database!T:T,Database!$E:$E,$C213)),-0.00001)</f>
        <v>-1.0000000000000001E-5</v>
      </c>
      <c r="S213" s="186">
        <f t="shared" si="10"/>
        <v>-1.0000000000000001E-5</v>
      </c>
      <c r="T213" s="185">
        <f>IFERROR(IF($C213="",-0.00001,SUMIFS(Database!V:V,Database!$E:$E,$C213)),-0.00001)</f>
        <v>-1.0000000000000001E-5</v>
      </c>
      <c r="U213" s="185">
        <f>IFERROR(IF($C213="",-0.00001,SUMIFS(Database!W:W,Database!$E:$E,$C213)),-0.00001)</f>
        <v>-1.0000000000000001E-5</v>
      </c>
      <c r="V213" s="186">
        <f t="shared" si="11"/>
        <v>-1.0000000000000001E-5</v>
      </c>
      <c r="W213" s="187"/>
      <c r="X213" s="187"/>
      <c r="Y213" s="187"/>
      <c r="Z213" s="187"/>
      <c r="AA213" s="187"/>
      <c r="AB213" s="187"/>
      <c r="AC213" s="187"/>
      <c r="AD213" s="187"/>
      <c r="AE213" s="187"/>
    </row>
    <row r="214" spans="1:31" x14ac:dyDescent="0.25">
      <c r="A214" s="187"/>
      <c r="B214" s="187" t="str">
        <f>IF($C214="","",MAX($B$4:$B213)+1)</f>
        <v/>
      </c>
      <c r="C214" s="183"/>
      <c r="D214" s="183"/>
      <c r="E214" s="185">
        <f>IF($C214="",-0.00001,COUNTIF(Database!E:E,$C214))</f>
        <v>-1.0000000000000001E-5</v>
      </c>
      <c r="F214" s="185">
        <f>IFERROR(IF($C214="",-0.00001,SUMIFS(Database!H:H,Database!$E:$E,$C214)),-0.00001)</f>
        <v>-1.0000000000000001E-5</v>
      </c>
      <c r="G214" s="185">
        <f>IFERROR(IF($C214="",-0.00001,SUMIFS(Database!I:I,Database!$E:$E,$C214)),-0.00001)</f>
        <v>-1.0000000000000001E-5</v>
      </c>
      <c r="H214" s="185">
        <f>IFERROR(IF($C214="",-0.00001,SUMIFS(Database!J:J,Database!$E:$E,$C214)),-0.00001)</f>
        <v>-1.0000000000000001E-5</v>
      </c>
      <c r="I214" s="185">
        <f>IFERROR(IF($C214="",-0.00001,SUMIFS(Database!K:K,Database!$E:$E,$C214)),-0.00001)</f>
        <v>-1.0000000000000001E-5</v>
      </c>
      <c r="J214" s="185">
        <f>IFERROR(IF($C214="",-0.00001,SUMIFS(Database!L:L,Database!$E:$E,$C214)),-0.00001)</f>
        <v>-1.0000000000000001E-5</v>
      </c>
      <c r="K214" s="185">
        <f>IFERROR(IF($C214="",-0.00001,SUMIFS(Database!M:M,Database!$E:$E,$C214)),-0.00001)</f>
        <v>-1.0000000000000001E-5</v>
      </c>
      <c r="L214" s="185">
        <f>IFERROR(IF($C214="",-0.00001,SUMIFS(Database!N:N,Database!$E:$E,$C214)),-0.00001)</f>
        <v>-1.0000000000000001E-5</v>
      </c>
      <c r="M214" s="185">
        <f>IFERROR(IF($C214="",-0.00001,SUMIFS(Database!O:O,Database!$E:$E,$C214)),-0.00001)</f>
        <v>-1.0000000000000001E-5</v>
      </c>
      <c r="N214" s="185">
        <f>IFERROR(IF($C214="",-0.00001,SUMIFS(Database!P:P,Database!$E:$E,$C214)),-0.00001)</f>
        <v>-1.0000000000000001E-5</v>
      </c>
      <c r="O214" s="185">
        <f>IFERROR(IF($C214="",-0.00001,SUMIFS(Database!Q:Q,Database!$E:$E,$C214)),-0.00001)</f>
        <v>-1.0000000000000001E-5</v>
      </c>
      <c r="P214" s="186">
        <f t="shared" si="9"/>
        <v>-1.0000000000000001E-5</v>
      </c>
      <c r="Q214" s="185">
        <f>IFERROR(IF($C214="",-0.00001,SUMIFS(Database!S:S,Database!$E:$E,$C214)),-0.00001)</f>
        <v>-1.0000000000000001E-5</v>
      </c>
      <c r="R214" s="185">
        <f>IFERROR(IF($C214="",-0.00001,SUMIFS(Database!T:T,Database!$E:$E,$C214)),-0.00001)</f>
        <v>-1.0000000000000001E-5</v>
      </c>
      <c r="S214" s="186">
        <f t="shared" si="10"/>
        <v>-1.0000000000000001E-5</v>
      </c>
      <c r="T214" s="185">
        <f>IFERROR(IF($C214="",-0.00001,SUMIFS(Database!V:V,Database!$E:$E,$C214)),-0.00001)</f>
        <v>-1.0000000000000001E-5</v>
      </c>
      <c r="U214" s="185">
        <f>IFERROR(IF($C214="",-0.00001,SUMIFS(Database!W:W,Database!$E:$E,$C214)),-0.00001)</f>
        <v>-1.0000000000000001E-5</v>
      </c>
      <c r="V214" s="186">
        <f t="shared" si="11"/>
        <v>-1.0000000000000001E-5</v>
      </c>
      <c r="W214" s="187"/>
      <c r="X214" s="187"/>
      <c r="Y214" s="187"/>
      <c r="Z214" s="187"/>
      <c r="AA214" s="187"/>
      <c r="AB214" s="187"/>
      <c r="AC214" s="187"/>
      <c r="AD214" s="187"/>
      <c r="AE214" s="187"/>
    </row>
    <row r="215" spans="1:31" x14ac:dyDescent="0.25">
      <c r="A215" s="187"/>
      <c r="B215" s="187" t="str">
        <f>IF($C215="","",MAX($B$4:$B214)+1)</f>
        <v/>
      </c>
      <c r="C215" s="183"/>
      <c r="D215" s="183"/>
      <c r="E215" s="185">
        <f>IF($C215="",-0.00001,COUNTIF(Database!E:E,$C215))</f>
        <v>-1.0000000000000001E-5</v>
      </c>
      <c r="F215" s="185">
        <f>IFERROR(IF($C215="",-0.00001,SUMIFS(Database!H:H,Database!$E:$E,$C215)),-0.00001)</f>
        <v>-1.0000000000000001E-5</v>
      </c>
      <c r="G215" s="185">
        <f>IFERROR(IF($C215="",-0.00001,SUMIFS(Database!I:I,Database!$E:$E,$C215)),-0.00001)</f>
        <v>-1.0000000000000001E-5</v>
      </c>
      <c r="H215" s="185">
        <f>IFERROR(IF($C215="",-0.00001,SUMIFS(Database!J:J,Database!$E:$E,$C215)),-0.00001)</f>
        <v>-1.0000000000000001E-5</v>
      </c>
      <c r="I215" s="185">
        <f>IFERROR(IF($C215="",-0.00001,SUMIFS(Database!K:K,Database!$E:$E,$C215)),-0.00001)</f>
        <v>-1.0000000000000001E-5</v>
      </c>
      <c r="J215" s="185">
        <f>IFERROR(IF($C215="",-0.00001,SUMIFS(Database!L:L,Database!$E:$E,$C215)),-0.00001)</f>
        <v>-1.0000000000000001E-5</v>
      </c>
      <c r="K215" s="185">
        <f>IFERROR(IF($C215="",-0.00001,SUMIFS(Database!M:M,Database!$E:$E,$C215)),-0.00001)</f>
        <v>-1.0000000000000001E-5</v>
      </c>
      <c r="L215" s="185">
        <f>IFERROR(IF($C215="",-0.00001,SUMIFS(Database!N:N,Database!$E:$E,$C215)),-0.00001)</f>
        <v>-1.0000000000000001E-5</v>
      </c>
      <c r="M215" s="185">
        <f>IFERROR(IF($C215="",-0.00001,SUMIFS(Database!O:O,Database!$E:$E,$C215)),-0.00001)</f>
        <v>-1.0000000000000001E-5</v>
      </c>
      <c r="N215" s="185">
        <f>IFERROR(IF($C215="",-0.00001,SUMIFS(Database!P:P,Database!$E:$E,$C215)),-0.00001)</f>
        <v>-1.0000000000000001E-5</v>
      </c>
      <c r="O215" s="185">
        <f>IFERROR(IF($C215="",-0.00001,SUMIFS(Database!Q:Q,Database!$E:$E,$C215)),-0.00001)</f>
        <v>-1.0000000000000001E-5</v>
      </c>
      <c r="P215" s="186">
        <f t="shared" si="9"/>
        <v>-1.0000000000000001E-5</v>
      </c>
      <c r="Q215" s="185">
        <f>IFERROR(IF($C215="",-0.00001,SUMIFS(Database!S:S,Database!$E:$E,$C215)),-0.00001)</f>
        <v>-1.0000000000000001E-5</v>
      </c>
      <c r="R215" s="185">
        <f>IFERROR(IF($C215="",-0.00001,SUMIFS(Database!T:T,Database!$E:$E,$C215)),-0.00001)</f>
        <v>-1.0000000000000001E-5</v>
      </c>
      <c r="S215" s="186">
        <f t="shared" si="10"/>
        <v>-1.0000000000000001E-5</v>
      </c>
      <c r="T215" s="185">
        <f>IFERROR(IF($C215="",-0.00001,SUMIFS(Database!V:V,Database!$E:$E,$C215)),-0.00001)</f>
        <v>-1.0000000000000001E-5</v>
      </c>
      <c r="U215" s="185">
        <f>IFERROR(IF($C215="",-0.00001,SUMIFS(Database!W:W,Database!$E:$E,$C215)),-0.00001)</f>
        <v>-1.0000000000000001E-5</v>
      </c>
      <c r="V215" s="186">
        <f t="shared" si="11"/>
        <v>-1.0000000000000001E-5</v>
      </c>
      <c r="W215" s="187"/>
      <c r="X215" s="187"/>
      <c r="Y215" s="187"/>
      <c r="Z215" s="187"/>
      <c r="AA215" s="187"/>
      <c r="AB215" s="187"/>
      <c r="AC215" s="187"/>
      <c r="AD215" s="187"/>
      <c r="AE215" s="187"/>
    </row>
    <row r="216" spans="1:31" x14ac:dyDescent="0.25">
      <c r="A216" s="187"/>
      <c r="B216" s="187" t="str">
        <f>IF($C216="","",MAX($B$4:$B215)+1)</f>
        <v/>
      </c>
      <c r="C216" s="183"/>
      <c r="D216" s="183"/>
      <c r="E216" s="185">
        <f>IF($C216="",-0.00001,COUNTIF(Database!E:E,$C216))</f>
        <v>-1.0000000000000001E-5</v>
      </c>
      <c r="F216" s="185">
        <f>IFERROR(IF($C216="",-0.00001,SUMIFS(Database!H:H,Database!$E:$E,$C216)),-0.00001)</f>
        <v>-1.0000000000000001E-5</v>
      </c>
      <c r="G216" s="185">
        <f>IFERROR(IF($C216="",-0.00001,SUMIFS(Database!I:I,Database!$E:$E,$C216)),-0.00001)</f>
        <v>-1.0000000000000001E-5</v>
      </c>
      <c r="H216" s="185">
        <f>IFERROR(IF($C216="",-0.00001,SUMIFS(Database!J:J,Database!$E:$E,$C216)),-0.00001)</f>
        <v>-1.0000000000000001E-5</v>
      </c>
      <c r="I216" s="185">
        <f>IFERROR(IF($C216="",-0.00001,SUMIFS(Database!K:K,Database!$E:$E,$C216)),-0.00001)</f>
        <v>-1.0000000000000001E-5</v>
      </c>
      <c r="J216" s="185">
        <f>IFERROR(IF($C216="",-0.00001,SUMIFS(Database!L:L,Database!$E:$E,$C216)),-0.00001)</f>
        <v>-1.0000000000000001E-5</v>
      </c>
      <c r="K216" s="185">
        <f>IFERROR(IF($C216="",-0.00001,SUMIFS(Database!M:M,Database!$E:$E,$C216)),-0.00001)</f>
        <v>-1.0000000000000001E-5</v>
      </c>
      <c r="L216" s="185">
        <f>IFERROR(IF($C216="",-0.00001,SUMIFS(Database!N:N,Database!$E:$E,$C216)),-0.00001)</f>
        <v>-1.0000000000000001E-5</v>
      </c>
      <c r="M216" s="185">
        <f>IFERROR(IF($C216="",-0.00001,SUMIFS(Database!O:O,Database!$E:$E,$C216)),-0.00001)</f>
        <v>-1.0000000000000001E-5</v>
      </c>
      <c r="N216" s="185">
        <f>IFERROR(IF($C216="",-0.00001,SUMIFS(Database!P:P,Database!$E:$E,$C216)),-0.00001)</f>
        <v>-1.0000000000000001E-5</v>
      </c>
      <c r="O216" s="185">
        <f>IFERROR(IF($C216="",-0.00001,SUMIFS(Database!Q:Q,Database!$E:$E,$C216)),-0.00001)</f>
        <v>-1.0000000000000001E-5</v>
      </c>
      <c r="P216" s="186">
        <f t="shared" si="9"/>
        <v>-1.0000000000000001E-5</v>
      </c>
      <c r="Q216" s="185">
        <f>IFERROR(IF($C216="",-0.00001,SUMIFS(Database!S:S,Database!$E:$E,$C216)),-0.00001)</f>
        <v>-1.0000000000000001E-5</v>
      </c>
      <c r="R216" s="185">
        <f>IFERROR(IF($C216="",-0.00001,SUMIFS(Database!T:T,Database!$E:$E,$C216)),-0.00001)</f>
        <v>-1.0000000000000001E-5</v>
      </c>
      <c r="S216" s="186">
        <f t="shared" si="10"/>
        <v>-1.0000000000000001E-5</v>
      </c>
      <c r="T216" s="185">
        <f>IFERROR(IF($C216="",-0.00001,SUMIFS(Database!V:V,Database!$E:$E,$C216)),-0.00001)</f>
        <v>-1.0000000000000001E-5</v>
      </c>
      <c r="U216" s="185">
        <f>IFERROR(IF($C216="",-0.00001,SUMIFS(Database!W:W,Database!$E:$E,$C216)),-0.00001)</f>
        <v>-1.0000000000000001E-5</v>
      </c>
      <c r="V216" s="186">
        <f t="shared" si="11"/>
        <v>-1.0000000000000001E-5</v>
      </c>
      <c r="W216" s="187"/>
      <c r="X216" s="187"/>
      <c r="Y216" s="187"/>
      <c r="Z216" s="187"/>
      <c r="AA216" s="187"/>
      <c r="AB216" s="187"/>
      <c r="AC216" s="187"/>
      <c r="AD216" s="187"/>
      <c r="AE216" s="187"/>
    </row>
    <row r="217" spans="1:31" x14ac:dyDescent="0.25">
      <c r="A217" s="187"/>
      <c r="B217" s="187" t="str">
        <f>IF($C217="","",MAX($B$4:$B216)+1)</f>
        <v/>
      </c>
      <c r="C217" s="183"/>
      <c r="D217" s="183"/>
      <c r="E217" s="185">
        <f>IF($C217="",-0.00001,COUNTIF(Database!E:E,$C217))</f>
        <v>-1.0000000000000001E-5</v>
      </c>
      <c r="F217" s="185">
        <f>IFERROR(IF($C217="",-0.00001,SUMIFS(Database!H:H,Database!$E:$E,$C217)),-0.00001)</f>
        <v>-1.0000000000000001E-5</v>
      </c>
      <c r="G217" s="185">
        <f>IFERROR(IF($C217="",-0.00001,SUMIFS(Database!I:I,Database!$E:$E,$C217)),-0.00001)</f>
        <v>-1.0000000000000001E-5</v>
      </c>
      <c r="H217" s="185">
        <f>IFERROR(IF($C217="",-0.00001,SUMIFS(Database!J:J,Database!$E:$E,$C217)),-0.00001)</f>
        <v>-1.0000000000000001E-5</v>
      </c>
      <c r="I217" s="185">
        <f>IFERROR(IF($C217="",-0.00001,SUMIFS(Database!K:K,Database!$E:$E,$C217)),-0.00001)</f>
        <v>-1.0000000000000001E-5</v>
      </c>
      <c r="J217" s="185">
        <f>IFERROR(IF($C217="",-0.00001,SUMIFS(Database!L:L,Database!$E:$E,$C217)),-0.00001)</f>
        <v>-1.0000000000000001E-5</v>
      </c>
      <c r="K217" s="185">
        <f>IFERROR(IF($C217="",-0.00001,SUMIFS(Database!M:M,Database!$E:$E,$C217)),-0.00001)</f>
        <v>-1.0000000000000001E-5</v>
      </c>
      <c r="L217" s="185">
        <f>IFERROR(IF($C217="",-0.00001,SUMIFS(Database!N:N,Database!$E:$E,$C217)),-0.00001)</f>
        <v>-1.0000000000000001E-5</v>
      </c>
      <c r="M217" s="185">
        <f>IFERROR(IF($C217="",-0.00001,SUMIFS(Database!O:O,Database!$E:$E,$C217)),-0.00001)</f>
        <v>-1.0000000000000001E-5</v>
      </c>
      <c r="N217" s="185">
        <f>IFERROR(IF($C217="",-0.00001,SUMIFS(Database!P:P,Database!$E:$E,$C217)),-0.00001)</f>
        <v>-1.0000000000000001E-5</v>
      </c>
      <c r="O217" s="185">
        <f>IFERROR(IF($C217="",-0.00001,SUMIFS(Database!Q:Q,Database!$E:$E,$C217)),-0.00001)</f>
        <v>-1.0000000000000001E-5</v>
      </c>
      <c r="P217" s="186">
        <f t="shared" si="9"/>
        <v>-1.0000000000000001E-5</v>
      </c>
      <c r="Q217" s="185">
        <f>IFERROR(IF($C217="",-0.00001,SUMIFS(Database!S:S,Database!$E:$E,$C217)),-0.00001)</f>
        <v>-1.0000000000000001E-5</v>
      </c>
      <c r="R217" s="185">
        <f>IFERROR(IF($C217="",-0.00001,SUMIFS(Database!T:T,Database!$E:$E,$C217)),-0.00001)</f>
        <v>-1.0000000000000001E-5</v>
      </c>
      <c r="S217" s="186">
        <f t="shared" si="10"/>
        <v>-1.0000000000000001E-5</v>
      </c>
      <c r="T217" s="185">
        <f>IFERROR(IF($C217="",-0.00001,SUMIFS(Database!V:V,Database!$E:$E,$C217)),-0.00001)</f>
        <v>-1.0000000000000001E-5</v>
      </c>
      <c r="U217" s="185">
        <f>IFERROR(IF($C217="",-0.00001,SUMIFS(Database!W:W,Database!$E:$E,$C217)),-0.00001)</f>
        <v>-1.0000000000000001E-5</v>
      </c>
      <c r="V217" s="186">
        <f t="shared" si="11"/>
        <v>-1.0000000000000001E-5</v>
      </c>
      <c r="W217" s="187"/>
      <c r="X217" s="187"/>
      <c r="Y217" s="187"/>
      <c r="Z217" s="187"/>
      <c r="AA217" s="187"/>
      <c r="AB217" s="187"/>
      <c r="AC217" s="187"/>
      <c r="AD217" s="187"/>
      <c r="AE217" s="187"/>
    </row>
    <row r="218" spans="1:31" x14ac:dyDescent="0.25">
      <c r="A218" s="187"/>
      <c r="B218" s="187" t="str">
        <f>IF($C218="","",MAX($B$4:$B217)+1)</f>
        <v/>
      </c>
      <c r="C218" s="183"/>
      <c r="D218" s="183"/>
      <c r="E218" s="185">
        <f>IF($C218="",-0.00001,COUNTIF(Database!E:E,$C218))</f>
        <v>-1.0000000000000001E-5</v>
      </c>
      <c r="F218" s="185">
        <f>IFERROR(IF($C218="",-0.00001,SUMIFS(Database!H:H,Database!$E:$E,$C218)),-0.00001)</f>
        <v>-1.0000000000000001E-5</v>
      </c>
      <c r="G218" s="185">
        <f>IFERROR(IF($C218="",-0.00001,SUMIFS(Database!I:I,Database!$E:$E,$C218)),-0.00001)</f>
        <v>-1.0000000000000001E-5</v>
      </c>
      <c r="H218" s="185">
        <f>IFERROR(IF($C218="",-0.00001,SUMIFS(Database!J:J,Database!$E:$E,$C218)),-0.00001)</f>
        <v>-1.0000000000000001E-5</v>
      </c>
      <c r="I218" s="185">
        <f>IFERROR(IF($C218="",-0.00001,SUMIFS(Database!K:K,Database!$E:$E,$C218)),-0.00001)</f>
        <v>-1.0000000000000001E-5</v>
      </c>
      <c r="J218" s="185">
        <f>IFERROR(IF($C218="",-0.00001,SUMIFS(Database!L:L,Database!$E:$E,$C218)),-0.00001)</f>
        <v>-1.0000000000000001E-5</v>
      </c>
      <c r="K218" s="185">
        <f>IFERROR(IF($C218="",-0.00001,SUMIFS(Database!M:M,Database!$E:$E,$C218)),-0.00001)</f>
        <v>-1.0000000000000001E-5</v>
      </c>
      <c r="L218" s="185">
        <f>IFERROR(IF($C218="",-0.00001,SUMIFS(Database!N:N,Database!$E:$E,$C218)),-0.00001)</f>
        <v>-1.0000000000000001E-5</v>
      </c>
      <c r="M218" s="185">
        <f>IFERROR(IF($C218="",-0.00001,SUMIFS(Database!O:O,Database!$E:$E,$C218)),-0.00001)</f>
        <v>-1.0000000000000001E-5</v>
      </c>
      <c r="N218" s="185">
        <f>IFERROR(IF($C218="",-0.00001,SUMIFS(Database!P:P,Database!$E:$E,$C218)),-0.00001)</f>
        <v>-1.0000000000000001E-5</v>
      </c>
      <c r="O218" s="185">
        <f>IFERROR(IF($C218="",-0.00001,SUMIFS(Database!Q:Q,Database!$E:$E,$C218)),-0.00001)</f>
        <v>-1.0000000000000001E-5</v>
      </c>
      <c r="P218" s="186">
        <f t="shared" si="9"/>
        <v>-1.0000000000000001E-5</v>
      </c>
      <c r="Q218" s="185">
        <f>IFERROR(IF($C218="",-0.00001,SUMIFS(Database!S:S,Database!$E:$E,$C218)),-0.00001)</f>
        <v>-1.0000000000000001E-5</v>
      </c>
      <c r="R218" s="185">
        <f>IFERROR(IF($C218="",-0.00001,SUMIFS(Database!T:T,Database!$E:$E,$C218)),-0.00001)</f>
        <v>-1.0000000000000001E-5</v>
      </c>
      <c r="S218" s="186">
        <f t="shared" si="10"/>
        <v>-1.0000000000000001E-5</v>
      </c>
      <c r="T218" s="185">
        <f>IFERROR(IF($C218="",-0.00001,SUMIFS(Database!V:V,Database!$E:$E,$C218)),-0.00001)</f>
        <v>-1.0000000000000001E-5</v>
      </c>
      <c r="U218" s="185">
        <f>IFERROR(IF($C218="",-0.00001,SUMIFS(Database!W:W,Database!$E:$E,$C218)),-0.00001)</f>
        <v>-1.0000000000000001E-5</v>
      </c>
      <c r="V218" s="186">
        <f t="shared" si="11"/>
        <v>-1.0000000000000001E-5</v>
      </c>
      <c r="W218" s="187"/>
      <c r="X218" s="187"/>
      <c r="Y218" s="187"/>
      <c r="Z218" s="187"/>
      <c r="AA218" s="187"/>
      <c r="AB218" s="187"/>
      <c r="AC218" s="187"/>
      <c r="AD218" s="187"/>
      <c r="AE218" s="187"/>
    </row>
    <row r="219" spans="1:31" x14ac:dyDescent="0.25">
      <c r="A219" s="187"/>
      <c r="B219" s="187" t="str">
        <f>IF($C219="","",MAX($B$4:$B218)+1)</f>
        <v/>
      </c>
      <c r="C219" s="183"/>
      <c r="D219" s="183"/>
      <c r="E219" s="185">
        <f>IF($C219="",-0.00001,COUNTIF(Database!E:E,$C219))</f>
        <v>-1.0000000000000001E-5</v>
      </c>
      <c r="F219" s="185">
        <f>IFERROR(IF($C219="",-0.00001,SUMIFS(Database!H:H,Database!$E:$E,$C219)),-0.00001)</f>
        <v>-1.0000000000000001E-5</v>
      </c>
      <c r="G219" s="185">
        <f>IFERROR(IF($C219="",-0.00001,SUMIFS(Database!I:I,Database!$E:$E,$C219)),-0.00001)</f>
        <v>-1.0000000000000001E-5</v>
      </c>
      <c r="H219" s="185">
        <f>IFERROR(IF($C219="",-0.00001,SUMIFS(Database!J:J,Database!$E:$E,$C219)),-0.00001)</f>
        <v>-1.0000000000000001E-5</v>
      </c>
      <c r="I219" s="185">
        <f>IFERROR(IF($C219="",-0.00001,SUMIFS(Database!K:K,Database!$E:$E,$C219)),-0.00001)</f>
        <v>-1.0000000000000001E-5</v>
      </c>
      <c r="J219" s="185">
        <f>IFERROR(IF($C219="",-0.00001,SUMIFS(Database!L:L,Database!$E:$E,$C219)),-0.00001)</f>
        <v>-1.0000000000000001E-5</v>
      </c>
      <c r="K219" s="185">
        <f>IFERROR(IF($C219="",-0.00001,SUMIFS(Database!M:M,Database!$E:$E,$C219)),-0.00001)</f>
        <v>-1.0000000000000001E-5</v>
      </c>
      <c r="L219" s="185">
        <f>IFERROR(IF($C219="",-0.00001,SUMIFS(Database!N:N,Database!$E:$E,$C219)),-0.00001)</f>
        <v>-1.0000000000000001E-5</v>
      </c>
      <c r="M219" s="185">
        <f>IFERROR(IF($C219="",-0.00001,SUMIFS(Database!O:O,Database!$E:$E,$C219)),-0.00001)</f>
        <v>-1.0000000000000001E-5</v>
      </c>
      <c r="N219" s="185">
        <f>IFERROR(IF($C219="",-0.00001,SUMIFS(Database!P:P,Database!$E:$E,$C219)),-0.00001)</f>
        <v>-1.0000000000000001E-5</v>
      </c>
      <c r="O219" s="185">
        <f>IFERROR(IF($C219="",-0.00001,SUMIFS(Database!Q:Q,Database!$E:$E,$C219)),-0.00001)</f>
        <v>-1.0000000000000001E-5</v>
      </c>
      <c r="P219" s="186">
        <f t="shared" si="9"/>
        <v>-1.0000000000000001E-5</v>
      </c>
      <c r="Q219" s="185">
        <f>IFERROR(IF($C219="",-0.00001,SUMIFS(Database!S:S,Database!$E:$E,$C219)),-0.00001)</f>
        <v>-1.0000000000000001E-5</v>
      </c>
      <c r="R219" s="185">
        <f>IFERROR(IF($C219="",-0.00001,SUMIFS(Database!T:T,Database!$E:$E,$C219)),-0.00001)</f>
        <v>-1.0000000000000001E-5</v>
      </c>
      <c r="S219" s="186">
        <f t="shared" si="10"/>
        <v>-1.0000000000000001E-5</v>
      </c>
      <c r="T219" s="185">
        <f>IFERROR(IF($C219="",-0.00001,SUMIFS(Database!V:V,Database!$E:$E,$C219)),-0.00001)</f>
        <v>-1.0000000000000001E-5</v>
      </c>
      <c r="U219" s="185">
        <f>IFERROR(IF($C219="",-0.00001,SUMIFS(Database!W:W,Database!$E:$E,$C219)),-0.00001)</f>
        <v>-1.0000000000000001E-5</v>
      </c>
      <c r="V219" s="186">
        <f t="shared" si="11"/>
        <v>-1.0000000000000001E-5</v>
      </c>
      <c r="W219" s="187"/>
      <c r="X219" s="187"/>
      <c r="Y219" s="187"/>
      <c r="Z219" s="187"/>
      <c r="AA219" s="187"/>
      <c r="AB219" s="187"/>
      <c r="AC219" s="187"/>
      <c r="AD219" s="187"/>
      <c r="AE219" s="187"/>
    </row>
    <row r="220" spans="1:31" x14ac:dyDescent="0.25">
      <c r="A220" s="187"/>
      <c r="B220" s="187" t="str">
        <f>IF($C220="","",MAX($B$4:$B219)+1)</f>
        <v/>
      </c>
      <c r="C220" s="183"/>
      <c r="D220" s="183"/>
      <c r="E220" s="185">
        <f>IF($C220="",-0.00001,COUNTIF(Database!E:E,$C220))</f>
        <v>-1.0000000000000001E-5</v>
      </c>
      <c r="F220" s="185">
        <f>IFERROR(IF($C220="",-0.00001,SUMIFS(Database!H:H,Database!$E:$E,$C220)),-0.00001)</f>
        <v>-1.0000000000000001E-5</v>
      </c>
      <c r="G220" s="185">
        <f>IFERROR(IF($C220="",-0.00001,SUMIFS(Database!I:I,Database!$E:$E,$C220)),-0.00001)</f>
        <v>-1.0000000000000001E-5</v>
      </c>
      <c r="H220" s="185">
        <f>IFERROR(IF($C220="",-0.00001,SUMIFS(Database!J:J,Database!$E:$E,$C220)),-0.00001)</f>
        <v>-1.0000000000000001E-5</v>
      </c>
      <c r="I220" s="185">
        <f>IFERROR(IF($C220="",-0.00001,SUMIFS(Database!K:K,Database!$E:$E,$C220)),-0.00001)</f>
        <v>-1.0000000000000001E-5</v>
      </c>
      <c r="J220" s="185">
        <f>IFERROR(IF($C220="",-0.00001,SUMIFS(Database!L:L,Database!$E:$E,$C220)),-0.00001)</f>
        <v>-1.0000000000000001E-5</v>
      </c>
      <c r="K220" s="185">
        <f>IFERROR(IF($C220="",-0.00001,SUMIFS(Database!M:M,Database!$E:$E,$C220)),-0.00001)</f>
        <v>-1.0000000000000001E-5</v>
      </c>
      <c r="L220" s="185">
        <f>IFERROR(IF($C220="",-0.00001,SUMIFS(Database!N:N,Database!$E:$E,$C220)),-0.00001)</f>
        <v>-1.0000000000000001E-5</v>
      </c>
      <c r="M220" s="185">
        <f>IFERROR(IF($C220="",-0.00001,SUMIFS(Database!O:O,Database!$E:$E,$C220)),-0.00001)</f>
        <v>-1.0000000000000001E-5</v>
      </c>
      <c r="N220" s="185">
        <f>IFERROR(IF($C220="",-0.00001,SUMIFS(Database!P:P,Database!$E:$E,$C220)),-0.00001)</f>
        <v>-1.0000000000000001E-5</v>
      </c>
      <c r="O220" s="185">
        <f>IFERROR(IF($C220="",-0.00001,SUMIFS(Database!Q:Q,Database!$E:$E,$C220)),-0.00001)</f>
        <v>-1.0000000000000001E-5</v>
      </c>
      <c r="P220" s="186">
        <f t="shared" si="9"/>
        <v>-1.0000000000000001E-5</v>
      </c>
      <c r="Q220" s="185">
        <f>IFERROR(IF($C220="",-0.00001,SUMIFS(Database!S:S,Database!$E:$E,$C220)),-0.00001)</f>
        <v>-1.0000000000000001E-5</v>
      </c>
      <c r="R220" s="185">
        <f>IFERROR(IF($C220="",-0.00001,SUMIFS(Database!T:T,Database!$E:$E,$C220)),-0.00001)</f>
        <v>-1.0000000000000001E-5</v>
      </c>
      <c r="S220" s="186">
        <f t="shared" si="10"/>
        <v>-1.0000000000000001E-5</v>
      </c>
      <c r="T220" s="185">
        <f>IFERROR(IF($C220="",-0.00001,SUMIFS(Database!V:V,Database!$E:$E,$C220)),-0.00001)</f>
        <v>-1.0000000000000001E-5</v>
      </c>
      <c r="U220" s="185">
        <f>IFERROR(IF($C220="",-0.00001,SUMIFS(Database!W:W,Database!$E:$E,$C220)),-0.00001)</f>
        <v>-1.0000000000000001E-5</v>
      </c>
      <c r="V220" s="186">
        <f t="shared" si="11"/>
        <v>-1.0000000000000001E-5</v>
      </c>
      <c r="W220" s="187"/>
      <c r="X220" s="187"/>
      <c r="Y220" s="187"/>
      <c r="Z220" s="187"/>
      <c r="AA220" s="187"/>
      <c r="AB220" s="187"/>
      <c r="AC220" s="187"/>
      <c r="AD220" s="187"/>
      <c r="AE220" s="187"/>
    </row>
    <row r="221" spans="1:31" x14ac:dyDescent="0.25">
      <c r="A221" s="187"/>
      <c r="B221" s="187" t="str">
        <f>IF($C221="","",MAX($B$4:$B220)+1)</f>
        <v/>
      </c>
      <c r="C221" s="183"/>
      <c r="D221" s="183"/>
      <c r="E221" s="185">
        <f>IF($C221="",-0.00001,COUNTIF(Database!E:E,$C221))</f>
        <v>-1.0000000000000001E-5</v>
      </c>
      <c r="F221" s="185">
        <f>IFERROR(IF($C221="",-0.00001,SUMIFS(Database!H:H,Database!$E:$E,$C221)),-0.00001)</f>
        <v>-1.0000000000000001E-5</v>
      </c>
      <c r="G221" s="185">
        <f>IFERROR(IF($C221="",-0.00001,SUMIFS(Database!I:I,Database!$E:$E,$C221)),-0.00001)</f>
        <v>-1.0000000000000001E-5</v>
      </c>
      <c r="H221" s="185">
        <f>IFERROR(IF($C221="",-0.00001,SUMIFS(Database!J:J,Database!$E:$E,$C221)),-0.00001)</f>
        <v>-1.0000000000000001E-5</v>
      </c>
      <c r="I221" s="185">
        <f>IFERROR(IF($C221="",-0.00001,SUMIFS(Database!K:K,Database!$E:$E,$C221)),-0.00001)</f>
        <v>-1.0000000000000001E-5</v>
      </c>
      <c r="J221" s="185">
        <f>IFERROR(IF($C221="",-0.00001,SUMIFS(Database!L:L,Database!$E:$E,$C221)),-0.00001)</f>
        <v>-1.0000000000000001E-5</v>
      </c>
      <c r="K221" s="185">
        <f>IFERROR(IF($C221="",-0.00001,SUMIFS(Database!M:M,Database!$E:$E,$C221)),-0.00001)</f>
        <v>-1.0000000000000001E-5</v>
      </c>
      <c r="L221" s="185">
        <f>IFERROR(IF($C221="",-0.00001,SUMIFS(Database!N:N,Database!$E:$E,$C221)),-0.00001)</f>
        <v>-1.0000000000000001E-5</v>
      </c>
      <c r="M221" s="185">
        <f>IFERROR(IF($C221="",-0.00001,SUMIFS(Database!O:O,Database!$E:$E,$C221)),-0.00001)</f>
        <v>-1.0000000000000001E-5</v>
      </c>
      <c r="N221" s="185">
        <f>IFERROR(IF($C221="",-0.00001,SUMIFS(Database!P:P,Database!$E:$E,$C221)),-0.00001)</f>
        <v>-1.0000000000000001E-5</v>
      </c>
      <c r="O221" s="185">
        <f>IFERROR(IF($C221="",-0.00001,SUMIFS(Database!Q:Q,Database!$E:$E,$C221)),-0.00001)</f>
        <v>-1.0000000000000001E-5</v>
      </c>
      <c r="P221" s="186">
        <f t="shared" si="9"/>
        <v>-1.0000000000000001E-5</v>
      </c>
      <c r="Q221" s="185">
        <f>IFERROR(IF($C221="",-0.00001,SUMIFS(Database!S:S,Database!$E:$E,$C221)),-0.00001)</f>
        <v>-1.0000000000000001E-5</v>
      </c>
      <c r="R221" s="185">
        <f>IFERROR(IF($C221="",-0.00001,SUMIFS(Database!T:T,Database!$E:$E,$C221)),-0.00001)</f>
        <v>-1.0000000000000001E-5</v>
      </c>
      <c r="S221" s="186">
        <f t="shared" si="10"/>
        <v>-1.0000000000000001E-5</v>
      </c>
      <c r="T221" s="185">
        <f>IFERROR(IF($C221="",-0.00001,SUMIFS(Database!V:V,Database!$E:$E,$C221)),-0.00001)</f>
        <v>-1.0000000000000001E-5</v>
      </c>
      <c r="U221" s="185">
        <f>IFERROR(IF($C221="",-0.00001,SUMIFS(Database!W:W,Database!$E:$E,$C221)),-0.00001)</f>
        <v>-1.0000000000000001E-5</v>
      </c>
      <c r="V221" s="186">
        <f t="shared" si="11"/>
        <v>-1.0000000000000001E-5</v>
      </c>
      <c r="W221" s="187"/>
      <c r="X221" s="187"/>
      <c r="Y221" s="187"/>
      <c r="Z221" s="187"/>
      <c r="AA221" s="187"/>
      <c r="AB221" s="187"/>
      <c r="AC221" s="187"/>
      <c r="AD221" s="187"/>
      <c r="AE221" s="187"/>
    </row>
    <row r="222" spans="1:31" x14ac:dyDescent="0.25">
      <c r="A222" s="187"/>
      <c r="B222" s="187" t="str">
        <f>IF($C222="","",MAX($B$4:$B221)+1)</f>
        <v/>
      </c>
      <c r="C222" s="183"/>
      <c r="D222" s="183"/>
      <c r="E222" s="185">
        <f>IF($C222="",-0.00001,COUNTIF(Database!E:E,$C222))</f>
        <v>-1.0000000000000001E-5</v>
      </c>
      <c r="F222" s="185">
        <f>IFERROR(IF($C222="",-0.00001,SUMIFS(Database!H:H,Database!$E:$E,$C222)),-0.00001)</f>
        <v>-1.0000000000000001E-5</v>
      </c>
      <c r="G222" s="185">
        <f>IFERROR(IF($C222="",-0.00001,SUMIFS(Database!I:I,Database!$E:$E,$C222)),-0.00001)</f>
        <v>-1.0000000000000001E-5</v>
      </c>
      <c r="H222" s="185">
        <f>IFERROR(IF($C222="",-0.00001,SUMIFS(Database!J:J,Database!$E:$E,$C222)),-0.00001)</f>
        <v>-1.0000000000000001E-5</v>
      </c>
      <c r="I222" s="185">
        <f>IFERROR(IF($C222="",-0.00001,SUMIFS(Database!K:K,Database!$E:$E,$C222)),-0.00001)</f>
        <v>-1.0000000000000001E-5</v>
      </c>
      <c r="J222" s="185">
        <f>IFERROR(IF($C222="",-0.00001,SUMIFS(Database!L:L,Database!$E:$E,$C222)),-0.00001)</f>
        <v>-1.0000000000000001E-5</v>
      </c>
      <c r="K222" s="185">
        <f>IFERROR(IF($C222="",-0.00001,SUMIFS(Database!M:M,Database!$E:$E,$C222)),-0.00001)</f>
        <v>-1.0000000000000001E-5</v>
      </c>
      <c r="L222" s="185">
        <f>IFERROR(IF($C222="",-0.00001,SUMIFS(Database!N:N,Database!$E:$E,$C222)),-0.00001)</f>
        <v>-1.0000000000000001E-5</v>
      </c>
      <c r="M222" s="185">
        <f>IFERROR(IF($C222="",-0.00001,SUMIFS(Database!O:O,Database!$E:$E,$C222)),-0.00001)</f>
        <v>-1.0000000000000001E-5</v>
      </c>
      <c r="N222" s="185">
        <f>IFERROR(IF($C222="",-0.00001,SUMIFS(Database!P:P,Database!$E:$E,$C222)),-0.00001)</f>
        <v>-1.0000000000000001E-5</v>
      </c>
      <c r="O222" s="185">
        <f>IFERROR(IF($C222="",-0.00001,SUMIFS(Database!Q:Q,Database!$E:$E,$C222)),-0.00001)</f>
        <v>-1.0000000000000001E-5</v>
      </c>
      <c r="P222" s="186">
        <f t="shared" si="9"/>
        <v>-1.0000000000000001E-5</v>
      </c>
      <c r="Q222" s="185">
        <f>IFERROR(IF($C222="",-0.00001,SUMIFS(Database!S:S,Database!$E:$E,$C222)),-0.00001)</f>
        <v>-1.0000000000000001E-5</v>
      </c>
      <c r="R222" s="185">
        <f>IFERROR(IF($C222="",-0.00001,SUMIFS(Database!T:T,Database!$E:$E,$C222)),-0.00001)</f>
        <v>-1.0000000000000001E-5</v>
      </c>
      <c r="S222" s="186">
        <f t="shared" si="10"/>
        <v>-1.0000000000000001E-5</v>
      </c>
      <c r="T222" s="185">
        <f>IFERROR(IF($C222="",-0.00001,SUMIFS(Database!V:V,Database!$E:$E,$C222)),-0.00001)</f>
        <v>-1.0000000000000001E-5</v>
      </c>
      <c r="U222" s="185">
        <f>IFERROR(IF($C222="",-0.00001,SUMIFS(Database!W:W,Database!$E:$E,$C222)),-0.00001)</f>
        <v>-1.0000000000000001E-5</v>
      </c>
      <c r="V222" s="186">
        <f t="shared" si="11"/>
        <v>-1.0000000000000001E-5</v>
      </c>
      <c r="W222" s="187"/>
      <c r="X222" s="187"/>
      <c r="Y222" s="187"/>
      <c r="Z222" s="187"/>
      <c r="AA222" s="187"/>
      <c r="AB222" s="187"/>
      <c r="AC222" s="187"/>
      <c r="AD222" s="187"/>
      <c r="AE222" s="187"/>
    </row>
    <row r="223" spans="1:31" x14ac:dyDescent="0.25">
      <c r="A223" s="187"/>
      <c r="B223" s="187" t="str">
        <f>IF($C223="","",MAX($B$4:$B222)+1)</f>
        <v/>
      </c>
      <c r="C223" s="183"/>
      <c r="D223" s="183"/>
      <c r="E223" s="185">
        <f>IF($C223="",-0.00001,COUNTIF(Database!E:E,$C223))</f>
        <v>-1.0000000000000001E-5</v>
      </c>
      <c r="F223" s="185">
        <f>IFERROR(IF($C223="",-0.00001,SUMIFS(Database!H:H,Database!$E:$E,$C223)),-0.00001)</f>
        <v>-1.0000000000000001E-5</v>
      </c>
      <c r="G223" s="185">
        <f>IFERROR(IF($C223="",-0.00001,SUMIFS(Database!I:I,Database!$E:$E,$C223)),-0.00001)</f>
        <v>-1.0000000000000001E-5</v>
      </c>
      <c r="H223" s="185">
        <f>IFERROR(IF($C223="",-0.00001,SUMIFS(Database!J:J,Database!$E:$E,$C223)),-0.00001)</f>
        <v>-1.0000000000000001E-5</v>
      </c>
      <c r="I223" s="185">
        <f>IFERROR(IF($C223="",-0.00001,SUMIFS(Database!K:K,Database!$E:$E,$C223)),-0.00001)</f>
        <v>-1.0000000000000001E-5</v>
      </c>
      <c r="J223" s="185">
        <f>IFERROR(IF($C223="",-0.00001,SUMIFS(Database!L:L,Database!$E:$E,$C223)),-0.00001)</f>
        <v>-1.0000000000000001E-5</v>
      </c>
      <c r="K223" s="185">
        <f>IFERROR(IF($C223="",-0.00001,SUMIFS(Database!M:M,Database!$E:$E,$C223)),-0.00001)</f>
        <v>-1.0000000000000001E-5</v>
      </c>
      <c r="L223" s="185">
        <f>IFERROR(IF($C223="",-0.00001,SUMIFS(Database!N:N,Database!$E:$E,$C223)),-0.00001)</f>
        <v>-1.0000000000000001E-5</v>
      </c>
      <c r="M223" s="185">
        <f>IFERROR(IF($C223="",-0.00001,SUMIFS(Database!O:O,Database!$E:$E,$C223)),-0.00001)</f>
        <v>-1.0000000000000001E-5</v>
      </c>
      <c r="N223" s="185">
        <f>IFERROR(IF($C223="",-0.00001,SUMIFS(Database!P:P,Database!$E:$E,$C223)),-0.00001)</f>
        <v>-1.0000000000000001E-5</v>
      </c>
      <c r="O223" s="185">
        <f>IFERROR(IF($C223="",-0.00001,SUMIFS(Database!Q:Q,Database!$E:$E,$C223)),-0.00001)</f>
        <v>-1.0000000000000001E-5</v>
      </c>
      <c r="P223" s="186">
        <f t="shared" si="9"/>
        <v>-1.0000000000000001E-5</v>
      </c>
      <c r="Q223" s="185">
        <f>IFERROR(IF($C223="",-0.00001,SUMIFS(Database!S:S,Database!$E:$E,$C223)),-0.00001)</f>
        <v>-1.0000000000000001E-5</v>
      </c>
      <c r="R223" s="185">
        <f>IFERROR(IF($C223="",-0.00001,SUMIFS(Database!T:T,Database!$E:$E,$C223)),-0.00001)</f>
        <v>-1.0000000000000001E-5</v>
      </c>
      <c r="S223" s="186">
        <f t="shared" si="10"/>
        <v>-1.0000000000000001E-5</v>
      </c>
      <c r="T223" s="185">
        <f>IFERROR(IF($C223="",-0.00001,SUMIFS(Database!V:V,Database!$E:$E,$C223)),-0.00001)</f>
        <v>-1.0000000000000001E-5</v>
      </c>
      <c r="U223" s="185">
        <f>IFERROR(IF($C223="",-0.00001,SUMIFS(Database!W:W,Database!$E:$E,$C223)),-0.00001)</f>
        <v>-1.0000000000000001E-5</v>
      </c>
      <c r="V223" s="186">
        <f t="shared" si="11"/>
        <v>-1.0000000000000001E-5</v>
      </c>
      <c r="W223" s="187"/>
      <c r="X223" s="187"/>
      <c r="Y223" s="187"/>
      <c r="Z223" s="187"/>
      <c r="AA223" s="187"/>
      <c r="AB223" s="187"/>
      <c r="AC223" s="187"/>
      <c r="AD223" s="187"/>
      <c r="AE223" s="187"/>
    </row>
    <row r="224" spans="1:31" x14ac:dyDescent="0.25">
      <c r="A224" s="187"/>
      <c r="B224" s="187" t="str">
        <f>IF($C224="","",MAX($B$4:$B223)+1)</f>
        <v/>
      </c>
      <c r="C224" s="183"/>
      <c r="D224" s="183"/>
      <c r="E224" s="185">
        <f>IF($C224="",-0.00001,COUNTIF(Database!E:E,$C224))</f>
        <v>-1.0000000000000001E-5</v>
      </c>
      <c r="F224" s="185">
        <f>IFERROR(IF($C224="",-0.00001,SUMIFS(Database!H:H,Database!$E:$E,$C224)),-0.00001)</f>
        <v>-1.0000000000000001E-5</v>
      </c>
      <c r="G224" s="185">
        <f>IFERROR(IF($C224="",-0.00001,SUMIFS(Database!I:I,Database!$E:$E,$C224)),-0.00001)</f>
        <v>-1.0000000000000001E-5</v>
      </c>
      <c r="H224" s="185">
        <f>IFERROR(IF($C224="",-0.00001,SUMIFS(Database!J:J,Database!$E:$E,$C224)),-0.00001)</f>
        <v>-1.0000000000000001E-5</v>
      </c>
      <c r="I224" s="185">
        <f>IFERROR(IF($C224="",-0.00001,SUMIFS(Database!K:K,Database!$E:$E,$C224)),-0.00001)</f>
        <v>-1.0000000000000001E-5</v>
      </c>
      <c r="J224" s="185">
        <f>IFERROR(IF($C224="",-0.00001,SUMIFS(Database!L:L,Database!$E:$E,$C224)),-0.00001)</f>
        <v>-1.0000000000000001E-5</v>
      </c>
      <c r="K224" s="185">
        <f>IFERROR(IF($C224="",-0.00001,SUMIFS(Database!M:M,Database!$E:$E,$C224)),-0.00001)</f>
        <v>-1.0000000000000001E-5</v>
      </c>
      <c r="L224" s="185">
        <f>IFERROR(IF($C224="",-0.00001,SUMIFS(Database!N:N,Database!$E:$E,$C224)),-0.00001)</f>
        <v>-1.0000000000000001E-5</v>
      </c>
      <c r="M224" s="185">
        <f>IFERROR(IF($C224="",-0.00001,SUMIFS(Database!O:O,Database!$E:$E,$C224)),-0.00001)</f>
        <v>-1.0000000000000001E-5</v>
      </c>
      <c r="N224" s="185">
        <f>IFERROR(IF($C224="",-0.00001,SUMIFS(Database!P:P,Database!$E:$E,$C224)),-0.00001)</f>
        <v>-1.0000000000000001E-5</v>
      </c>
      <c r="O224" s="185">
        <f>IFERROR(IF($C224="",-0.00001,SUMIFS(Database!Q:Q,Database!$E:$E,$C224)),-0.00001)</f>
        <v>-1.0000000000000001E-5</v>
      </c>
      <c r="P224" s="186">
        <f t="shared" si="9"/>
        <v>-1.0000000000000001E-5</v>
      </c>
      <c r="Q224" s="185">
        <f>IFERROR(IF($C224="",-0.00001,SUMIFS(Database!S:S,Database!$E:$E,$C224)),-0.00001)</f>
        <v>-1.0000000000000001E-5</v>
      </c>
      <c r="R224" s="185">
        <f>IFERROR(IF($C224="",-0.00001,SUMIFS(Database!T:T,Database!$E:$E,$C224)),-0.00001)</f>
        <v>-1.0000000000000001E-5</v>
      </c>
      <c r="S224" s="186">
        <f t="shared" si="10"/>
        <v>-1.0000000000000001E-5</v>
      </c>
      <c r="T224" s="185">
        <f>IFERROR(IF($C224="",-0.00001,SUMIFS(Database!V:V,Database!$E:$E,$C224)),-0.00001)</f>
        <v>-1.0000000000000001E-5</v>
      </c>
      <c r="U224" s="185">
        <f>IFERROR(IF($C224="",-0.00001,SUMIFS(Database!W:W,Database!$E:$E,$C224)),-0.00001)</f>
        <v>-1.0000000000000001E-5</v>
      </c>
      <c r="V224" s="186">
        <f t="shared" si="11"/>
        <v>-1.0000000000000001E-5</v>
      </c>
      <c r="W224" s="187"/>
      <c r="X224" s="187"/>
      <c r="Y224" s="187"/>
      <c r="Z224" s="187"/>
      <c r="AA224" s="187"/>
      <c r="AB224" s="187"/>
      <c r="AC224" s="187"/>
      <c r="AD224" s="187"/>
      <c r="AE224" s="187"/>
    </row>
    <row r="225" spans="1:31" x14ac:dyDescent="0.25">
      <c r="A225" s="187"/>
      <c r="B225" s="187" t="str">
        <f>IF($C225="","",MAX($B$4:$B224)+1)</f>
        <v/>
      </c>
      <c r="C225" s="183"/>
      <c r="D225" s="183"/>
      <c r="E225" s="185">
        <f>IF($C225="",-0.00001,COUNTIF(Database!E:E,$C225))</f>
        <v>-1.0000000000000001E-5</v>
      </c>
      <c r="F225" s="185">
        <f>IFERROR(IF($C225="",-0.00001,SUMIFS(Database!H:H,Database!$E:$E,$C225)),-0.00001)</f>
        <v>-1.0000000000000001E-5</v>
      </c>
      <c r="G225" s="185">
        <f>IFERROR(IF($C225="",-0.00001,SUMIFS(Database!I:I,Database!$E:$E,$C225)),-0.00001)</f>
        <v>-1.0000000000000001E-5</v>
      </c>
      <c r="H225" s="185">
        <f>IFERROR(IF($C225="",-0.00001,SUMIFS(Database!J:J,Database!$E:$E,$C225)),-0.00001)</f>
        <v>-1.0000000000000001E-5</v>
      </c>
      <c r="I225" s="185">
        <f>IFERROR(IF($C225="",-0.00001,SUMIFS(Database!K:K,Database!$E:$E,$C225)),-0.00001)</f>
        <v>-1.0000000000000001E-5</v>
      </c>
      <c r="J225" s="185">
        <f>IFERROR(IF($C225="",-0.00001,SUMIFS(Database!L:L,Database!$E:$E,$C225)),-0.00001)</f>
        <v>-1.0000000000000001E-5</v>
      </c>
      <c r="K225" s="185">
        <f>IFERROR(IF($C225="",-0.00001,SUMIFS(Database!M:M,Database!$E:$E,$C225)),-0.00001)</f>
        <v>-1.0000000000000001E-5</v>
      </c>
      <c r="L225" s="185">
        <f>IFERROR(IF($C225="",-0.00001,SUMIFS(Database!N:N,Database!$E:$E,$C225)),-0.00001)</f>
        <v>-1.0000000000000001E-5</v>
      </c>
      <c r="M225" s="185">
        <f>IFERROR(IF($C225="",-0.00001,SUMIFS(Database!O:O,Database!$E:$E,$C225)),-0.00001)</f>
        <v>-1.0000000000000001E-5</v>
      </c>
      <c r="N225" s="185">
        <f>IFERROR(IF($C225="",-0.00001,SUMIFS(Database!P:P,Database!$E:$E,$C225)),-0.00001)</f>
        <v>-1.0000000000000001E-5</v>
      </c>
      <c r="O225" s="185">
        <f>IFERROR(IF($C225="",-0.00001,SUMIFS(Database!Q:Q,Database!$E:$E,$C225)),-0.00001)</f>
        <v>-1.0000000000000001E-5</v>
      </c>
      <c r="P225" s="186">
        <f t="shared" si="9"/>
        <v>-1.0000000000000001E-5</v>
      </c>
      <c r="Q225" s="185">
        <f>IFERROR(IF($C225="",-0.00001,SUMIFS(Database!S:S,Database!$E:$E,$C225)),-0.00001)</f>
        <v>-1.0000000000000001E-5</v>
      </c>
      <c r="R225" s="185">
        <f>IFERROR(IF($C225="",-0.00001,SUMIFS(Database!T:T,Database!$E:$E,$C225)),-0.00001)</f>
        <v>-1.0000000000000001E-5</v>
      </c>
      <c r="S225" s="186">
        <f t="shared" si="10"/>
        <v>-1.0000000000000001E-5</v>
      </c>
      <c r="T225" s="185">
        <f>IFERROR(IF($C225="",-0.00001,SUMIFS(Database!V:V,Database!$E:$E,$C225)),-0.00001)</f>
        <v>-1.0000000000000001E-5</v>
      </c>
      <c r="U225" s="185">
        <f>IFERROR(IF($C225="",-0.00001,SUMIFS(Database!W:W,Database!$E:$E,$C225)),-0.00001)</f>
        <v>-1.0000000000000001E-5</v>
      </c>
      <c r="V225" s="186">
        <f t="shared" si="11"/>
        <v>-1.0000000000000001E-5</v>
      </c>
      <c r="W225" s="187"/>
      <c r="X225" s="187"/>
      <c r="Y225" s="187"/>
      <c r="Z225" s="187"/>
      <c r="AA225" s="187"/>
      <c r="AB225" s="187"/>
      <c r="AC225" s="187"/>
      <c r="AD225" s="187"/>
      <c r="AE225" s="187"/>
    </row>
    <row r="226" spans="1:31" x14ac:dyDescent="0.25">
      <c r="A226" s="187"/>
      <c r="B226" s="187" t="str">
        <f>IF($C226="","",MAX($B$4:$B225)+1)</f>
        <v/>
      </c>
      <c r="C226" s="183"/>
      <c r="D226" s="183"/>
      <c r="E226" s="185">
        <f>IF($C226="",-0.00001,COUNTIF(Database!E:E,$C226))</f>
        <v>-1.0000000000000001E-5</v>
      </c>
      <c r="F226" s="185">
        <f>IFERROR(IF($C226="",-0.00001,SUMIFS(Database!H:H,Database!$E:$E,$C226)),-0.00001)</f>
        <v>-1.0000000000000001E-5</v>
      </c>
      <c r="G226" s="185">
        <f>IFERROR(IF($C226="",-0.00001,SUMIFS(Database!I:I,Database!$E:$E,$C226)),-0.00001)</f>
        <v>-1.0000000000000001E-5</v>
      </c>
      <c r="H226" s="185">
        <f>IFERROR(IF($C226="",-0.00001,SUMIFS(Database!J:J,Database!$E:$E,$C226)),-0.00001)</f>
        <v>-1.0000000000000001E-5</v>
      </c>
      <c r="I226" s="185">
        <f>IFERROR(IF($C226="",-0.00001,SUMIFS(Database!K:K,Database!$E:$E,$C226)),-0.00001)</f>
        <v>-1.0000000000000001E-5</v>
      </c>
      <c r="J226" s="185">
        <f>IFERROR(IF($C226="",-0.00001,SUMIFS(Database!L:L,Database!$E:$E,$C226)),-0.00001)</f>
        <v>-1.0000000000000001E-5</v>
      </c>
      <c r="K226" s="185">
        <f>IFERROR(IF($C226="",-0.00001,SUMIFS(Database!M:M,Database!$E:$E,$C226)),-0.00001)</f>
        <v>-1.0000000000000001E-5</v>
      </c>
      <c r="L226" s="185">
        <f>IFERROR(IF($C226="",-0.00001,SUMIFS(Database!N:N,Database!$E:$E,$C226)),-0.00001)</f>
        <v>-1.0000000000000001E-5</v>
      </c>
      <c r="M226" s="185">
        <f>IFERROR(IF($C226="",-0.00001,SUMIFS(Database!O:O,Database!$E:$E,$C226)),-0.00001)</f>
        <v>-1.0000000000000001E-5</v>
      </c>
      <c r="N226" s="185">
        <f>IFERROR(IF($C226="",-0.00001,SUMIFS(Database!P:P,Database!$E:$E,$C226)),-0.00001)</f>
        <v>-1.0000000000000001E-5</v>
      </c>
      <c r="O226" s="185">
        <f>IFERROR(IF($C226="",-0.00001,SUMIFS(Database!Q:Q,Database!$E:$E,$C226)),-0.00001)</f>
        <v>-1.0000000000000001E-5</v>
      </c>
      <c r="P226" s="186">
        <f t="shared" si="9"/>
        <v>-1.0000000000000001E-5</v>
      </c>
      <c r="Q226" s="185">
        <f>IFERROR(IF($C226="",-0.00001,SUMIFS(Database!S:S,Database!$E:$E,$C226)),-0.00001)</f>
        <v>-1.0000000000000001E-5</v>
      </c>
      <c r="R226" s="185">
        <f>IFERROR(IF($C226="",-0.00001,SUMIFS(Database!T:T,Database!$E:$E,$C226)),-0.00001)</f>
        <v>-1.0000000000000001E-5</v>
      </c>
      <c r="S226" s="186">
        <f t="shared" si="10"/>
        <v>-1.0000000000000001E-5</v>
      </c>
      <c r="T226" s="185">
        <f>IFERROR(IF($C226="",-0.00001,SUMIFS(Database!V:V,Database!$E:$E,$C226)),-0.00001)</f>
        <v>-1.0000000000000001E-5</v>
      </c>
      <c r="U226" s="185">
        <f>IFERROR(IF($C226="",-0.00001,SUMIFS(Database!W:W,Database!$E:$E,$C226)),-0.00001)</f>
        <v>-1.0000000000000001E-5</v>
      </c>
      <c r="V226" s="186">
        <f t="shared" si="11"/>
        <v>-1.0000000000000001E-5</v>
      </c>
      <c r="W226" s="187"/>
      <c r="X226" s="187"/>
      <c r="Y226" s="187"/>
      <c r="Z226" s="187"/>
      <c r="AA226" s="187"/>
      <c r="AB226" s="187"/>
      <c r="AC226" s="187"/>
      <c r="AD226" s="187"/>
      <c r="AE226" s="187"/>
    </row>
    <row r="227" spans="1:31" x14ac:dyDescent="0.25">
      <c r="A227" s="187"/>
      <c r="B227" s="187" t="str">
        <f>IF($C227="","",MAX($B$4:$B226)+1)</f>
        <v/>
      </c>
      <c r="C227" s="183"/>
      <c r="D227" s="183"/>
      <c r="E227" s="185">
        <f>IF($C227="",-0.00001,COUNTIF(Database!E:E,$C227))</f>
        <v>-1.0000000000000001E-5</v>
      </c>
      <c r="F227" s="185">
        <f>IFERROR(IF($C227="",-0.00001,SUMIFS(Database!H:H,Database!$E:$E,$C227)),-0.00001)</f>
        <v>-1.0000000000000001E-5</v>
      </c>
      <c r="G227" s="185">
        <f>IFERROR(IF($C227="",-0.00001,SUMIFS(Database!I:I,Database!$E:$E,$C227)),-0.00001)</f>
        <v>-1.0000000000000001E-5</v>
      </c>
      <c r="H227" s="185">
        <f>IFERROR(IF($C227="",-0.00001,SUMIFS(Database!J:J,Database!$E:$E,$C227)),-0.00001)</f>
        <v>-1.0000000000000001E-5</v>
      </c>
      <c r="I227" s="185">
        <f>IFERROR(IF($C227="",-0.00001,SUMIFS(Database!K:K,Database!$E:$E,$C227)),-0.00001)</f>
        <v>-1.0000000000000001E-5</v>
      </c>
      <c r="J227" s="185">
        <f>IFERROR(IF($C227="",-0.00001,SUMIFS(Database!L:L,Database!$E:$E,$C227)),-0.00001)</f>
        <v>-1.0000000000000001E-5</v>
      </c>
      <c r="K227" s="185">
        <f>IFERROR(IF($C227="",-0.00001,SUMIFS(Database!M:M,Database!$E:$E,$C227)),-0.00001)</f>
        <v>-1.0000000000000001E-5</v>
      </c>
      <c r="L227" s="185">
        <f>IFERROR(IF($C227="",-0.00001,SUMIFS(Database!N:N,Database!$E:$E,$C227)),-0.00001)</f>
        <v>-1.0000000000000001E-5</v>
      </c>
      <c r="M227" s="185">
        <f>IFERROR(IF($C227="",-0.00001,SUMIFS(Database!O:O,Database!$E:$E,$C227)),-0.00001)</f>
        <v>-1.0000000000000001E-5</v>
      </c>
      <c r="N227" s="185">
        <f>IFERROR(IF($C227="",-0.00001,SUMIFS(Database!P:P,Database!$E:$E,$C227)),-0.00001)</f>
        <v>-1.0000000000000001E-5</v>
      </c>
      <c r="O227" s="185">
        <f>IFERROR(IF($C227="",-0.00001,SUMIFS(Database!Q:Q,Database!$E:$E,$C227)),-0.00001)</f>
        <v>-1.0000000000000001E-5</v>
      </c>
      <c r="P227" s="186">
        <f t="shared" si="9"/>
        <v>-1.0000000000000001E-5</v>
      </c>
      <c r="Q227" s="185">
        <f>IFERROR(IF($C227="",-0.00001,SUMIFS(Database!S:S,Database!$E:$E,$C227)),-0.00001)</f>
        <v>-1.0000000000000001E-5</v>
      </c>
      <c r="R227" s="185">
        <f>IFERROR(IF($C227="",-0.00001,SUMIFS(Database!T:T,Database!$E:$E,$C227)),-0.00001)</f>
        <v>-1.0000000000000001E-5</v>
      </c>
      <c r="S227" s="186">
        <f t="shared" si="10"/>
        <v>-1.0000000000000001E-5</v>
      </c>
      <c r="T227" s="185">
        <f>IFERROR(IF($C227="",-0.00001,SUMIFS(Database!V:V,Database!$E:$E,$C227)),-0.00001)</f>
        <v>-1.0000000000000001E-5</v>
      </c>
      <c r="U227" s="185">
        <f>IFERROR(IF($C227="",-0.00001,SUMIFS(Database!W:W,Database!$E:$E,$C227)),-0.00001)</f>
        <v>-1.0000000000000001E-5</v>
      </c>
      <c r="V227" s="186">
        <f t="shared" si="11"/>
        <v>-1.0000000000000001E-5</v>
      </c>
      <c r="W227" s="187"/>
      <c r="X227" s="187"/>
      <c r="Y227" s="187"/>
      <c r="Z227" s="187"/>
      <c r="AA227" s="187"/>
      <c r="AB227" s="187"/>
      <c r="AC227" s="187"/>
      <c r="AD227" s="187"/>
      <c r="AE227" s="187"/>
    </row>
    <row r="228" spans="1:31" x14ac:dyDescent="0.25">
      <c r="A228" s="187"/>
      <c r="B228" s="187" t="str">
        <f>IF($C228="","",MAX($B$4:$B227)+1)</f>
        <v/>
      </c>
      <c r="C228" s="183"/>
      <c r="D228" s="183"/>
      <c r="E228" s="185">
        <f>IF($C228="",-0.00001,COUNTIF(Database!E:E,$C228))</f>
        <v>-1.0000000000000001E-5</v>
      </c>
      <c r="F228" s="185">
        <f>IFERROR(IF($C228="",-0.00001,SUMIFS(Database!H:H,Database!$E:$E,$C228)),-0.00001)</f>
        <v>-1.0000000000000001E-5</v>
      </c>
      <c r="G228" s="185">
        <f>IFERROR(IF($C228="",-0.00001,SUMIFS(Database!I:I,Database!$E:$E,$C228)),-0.00001)</f>
        <v>-1.0000000000000001E-5</v>
      </c>
      <c r="H228" s="185">
        <f>IFERROR(IF($C228="",-0.00001,SUMIFS(Database!J:J,Database!$E:$E,$C228)),-0.00001)</f>
        <v>-1.0000000000000001E-5</v>
      </c>
      <c r="I228" s="185">
        <f>IFERROR(IF($C228="",-0.00001,SUMIFS(Database!K:K,Database!$E:$E,$C228)),-0.00001)</f>
        <v>-1.0000000000000001E-5</v>
      </c>
      <c r="J228" s="185">
        <f>IFERROR(IF($C228="",-0.00001,SUMIFS(Database!L:L,Database!$E:$E,$C228)),-0.00001)</f>
        <v>-1.0000000000000001E-5</v>
      </c>
      <c r="K228" s="185">
        <f>IFERROR(IF($C228="",-0.00001,SUMIFS(Database!M:M,Database!$E:$E,$C228)),-0.00001)</f>
        <v>-1.0000000000000001E-5</v>
      </c>
      <c r="L228" s="185">
        <f>IFERROR(IF($C228="",-0.00001,SUMIFS(Database!N:N,Database!$E:$E,$C228)),-0.00001)</f>
        <v>-1.0000000000000001E-5</v>
      </c>
      <c r="M228" s="185">
        <f>IFERROR(IF($C228="",-0.00001,SUMIFS(Database!O:O,Database!$E:$E,$C228)),-0.00001)</f>
        <v>-1.0000000000000001E-5</v>
      </c>
      <c r="N228" s="185">
        <f>IFERROR(IF($C228="",-0.00001,SUMIFS(Database!P:P,Database!$E:$E,$C228)),-0.00001)</f>
        <v>-1.0000000000000001E-5</v>
      </c>
      <c r="O228" s="185">
        <f>IFERROR(IF($C228="",-0.00001,SUMIFS(Database!Q:Q,Database!$E:$E,$C228)),-0.00001)</f>
        <v>-1.0000000000000001E-5</v>
      </c>
      <c r="P228" s="186">
        <f t="shared" si="9"/>
        <v>-1.0000000000000001E-5</v>
      </c>
      <c r="Q228" s="185">
        <f>IFERROR(IF($C228="",-0.00001,SUMIFS(Database!S:S,Database!$E:$E,$C228)),-0.00001)</f>
        <v>-1.0000000000000001E-5</v>
      </c>
      <c r="R228" s="185">
        <f>IFERROR(IF($C228="",-0.00001,SUMIFS(Database!T:T,Database!$E:$E,$C228)),-0.00001)</f>
        <v>-1.0000000000000001E-5</v>
      </c>
      <c r="S228" s="186">
        <f t="shared" si="10"/>
        <v>-1.0000000000000001E-5</v>
      </c>
      <c r="T228" s="185">
        <f>IFERROR(IF($C228="",-0.00001,SUMIFS(Database!V:V,Database!$E:$E,$C228)),-0.00001)</f>
        <v>-1.0000000000000001E-5</v>
      </c>
      <c r="U228" s="185">
        <f>IFERROR(IF($C228="",-0.00001,SUMIFS(Database!W:W,Database!$E:$E,$C228)),-0.00001)</f>
        <v>-1.0000000000000001E-5</v>
      </c>
      <c r="V228" s="186">
        <f t="shared" si="11"/>
        <v>-1.0000000000000001E-5</v>
      </c>
      <c r="W228" s="187"/>
      <c r="X228" s="187"/>
      <c r="Y228" s="187"/>
      <c r="Z228" s="187"/>
      <c r="AA228" s="187"/>
      <c r="AB228" s="187"/>
      <c r="AC228" s="187"/>
      <c r="AD228" s="187"/>
      <c r="AE228" s="187"/>
    </row>
    <row r="229" spans="1:31" x14ac:dyDescent="0.25">
      <c r="A229" s="187"/>
      <c r="B229" s="187" t="str">
        <f>IF($C229="","",MAX($B$4:$B228)+1)</f>
        <v/>
      </c>
      <c r="C229" s="183"/>
      <c r="D229" s="183"/>
      <c r="E229" s="185">
        <f>IF($C229="",-0.00001,COUNTIF(Database!E:E,$C229))</f>
        <v>-1.0000000000000001E-5</v>
      </c>
      <c r="F229" s="185">
        <f>IFERROR(IF($C229="",-0.00001,SUMIFS(Database!H:H,Database!$E:$E,$C229)),-0.00001)</f>
        <v>-1.0000000000000001E-5</v>
      </c>
      <c r="G229" s="185">
        <f>IFERROR(IF($C229="",-0.00001,SUMIFS(Database!I:I,Database!$E:$E,$C229)),-0.00001)</f>
        <v>-1.0000000000000001E-5</v>
      </c>
      <c r="H229" s="185">
        <f>IFERROR(IF($C229="",-0.00001,SUMIFS(Database!J:J,Database!$E:$E,$C229)),-0.00001)</f>
        <v>-1.0000000000000001E-5</v>
      </c>
      <c r="I229" s="185">
        <f>IFERROR(IF($C229="",-0.00001,SUMIFS(Database!K:K,Database!$E:$E,$C229)),-0.00001)</f>
        <v>-1.0000000000000001E-5</v>
      </c>
      <c r="J229" s="185">
        <f>IFERROR(IF($C229="",-0.00001,SUMIFS(Database!L:L,Database!$E:$E,$C229)),-0.00001)</f>
        <v>-1.0000000000000001E-5</v>
      </c>
      <c r="K229" s="185">
        <f>IFERROR(IF($C229="",-0.00001,SUMIFS(Database!M:M,Database!$E:$E,$C229)),-0.00001)</f>
        <v>-1.0000000000000001E-5</v>
      </c>
      <c r="L229" s="185">
        <f>IFERROR(IF($C229="",-0.00001,SUMIFS(Database!N:N,Database!$E:$E,$C229)),-0.00001)</f>
        <v>-1.0000000000000001E-5</v>
      </c>
      <c r="M229" s="185">
        <f>IFERROR(IF($C229="",-0.00001,SUMIFS(Database!O:O,Database!$E:$E,$C229)),-0.00001)</f>
        <v>-1.0000000000000001E-5</v>
      </c>
      <c r="N229" s="185">
        <f>IFERROR(IF($C229="",-0.00001,SUMIFS(Database!P:P,Database!$E:$E,$C229)),-0.00001)</f>
        <v>-1.0000000000000001E-5</v>
      </c>
      <c r="O229" s="185">
        <f>IFERROR(IF($C229="",-0.00001,SUMIFS(Database!Q:Q,Database!$E:$E,$C229)),-0.00001)</f>
        <v>-1.0000000000000001E-5</v>
      </c>
      <c r="P229" s="186">
        <f t="shared" si="9"/>
        <v>-1.0000000000000001E-5</v>
      </c>
      <c r="Q229" s="185">
        <f>IFERROR(IF($C229="",-0.00001,SUMIFS(Database!S:S,Database!$E:$E,$C229)),-0.00001)</f>
        <v>-1.0000000000000001E-5</v>
      </c>
      <c r="R229" s="185">
        <f>IFERROR(IF($C229="",-0.00001,SUMIFS(Database!T:T,Database!$E:$E,$C229)),-0.00001)</f>
        <v>-1.0000000000000001E-5</v>
      </c>
      <c r="S229" s="186">
        <f t="shared" si="10"/>
        <v>-1.0000000000000001E-5</v>
      </c>
      <c r="T229" s="185">
        <f>IFERROR(IF($C229="",-0.00001,SUMIFS(Database!V:V,Database!$E:$E,$C229)),-0.00001)</f>
        <v>-1.0000000000000001E-5</v>
      </c>
      <c r="U229" s="185">
        <f>IFERROR(IF($C229="",-0.00001,SUMIFS(Database!W:W,Database!$E:$E,$C229)),-0.00001)</f>
        <v>-1.0000000000000001E-5</v>
      </c>
      <c r="V229" s="186">
        <f t="shared" si="11"/>
        <v>-1.0000000000000001E-5</v>
      </c>
      <c r="W229" s="187"/>
      <c r="X229" s="187"/>
      <c r="Y229" s="187"/>
      <c r="Z229" s="187"/>
      <c r="AA229" s="187"/>
      <c r="AB229" s="187"/>
      <c r="AC229" s="187"/>
      <c r="AD229" s="187"/>
      <c r="AE229" s="187"/>
    </row>
    <row r="230" spans="1:31" x14ac:dyDescent="0.25">
      <c r="A230" s="187"/>
      <c r="B230" s="187" t="str">
        <f>IF($C230="","",MAX($B$4:$B229)+1)</f>
        <v/>
      </c>
      <c r="C230" s="183"/>
      <c r="D230" s="183"/>
      <c r="E230" s="185">
        <f>IF($C230="",-0.00001,COUNTIF(Database!E:E,$C230))</f>
        <v>-1.0000000000000001E-5</v>
      </c>
      <c r="F230" s="185">
        <f>IFERROR(IF($C230="",-0.00001,SUMIFS(Database!H:H,Database!$E:$E,$C230)),-0.00001)</f>
        <v>-1.0000000000000001E-5</v>
      </c>
      <c r="G230" s="185">
        <f>IFERROR(IF($C230="",-0.00001,SUMIFS(Database!I:I,Database!$E:$E,$C230)),-0.00001)</f>
        <v>-1.0000000000000001E-5</v>
      </c>
      <c r="H230" s="185">
        <f>IFERROR(IF($C230="",-0.00001,SUMIFS(Database!J:J,Database!$E:$E,$C230)),-0.00001)</f>
        <v>-1.0000000000000001E-5</v>
      </c>
      <c r="I230" s="185">
        <f>IFERROR(IF($C230="",-0.00001,SUMIFS(Database!K:K,Database!$E:$E,$C230)),-0.00001)</f>
        <v>-1.0000000000000001E-5</v>
      </c>
      <c r="J230" s="185">
        <f>IFERROR(IF($C230="",-0.00001,SUMIFS(Database!L:L,Database!$E:$E,$C230)),-0.00001)</f>
        <v>-1.0000000000000001E-5</v>
      </c>
      <c r="K230" s="185">
        <f>IFERROR(IF($C230="",-0.00001,SUMIFS(Database!M:M,Database!$E:$E,$C230)),-0.00001)</f>
        <v>-1.0000000000000001E-5</v>
      </c>
      <c r="L230" s="185">
        <f>IFERROR(IF($C230="",-0.00001,SUMIFS(Database!N:N,Database!$E:$E,$C230)),-0.00001)</f>
        <v>-1.0000000000000001E-5</v>
      </c>
      <c r="M230" s="185">
        <f>IFERROR(IF($C230="",-0.00001,SUMIFS(Database!O:O,Database!$E:$E,$C230)),-0.00001)</f>
        <v>-1.0000000000000001E-5</v>
      </c>
      <c r="N230" s="185">
        <f>IFERROR(IF($C230="",-0.00001,SUMIFS(Database!P:P,Database!$E:$E,$C230)),-0.00001)</f>
        <v>-1.0000000000000001E-5</v>
      </c>
      <c r="O230" s="185">
        <f>IFERROR(IF($C230="",-0.00001,SUMIFS(Database!Q:Q,Database!$E:$E,$C230)),-0.00001)</f>
        <v>-1.0000000000000001E-5</v>
      </c>
      <c r="P230" s="186">
        <f t="shared" si="9"/>
        <v>-1.0000000000000001E-5</v>
      </c>
      <c r="Q230" s="185">
        <f>IFERROR(IF($C230="",-0.00001,SUMIFS(Database!S:S,Database!$E:$E,$C230)),-0.00001)</f>
        <v>-1.0000000000000001E-5</v>
      </c>
      <c r="R230" s="185">
        <f>IFERROR(IF($C230="",-0.00001,SUMIFS(Database!T:T,Database!$E:$E,$C230)),-0.00001)</f>
        <v>-1.0000000000000001E-5</v>
      </c>
      <c r="S230" s="186">
        <f t="shared" si="10"/>
        <v>-1.0000000000000001E-5</v>
      </c>
      <c r="T230" s="185">
        <f>IFERROR(IF($C230="",-0.00001,SUMIFS(Database!V:V,Database!$E:$E,$C230)),-0.00001)</f>
        <v>-1.0000000000000001E-5</v>
      </c>
      <c r="U230" s="185">
        <f>IFERROR(IF($C230="",-0.00001,SUMIFS(Database!W:W,Database!$E:$E,$C230)),-0.00001)</f>
        <v>-1.0000000000000001E-5</v>
      </c>
      <c r="V230" s="186">
        <f t="shared" si="11"/>
        <v>-1.0000000000000001E-5</v>
      </c>
      <c r="W230" s="187"/>
      <c r="X230" s="187"/>
      <c r="Y230" s="187"/>
      <c r="Z230" s="187"/>
      <c r="AA230" s="187"/>
      <c r="AB230" s="187"/>
      <c r="AC230" s="187"/>
      <c r="AD230" s="187"/>
      <c r="AE230" s="187"/>
    </row>
    <row r="231" spans="1:31" x14ac:dyDescent="0.25">
      <c r="A231" s="187"/>
      <c r="B231" s="187" t="str">
        <f>IF($C231="","",MAX($B$4:$B230)+1)</f>
        <v/>
      </c>
      <c r="C231" s="183"/>
      <c r="D231" s="183"/>
      <c r="E231" s="185">
        <f>IF($C231="",-0.00001,COUNTIF(Database!E:E,$C231))</f>
        <v>-1.0000000000000001E-5</v>
      </c>
      <c r="F231" s="185">
        <f>IFERROR(IF($C231="",-0.00001,SUMIFS(Database!H:H,Database!$E:$E,$C231)),-0.00001)</f>
        <v>-1.0000000000000001E-5</v>
      </c>
      <c r="G231" s="185">
        <f>IFERROR(IF($C231="",-0.00001,SUMIFS(Database!I:I,Database!$E:$E,$C231)),-0.00001)</f>
        <v>-1.0000000000000001E-5</v>
      </c>
      <c r="H231" s="185">
        <f>IFERROR(IF($C231="",-0.00001,SUMIFS(Database!J:J,Database!$E:$E,$C231)),-0.00001)</f>
        <v>-1.0000000000000001E-5</v>
      </c>
      <c r="I231" s="185">
        <f>IFERROR(IF($C231="",-0.00001,SUMIFS(Database!K:K,Database!$E:$E,$C231)),-0.00001)</f>
        <v>-1.0000000000000001E-5</v>
      </c>
      <c r="J231" s="185">
        <f>IFERROR(IF($C231="",-0.00001,SUMIFS(Database!L:L,Database!$E:$E,$C231)),-0.00001)</f>
        <v>-1.0000000000000001E-5</v>
      </c>
      <c r="K231" s="185">
        <f>IFERROR(IF($C231="",-0.00001,SUMIFS(Database!M:M,Database!$E:$E,$C231)),-0.00001)</f>
        <v>-1.0000000000000001E-5</v>
      </c>
      <c r="L231" s="185">
        <f>IFERROR(IF($C231="",-0.00001,SUMIFS(Database!N:N,Database!$E:$E,$C231)),-0.00001)</f>
        <v>-1.0000000000000001E-5</v>
      </c>
      <c r="M231" s="185">
        <f>IFERROR(IF($C231="",-0.00001,SUMIFS(Database!O:O,Database!$E:$E,$C231)),-0.00001)</f>
        <v>-1.0000000000000001E-5</v>
      </c>
      <c r="N231" s="185">
        <f>IFERROR(IF($C231="",-0.00001,SUMIFS(Database!P:P,Database!$E:$E,$C231)),-0.00001)</f>
        <v>-1.0000000000000001E-5</v>
      </c>
      <c r="O231" s="185">
        <f>IFERROR(IF($C231="",-0.00001,SUMIFS(Database!Q:Q,Database!$E:$E,$C231)),-0.00001)</f>
        <v>-1.0000000000000001E-5</v>
      </c>
      <c r="P231" s="186">
        <f t="shared" si="9"/>
        <v>-1.0000000000000001E-5</v>
      </c>
      <c r="Q231" s="185">
        <f>IFERROR(IF($C231="",-0.00001,SUMIFS(Database!S:S,Database!$E:$E,$C231)),-0.00001)</f>
        <v>-1.0000000000000001E-5</v>
      </c>
      <c r="R231" s="185">
        <f>IFERROR(IF($C231="",-0.00001,SUMIFS(Database!T:T,Database!$E:$E,$C231)),-0.00001)</f>
        <v>-1.0000000000000001E-5</v>
      </c>
      <c r="S231" s="186">
        <f t="shared" si="10"/>
        <v>-1.0000000000000001E-5</v>
      </c>
      <c r="T231" s="185">
        <f>IFERROR(IF($C231="",-0.00001,SUMIFS(Database!V:V,Database!$E:$E,$C231)),-0.00001)</f>
        <v>-1.0000000000000001E-5</v>
      </c>
      <c r="U231" s="185">
        <f>IFERROR(IF($C231="",-0.00001,SUMIFS(Database!W:W,Database!$E:$E,$C231)),-0.00001)</f>
        <v>-1.0000000000000001E-5</v>
      </c>
      <c r="V231" s="186">
        <f t="shared" si="11"/>
        <v>-1.0000000000000001E-5</v>
      </c>
      <c r="W231" s="187"/>
      <c r="X231" s="187"/>
      <c r="Y231" s="187"/>
      <c r="Z231" s="187"/>
      <c r="AA231" s="187"/>
      <c r="AB231" s="187"/>
      <c r="AC231" s="187"/>
      <c r="AD231" s="187"/>
      <c r="AE231" s="187"/>
    </row>
    <row r="232" spans="1:31" x14ac:dyDescent="0.25">
      <c r="A232" s="187"/>
      <c r="B232" s="187" t="str">
        <f>IF($C232="","",MAX($B$4:$B231)+1)</f>
        <v/>
      </c>
      <c r="C232" s="183"/>
      <c r="D232" s="183"/>
      <c r="E232" s="185">
        <f>IF($C232="",-0.00001,COUNTIF(Database!E:E,$C232))</f>
        <v>-1.0000000000000001E-5</v>
      </c>
      <c r="F232" s="185">
        <f>IFERROR(IF($C232="",-0.00001,SUMIFS(Database!H:H,Database!$E:$E,$C232)),-0.00001)</f>
        <v>-1.0000000000000001E-5</v>
      </c>
      <c r="G232" s="185">
        <f>IFERROR(IF($C232="",-0.00001,SUMIFS(Database!I:I,Database!$E:$E,$C232)),-0.00001)</f>
        <v>-1.0000000000000001E-5</v>
      </c>
      <c r="H232" s="185">
        <f>IFERROR(IF($C232="",-0.00001,SUMIFS(Database!J:J,Database!$E:$E,$C232)),-0.00001)</f>
        <v>-1.0000000000000001E-5</v>
      </c>
      <c r="I232" s="185">
        <f>IFERROR(IF($C232="",-0.00001,SUMIFS(Database!K:K,Database!$E:$E,$C232)),-0.00001)</f>
        <v>-1.0000000000000001E-5</v>
      </c>
      <c r="J232" s="185">
        <f>IFERROR(IF($C232="",-0.00001,SUMIFS(Database!L:L,Database!$E:$E,$C232)),-0.00001)</f>
        <v>-1.0000000000000001E-5</v>
      </c>
      <c r="K232" s="185">
        <f>IFERROR(IF($C232="",-0.00001,SUMIFS(Database!M:M,Database!$E:$E,$C232)),-0.00001)</f>
        <v>-1.0000000000000001E-5</v>
      </c>
      <c r="L232" s="185">
        <f>IFERROR(IF($C232="",-0.00001,SUMIFS(Database!N:N,Database!$E:$E,$C232)),-0.00001)</f>
        <v>-1.0000000000000001E-5</v>
      </c>
      <c r="M232" s="185">
        <f>IFERROR(IF($C232="",-0.00001,SUMIFS(Database!O:O,Database!$E:$E,$C232)),-0.00001)</f>
        <v>-1.0000000000000001E-5</v>
      </c>
      <c r="N232" s="185">
        <f>IFERROR(IF($C232="",-0.00001,SUMIFS(Database!P:P,Database!$E:$E,$C232)),-0.00001)</f>
        <v>-1.0000000000000001E-5</v>
      </c>
      <c r="O232" s="185">
        <f>IFERROR(IF($C232="",-0.00001,SUMIFS(Database!Q:Q,Database!$E:$E,$C232)),-0.00001)</f>
        <v>-1.0000000000000001E-5</v>
      </c>
      <c r="P232" s="186">
        <f t="shared" si="9"/>
        <v>-1.0000000000000001E-5</v>
      </c>
      <c r="Q232" s="185">
        <f>IFERROR(IF($C232="",-0.00001,SUMIFS(Database!S:S,Database!$E:$E,$C232)),-0.00001)</f>
        <v>-1.0000000000000001E-5</v>
      </c>
      <c r="R232" s="185">
        <f>IFERROR(IF($C232="",-0.00001,SUMIFS(Database!T:T,Database!$E:$E,$C232)),-0.00001)</f>
        <v>-1.0000000000000001E-5</v>
      </c>
      <c r="S232" s="186">
        <f t="shared" si="10"/>
        <v>-1.0000000000000001E-5</v>
      </c>
      <c r="T232" s="185">
        <f>IFERROR(IF($C232="",-0.00001,SUMIFS(Database!V:V,Database!$E:$E,$C232)),-0.00001)</f>
        <v>-1.0000000000000001E-5</v>
      </c>
      <c r="U232" s="185">
        <f>IFERROR(IF($C232="",-0.00001,SUMIFS(Database!W:W,Database!$E:$E,$C232)),-0.00001)</f>
        <v>-1.0000000000000001E-5</v>
      </c>
      <c r="V232" s="186">
        <f t="shared" si="11"/>
        <v>-1.0000000000000001E-5</v>
      </c>
      <c r="W232" s="187"/>
      <c r="X232" s="187"/>
      <c r="Y232" s="187"/>
      <c r="Z232" s="187"/>
      <c r="AA232" s="187"/>
      <c r="AB232" s="187"/>
      <c r="AC232" s="187"/>
      <c r="AD232" s="187"/>
      <c r="AE232" s="187"/>
    </row>
    <row r="233" spans="1:31" x14ac:dyDescent="0.25">
      <c r="A233" s="187"/>
      <c r="B233" s="187" t="str">
        <f>IF($C233="","",MAX($B$4:$B232)+1)</f>
        <v/>
      </c>
      <c r="C233" s="183"/>
      <c r="D233" s="183"/>
      <c r="E233" s="185">
        <f>IF($C233="",-0.00001,COUNTIF(Database!E:E,$C233))</f>
        <v>-1.0000000000000001E-5</v>
      </c>
      <c r="F233" s="185">
        <f>IFERROR(IF($C233="",-0.00001,SUMIFS(Database!H:H,Database!$E:$E,$C233)),-0.00001)</f>
        <v>-1.0000000000000001E-5</v>
      </c>
      <c r="G233" s="185">
        <f>IFERROR(IF($C233="",-0.00001,SUMIFS(Database!I:I,Database!$E:$E,$C233)),-0.00001)</f>
        <v>-1.0000000000000001E-5</v>
      </c>
      <c r="H233" s="185">
        <f>IFERROR(IF($C233="",-0.00001,SUMIFS(Database!J:J,Database!$E:$E,$C233)),-0.00001)</f>
        <v>-1.0000000000000001E-5</v>
      </c>
      <c r="I233" s="185">
        <f>IFERROR(IF($C233="",-0.00001,SUMIFS(Database!K:K,Database!$E:$E,$C233)),-0.00001)</f>
        <v>-1.0000000000000001E-5</v>
      </c>
      <c r="J233" s="185">
        <f>IFERROR(IF($C233="",-0.00001,SUMIFS(Database!L:L,Database!$E:$E,$C233)),-0.00001)</f>
        <v>-1.0000000000000001E-5</v>
      </c>
      <c r="K233" s="185">
        <f>IFERROR(IF($C233="",-0.00001,SUMIFS(Database!M:M,Database!$E:$E,$C233)),-0.00001)</f>
        <v>-1.0000000000000001E-5</v>
      </c>
      <c r="L233" s="185">
        <f>IFERROR(IF($C233="",-0.00001,SUMIFS(Database!N:N,Database!$E:$E,$C233)),-0.00001)</f>
        <v>-1.0000000000000001E-5</v>
      </c>
      <c r="M233" s="185">
        <f>IFERROR(IF($C233="",-0.00001,SUMIFS(Database!O:O,Database!$E:$E,$C233)),-0.00001)</f>
        <v>-1.0000000000000001E-5</v>
      </c>
      <c r="N233" s="185">
        <f>IFERROR(IF($C233="",-0.00001,SUMIFS(Database!P:P,Database!$E:$E,$C233)),-0.00001)</f>
        <v>-1.0000000000000001E-5</v>
      </c>
      <c r="O233" s="185">
        <f>IFERROR(IF($C233="",-0.00001,SUMIFS(Database!Q:Q,Database!$E:$E,$C233)),-0.00001)</f>
        <v>-1.0000000000000001E-5</v>
      </c>
      <c r="P233" s="186">
        <f t="shared" si="9"/>
        <v>-1.0000000000000001E-5</v>
      </c>
      <c r="Q233" s="185">
        <f>IFERROR(IF($C233="",-0.00001,SUMIFS(Database!S:S,Database!$E:$E,$C233)),-0.00001)</f>
        <v>-1.0000000000000001E-5</v>
      </c>
      <c r="R233" s="185">
        <f>IFERROR(IF($C233="",-0.00001,SUMIFS(Database!T:T,Database!$E:$E,$C233)),-0.00001)</f>
        <v>-1.0000000000000001E-5</v>
      </c>
      <c r="S233" s="186">
        <f t="shared" si="10"/>
        <v>-1.0000000000000001E-5</v>
      </c>
      <c r="T233" s="185">
        <f>IFERROR(IF($C233="",-0.00001,SUMIFS(Database!V:V,Database!$E:$E,$C233)),-0.00001)</f>
        <v>-1.0000000000000001E-5</v>
      </c>
      <c r="U233" s="185">
        <f>IFERROR(IF($C233="",-0.00001,SUMIFS(Database!W:W,Database!$E:$E,$C233)),-0.00001)</f>
        <v>-1.0000000000000001E-5</v>
      </c>
      <c r="V233" s="186">
        <f t="shared" si="11"/>
        <v>-1.0000000000000001E-5</v>
      </c>
      <c r="W233" s="187"/>
      <c r="X233" s="187"/>
      <c r="Y233" s="187"/>
      <c r="Z233" s="187"/>
      <c r="AA233" s="187"/>
      <c r="AB233" s="187"/>
      <c r="AC233" s="187"/>
      <c r="AD233" s="187"/>
      <c r="AE233" s="187"/>
    </row>
    <row r="234" spans="1:31" x14ac:dyDescent="0.25">
      <c r="A234" s="187"/>
      <c r="B234" s="187" t="str">
        <f>IF($C234="","",MAX($B$4:$B233)+1)</f>
        <v/>
      </c>
      <c r="C234" s="183"/>
      <c r="D234" s="183"/>
      <c r="E234" s="185">
        <f>IF($C234="",-0.00001,COUNTIF(Database!E:E,$C234))</f>
        <v>-1.0000000000000001E-5</v>
      </c>
      <c r="F234" s="185">
        <f>IFERROR(IF($C234="",-0.00001,SUMIFS(Database!H:H,Database!$E:$E,$C234)),-0.00001)</f>
        <v>-1.0000000000000001E-5</v>
      </c>
      <c r="G234" s="185">
        <f>IFERROR(IF($C234="",-0.00001,SUMIFS(Database!I:I,Database!$E:$E,$C234)),-0.00001)</f>
        <v>-1.0000000000000001E-5</v>
      </c>
      <c r="H234" s="185">
        <f>IFERROR(IF($C234="",-0.00001,SUMIFS(Database!J:J,Database!$E:$E,$C234)),-0.00001)</f>
        <v>-1.0000000000000001E-5</v>
      </c>
      <c r="I234" s="185">
        <f>IFERROR(IF($C234="",-0.00001,SUMIFS(Database!K:K,Database!$E:$E,$C234)),-0.00001)</f>
        <v>-1.0000000000000001E-5</v>
      </c>
      <c r="J234" s="185">
        <f>IFERROR(IF($C234="",-0.00001,SUMIFS(Database!L:L,Database!$E:$E,$C234)),-0.00001)</f>
        <v>-1.0000000000000001E-5</v>
      </c>
      <c r="K234" s="185">
        <f>IFERROR(IF($C234="",-0.00001,SUMIFS(Database!M:M,Database!$E:$E,$C234)),-0.00001)</f>
        <v>-1.0000000000000001E-5</v>
      </c>
      <c r="L234" s="185">
        <f>IFERROR(IF($C234="",-0.00001,SUMIFS(Database!N:N,Database!$E:$E,$C234)),-0.00001)</f>
        <v>-1.0000000000000001E-5</v>
      </c>
      <c r="M234" s="185">
        <f>IFERROR(IF($C234="",-0.00001,SUMIFS(Database!O:O,Database!$E:$E,$C234)),-0.00001)</f>
        <v>-1.0000000000000001E-5</v>
      </c>
      <c r="N234" s="185">
        <f>IFERROR(IF($C234="",-0.00001,SUMIFS(Database!P:P,Database!$E:$E,$C234)),-0.00001)</f>
        <v>-1.0000000000000001E-5</v>
      </c>
      <c r="O234" s="185">
        <f>IFERROR(IF($C234="",-0.00001,SUMIFS(Database!Q:Q,Database!$E:$E,$C234)),-0.00001)</f>
        <v>-1.0000000000000001E-5</v>
      </c>
      <c r="P234" s="186">
        <f t="shared" si="9"/>
        <v>-1.0000000000000001E-5</v>
      </c>
      <c r="Q234" s="185">
        <f>IFERROR(IF($C234="",-0.00001,SUMIFS(Database!S:S,Database!$E:$E,$C234)),-0.00001)</f>
        <v>-1.0000000000000001E-5</v>
      </c>
      <c r="R234" s="185">
        <f>IFERROR(IF($C234="",-0.00001,SUMIFS(Database!T:T,Database!$E:$E,$C234)),-0.00001)</f>
        <v>-1.0000000000000001E-5</v>
      </c>
      <c r="S234" s="186">
        <f t="shared" si="10"/>
        <v>-1.0000000000000001E-5</v>
      </c>
      <c r="T234" s="185">
        <f>IFERROR(IF($C234="",-0.00001,SUMIFS(Database!V:V,Database!$E:$E,$C234)),-0.00001)</f>
        <v>-1.0000000000000001E-5</v>
      </c>
      <c r="U234" s="185">
        <f>IFERROR(IF($C234="",-0.00001,SUMIFS(Database!W:W,Database!$E:$E,$C234)),-0.00001)</f>
        <v>-1.0000000000000001E-5</v>
      </c>
      <c r="V234" s="186">
        <f t="shared" si="11"/>
        <v>-1.0000000000000001E-5</v>
      </c>
      <c r="W234" s="187"/>
      <c r="X234" s="187"/>
      <c r="Y234" s="187"/>
      <c r="Z234" s="187"/>
      <c r="AA234" s="187"/>
      <c r="AB234" s="187"/>
      <c r="AC234" s="187"/>
      <c r="AD234" s="187"/>
      <c r="AE234" s="187"/>
    </row>
    <row r="235" spans="1:31" x14ac:dyDescent="0.25">
      <c r="A235" s="187"/>
      <c r="B235" s="187" t="str">
        <f>IF($C235="","",MAX($B$4:$B234)+1)</f>
        <v/>
      </c>
      <c r="C235" s="183"/>
      <c r="D235" s="183"/>
      <c r="E235" s="185">
        <f>IF($C235="",-0.00001,COUNTIF(Database!E:E,$C235))</f>
        <v>-1.0000000000000001E-5</v>
      </c>
      <c r="F235" s="185">
        <f>IFERROR(IF($C235="",-0.00001,SUMIFS(Database!H:H,Database!$E:$E,$C235)),-0.00001)</f>
        <v>-1.0000000000000001E-5</v>
      </c>
      <c r="G235" s="185">
        <f>IFERROR(IF($C235="",-0.00001,SUMIFS(Database!I:I,Database!$E:$E,$C235)),-0.00001)</f>
        <v>-1.0000000000000001E-5</v>
      </c>
      <c r="H235" s="185">
        <f>IFERROR(IF($C235="",-0.00001,SUMIFS(Database!J:J,Database!$E:$E,$C235)),-0.00001)</f>
        <v>-1.0000000000000001E-5</v>
      </c>
      <c r="I235" s="185">
        <f>IFERROR(IF($C235="",-0.00001,SUMIFS(Database!K:K,Database!$E:$E,$C235)),-0.00001)</f>
        <v>-1.0000000000000001E-5</v>
      </c>
      <c r="J235" s="185">
        <f>IFERROR(IF($C235="",-0.00001,SUMIFS(Database!L:L,Database!$E:$E,$C235)),-0.00001)</f>
        <v>-1.0000000000000001E-5</v>
      </c>
      <c r="K235" s="185">
        <f>IFERROR(IF($C235="",-0.00001,SUMIFS(Database!M:M,Database!$E:$E,$C235)),-0.00001)</f>
        <v>-1.0000000000000001E-5</v>
      </c>
      <c r="L235" s="185">
        <f>IFERROR(IF($C235="",-0.00001,SUMIFS(Database!N:N,Database!$E:$E,$C235)),-0.00001)</f>
        <v>-1.0000000000000001E-5</v>
      </c>
      <c r="M235" s="185">
        <f>IFERROR(IF($C235="",-0.00001,SUMIFS(Database!O:O,Database!$E:$E,$C235)),-0.00001)</f>
        <v>-1.0000000000000001E-5</v>
      </c>
      <c r="N235" s="185">
        <f>IFERROR(IF($C235="",-0.00001,SUMIFS(Database!P:P,Database!$E:$E,$C235)),-0.00001)</f>
        <v>-1.0000000000000001E-5</v>
      </c>
      <c r="O235" s="185">
        <f>IFERROR(IF($C235="",-0.00001,SUMIFS(Database!Q:Q,Database!$E:$E,$C235)),-0.00001)</f>
        <v>-1.0000000000000001E-5</v>
      </c>
      <c r="P235" s="186">
        <f t="shared" si="9"/>
        <v>-1.0000000000000001E-5</v>
      </c>
      <c r="Q235" s="185">
        <f>IFERROR(IF($C235="",-0.00001,SUMIFS(Database!S:S,Database!$E:$E,$C235)),-0.00001)</f>
        <v>-1.0000000000000001E-5</v>
      </c>
      <c r="R235" s="185">
        <f>IFERROR(IF($C235="",-0.00001,SUMIFS(Database!T:T,Database!$E:$E,$C235)),-0.00001)</f>
        <v>-1.0000000000000001E-5</v>
      </c>
      <c r="S235" s="186">
        <f t="shared" si="10"/>
        <v>-1.0000000000000001E-5</v>
      </c>
      <c r="T235" s="185">
        <f>IFERROR(IF($C235="",-0.00001,SUMIFS(Database!V:V,Database!$E:$E,$C235)),-0.00001)</f>
        <v>-1.0000000000000001E-5</v>
      </c>
      <c r="U235" s="185">
        <f>IFERROR(IF($C235="",-0.00001,SUMIFS(Database!W:W,Database!$E:$E,$C235)),-0.00001)</f>
        <v>-1.0000000000000001E-5</v>
      </c>
      <c r="V235" s="186">
        <f t="shared" si="11"/>
        <v>-1.0000000000000001E-5</v>
      </c>
      <c r="W235" s="187"/>
      <c r="X235" s="187"/>
      <c r="Y235" s="187"/>
      <c r="Z235" s="187"/>
      <c r="AA235" s="187"/>
      <c r="AB235" s="187"/>
      <c r="AC235" s="187"/>
      <c r="AD235" s="187"/>
      <c r="AE235" s="187"/>
    </row>
    <row r="236" spans="1:31" x14ac:dyDescent="0.25">
      <c r="A236" s="187"/>
      <c r="B236" s="187" t="str">
        <f>IF($C236="","",MAX($B$4:$B235)+1)</f>
        <v/>
      </c>
      <c r="C236" s="183"/>
      <c r="D236" s="183"/>
      <c r="E236" s="185">
        <f>IF($C236="",-0.00001,COUNTIF(Database!E:E,$C236))</f>
        <v>-1.0000000000000001E-5</v>
      </c>
      <c r="F236" s="185">
        <f>IFERROR(IF($C236="",-0.00001,SUMIFS(Database!H:H,Database!$E:$E,$C236)),-0.00001)</f>
        <v>-1.0000000000000001E-5</v>
      </c>
      <c r="G236" s="185">
        <f>IFERROR(IF($C236="",-0.00001,SUMIFS(Database!I:I,Database!$E:$E,$C236)),-0.00001)</f>
        <v>-1.0000000000000001E-5</v>
      </c>
      <c r="H236" s="185">
        <f>IFERROR(IF($C236="",-0.00001,SUMIFS(Database!J:J,Database!$E:$E,$C236)),-0.00001)</f>
        <v>-1.0000000000000001E-5</v>
      </c>
      <c r="I236" s="185">
        <f>IFERROR(IF($C236="",-0.00001,SUMIFS(Database!K:K,Database!$E:$E,$C236)),-0.00001)</f>
        <v>-1.0000000000000001E-5</v>
      </c>
      <c r="J236" s="185">
        <f>IFERROR(IF($C236="",-0.00001,SUMIFS(Database!L:L,Database!$E:$E,$C236)),-0.00001)</f>
        <v>-1.0000000000000001E-5</v>
      </c>
      <c r="K236" s="185">
        <f>IFERROR(IF($C236="",-0.00001,SUMIFS(Database!M:M,Database!$E:$E,$C236)),-0.00001)</f>
        <v>-1.0000000000000001E-5</v>
      </c>
      <c r="L236" s="185">
        <f>IFERROR(IF($C236="",-0.00001,SUMIFS(Database!N:N,Database!$E:$E,$C236)),-0.00001)</f>
        <v>-1.0000000000000001E-5</v>
      </c>
      <c r="M236" s="185">
        <f>IFERROR(IF($C236="",-0.00001,SUMIFS(Database!O:O,Database!$E:$E,$C236)),-0.00001)</f>
        <v>-1.0000000000000001E-5</v>
      </c>
      <c r="N236" s="185">
        <f>IFERROR(IF($C236="",-0.00001,SUMIFS(Database!P:P,Database!$E:$E,$C236)),-0.00001)</f>
        <v>-1.0000000000000001E-5</v>
      </c>
      <c r="O236" s="185">
        <f>IFERROR(IF($C236="",-0.00001,SUMIFS(Database!Q:Q,Database!$E:$E,$C236)),-0.00001)</f>
        <v>-1.0000000000000001E-5</v>
      </c>
      <c r="P236" s="186">
        <f t="shared" si="9"/>
        <v>-1.0000000000000001E-5</v>
      </c>
      <c r="Q236" s="185">
        <f>IFERROR(IF($C236="",-0.00001,SUMIFS(Database!S:S,Database!$E:$E,$C236)),-0.00001)</f>
        <v>-1.0000000000000001E-5</v>
      </c>
      <c r="R236" s="185">
        <f>IFERROR(IF($C236="",-0.00001,SUMIFS(Database!T:T,Database!$E:$E,$C236)),-0.00001)</f>
        <v>-1.0000000000000001E-5</v>
      </c>
      <c r="S236" s="186">
        <f t="shared" si="10"/>
        <v>-1.0000000000000001E-5</v>
      </c>
      <c r="T236" s="185">
        <f>IFERROR(IF($C236="",-0.00001,SUMIFS(Database!V:V,Database!$E:$E,$C236)),-0.00001)</f>
        <v>-1.0000000000000001E-5</v>
      </c>
      <c r="U236" s="185">
        <f>IFERROR(IF($C236="",-0.00001,SUMIFS(Database!W:W,Database!$E:$E,$C236)),-0.00001)</f>
        <v>-1.0000000000000001E-5</v>
      </c>
      <c r="V236" s="186">
        <f t="shared" si="11"/>
        <v>-1.0000000000000001E-5</v>
      </c>
      <c r="W236" s="187"/>
      <c r="X236" s="187"/>
      <c r="Y236" s="187"/>
      <c r="Z236" s="187"/>
      <c r="AA236" s="187"/>
      <c r="AB236" s="187"/>
      <c r="AC236" s="187"/>
      <c r="AD236" s="187"/>
      <c r="AE236" s="187"/>
    </row>
    <row r="237" spans="1:31" x14ac:dyDescent="0.25">
      <c r="A237" s="187"/>
      <c r="B237" s="187" t="str">
        <f>IF($C237="","",MAX($B$4:$B236)+1)</f>
        <v/>
      </c>
      <c r="C237" s="183"/>
      <c r="D237" s="183"/>
      <c r="E237" s="185">
        <f>IF($C237="",-0.00001,COUNTIF(Database!E:E,$C237))</f>
        <v>-1.0000000000000001E-5</v>
      </c>
      <c r="F237" s="185">
        <f>IFERROR(IF($C237="",-0.00001,SUMIFS(Database!H:H,Database!$E:$E,$C237)),-0.00001)</f>
        <v>-1.0000000000000001E-5</v>
      </c>
      <c r="G237" s="185">
        <f>IFERROR(IF($C237="",-0.00001,SUMIFS(Database!I:I,Database!$E:$E,$C237)),-0.00001)</f>
        <v>-1.0000000000000001E-5</v>
      </c>
      <c r="H237" s="185">
        <f>IFERROR(IF($C237="",-0.00001,SUMIFS(Database!J:J,Database!$E:$E,$C237)),-0.00001)</f>
        <v>-1.0000000000000001E-5</v>
      </c>
      <c r="I237" s="185">
        <f>IFERROR(IF($C237="",-0.00001,SUMIFS(Database!K:K,Database!$E:$E,$C237)),-0.00001)</f>
        <v>-1.0000000000000001E-5</v>
      </c>
      <c r="J237" s="185">
        <f>IFERROR(IF($C237="",-0.00001,SUMIFS(Database!L:L,Database!$E:$E,$C237)),-0.00001)</f>
        <v>-1.0000000000000001E-5</v>
      </c>
      <c r="K237" s="185">
        <f>IFERROR(IF($C237="",-0.00001,SUMIFS(Database!M:M,Database!$E:$E,$C237)),-0.00001)</f>
        <v>-1.0000000000000001E-5</v>
      </c>
      <c r="L237" s="185">
        <f>IFERROR(IF($C237="",-0.00001,SUMIFS(Database!N:N,Database!$E:$E,$C237)),-0.00001)</f>
        <v>-1.0000000000000001E-5</v>
      </c>
      <c r="M237" s="185">
        <f>IFERROR(IF($C237="",-0.00001,SUMIFS(Database!O:O,Database!$E:$E,$C237)),-0.00001)</f>
        <v>-1.0000000000000001E-5</v>
      </c>
      <c r="N237" s="185">
        <f>IFERROR(IF($C237="",-0.00001,SUMIFS(Database!P:P,Database!$E:$E,$C237)),-0.00001)</f>
        <v>-1.0000000000000001E-5</v>
      </c>
      <c r="O237" s="185">
        <f>IFERROR(IF($C237="",-0.00001,SUMIFS(Database!Q:Q,Database!$E:$E,$C237)),-0.00001)</f>
        <v>-1.0000000000000001E-5</v>
      </c>
      <c r="P237" s="186">
        <f t="shared" si="9"/>
        <v>-1.0000000000000001E-5</v>
      </c>
      <c r="Q237" s="185">
        <f>IFERROR(IF($C237="",-0.00001,SUMIFS(Database!S:S,Database!$E:$E,$C237)),-0.00001)</f>
        <v>-1.0000000000000001E-5</v>
      </c>
      <c r="R237" s="185">
        <f>IFERROR(IF($C237="",-0.00001,SUMIFS(Database!T:T,Database!$E:$E,$C237)),-0.00001)</f>
        <v>-1.0000000000000001E-5</v>
      </c>
      <c r="S237" s="186">
        <f t="shared" si="10"/>
        <v>-1.0000000000000001E-5</v>
      </c>
      <c r="T237" s="185">
        <f>IFERROR(IF($C237="",-0.00001,SUMIFS(Database!V:V,Database!$E:$E,$C237)),-0.00001)</f>
        <v>-1.0000000000000001E-5</v>
      </c>
      <c r="U237" s="185">
        <f>IFERROR(IF($C237="",-0.00001,SUMIFS(Database!W:W,Database!$E:$E,$C237)),-0.00001)</f>
        <v>-1.0000000000000001E-5</v>
      </c>
      <c r="V237" s="186">
        <f t="shared" si="11"/>
        <v>-1.0000000000000001E-5</v>
      </c>
      <c r="W237" s="187"/>
      <c r="X237" s="187"/>
      <c r="Y237" s="187"/>
      <c r="Z237" s="187"/>
      <c r="AA237" s="187"/>
      <c r="AB237" s="187"/>
      <c r="AC237" s="187"/>
      <c r="AD237" s="187"/>
      <c r="AE237" s="187"/>
    </row>
    <row r="238" spans="1:31" x14ac:dyDescent="0.25">
      <c r="A238" s="187"/>
      <c r="B238" s="187" t="str">
        <f>IF($C238="","",MAX($B$4:$B237)+1)</f>
        <v/>
      </c>
      <c r="C238" s="183"/>
      <c r="D238" s="183"/>
      <c r="E238" s="185">
        <f>IF($C238="",-0.00001,COUNTIF(Database!E:E,$C238))</f>
        <v>-1.0000000000000001E-5</v>
      </c>
      <c r="F238" s="185">
        <f>IFERROR(IF($C238="",-0.00001,SUMIFS(Database!H:H,Database!$E:$E,$C238)),-0.00001)</f>
        <v>-1.0000000000000001E-5</v>
      </c>
      <c r="G238" s="185">
        <f>IFERROR(IF($C238="",-0.00001,SUMIFS(Database!I:I,Database!$E:$E,$C238)),-0.00001)</f>
        <v>-1.0000000000000001E-5</v>
      </c>
      <c r="H238" s="185">
        <f>IFERROR(IF($C238="",-0.00001,SUMIFS(Database!J:J,Database!$E:$E,$C238)),-0.00001)</f>
        <v>-1.0000000000000001E-5</v>
      </c>
      <c r="I238" s="185">
        <f>IFERROR(IF($C238="",-0.00001,SUMIFS(Database!K:K,Database!$E:$E,$C238)),-0.00001)</f>
        <v>-1.0000000000000001E-5</v>
      </c>
      <c r="J238" s="185">
        <f>IFERROR(IF($C238="",-0.00001,SUMIFS(Database!L:L,Database!$E:$E,$C238)),-0.00001)</f>
        <v>-1.0000000000000001E-5</v>
      </c>
      <c r="K238" s="185">
        <f>IFERROR(IF($C238="",-0.00001,SUMIFS(Database!M:M,Database!$E:$E,$C238)),-0.00001)</f>
        <v>-1.0000000000000001E-5</v>
      </c>
      <c r="L238" s="185">
        <f>IFERROR(IF($C238="",-0.00001,SUMIFS(Database!N:N,Database!$E:$E,$C238)),-0.00001)</f>
        <v>-1.0000000000000001E-5</v>
      </c>
      <c r="M238" s="185">
        <f>IFERROR(IF($C238="",-0.00001,SUMIFS(Database!O:O,Database!$E:$E,$C238)),-0.00001)</f>
        <v>-1.0000000000000001E-5</v>
      </c>
      <c r="N238" s="185">
        <f>IFERROR(IF($C238="",-0.00001,SUMIFS(Database!P:P,Database!$E:$E,$C238)),-0.00001)</f>
        <v>-1.0000000000000001E-5</v>
      </c>
      <c r="O238" s="185">
        <f>IFERROR(IF($C238="",-0.00001,SUMIFS(Database!Q:Q,Database!$E:$E,$C238)),-0.00001)</f>
        <v>-1.0000000000000001E-5</v>
      </c>
      <c r="P238" s="186">
        <f t="shared" si="9"/>
        <v>-1.0000000000000001E-5</v>
      </c>
      <c r="Q238" s="185">
        <f>IFERROR(IF($C238="",-0.00001,SUMIFS(Database!S:S,Database!$E:$E,$C238)),-0.00001)</f>
        <v>-1.0000000000000001E-5</v>
      </c>
      <c r="R238" s="185">
        <f>IFERROR(IF($C238="",-0.00001,SUMIFS(Database!T:T,Database!$E:$E,$C238)),-0.00001)</f>
        <v>-1.0000000000000001E-5</v>
      </c>
      <c r="S238" s="186">
        <f t="shared" si="10"/>
        <v>-1.0000000000000001E-5</v>
      </c>
      <c r="T238" s="185">
        <f>IFERROR(IF($C238="",-0.00001,SUMIFS(Database!V:V,Database!$E:$E,$C238)),-0.00001)</f>
        <v>-1.0000000000000001E-5</v>
      </c>
      <c r="U238" s="185">
        <f>IFERROR(IF($C238="",-0.00001,SUMIFS(Database!W:W,Database!$E:$E,$C238)),-0.00001)</f>
        <v>-1.0000000000000001E-5</v>
      </c>
      <c r="V238" s="186">
        <f t="shared" si="11"/>
        <v>-1.0000000000000001E-5</v>
      </c>
      <c r="W238" s="187"/>
      <c r="X238" s="187"/>
      <c r="Y238" s="187"/>
      <c r="Z238" s="187"/>
      <c r="AA238" s="187"/>
      <c r="AB238" s="187"/>
      <c r="AC238" s="187"/>
      <c r="AD238" s="187"/>
      <c r="AE238" s="187"/>
    </row>
    <row r="239" spans="1:31" x14ac:dyDescent="0.25">
      <c r="A239" s="187"/>
      <c r="B239" s="187" t="str">
        <f>IF($C239="","",MAX($B$4:$B238)+1)</f>
        <v/>
      </c>
      <c r="C239" s="183"/>
      <c r="D239" s="183"/>
      <c r="E239" s="185">
        <f>IF($C239="",-0.00001,COUNTIF(Database!E:E,$C239))</f>
        <v>-1.0000000000000001E-5</v>
      </c>
      <c r="F239" s="185">
        <f>IFERROR(IF($C239="",-0.00001,SUMIFS(Database!H:H,Database!$E:$E,$C239)),-0.00001)</f>
        <v>-1.0000000000000001E-5</v>
      </c>
      <c r="G239" s="185">
        <f>IFERROR(IF($C239="",-0.00001,SUMIFS(Database!I:I,Database!$E:$E,$C239)),-0.00001)</f>
        <v>-1.0000000000000001E-5</v>
      </c>
      <c r="H239" s="185">
        <f>IFERROR(IF($C239="",-0.00001,SUMIFS(Database!J:J,Database!$E:$E,$C239)),-0.00001)</f>
        <v>-1.0000000000000001E-5</v>
      </c>
      <c r="I239" s="185">
        <f>IFERROR(IF($C239="",-0.00001,SUMIFS(Database!K:K,Database!$E:$E,$C239)),-0.00001)</f>
        <v>-1.0000000000000001E-5</v>
      </c>
      <c r="J239" s="185">
        <f>IFERROR(IF($C239="",-0.00001,SUMIFS(Database!L:L,Database!$E:$E,$C239)),-0.00001)</f>
        <v>-1.0000000000000001E-5</v>
      </c>
      <c r="K239" s="185">
        <f>IFERROR(IF($C239="",-0.00001,SUMIFS(Database!M:M,Database!$E:$E,$C239)),-0.00001)</f>
        <v>-1.0000000000000001E-5</v>
      </c>
      <c r="L239" s="185">
        <f>IFERROR(IF($C239="",-0.00001,SUMIFS(Database!N:N,Database!$E:$E,$C239)),-0.00001)</f>
        <v>-1.0000000000000001E-5</v>
      </c>
      <c r="M239" s="185">
        <f>IFERROR(IF($C239="",-0.00001,SUMIFS(Database!O:O,Database!$E:$E,$C239)),-0.00001)</f>
        <v>-1.0000000000000001E-5</v>
      </c>
      <c r="N239" s="185">
        <f>IFERROR(IF($C239="",-0.00001,SUMIFS(Database!P:P,Database!$E:$E,$C239)),-0.00001)</f>
        <v>-1.0000000000000001E-5</v>
      </c>
      <c r="O239" s="185">
        <f>IFERROR(IF($C239="",-0.00001,SUMIFS(Database!Q:Q,Database!$E:$E,$C239)),-0.00001)</f>
        <v>-1.0000000000000001E-5</v>
      </c>
      <c r="P239" s="186">
        <f t="shared" si="9"/>
        <v>-1.0000000000000001E-5</v>
      </c>
      <c r="Q239" s="185">
        <f>IFERROR(IF($C239="",-0.00001,SUMIFS(Database!S:S,Database!$E:$E,$C239)),-0.00001)</f>
        <v>-1.0000000000000001E-5</v>
      </c>
      <c r="R239" s="185">
        <f>IFERROR(IF($C239="",-0.00001,SUMIFS(Database!T:T,Database!$E:$E,$C239)),-0.00001)</f>
        <v>-1.0000000000000001E-5</v>
      </c>
      <c r="S239" s="186">
        <f t="shared" si="10"/>
        <v>-1.0000000000000001E-5</v>
      </c>
      <c r="T239" s="185">
        <f>IFERROR(IF($C239="",-0.00001,SUMIFS(Database!V:V,Database!$E:$E,$C239)),-0.00001)</f>
        <v>-1.0000000000000001E-5</v>
      </c>
      <c r="U239" s="185">
        <f>IFERROR(IF($C239="",-0.00001,SUMIFS(Database!W:W,Database!$E:$E,$C239)),-0.00001)</f>
        <v>-1.0000000000000001E-5</v>
      </c>
      <c r="V239" s="186">
        <f t="shared" si="11"/>
        <v>-1.0000000000000001E-5</v>
      </c>
      <c r="W239" s="187"/>
      <c r="X239" s="187"/>
      <c r="Y239" s="187"/>
      <c r="Z239" s="187"/>
      <c r="AA239" s="187"/>
      <c r="AB239" s="187"/>
      <c r="AC239" s="187"/>
      <c r="AD239" s="187"/>
      <c r="AE239" s="187"/>
    </row>
    <row r="240" spans="1:31" x14ac:dyDescent="0.25">
      <c r="A240" s="187"/>
      <c r="B240" s="187" t="str">
        <f>IF($C240="","",MAX($B$4:$B239)+1)</f>
        <v/>
      </c>
      <c r="C240" s="183"/>
      <c r="D240" s="183"/>
      <c r="E240" s="185">
        <f>IF($C240="",-0.00001,COUNTIF(Database!E:E,$C240))</f>
        <v>-1.0000000000000001E-5</v>
      </c>
      <c r="F240" s="185">
        <f>IFERROR(IF($C240="",-0.00001,SUMIFS(Database!H:H,Database!$E:$E,$C240)),-0.00001)</f>
        <v>-1.0000000000000001E-5</v>
      </c>
      <c r="G240" s="185">
        <f>IFERROR(IF($C240="",-0.00001,SUMIFS(Database!I:I,Database!$E:$E,$C240)),-0.00001)</f>
        <v>-1.0000000000000001E-5</v>
      </c>
      <c r="H240" s="185">
        <f>IFERROR(IF($C240="",-0.00001,SUMIFS(Database!J:J,Database!$E:$E,$C240)),-0.00001)</f>
        <v>-1.0000000000000001E-5</v>
      </c>
      <c r="I240" s="185">
        <f>IFERROR(IF($C240="",-0.00001,SUMIFS(Database!K:K,Database!$E:$E,$C240)),-0.00001)</f>
        <v>-1.0000000000000001E-5</v>
      </c>
      <c r="J240" s="185">
        <f>IFERROR(IF($C240="",-0.00001,SUMIFS(Database!L:L,Database!$E:$E,$C240)),-0.00001)</f>
        <v>-1.0000000000000001E-5</v>
      </c>
      <c r="K240" s="185">
        <f>IFERROR(IF($C240="",-0.00001,SUMIFS(Database!M:M,Database!$E:$E,$C240)),-0.00001)</f>
        <v>-1.0000000000000001E-5</v>
      </c>
      <c r="L240" s="185">
        <f>IFERROR(IF($C240="",-0.00001,SUMIFS(Database!N:N,Database!$E:$E,$C240)),-0.00001)</f>
        <v>-1.0000000000000001E-5</v>
      </c>
      <c r="M240" s="185">
        <f>IFERROR(IF($C240="",-0.00001,SUMIFS(Database!O:O,Database!$E:$E,$C240)),-0.00001)</f>
        <v>-1.0000000000000001E-5</v>
      </c>
      <c r="N240" s="185">
        <f>IFERROR(IF($C240="",-0.00001,SUMIFS(Database!P:P,Database!$E:$E,$C240)),-0.00001)</f>
        <v>-1.0000000000000001E-5</v>
      </c>
      <c r="O240" s="185">
        <f>IFERROR(IF($C240="",-0.00001,SUMIFS(Database!Q:Q,Database!$E:$E,$C240)),-0.00001)</f>
        <v>-1.0000000000000001E-5</v>
      </c>
      <c r="P240" s="186">
        <f t="shared" si="9"/>
        <v>-1.0000000000000001E-5</v>
      </c>
      <c r="Q240" s="185">
        <f>IFERROR(IF($C240="",-0.00001,SUMIFS(Database!S:S,Database!$E:$E,$C240)),-0.00001)</f>
        <v>-1.0000000000000001E-5</v>
      </c>
      <c r="R240" s="185">
        <f>IFERROR(IF($C240="",-0.00001,SUMIFS(Database!T:T,Database!$E:$E,$C240)),-0.00001)</f>
        <v>-1.0000000000000001E-5</v>
      </c>
      <c r="S240" s="186">
        <f t="shared" si="10"/>
        <v>-1.0000000000000001E-5</v>
      </c>
      <c r="T240" s="185">
        <f>IFERROR(IF($C240="",-0.00001,SUMIFS(Database!V:V,Database!$E:$E,$C240)),-0.00001)</f>
        <v>-1.0000000000000001E-5</v>
      </c>
      <c r="U240" s="185">
        <f>IFERROR(IF($C240="",-0.00001,SUMIFS(Database!W:W,Database!$E:$E,$C240)),-0.00001)</f>
        <v>-1.0000000000000001E-5</v>
      </c>
      <c r="V240" s="186">
        <f t="shared" si="11"/>
        <v>-1.0000000000000001E-5</v>
      </c>
      <c r="W240" s="187"/>
      <c r="X240" s="187"/>
      <c r="Y240" s="187"/>
      <c r="Z240" s="187"/>
      <c r="AA240" s="187"/>
      <c r="AB240" s="187"/>
      <c r="AC240" s="187"/>
      <c r="AD240" s="187"/>
      <c r="AE240" s="187"/>
    </row>
    <row r="241" spans="1:31" x14ac:dyDescent="0.25">
      <c r="A241" s="187"/>
      <c r="B241" s="187" t="str">
        <f>IF($C241="","",MAX($B$4:$B240)+1)</f>
        <v/>
      </c>
      <c r="C241" s="183"/>
      <c r="D241" s="183"/>
      <c r="E241" s="185">
        <f>IF($C241="",-0.00001,COUNTIF(Database!E:E,$C241))</f>
        <v>-1.0000000000000001E-5</v>
      </c>
      <c r="F241" s="185">
        <f>IFERROR(IF($C241="",-0.00001,SUMIFS(Database!H:H,Database!$E:$E,$C241)),-0.00001)</f>
        <v>-1.0000000000000001E-5</v>
      </c>
      <c r="G241" s="185">
        <f>IFERROR(IF($C241="",-0.00001,SUMIFS(Database!I:I,Database!$E:$E,$C241)),-0.00001)</f>
        <v>-1.0000000000000001E-5</v>
      </c>
      <c r="H241" s="185">
        <f>IFERROR(IF($C241="",-0.00001,SUMIFS(Database!J:J,Database!$E:$E,$C241)),-0.00001)</f>
        <v>-1.0000000000000001E-5</v>
      </c>
      <c r="I241" s="185">
        <f>IFERROR(IF($C241="",-0.00001,SUMIFS(Database!K:K,Database!$E:$E,$C241)),-0.00001)</f>
        <v>-1.0000000000000001E-5</v>
      </c>
      <c r="J241" s="185">
        <f>IFERROR(IF($C241="",-0.00001,SUMIFS(Database!L:L,Database!$E:$E,$C241)),-0.00001)</f>
        <v>-1.0000000000000001E-5</v>
      </c>
      <c r="K241" s="185">
        <f>IFERROR(IF($C241="",-0.00001,SUMIFS(Database!M:M,Database!$E:$E,$C241)),-0.00001)</f>
        <v>-1.0000000000000001E-5</v>
      </c>
      <c r="L241" s="185">
        <f>IFERROR(IF($C241="",-0.00001,SUMIFS(Database!N:N,Database!$E:$E,$C241)),-0.00001)</f>
        <v>-1.0000000000000001E-5</v>
      </c>
      <c r="M241" s="185">
        <f>IFERROR(IF($C241="",-0.00001,SUMIFS(Database!O:O,Database!$E:$E,$C241)),-0.00001)</f>
        <v>-1.0000000000000001E-5</v>
      </c>
      <c r="N241" s="185">
        <f>IFERROR(IF($C241="",-0.00001,SUMIFS(Database!P:P,Database!$E:$E,$C241)),-0.00001)</f>
        <v>-1.0000000000000001E-5</v>
      </c>
      <c r="O241" s="185">
        <f>IFERROR(IF($C241="",-0.00001,SUMIFS(Database!Q:Q,Database!$E:$E,$C241)),-0.00001)</f>
        <v>-1.0000000000000001E-5</v>
      </c>
      <c r="P241" s="186">
        <f t="shared" si="9"/>
        <v>-1.0000000000000001E-5</v>
      </c>
      <c r="Q241" s="185">
        <f>IFERROR(IF($C241="",-0.00001,SUMIFS(Database!S:S,Database!$E:$E,$C241)),-0.00001)</f>
        <v>-1.0000000000000001E-5</v>
      </c>
      <c r="R241" s="185">
        <f>IFERROR(IF($C241="",-0.00001,SUMIFS(Database!T:T,Database!$E:$E,$C241)),-0.00001)</f>
        <v>-1.0000000000000001E-5</v>
      </c>
      <c r="S241" s="186">
        <f t="shared" si="10"/>
        <v>-1.0000000000000001E-5</v>
      </c>
      <c r="T241" s="185">
        <f>IFERROR(IF($C241="",-0.00001,SUMIFS(Database!V:V,Database!$E:$E,$C241)),-0.00001)</f>
        <v>-1.0000000000000001E-5</v>
      </c>
      <c r="U241" s="185">
        <f>IFERROR(IF($C241="",-0.00001,SUMIFS(Database!W:W,Database!$E:$E,$C241)),-0.00001)</f>
        <v>-1.0000000000000001E-5</v>
      </c>
      <c r="V241" s="186">
        <f t="shared" si="11"/>
        <v>-1.0000000000000001E-5</v>
      </c>
      <c r="W241" s="187"/>
      <c r="X241" s="187"/>
      <c r="Y241" s="187"/>
      <c r="Z241" s="187"/>
      <c r="AA241" s="187"/>
      <c r="AB241" s="187"/>
      <c r="AC241" s="187"/>
      <c r="AD241" s="187"/>
      <c r="AE241" s="187"/>
    </row>
    <row r="242" spans="1:31" x14ac:dyDescent="0.25">
      <c r="A242" s="187"/>
      <c r="B242" s="187" t="str">
        <f>IF($C242="","",MAX($B$4:$B241)+1)</f>
        <v/>
      </c>
      <c r="C242" s="183"/>
      <c r="D242" s="183"/>
      <c r="E242" s="185">
        <f>IF($C242="",-0.00001,COUNTIF(Database!E:E,$C242))</f>
        <v>-1.0000000000000001E-5</v>
      </c>
      <c r="F242" s="185">
        <f>IFERROR(IF($C242="",-0.00001,SUMIFS(Database!H:H,Database!$E:$E,$C242)),-0.00001)</f>
        <v>-1.0000000000000001E-5</v>
      </c>
      <c r="G242" s="185">
        <f>IFERROR(IF($C242="",-0.00001,SUMIFS(Database!I:I,Database!$E:$E,$C242)),-0.00001)</f>
        <v>-1.0000000000000001E-5</v>
      </c>
      <c r="H242" s="185">
        <f>IFERROR(IF($C242="",-0.00001,SUMIFS(Database!J:J,Database!$E:$E,$C242)),-0.00001)</f>
        <v>-1.0000000000000001E-5</v>
      </c>
      <c r="I242" s="185">
        <f>IFERROR(IF($C242="",-0.00001,SUMIFS(Database!K:K,Database!$E:$E,$C242)),-0.00001)</f>
        <v>-1.0000000000000001E-5</v>
      </c>
      <c r="J242" s="185">
        <f>IFERROR(IF($C242="",-0.00001,SUMIFS(Database!L:L,Database!$E:$E,$C242)),-0.00001)</f>
        <v>-1.0000000000000001E-5</v>
      </c>
      <c r="K242" s="185">
        <f>IFERROR(IF($C242="",-0.00001,SUMIFS(Database!M:M,Database!$E:$E,$C242)),-0.00001)</f>
        <v>-1.0000000000000001E-5</v>
      </c>
      <c r="L242" s="185">
        <f>IFERROR(IF($C242="",-0.00001,SUMIFS(Database!N:N,Database!$E:$E,$C242)),-0.00001)</f>
        <v>-1.0000000000000001E-5</v>
      </c>
      <c r="M242" s="185">
        <f>IFERROR(IF($C242="",-0.00001,SUMIFS(Database!O:O,Database!$E:$E,$C242)),-0.00001)</f>
        <v>-1.0000000000000001E-5</v>
      </c>
      <c r="N242" s="185">
        <f>IFERROR(IF($C242="",-0.00001,SUMIFS(Database!P:P,Database!$E:$E,$C242)),-0.00001)</f>
        <v>-1.0000000000000001E-5</v>
      </c>
      <c r="O242" s="185">
        <f>IFERROR(IF($C242="",-0.00001,SUMIFS(Database!Q:Q,Database!$E:$E,$C242)),-0.00001)</f>
        <v>-1.0000000000000001E-5</v>
      </c>
      <c r="P242" s="186">
        <f t="shared" si="9"/>
        <v>-1.0000000000000001E-5</v>
      </c>
      <c r="Q242" s="185">
        <f>IFERROR(IF($C242="",-0.00001,SUMIFS(Database!S:S,Database!$E:$E,$C242)),-0.00001)</f>
        <v>-1.0000000000000001E-5</v>
      </c>
      <c r="R242" s="185">
        <f>IFERROR(IF($C242="",-0.00001,SUMIFS(Database!T:T,Database!$E:$E,$C242)),-0.00001)</f>
        <v>-1.0000000000000001E-5</v>
      </c>
      <c r="S242" s="186">
        <f t="shared" si="10"/>
        <v>-1.0000000000000001E-5</v>
      </c>
      <c r="T242" s="185">
        <f>IFERROR(IF($C242="",-0.00001,SUMIFS(Database!V:V,Database!$E:$E,$C242)),-0.00001)</f>
        <v>-1.0000000000000001E-5</v>
      </c>
      <c r="U242" s="185">
        <f>IFERROR(IF($C242="",-0.00001,SUMIFS(Database!W:W,Database!$E:$E,$C242)),-0.00001)</f>
        <v>-1.0000000000000001E-5</v>
      </c>
      <c r="V242" s="186">
        <f t="shared" si="11"/>
        <v>-1.0000000000000001E-5</v>
      </c>
      <c r="W242" s="187"/>
      <c r="X242" s="187"/>
      <c r="Y242" s="187"/>
      <c r="Z242" s="187"/>
      <c r="AA242" s="187"/>
      <c r="AB242" s="187"/>
      <c r="AC242" s="187"/>
      <c r="AD242" s="187"/>
      <c r="AE242" s="187"/>
    </row>
    <row r="243" spans="1:31" x14ac:dyDescent="0.25">
      <c r="A243" s="187"/>
      <c r="B243" s="187" t="str">
        <f>IF($C243="","",MAX($B$4:$B242)+1)</f>
        <v/>
      </c>
      <c r="C243" s="183"/>
      <c r="D243" s="183"/>
      <c r="E243" s="185">
        <f>IF($C243="",-0.00001,COUNTIF(Database!E:E,$C243))</f>
        <v>-1.0000000000000001E-5</v>
      </c>
      <c r="F243" s="185">
        <f>IFERROR(IF($C243="",-0.00001,SUMIFS(Database!H:H,Database!$E:$E,$C243)),-0.00001)</f>
        <v>-1.0000000000000001E-5</v>
      </c>
      <c r="G243" s="185">
        <f>IFERROR(IF($C243="",-0.00001,SUMIFS(Database!I:I,Database!$E:$E,$C243)),-0.00001)</f>
        <v>-1.0000000000000001E-5</v>
      </c>
      <c r="H243" s="185">
        <f>IFERROR(IF($C243="",-0.00001,SUMIFS(Database!J:J,Database!$E:$E,$C243)),-0.00001)</f>
        <v>-1.0000000000000001E-5</v>
      </c>
      <c r="I243" s="185">
        <f>IFERROR(IF($C243="",-0.00001,SUMIFS(Database!K:K,Database!$E:$E,$C243)),-0.00001)</f>
        <v>-1.0000000000000001E-5</v>
      </c>
      <c r="J243" s="185">
        <f>IFERROR(IF($C243="",-0.00001,SUMIFS(Database!L:L,Database!$E:$E,$C243)),-0.00001)</f>
        <v>-1.0000000000000001E-5</v>
      </c>
      <c r="K243" s="185">
        <f>IFERROR(IF($C243="",-0.00001,SUMIFS(Database!M:M,Database!$E:$E,$C243)),-0.00001)</f>
        <v>-1.0000000000000001E-5</v>
      </c>
      <c r="L243" s="185">
        <f>IFERROR(IF($C243="",-0.00001,SUMIFS(Database!N:N,Database!$E:$E,$C243)),-0.00001)</f>
        <v>-1.0000000000000001E-5</v>
      </c>
      <c r="M243" s="185">
        <f>IFERROR(IF($C243="",-0.00001,SUMIFS(Database!O:O,Database!$E:$E,$C243)),-0.00001)</f>
        <v>-1.0000000000000001E-5</v>
      </c>
      <c r="N243" s="185">
        <f>IFERROR(IF($C243="",-0.00001,SUMIFS(Database!P:P,Database!$E:$E,$C243)),-0.00001)</f>
        <v>-1.0000000000000001E-5</v>
      </c>
      <c r="O243" s="185">
        <f>IFERROR(IF($C243="",-0.00001,SUMIFS(Database!Q:Q,Database!$E:$E,$C243)),-0.00001)</f>
        <v>-1.0000000000000001E-5</v>
      </c>
      <c r="P243" s="186">
        <f t="shared" si="9"/>
        <v>-1.0000000000000001E-5</v>
      </c>
      <c r="Q243" s="185">
        <f>IFERROR(IF($C243="",-0.00001,SUMIFS(Database!S:S,Database!$E:$E,$C243)),-0.00001)</f>
        <v>-1.0000000000000001E-5</v>
      </c>
      <c r="R243" s="185">
        <f>IFERROR(IF($C243="",-0.00001,SUMIFS(Database!T:T,Database!$E:$E,$C243)),-0.00001)</f>
        <v>-1.0000000000000001E-5</v>
      </c>
      <c r="S243" s="186">
        <f t="shared" si="10"/>
        <v>-1.0000000000000001E-5</v>
      </c>
      <c r="T243" s="185">
        <f>IFERROR(IF($C243="",-0.00001,SUMIFS(Database!V:V,Database!$E:$E,$C243)),-0.00001)</f>
        <v>-1.0000000000000001E-5</v>
      </c>
      <c r="U243" s="185">
        <f>IFERROR(IF($C243="",-0.00001,SUMIFS(Database!W:W,Database!$E:$E,$C243)),-0.00001)</f>
        <v>-1.0000000000000001E-5</v>
      </c>
      <c r="V243" s="186">
        <f t="shared" si="11"/>
        <v>-1.0000000000000001E-5</v>
      </c>
      <c r="W243" s="187"/>
      <c r="X243" s="187"/>
      <c r="Y243" s="187"/>
      <c r="Z243" s="187"/>
      <c r="AA243" s="187"/>
      <c r="AB243" s="187"/>
      <c r="AC243" s="187"/>
      <c r="AD243" s="187"/>
      <c r="AE243" s="187"/>
    </row>
    <row r="244" spans="1:31" x14ac:dyDescent="0.25">
      <c r="A244" s="187"/>
      <c r="B244" s="187" t="str">
        <f>IF($C244="","",MAX($B$4:$B243)+1)</f>
        <v/>
      </c>
      <c r="C244" s="183"/>
      <c r="D244" s="183"/>
      <c r="E244" s="185">
        <f>IF($C244="",-0.00001,COUNTIF(Database!E:E,$C244))</f>
        <v>-1.0000000000000001E-5</v>
      </c>
      <c r="F244" s="185">
        <f>IFERROR(IF($C244="",-0.00001,SUMIFS(Database!H:H,Database!$E:$E,$C244)),-0.00001)</f>
        <v>-1.0000000000000001E-5</v>
      </c>
      <c r="G244" s="185">
        <f>IFERROR(IF($C244="",-0.00001,SUMIFS(Database!I:I,Database!$E:$E,$C244)),-0.00001)</f>
        <v>-1.0000000000000001E-5</v>
      </c>
      <c r="H244" s="185">
        <f>IFERROR(IF($C244="",-0.00001,SUMIFS(Database!J:J,Database!$E:$E,$C244)),-0.00001)</f>
        <v>-1.0000000000000001E-5</v>
      </c>
      <c r="I244" s="185">
        <f>IFERROR(IF($C244="",-0.00001,SUMIFS(Database!K:K,Database!$E:$E,$C244)),-0.00001)</f>
        <v>-1.0000000000000001E-5</v>
      </c>
      <c r="J244" s="185">
        <f>IFERROR(IF($C244="",-0.00001,SUMIFS(Database!L:L,Database!$E:$E,$C244)),-0.00001)</f>
        <v>-1.0000000000000001E-5</v>
      </c>
      <c r="K244" s="185">
        <f>IFERROR(IF($C244="",-0.00001,SUMIFS(Database!M:M,Database!$E:$E,$C244)),-0.00001)</f>
        <v>-1.0000000000000001E-5</v>
      </c>
      <c r="L244" s="185">
        <f>IFERROR(IF($C244="",-0.00001,SUMIFS(Database!N:N,Database!$E:$E,$C244)),-0.00001)</f>
        <v>-1.0000000000000001E-5</v>
      </c>
      <c r="M244" s="185">
        <f>IFERROR(IF($C244="",-0.00001,SUMIFS(Database!O:O,Database!$E:$E,$C244)),-0.00001)</f>
        <v>-1.0000000000000001E-5</v>
      </c>
      <c r="N244" s="185">
        <f>IFERROR(IF($C244="",-0.00001,SUMIFS(Database!P:P,Database!$E:$E,$C244)),-0.00001)</f>
        <v>-1.0000000000000001E-5</v>
      </c>
      <c r="O244" s="185">
        <f>IFERROR(IF($C244="",-0.00001,SUMIFS(Database!Q:Q,Database!$E:$E,$C244)),-0.00001)</f>
        <v>-1.0000000000000001E-5</v>
      </c>
      <c r="P244" s="186">
        <f t="shared" si="9"/>
        <v>-1.0000000000000001E-5</v>
      </c>
      <c r="Q244" s="185">
        <f>IFERROR(IF($C244="",-0.00001,SUMIFS(Database!S:S,Database!$E:$E,$C244)),-0.00001)</f>
        <v>-1.0000000000000001E-5</v>
      </c>
      <c r="R244" s="185">
        <f>IFERROR(IF($C244="",-0.00001,SUMIFS(Database!T:T,Database!$E:$E,$C244)),-0.00001)</f>
        <v>-1.0000000000000001E-5</v>
      </c>
      <c r="S244" s="186">
        <f t="shared" si="10"/>
        <v>-1.0000000000000001E-5</v>
      </c>
      <c r="T244" s="185">
        <f>IFERROR(IF($C244="",-0.00001,SUMIFS(Database!V:V,Database!$E:$E,$C244)),-0.00001)</f>
        <v>-1.0000000000000001E-5</v>
      </c>
      <c r="U244" s="185">
        <f>IFERROR(IF($C244="",-0.00001,SUMIFS(Database!W:W,Database!$E:$E,$C244)),-0.00001)</f>
        <v>-1.0000000000000001E-5</v>
      </c>
      <c r="V244" s="186">
        <f t="shared" si="11"/>
        <v>-1.0000000000000001E-5</v>
      </c>
      <c r="W244" s="187"/>
      <c r="X244" s="187"/>
      <c r="Y244" s="187"/>
      <c r="Z244" s="187"/>
      <c r="AA244" s="187"/>
      <c r="AB244" s="187"/>
      <c r="AC244" s="187"/>
      <c r="AD244" s="187"/>
      <c r="AE244" s="187"/>
    </row>
    <row r="245" spans="1:31" x14ac:dyDescent="0.25">
      <c r="A245" s="187"/>
      <c r="B245" s="187" t="str">
        <f>IF($C245="","",MAX($B$4:$B244)+1)</f>
        <v/>
      </c>
      <c r="C245" s="183"/>
      <c r="D245" s="183"/>
      <c r="E245" s="185">
        <f>IF($C245="",-0.00001,COUNTIF(Database!E:E,$C245))</f>
        <v>-1.0000000000000001E-5</v>
      </c>
      <c r="F245" s="185">
        <f>IFERROR(IF($C245="",-0.00001,SUMIFS(Database!H:H,Database!$E:$E,$C245)),-0.00001)</f>
        <v>-1.0000000000000001E-5</v>
      </c>
      <c r="G245" s="185">
        <f>IFERROR(IF($C245="",-0.00001,SUMIFS(Database!I:I,Database!$E:$E,$C245)),-0.00001)</f>
        <v>-1.0000000000000001E-5</v>
      </c>
      <c r="H245" s="185">
        <f>IFERROR(IF($C245="",-0.00001,SUMIFS(Database!J:J,Database!$E:$E,$C245)),-0.00001)</f>
        <v>-1.0000000000000001E-5</v>
      </c>
      <c r="I245" s="185">
        <f>IFERROR(IF($C245="",-0.00001,SUMIFS(Database!K:K,Database!$E:$E,$C245)),-0.00001)</f>
        <v>-1.0000000000000001E-5</v>
      </c>
      <c r="J245" s="185">
        <f>IFERROR(IF($C245="",-0.00001,SUMIFS(Database!L:L,Database!$E:$E,$C245)),-0.00001)</f>
        <v>-1.0000000000000001E-5</v>
      </c>
      <c r="K245" s="185">
        <f>IFERROR(IF($C245="",-0.00001,SUMIFS(Database!M:M,Database!$E:$E,$C245)),-0.00001)</f>
        <v>-1.0000000000000001E-5</v>
      </c>
      <c r="L245" s="185">
        <f>IFERROR(IF($C245="",-0.00001,SUMIFS(Database!N:N,Database!$E:$E,$C245)),-0.00001)</f>
        <v>-1.0000000000000001E-5</v>
      </c>
      <c r="M245" s="185">
        <f>IFERROR(IF($C245="",-0.00001,SUMIFS(Database!O:O,Database!$E:$E,$C245)),-0.00001)</f>
        <v>-1.0000000000000001E-5</v>
      </c>
      <c r="N245" s="185">
        <f>IFERROR(IF($C245="",-0.00001,SUMIFS(Database!P:P,Database!$E:$E,$C245)),-0.00001)</f>
        <v>-1.0000000000000001E-5</v>
      </c>
      <c r="O245" s="185">
        <f>IFERROR(IF($C245="",-0.00001,SUMIFS(Database!Q:Q,Database!$E:$E,$C245)),-0.00001)</f>
        <v>-1.0000000000000001E-5</v>
      </c>
      <c r="P245" s="186">
        <f t="shared" si="9"/>
        <v>-1.0000000000000001E-5</v>
      </c>
      <c r="Q245" s="185">
        <f>IFERROR(IF($C245="",-0.00001,SUMIFS(Database!S:S,Database!$E:$E,$C245)),-0.00001)</f>
        <v>-1.0000000000000001E-5</v>
      </c>
      <c r="R245" s="185">
        <f>IFERROR(IF($C245="",-0.00001,SUMIFS(Database!T:T,Database!$E:$E,$C245)),-0.00001)</f>
        <v>-1.0000000000000001E-5</v>
      </c>
      <c r="S245" s="186">
        <f t="shared" si="10"/>
        <v>-1.0000000000000001E-5</v>
      </c>
      <c r="T245" s="185">
        <f>IFERROR(IF($C245="",-0.00001,SUMIFS(Database!V:V,Database!$E:$E,$C245)),-0.00001)</f>
        <v>-1.0000000000000001E-5</v>
      </c>
      <c r="U245" s="185">
        <f>IFERROR(IF($C245="",-0.00001,SUMIFS(Database!W:W,Database!$E:$E,$C245)),-0.00001)</f>
        <v>-1.0000000000000001E-5</v>
      </c>
      <c r="V245" s="186">
        <f t="shared" si="11"/>
        <v>-1.0000000000000001E-5</v>
      </c>
      <c r="W245" s="187"/>
      <c r="X245" s="187"/>
      <c r="Y245" s="187"/>
      <c r="Z245" s="187"/>
      <c r="AA245" s="187"/>
      <c r="AB245" s="187"/>
      <c r="AC245" s="187"/>
      <c r="AD245" s="187"/>
      <c r="AE245" s="187"/>
    </row>
    <row r="246" spans="1:31" x14ac:dyDescent="0.25">
      <c r="A246" s="187"/>
      <c r="B246" s="187" t="str">
        <f>IF($C246="","",MAX($B$4:$B245)+1)</f>
        <v/>
      </c>
      <c r="C246" s="183"/>
      <c r="D246" s="183"/>
      <c r="E246" s="185">
        <f>IF($C246="",-0.00001,COUNTIF(Database!E:E,$C246))</f>
        <v>-1.0000000000000001E-5</v>
      </c>
      <c r="F246" s="185">
        <f>IFERROR(IF($C246="",-0.00001,SUMIFS(Database!H:H,Database!$E:$E,$C246)),-0.00001)</f>
        <v>-1.0000000000000001E-5</v>
      </c>
      <c r="G246" s="185">
        <f>IFERROR(IF($C246="",-0.00001,SUMIFS(Database!I:I,Database!$E:$E,$C246)),-0.00001)</f>
        <v>-1.0000000000000001E-5</v>
      </c>
      <c r="H246" s="185">
        <f>IFERROR(IF($C246="",-0.00001,SUMIFS(Database!J:J,Database!$E:$E,$C246)),-0.00001)</f>
        <v>-1.0000000000000001E-5</v>
      </c>
      <c r="I246" s="185">
        <f>IFERROR(IF($C246="",-0.00001,SUMIFS(Database!K:K,Database!$E:$E,$C246)),-0.00001)</f>
        <v>-1.0000000000000001E-5</v>
      </c>
      <c r="J246" s="185">
        <f>IFERROR(IF($C246="",-0.00001,SUMIFS(Database!L:L,Database!$E:$E,$C246)),-0.00001)</f>
        <v>-1.0000000000000001E-5</v>
      </c>
      <c r="K246" s="185">
        <f>IFERROR(IF($C246="",-0.00001,SUMIFS(Database!M:M,Database!$E:$E,$C246)),-0.00001)</f>
        <v>-1.0000000000000001E-5</v>
      </c>
      <c r="L246" s="185">
        <f>IFERROR(IF($C246="",-0.00001,SUMIFS(Database!N:N,Database!$E:$E,$C246)),-0.00001)</f>
        <v>-1.0000000000000001E-5</v>
      </c>
      <c r="M246" s="185">
        <f>IFERROR(IF($C246="",-0.00001,SUMIFS(Database!O:O,Database!$E:$E,$C246)),-0.00001)</f>
        <v>-1.0000000000000001E-5</v>
      </c>
      <c r="N246" s="185">
        <f>IFERROR(IF($C246="",-0.00001,SUMIFS(Database!P:P,Database!$E:$E,$C246)),-0.00001)</f>
        <v>-1.0000000000000001E-5</v>
      </c>
      <c r="O246" s="185">
        <f>IFERROR(IF($C246="",-0.00001,SUMIFS(Database!Q:Q,Database!$E:$E,$C246)),-0.00001)</f>
        <v>-1.0000000000000001E-5</v>
      </c>
      <c r="P246" s="186">
        <f t="shared" si="9"/>
        <v>-1.0000000000000001E-5</v>
      </c>
      <c r="Q246" s="185">
        <f>IFERROR(IF($C246="",-0.00001,SUMIFS(Database!S:S,Database!$E:$E,$C246)),-0.00001)</f>
        <v>-1.0000000000000001E-5</v>
      </c>
      <c r="R246" s="185">
        <f>IFERROR(IF($C246="",-0.00001,SUMIFS(Database!T:T,Database!$E:$E,$C246)),-0.00001)</f>
        <v>-1.0000000000000001E-5</v>
      </c>
      <c r="S246" s="186">
        <f t="shared" si="10"/>
        <v>-1.0000000000000001E-5</v>
      </c>
      <c r="T246" s="185">
        <f>IFERROR(IF($C246="",-0.00001,SUMIFS(Database!V:V,Database!$E:$E,$C246)),-0.00001)</f>
        <v>-1.0000000000000001E-5</v>
      </c>
      <c r="U246" s="185">
        <f>IFERROR(IF($C246="",-0.00001,SUMIFS(Database!W:W,Database!$E:$E,$C246)),-0.00001)</f>
        <v>-1.0000000000000001E-5</v>
      </c>
      <c r="V246" s="186">
        <f t="shared" si="11"/>
        <v>-1.0000000000000001E-5</v>
      </c>
      <c r="W246" s="187"/>
      <c r="X246" s="187"/>
      <c r="Y246" s="187"/>
      <c r="Z246" s="187"/>
      <c r="AA246" s="187"/>
      <c r="AB246" s="187"/>
      <c r="AC246" s="187"/>
      <c r="AD246" s="187"/>
      <c r="AE246" s="187"/>
    </row>
    <row r="247" spans="1:31" x14ac:dyDescent="0.25">
      <c r="A247" s="187"/>
      <c r="B247" s="187" t="str">
        <f>IF($C247="","",MAX($B$4:$B246)+1)</f>
        <v/>
      </c>
      <c r="C247" s="183"/>
      <c r="D247" s="183"/>
      <c r="E247" s="185">
        <f>IF($C247="",-0.00001,COUNTIF(Database!E:E,$C247))</f>
        <v>-1.0000000000000001E-5</v>
      </c>
      <c r="F247" s="185">
        <f>IFERROR(IF($C247="",-0.00001,SUMIFS(Database!H:H,Database!$E:$E,$C247)),-0.00001)</f>
        <v>-1.0000000000000001E-5</v>
      </c>
      <c r="G247" s="185">
        <f>IFERROR(IF($C247="",-0.00001,SUMIFS(Database!I:I,Database!$E:$E,$C247)),-0.00001)</f>
        <v>-1.0000000000000001E-5</v>
      </c>
      <c r="H247" s="185">
        <f>IFERROR(IF($C247="",-0.00001,SUMIFS(Database!J:J,Database!$E:$E,$C247)),-0.00001)</f>
        <v>-1.0000000000000001E-5</v>
      </c>
      <c r="I247" s="185">
        <f>IFERROR(IF($C247="",-0.00001,SUMIFS(Database!K:K,Database!$E:$E,$C247)),-0.00001)</f>
        <v>-1.0000000000000001E-5</v>
      </c>
      <c r="J247" s="185">
        <f>IFERROR(IF($C247="",-0.00001,SUMIFS(Database!L:L,Database!$E:$E,$C247)),-0.00001)</f>
        <v>-1.0000000000000001E-5</v>
      </c>
      <c r="K247" s="185">
        <f>IFERROR(IF($C247="",-0.00001,SUMIFS(Database!M:M,Database!$E:$E,$C247)),-0.00001)</f>
        <v>-1.0000000000000001E-5</v>
      </c>
      <c r="L247" s="185">
        <f>IFERROR(IF($C247="",-0.00001,SUMIFS(Database!N:N,Database!$E:$E,$C247)),-0.00001)</f>
        <v>-1.0000000000000001E-5</v>
      </c>
      <c r="M247" s="185">
        <f>IFERROR(IF($C247="",-0.00001,SUMIFS(Database!O:O,Database!$E:$E,$C247)),-0.00001)</f>
        <v>-1.0000000000000001E-5</v>
      </c>
      <c r="N247" s="185">
        <f>IFERROR(IF($C247="",-0.00001,SUMIFS(Database!P:P,Database!$E:$E,$C247)),-0.00001)</f>
        <v>-1.0000000000000001E-5</v>
      </c>
      <c r="O247" s="185">
        <f>IFERROR(IF($C247="",-0.00001,SUMIFS(Database!Q:Q,Database!$E:$E,$C247)),-0.00001)</f>
        <v>-1.0000000000000001E-5</v>
      </c>
      <c r="P247" s="186">
        <f t="shared" si="9"/>
        <v>-1.0000000000000001E-5</v>
      </c>
      <c r="Q247" s="185">
        <f>IFERROR(IF($C247="",-0.00001,SUMIFS(Database!S:S,Database!$E:$E,$C247)),-0.00001)</f>
        <v>-1.0000000000000001E-5</v>
      </c>
      <c r="R247" s="185">
        <f>IFERROR(IF($C247="",-0.00001,SUMIFS(Database!T:T,Database!$E:$E,$C247)),-0.00001)</f>
        <v>-1.0000000000000001E-5</v>
      </c>
      <c r="S247" s="186">
        <f t="shared" si="10"/>
        <v>-1.0000000000000001E-5</v>
      </c>
      <c r="T247" s="185">
        <f>IFERROR(IF($C247="",-0.00001,SUMIFS(Database!V:V,Database!$E:$E,$C247)),-0.00001)</f>
        <v>-1.0000000000000001E-5</v>
      </c>
      <c r="U247" s="185">
        <f>IFERROR(IF($C247="",-0.00001,SUMIFS(Database!W:W,Database!$E:$E,$C247)),-0.00001)</f>
        <v>-1.0000000000000001E-5</v>
      </c>
      <c r="V247" s="186">
        <f t="shared" si="11"/>
        <v>-1.0000000000000001E-5</v>
      </c>
      <c r="W247" s="187"/>
      <c r="X247" s="187"/>
      <c r="Y247" s="187"/>
      <c r="Z247" s="187"/>
      <c r="AA247" s="187"/>
      <c r="AB247" s="187"/>
      <c r="AC247" s="187"/>
      <c r="AD247" s="187"/>
      <c r="AE247" s="187"/>
    </row>
    <row r="248" spans="1:31" x14ac:dyDescent="0.25">
      <c r="A248" s="187"/>
      <c r="B248" s="187" t="str">
        <f>IF($C248="","",MAX($B$4:$B247)+1)</f>
        <v/>
      </c>
      <c r="C248" s="183"/>
      <c r="D248" s="183"/>
      <c r="E248" s="185">
        <f>IF($C248="",-0.00001,COUNTIF(Database!E:E,$C248))</f>
        <v>-1.0000000000000001E-5</v>
      </c>
      <c r="F248" s="185">
        <f>IFERROR(IF($C248="",-0.00001,SUMIFS(Database!H:H,Database!$E:$E,$C248)),-0.00001)</f>
        <v>-1.0000000000000001E-5</v>
      </c>
      <c r="G248" s="185">
        <f>IFERROR(IF($C248="",-0.00001,SUMIFS(Database!I:I,Database!$E:$E,$C248)),-0.00001)</f>
        <v>-1.0000000000000001E-5</v>
      </c>
      <c r="H248" s="185">
        <f>IFERROR(IF($C248="",-0.00001,SUMIFS(Database!J:J,Database!$E:$E,$C248)),-0.00001)</f>
        <v>-1.0000000000000001E-5</v>
      </c>
      <c r="I248" s="185">
        <f>IFERROR(IF($C248="",-0.00001,SUMIFS(Database!K:K,Database!$E:$E,$C248)),-0.00001)</f>
        <v>-1.0000000000000001E-5</v>
      </c>
      <c r="J248" s="185">
        <f>IFERROR(IF($C248="",-0.00001,SUMIFS(Database!L:L,Database!$E:$E,$C248)),-0.00001)</f>
        <v>-1.0000000000000001E-5</v>
      </c>
      <c r="K248" s="185">
        <f>IFERROR(IF($C248="",-0.00001,SUMIFS(Database!M:M,Database!$E:$E,$C248)),-0.00001)</f>
        <v>-1.0000000000000001E-5</v>
      </c>
      <c r="L248" s="185">
        <f>IFERROR(IF($C248="",-0.00001,SUMIFS(Database!N:N,Database!$E:$E,$C248)),-0.00001)</f>
        <v>-1.0000000000000001E-5</v>
      </c>
      <c r="M248" s="185">
        <f>IFERROR(IF($C248="",-0.00001,SUMIFS(Database!O:O,Database!$E:$E,$C248)),-0.00001)</f>
        <v>-1.0000000000000001E-5</v>
      </c>
      <c r="N248" s="185">
        <f>IFERROR(IF($C248="",-0.00001,SUMIFS(Database!P:P,Database!$E:$E,$C248)),-0.00001)</f>
        <v>-1.0000000000000001E-5</v>
      </c>
      <c r="O248" s="185">
        <f>IFERROR(IF($C248="",-0.00001,SUMIFS(Database!Q:Q,Database!$E:$E,$C248)),-0.00001)</f>
        <v>-1.0000000000000001E-5</v>
      </c>
      <c r="P248" s="186">
        <f t="shared" si="9"/>
        <v>-1.0000000000000001E-5</v>
      </c>
      <c r="Q248" s="185">
        <f>IFERROR(IF($C248="",-0.00001,SUMIFS(Database!S:S,Database!$E:$E,$C248)),-0.00001)</f>
        <v>-1.0000000000000001E-5</v>
      </c>
      <c r="R248" s="185">
        <f>IFERROR(IF($C248="",-0.00001,SUMIFS(Database!T:T,Database!$E:$E,$C248)),-0.00001)</f>
        <v>-1.0000000000000001E-5</v>
      </c>
      <c r="S248" s="186">
        <f t="shared" si="10"/>
        <v>-1.0000000000000001E-5</v>
      </c>
      <c r="T248" s="185">
        <f>IFERROR(IF($C248="",-0.00001,SUMIFS(Database!V:V,Database!$E:$E,$C248)),-0.00001)</f>
        <v>-1.0000000000000001E-5</v>
      </c>
      <c r="U248" s="185">
        <f>IFERROR(IF($C248="",-0.00001,SUMIFS(Database!W:W,Database!$E:$E,$C248)),-0.00001)</f>
        <v>-1.0000000000000001E-5</v>
      </c>
      <c r="V248" s="186">
        <f t="shared" si="11"/>
        <v>-1.0000000000000001E-5</v>
      </c>
      <c r="W248" s="187"/>
      <c r="X248" s="187"/>
      <c r="Y248" s="187"/>
      <c r="Z248" s="187"/>
      <c r="AA248" s="187"/>
      <c r="AB248" s="187"/>
      <c r="AC248" s="187"/>
      <c r="AD248" s="187"/>
      <c r="AE248" s="187"/>
    </row>
    <row r="249" spans="1:31" x14ac:dyDescent="0.25">
      <c r="A249" s="187"/>
      <c r="B249" s="187" t="str">
        <f>IF($C249="","",MAX($B$4:$B248)+1)</f>
        <v/>
      </c>
      <c r="C249" s="183"/>
      <c r="D249" s="183"/>
      <c r="E249" s="185">
        <f>IF($C249="",-0.00001,COUNTIF(Database!E:E,$C249))</f>
        <v>-1.0000000000000001E-5</v>
      </c>
      <c r="F249" s="185">
        <f>IFERROR(IF($C249="",-0.00001,SUMIFS(Database!H:H,Database!$E:$E,$C249)),-0.00001)</f>
        <v>-1.0000000000000001E-5</v>
      </c>
      <c r="G249" s="185">
        <f>IFERROR(IF($C249="",-0.00001,SUMIFS(Database!I:I,Database!$E:$E,$C249)),-0.00001)</f>
        <v>-1.0000000000000001E-5</v>
      </c>
      <c r="H249" s="185">
        <f>IFERROR(IF($C249="",-0.00001,SUMIFS(Database!J:J,Database!$E:$E,$C249)),-0.00001)</f>
        <v>-1.0000000000000001E-5</v>
      </c>
      <c r="I249" s="185">
        <f>IFERROR(IF($C249="",-0.00001,SUMIFS(Database!K:K,Database!$E:$E,$C249)),-0.00001)</f>
        <v>-1.0000000000000001E-5</v>
      </c>
      <c r="J249" s="185">
        <f>IFERROR(IF($C249="",-0.00001,SUMIFS(Database!L:L,Database!$E:$E,$C249)),-0.00001)</f>
        <v>-1.0000000000000001E-5</v>
      </c>
      <c r="K249" s="185">
        <f>IFERROR(IF($C249="",-0.00001,SUMIFS(Database!M:M,Database!$E:$E,$C249)),-0.00001)</f>
        <v>-1.0000000000000001E-5</v>
      </c>
      <c r="L249" s="185">
        <f>IFERROR(IF($C249="",-0.00001,SUMIFS(Database!N:N,Database!$E:$E,$C249)),-0.00001)</f>
        <v>-1.0000000000000001E-5</v>
      </c>
      <c r="M249" s="185">
        <f>IFERROR(IF($C249="",-0.00001,SUMIFS(Database!O:O,Database!$E:$E,$C249)),-0.00001)</f>
        <v>-1.0000000000000001E-5</v>
      </c>
      <c r="N249" s="185">
        <f>IFERROR(IF($C249="",-0.00001,SUMIFS(Database!P:P,Database!$E:$E,$C249)),-0.00001)</f>
        <v>-1.0000000000000001E-5</v>
      </c>
      <c r="O249" s="185">
        <f>IFERROR(IF($C249="",-0.00001,SUMIFS(Database!Q:Q,Database!$E:$E,$C249)),-0.00001)</f>
        <v>-1.0000000000000001E-5</v>
      </c>
      <c r="P249" s="186">
        <f t="shared" si="9"/>
        <v>-1.0000000000000001E-5</v>
      </c>
      <c r="Q249" s="185">
        <f>IFERROR(IF($C249="",-0.00001,SUMIFS(Database!S:S,Database!$E:$E,$C249)),-0.00001)</f>
        <v>-1.0000000000000001E-5</v>
      </c>
      <c r="R249" s="185">
        <f>IFERROR(IF($C249="",-0.00001,SUMIFS(Database!T:T,Database!$E:$E,$C249)),-0.00001)</f>
        <v>-1.0000000000000001E-5</v>
      </c>
      <c r="S249" s="186">
        <f t="shared" si="10"/>
        <v>-1.0000000000000001E-5</v>
      </c>
      <c r="T249" s="185">
        <f>IFERROR(IF($C249="",-0.00001,SUMIFS(Database!V:V,Database!$E:$E,$C249)),-0.00001)</f>
        <v>-1.0000000000000001E-5</v>
      </c>
      <c r="U249" s="185">
        <f>IFERROR(IF($C249="",-0.00001,SUMIFS(Database!W:W,Database!$E:$E,$C249)),-0.00001)</f>
        <v>-1.0000000000000001E-5</v>
      </c>
      <c r="V249" s="186">
        <f t="shared" si="11"/>
        <v>-1.0000000000000001E-5</v>
      </c>
      <c r="W249" s="187"/>
      <c r="X249" s="187"/>
      <c r="Y249" s="187"/>
      <c r="Z249" s="187"/>
      <c r="AA249" s="187"/>
      <c r="AB249" s="187"/>
      <c r="AC249" s="187"/>
      <c r="AD249" s="187"/>
      <c r="AE249" s="187"/>
    </row>
    <row r="250" spans="1:31" x14ac:dyDescent="0.25">
      <c r="A250" s="187"/>
      <c r="B250" s="187" t="str">
        <f>IF($C250="","",MAX($B$4:$B249)+1)</f>
        <v/>
      </c>
      <c r="C250" s="183"/>
      <c r="D250" s="183"/>
      <c r="E250" s="185">
        <f>IF($C250="",-0.00001,COUNTIF(Database!E:E,$C250))</f>
        <v>-1.0000000000000001E-5</v>
      </c>
      <c r="F250" s="185">
        <f>IFERROR(IF($C250="",-0.00001,SUMIFS(Database!H:H,Database!$E:$E,$C250)),-0.00001)</f>
        <v>-1.0000000000000001E-5</v>
      </c>
      <c r="G250" s="185">
        <f>IFERROR(IF($C250="",-0.00001,SUMIFS(Database!I:I,Database!$E:$E,$C250)),-0.00001)</f>
        <v>-1.0000000000000001E-5</v>
      </c>
      <c r="H250" s="185">
        <f>IFERROR(IF($C250="",-0.00001,SUMIFS(Database!J:J,Database!$E:$E,$C250)),-0.00001)</f>
        <v>-1.0000000000000001E-5</v>
      </c>
      <c r="I250" s="185">
        <f>IFERROR(IF($C250="",-0.00001,SUMIFS(Database!K:K,Database!$E:$E,$C250)),-0.00001)</f>
        <v>-1.0000000000000001E-5</v>
      </c>
      <c r="J250" s="185">
        <f>IFERROR(IF($C250="",-0.00001,SUMIFS(Database!L:L,Database!$E:$E,$C250)),-0.00001)</f>
        <v>-1.0000000000000001E-5</v>
      </c>
      <c r="K250" s="185">
        <f>IFERROR(IF($C250="",-0.00001,SUMIFS(Database!M:M,Database!$E:$E,$C250)),-0.00001)</f>
        <v>-1.0000000000000001E-5</v>
      </c>
      <c r="L250" s="185">
        <f>IFERROR(IF($C250="",-0.00001,SUMIFS(Database!N:N,Database!$E:$E,$C250)),-0.00001)</f>
        <v>-1.0000000000000001E-5</v>
      </c>
      <c r="M250" s="185">
        <f>IFERROR(IF($C250="",-0.00001,SUMIFS(Database!O:O,Database!$E:$E,$C250)),-0.00001)</f>
        <v>-1.0000000000000001E-5</v>
      </c>
      <c r="N250" s="185">
        <f>IFERROR(IF($C250="",-0.00001,SUMIFS(Database!P:P,Database!$E:$E,$C250)),-0.00001)</f>
        <v>-1.0000000000000001E-5</v>
      </c>
      <c r="O250" s="185">
        <f>IFERROR(IF($C250="",-0.00001,SUMIFS(Database!Q:Q,Database!$E:$E,$C250)),-0.00001)</f>
        <v>-1.0000000000000001E-5</v>
      </c>
      <c r="P250" s="186">
        <f t="shared" si="9"/>
        <v>-1.0000000000000001E-5</v>
      </c>
      <c r="Q250" s="185">
        <f>IFERROR(IF($C250="",-0.00001,SUMIFS(Database!S:S,Database!$E:$E,$C250)),-0.00001)</f>
        <v>-1.0000000000000001E-5</v>
      </c>
      <c r="R250" s="185">
        <f>IFERROR(IF($C250="",-0.00001,SUMIFS(Database!T:T,Database!$E:$E,$C250)),-0.00001)</f>
        <v>-1.0000000000000001E-5</v>
      </c>
      <c r="S250" s="186">
        <f t="shared" si="10"/>
        <v>-1.0000000000000001E-5</v>
      </c>
      <c r="T250" s="185">
        <f>IFERROR(IF($C250="",-0.00001,SUMIFS(Database!V:V,Database!$E:$E,$C250)),-0.00001)</f>
        <v>-1.0000000000000001E-5</v>
      </c>
      <c r="U250" s="185">
        <f>IFERROR(IF($C250="",-0.00001,SUMIFS(Database!W:W,Database!$E:$E,$C250)),-0.00001)</f>
        <v>-1.0000000000000001E-5</v>
      </c>
      <c r="V250" s="186">
        <f t="shared" si="11"/>
        <v>-1.0000000000000001E-5</v>
      </c>
      <c r="W250" s="187"/>
      <c r="X250" s="187"/>
      <c r="Y250" s="187"/>
      <c r="Z250" s="187"/>
      <c r="AA250" s="187"/>
      <c r="AB250" s="187"/>
      <c r="AC250" s="187"/>
      <c r="AD250" s="187"/>
      <c r="AE250" s="187"/>
    </row>
    <row r="251" spans="1:31" x14ac:dyDescent="0.25">
      <c r="A251" s="187"/>
      <c r="B251" s="187"/>
      <c r="C251" s="187"/>
      <c r="D251" s="187"/>
      <c r="E251" s="187"/>
      <c r="F251" s="187"/>
      <c r="G251" s="187"/>
      <c r="H251" s="187"/>
      <c r="I251" s="187"/>
      <c r="J251" s="187"/>
      <c r="K251" s="187"/>
      <c r="L251" s="187"/>
      <c r="M251" s="187"/>
      <c r="N251" s="187"/>
      <c r="O251" s="187"/>
      <c r="P251" s="187"/>
      <c r="Q251" s="187"/>
      <c r="R251" s="187"/>
      <c r="S251" s="187"/>
      <c r="T251" s="187"/>
      <c r="U251" s="187"/>
      <c r="V251" s="187"/>
      <c r="W251" s="187"/>
      <c r="X251" s="187"/>
      <c r="Y251" s="187"/>
      <c r="Z251" s="187"/>
      <c r="AA251" s="187"/>
      <c r="AB251" s="187"/>
      <c r="AC251" s="187"/>
      <c r="AD251" s="187"/>
      <c r="AE251" s="187"/>
    </row>
    <row r="252" spans="1:31" x14ac:dyDescent="0.25">
      <c r="A252" s="187"/>
      <c r="B252" s="187"/>
      <c r="C252" s="187"/>
      <c r="D252" s="187"/>
      <c r="E252" s="187"/>
      <c r="F252" s="187"/>
      <c r="G252" s="187"/>
      <c r="H252" s="187"/>
      <c r="I252" s="187"/>
      <c r="J252" s="187"/>
      <c r="K252" s="187"/>
      <c r="L252" s="187"/>
      <c r="M252" s="187"/>
      <c r="N252" s="187"/>
      <c r="O252" s="187"/>
      <c r="P252" s="187"/>
      <c r="Q252" s="187"/>
      <c r="R252" s="187"/>
      <c r="S252" s="187"/>
      <c r="T252" s="187"/>
      <c r="U252" s="187"/>
      <c r="V252" s="187"/>
      <c r="W252" s="187"/>
      <c r="X252" s="187"/>
      <c r="Y252" s="187"/>
      <c r="Z252" s="187"/>
      <c r="AA252" s="187"/>
      <c r="AB252" s="187"/>
      <c r="AC252" s="187"/>
      <c r="AD252" s="187"/>
      <c r="AE252" s="187"/>
    </row>
    <row r="253" spans="1:31" x14ac:dyDescent="0.25">
      <c r="G253"/>
      <c r="H253"/>
    </row>
    <row r="254" spans="1:31" x14ac:dyDescent="0.25">
      <c r="G254"/>
      <c r="H254"/>
    </row>
  </sheetData>
  <sheetProtection algorithmName="SHA-512" hashValue="tFV9Y8QhD5QzT18DSozxKSIY4fusbG3w0iMWLBJklSCcI0J2jSc0bni396hPgLnWJgXZkMfQZZwJfan8uPborw==" saltValue="DVc90cVyWTbtvXXyKh/NDQ==" spinCount="100000" sheet="1" objects="1" scenarios="1"/>
  <mergeCells count="1">
    <mergeCell ref="C1:D1"/>
  </mergeCells>
  <conditionalFormatting sqref="E4:V6 H7:V7 E7:F250 I8:V250">
    <cfRule type="cellIs" dxfId="23" priority="3" operator="equal">
      <formula>-0.00001</formula>
    </cfRule>
  </conditionalFormatting>
  <conditionalFormatting sqref="G7:G250">
    <cfRule type="cellIs" dxfId="22" priority="2" operator="equal">
      <formula>-0.00001</formula>
    </cfRule>
  </conditionalFormatting>
  <conditionalFormatting sqref="H8:H250">
    <cfRule type="cellIs" dxfId="21" priority="1" operator="equal">
      <formula>-0.00001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rgb="FF00B0F0"/>
  </sheetPr>
  <dimension ref="A1:AE253"/>
  <sheetViews>
    <sheetView showGridLines="0" showRowColHeaders="0" workbookViewId="0">
      <pane xSplit="4" ySplit="3" topLeftCell="E4" activePane="bottomRight" state="frozen"/>
      <selection activeCell="D4" sqref="D4"/>
      <selection pane="topRight" activeCell="D4" sqref="D4"/>
      <selection pane="bottomLeft" activeCell="D4" sqref="D4"/>
      <selection pane="bottomRight"/>
    </sheetView>
  </sheetViews>
  <sheetFormatPr defaultColWidth="8.85546875" defaultRowHeight="15" x14ac:dyDescent="0.25"/>
  <cols>
    <col min="1" max="2" width="2.85546875" customWidth="1"/>
    <col min="3" max="3" width="18.7109375" bestFit="1" customWidth="1"/>
    <col min="4" max="4" width="19.42578125" bestFit="1" customWidth="1"/>
    <col min="5" max="15" width="7.85546875" style="1" customWidth="1"/>
    <col min="16" max="16" width="7.85546875" style="105" customWidth="1"/>
    <col min="17" max="18" width="7.85546875" style="1" customWidth="1"/>
    <col min="19" max="19" width="7.85546875" style="105" customWidth="1"/>
    <col min="20" max="21" width="7.85546875" style="1" customWidth="1"/>
    <col min="22" max="22" width="7.85546875" style="105" customWidth="1"/>
  </cols>
  <sheetData>
    <row r="1" spans="1:31" ht="60" customHeight="1" x14ac:dyDescent="0.4">
      <c r="A1" s="187"/>
      <c r="B1" s="187"/>
      <c r="C1" s="437" t="s">
        <v>147</v>
      </c>
      <c r="D1" s="437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90"/>
      <c r="Q1" s="189"/>
      <c r="R1" s="189"/>
      <c r="S1" s="190"/>
      <c r="T1" s="189"/>
      <c r="U1" s="189"/>
      <c r="V1" s="190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 x14ac:dyDescent="0.25">
      <c r="A2" s="187"/>
      <c r="B2" s="187"/>
      <c r="C2" s="187"/>
      <c r="D2" s="187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90"/>
      <c r="Q2" s="189"/>
      <c r="R2" s="189"/>
      <c r="S2" s="190"/>
      <c r="T2" s="189"/>
      <c r="U2" s="189"/>
      <c r="V2" s="190"/>
      <c r="W2" s="187"/>
      <c r="X2" s="187"/>
      <c r="Y2" s="187"/>
      <c r="Z2" s="187"/>
      <c r="AA2" s="187"/>
      <c r="AB2" s="187"/>
      <c r="AC2" s="187"/>
      <c r="AD2" s="187"/>
      <c r="AE2" s="187"/>
    </row>
    <row r="3" spans="1:31" s="178" customFormat="1" ht="32.25" thickBot="1" x14ac:dyDescent="0.3">
      <c r="A3" s="188"/>
      <c r="B3" s="188"/>
      <c r="C3" s="179" t="s">
        <v>0</v>
      </c>
      <c r="D3" s="180" t="s">
        <v>70</v>
      </c>
      <c r="E3" s="180" t="s">
        <v>71</v>
      </c>
      <c r="F3" s="180" t="s">
        <v>72</v>
      </c>
      <c r="G3" s="180" t="s">
        <v>73</v>
      </c>
      <c r="H3" s="180" t="s">
        <v>74</v>
      </c>
      <c r="I3" s="180" t="s">
        <v>75</v>
      </c>
      <c r="J3" s="180" t="s">
        <v>76</v>
      </c>
      <c r="K3" s="180" t="s">
        <v>77</v>
      </c>
      <c r="L3" s="180" t="s">
        <v>78</v>
      </c>
      <c r="M3" s="180" t="s">
        <v>79</v>
      </c>
      <c r="N3" s="180" t="s">
        <v>80</v>
      </c>
      <c r="O3" s="180" t="s">
        <v>124</v>
      </c>
      <c r="P3" s="181" t="s">
        <v>82</v>
      </c>
      <c r="Q3" s="180" t="s">
        <v>125</v>
      </c>
      <c r="R3" s="180" t="s">
        <v>126</v>
      </c>
      <c r="S3" s="181" t="s">
        <v>85</v>
      </c>
      <c r="T3" s="180" t="s">
        <v>127</v>
      </c>
      <c r="U3" s="180" t="s">
        <v>128</v>
      </c>
      <c r="V3" s="182" t="s">
        <v>88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7"/>
      <c r="B4" s="187">
        <v>1</v>
      </c>
      <c r="C4" s="183" t="s">
        <v>1</v>
      </c>
      <c r="D4" s="184" t="str">
        <f>IFERROR(VLOOKUP($C4,Rosters!$C$4:$M$239,INDEX(Lists!$N$5:$O$80,MATCH($C4,Lists!$N$5:$N$80,FALSE),2)),"")</f>
        <v>Mustangs</v>
      </c>
      <c r="E4" s="185">
        <f>IF($C4="",-0.00001,COUNTIF(Database!E:E,$C4))</f>
        <v>11</v>
      </c>
      <c r="F4" s="185">
        <f>IFERROR(IF($C4="",-0.00001,SUMIFS(Database!H:H,Database!$E:$E,$C4)),-0.00001)</f>
        <v>241</v>
      </c>
      <c r="G4" s="185">
        <f>IFERROR(IF($C4="",-0.00001,SUMIFS(Database!I:I,Database!$E:$E,$C4)),-0.00001)</f>
        <v>143</v>
      </c>
      <c r="H4" s="185">
        <f>IFERROR(IF($C4="",-0.00001,SUMIFS(Database!J:J,Database!$E:$E,$C4)),-0.00001)</f>
        <v>50</v>
      </c>
      <c r="I4" s="185">
        <f>IFERROR(IF($C4="",-0.00001,SUMIFS(Database!K:K,Database!$E:$E,$C4)),-0.00001)</f>
        <v>21</v>
      </c>
      <c r="J4" s="185">
        <f>IFERROR(IF($C4="",-0.00001,SUMIFS(Database!L:L,Database!$E:$E,$C4)),-0.00001)</f>
        <v>5</v>
      </c>
      <c r="K4" s="185">
        <f>IFERROR(IF($C4="",-0.00001,SUMIFS(Database!M:M,Database!$E:$E,$C4)),-0.00001)</f>
        <v>61</v>
      </c>
      <c r="L4" s="185">
        <f>IFERROR(IF($C4="",-0.00001,SUMIFS(Database!N:N,Database!$E:$E,$C4)),-0.00001)</f>
        <v>37</v>
      </c>
      <c r="M4" s="185">
        <f>IFERROR(IF($C4="",-0.00001,SUMIFS(Database!O:O,Database!$E:$E,$C4)),-0.00001)</f>
        <v>89</v>
      </c>
      <c r="N4" s="185">
        <f>IFERROR(IF($C4="",-0.00001,SUMIFS(Database!P:P,Database!$E:$E,$C4)),-0.00001)</f>
        <v>28</v>
      </c>
      <c r="O4" s="185">
        <f>IFERROR(IF($C4="",-0.00001,SUMIFS(Database!Q:Q,Database!$E:$E,$C4)),-0.00001)</f>
        <v>90</v>
      </c>
      <c r="P4" s="186">
        <f t="shared" ref="P4:P67" si="0">IFERROR(IF($C4="",-0.00001,$N4/$O4),-0.00001)</f>
        <v>0.31111111111111112</v>
      </c>
      <c r="Q4" s="185">
        <f>IFERROR(IF($C4="",-0.00001,SUMIFS(Database!S:S,Database!$E:$E,$C4)),-0.00001)</f>
        <v>94</v>
      </c>
      <c r="R4" s="185">
        <f>IFERROR(IF($C4="",-0.00001,SUMIFS(Database!T:T,Database!$E:$E,$C4)),-0.00001)</f>
        <v>239</v>
      </c>
      <c r="S4" s="186">
        <f t="shared" ref="S4:S67" si="1">IFERROR(IF($C4="",-0.00001,$Q4/$R4),-0.00001)</f>
        <v>0.39330543933054396</v>
      </c>
      <c r="T4" s="185">
        <f>IFERROR(IF($C4="",-0.00001,SUMIFS(Database!V:V,Database!$E:$E,$C4)),-0.00001)</f>
        <v>24</v>
      </c>
      <c r="U4" s="185">
        <f>IFERROR(IF($C4="",-0.00001,SUMIFS(Database!W:W,Database!$E:$E,$C4)),-0.00001)</f>
        <v>35</v>
      </c>
      <c r="V4" s="186">
        <f t="shared" ref="V4:V67" si="2">IFERROR(IF($C4="",-0.00001,$T4/$U4),-0.00001)</f>
        <v>0.68571428571428572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187"/>
      <c r="B5" s="187">
        <f>IF($C5="","",MAX($B$4:$B4)+1)</f>
        <v>2</v>
      </c>
      <c r="C5" s="183" t="s">
        <v>2</v>
      </c>
      <c r="D5" s="183" t="str">
        <f>IFERROR(VLOOKUP($C5,Rosters!$C$4:$M$239,INDEX(Lists!$N$5:$O$80,MATCH($C5,Lists!$N$5:$N$80,FALSE),2)),"")</f>
        <v>Mustangs</v>
      </c>
      <c r="E5" s="185">
        <f>IF($C5="",-0.00001,COUNTIF(Database!E:E,$C5))</f>
        <v>11</v>
      </c>
      <c r="F5" s="185">
        <f>IFERROR(IF($C5="",-0.00001,SUMIFS(Database!H:H,Database!$E:$E,$C5)),-0.00001)</f>
        <v>231</v>
      </c>
      <c r="G5" s="185">
        <f>IFERROR(IF($C5="",-0.00001,SUMIFS(Database!I:I,Database!$E:$E,$C5)),-0.00001)</f>
        <v>62</v>
      </c>
      <c r="H5" s="185">
        <f>IFERROR(IF($C5="",-0.00001,SUMIFS(Database!J:J,Database!$E:$E,$C5)),-0.00001)</f>
        <v>26</v>
      </c>
      <c r="I5" s="185">
        <f>IFERROR(IF($C5="",-0.00001,SUMIFS(Database!K:K,Database!$E:$E,$C5)),-0.00001)</f>
        <v>29</v>
      </c>
      <c r="J5" s="185">
        <f>IFERROR(IF($C5="",-0.00001,SUMIFS(Database!L:L,Database!$E:$E,$C5)),-0.00001)</f>
        <v>2</v>
      </c>
      <c r="K5" s="185">
        <f>IFERROR(IF($C5="",-0.00001,SUMIFS(Database!M:M,Database!$E:$E,$C5)),-0.00001)</f>
        <v>28</v>
      </c>
      <c r="L5" s="185">
        <f>IFERROR(IF($C5="",-0.00001,SUMIFS(Database!N:N,Database!$E:$E,$C5)),-0.00001)</f>
        <v>15</v>
      </c>
      <c r="M5" s="185">
        <f>IFERROR(IF($C5="",-0.00001,SUMIFS(Database!O:O,Database!$E:$E,$C5)),-0.00001)</f>
        <v>44</v>
      </c>
      <c r="N5" s="185">
        <f>IFERROR(IF($C5="",-0.00001,SUMIFS(Database!P:P,Database!$E:$E,$C5)),-0.00001)</f>
        <v>38</v>
      </c>
      <c r="O5" s="185">
        <f>IFERROR(IF($C5="",-0.00001,SUMIFS(Database!Q:Q,Database!$E:$E,$C5)),-0.00001)</f>
        <v>93</v>
      </c>
      <c r="P5" s="186">
        <f t="shared" si="0"/>
        <v>0.40860215053763443</v>
      </c>
      <c r="Q5" s="185">
        <f>IFERROR(IF($C5="",-0.00001,SUMIFS(Database!S:S,Database!$E:$E,$C5)),-0.00001)</f>
        <v>88</v>
      </c>
      <c r="R5" s="185">
        <f>IFERROR(IF($C5="",-0.00001,SUMIFS(Database!T:T,Database!$E:$E,$C5)),-0.00001)</f>
        <v>182</v>
      </c>
      <c r="S5" s="186">
        <f t="shared" si="1"/>
        <v>0.48351648351648352</v>
      </c>
      <c r="T5" s="185">
        <f>IFERROR(IF($C5="",-0.00001,SUMIFS(Database!V:V,Database!$E:$E,$C5)),-0.00001)</f>
        <v>17</v>
      </c>
      <c r="U5" s="185">
        <f>IFERROR(IF($C5="",-0.00001,SUMIFS(Database!W:W,Database!$E:$E,$C5)),-0.00001)</f>
        <v>25</v>
      </c>
      <c r="V5" s="186">
        <f t="shared" si="2"/>
        <v>0.68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187"/>
      <c r="B6" s="187">
        <f>IF($C6="","",MAX($B$4:$B5)+1)</f>
        <v>3</v>
      </c>
      <c r="C6" s="183" t="s">
        <v>31</v>
      </c>
      <c r="D6" s="183" t="str">
        <f>IFERROR(VLOOKUP($C6,Rosters!$C$4:$M$239,INDEX(Lists!$N$5:$O$80,MATCH($C6,Lists!$N$5:$N$80,FALSE),2)),"")</f>
        <v>Vandals</v>
      </c>
      <c r="E6" s="185">
        <f>IF($C6="",-0.00001,COUNTIF(Database!E:E,$C6))</f>
        <v>11</v>
      </c>
      <c r="F6" s="185">
        <f>IFERROR(IF($C6="",-0.00001,SUMIFS(Database!H:H,Database!$E:$E,$C6)),-0.00001)</f>
        <v>210</v>
      </c>
      <c r="G6" s="185">
        <f>IFERROR(IF($C6="",-0.00001,SUMIFS(Database!I:I,Database!$E:$E,$C6)),-0.00001)</f>
        <v>62</v>
      </c>
      <c r="H6" s="185">
        <f>IFERROR(IF($C6="",-0.00001,SUMIFS(Database!J:J,Database!$E:$E,$C6)),-0.00001)</f>
        <v>19</v>
      </c>
      <c r="I6" s="185">
        <f>IFERROR(IF($C6="",-0.00001,SUMIFS(Database!K:K,Database!$E:$E,$C6)),-0.00001)</f>
        <v>9</v>
      </c>
      <c r="J6" s="185">
        <f>IFERROR(IF($C6="",-0.00001,SUMIFS(Database!L:L,Database!$E:$E,$C6)),-0.00001)</f>
        <v>6</v>
      </c>
      <c r="K6" s="185">
        <f>IFERROR(IF($C6="",-0.00001,SUMIFS(Database!M:M,Database!$E:$E,$C6)),-0.00001)</f>
        <v>38</v>
      </c>
      <c r="L6" s="185">
        <f>IFERROR(IF($C6="",-0.00001,SUMIFS(Database!N:N,Database!$E:$E,$C6)),-0.00001)</f>
        <v>17</v>
      </c>
      <c r="M6" s="185">
        <f>IFERROR(IF($C6="",-0.00001,SUMIFS(Database!O:O,Database!$E:$E,$C6)),-0.00001)</f>
        <v>41</v>
      </c>
      <c r="N6" s="185">
        <f>IFERROR(IF($C6="",-0.00001,SUMIFS(Database!P:P,Database!$E:$E,$C6)),-0.00001)</f>
        <v>18</v>
      </c>
      <c r="O6" s="185">
        <f>IFERROR(IF($C6="",-0.00001,SUMIFS(Database!Q:Q,Database!$E:$E,$C6)),-0.00001)</f>
        <v>80</v>
      </c>
      <c r="P6" s="186">
        <f t="shared" si="0"/>
        <v>0.22500000000000001</v>
      </c>
      <c r="Q6" s="185">
        <f>IFERROR(IF($C6="",-0.00001,SUMIFS(Database!S:S,Database!$E:$E,$C6)),-0.00001)</f>
        <v>77</v>
      </c>
      <c r="R6" s="185">
        <f>IFERROR(IF($C6="",-0.00001,SUMIFS(Database!T:T,Database!$E:$E,$C6)),-0.00001)</f>
        <v>211</v>
      </c>
      <c r="S6" s="186">
        <f t="shared" si="1"/>
        <v>0.36492890995260663</v>
      </c>
      <c r="T6" s="185">
        <f>IFERROR(IF($C6="",-0.00001,SUMIFS(Database!V:V,Database!$E:$E,$C6)),-0.00001)</f>
        <v>32</v>
      </c>
      <c r="U6" s="185">
        <f>IFERROR(IF($C6="",-0.00001,SUMIFS(Database!W:W,Database!$E:$E,$C6)),-0.00001)</f>
        <v>49</v>
      </c>
      <c r="V6" s="186">
        <f t="shared" si="2"/>
        <v>0.65306122448979587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187"/>
      <c r="B7" s="187">
        <f>IF($C7="","",MAX($B$4:$B6)+1)</f>
        <v>4</v>
      </c>
      <c r="C7" s="183" t="s">
        <v>19</v>
      </c>
      <c r="D7" s="183" t="str">
        <f>IFERROR(VLOOKUP($C7,Rosters!$C$4:$M$239,INDEX(Lists!$N$5:$O$80,MATCH($C7,Lists!$N$5:$N$80,FALSE),2)),"")</f>
        <v>Lightning</v>
      </c>
      <c r="E7" s="185">
        <f>IF($C7="",-0.00001,COUNTIF(Database!E:E,$C7))</f>
        <v>12</v>
      </c>
      <c r="F7" s="185">
        <f>IFERROR(IF($C7="",-0.00001,SUMIFS(Database!H:H,Database!$E:$E,$C7)),-0.00001)</f>
        <v>200</v>
      </c>
      <c r="G7" s="185">
        <f>IFERROR(IF($C7="",-0.00001,SUMIFS(Database!I:I,Database!$E:$E,$C7)),-0.00001)</f>
        <v>114</v>
      </c>
      <c r="H7" s="185">
        <f>IFERROR(IF($C7="",-0.00001,SUMIFS(Database!J:J,Database!$E:$E,$C7)),-0.00001)</f>
        <v>48</v>
      </c>
      <c r="I7" s="185">
        <f>IFERROR(IF($C7="",-0.00001,SUMIFS(Database!K:K,Database!$E:$E,$C7)),-0.00001)</f>
        <v>40</v>
      </c>
      <c r="J7" s="185">
        <f>IFERROR(IF($C7="",-0.00001,SUMIFS(Database!L:L,Database!$E:$E,$C7)),-0.00001)</f>
        <v>27</v>
      </c>
      <c r="K7" s="185">
        <f>IFERROR(IF($C7="",-0.00001,SUMIFS(Database!M:M,Database!$E:$E,$C7)),-0.00001)</f>
        <v>30</v>
      </c>
      <c r="L7" s="185">
        <f>IFERROR(IF($C7="",-0.00001,SUMIFS(Database!N:N,Database!$E:$E,$C7)),-0.00001)</f>
        <v>30</v>
      </c>
      <c r="M7" s="185">
        <f>IFERROR(IF($C7="",-0.00001,SUMIFS(Database!O:O,Database!$E:$E,$C7)),-0.00001)</f>
        <v>84</v>
      </c>
      <c r="N7" s="185">
        <f>IFERROR(IF($C7="",-0.00001,SUMIFS(Database!P:P,Database!$E:$E,$C7)),-0.00001)</f>
        <v>9</v>
      </c>
      <c r="O7" s="185">
        <f>IFERROR(IF($C7="",-0.00001,SUMIFS(Database!Q:Q,Database!$E:$E,$C7)),-0.00001)</f>
        <v>33</v>
      </c>
      <c r="P7" s="186">
        <f t="shared" si="0"/>
        <v>0.27272727272727271</v>
      </c>
      <c r="Q7" s="185">
        <f>IFERROR(IF($C7="",-0.00001,SUMIFS(Database!S:S,Database!$E:$E,$C7)),-0.00001)</f>
        <v>76</v>
      </c>
      <c r="R7" s="185">
        <f>IFERROR(IF($C7="",-0.00001,SUMIFS(Database!T:T,Database!$E:$E,$C7)),-0.00001)</f>
        <v>165</v>
      </c>
      <c r="S7" s="186">
        <f t="shared" si="1"/>
        <v>0.46060606060606063</v>
      </c>
      <c r="T7" s="185">
        <f>IFERROR(IF($C7="",-0.00001,SUMIFS(Database!V:V,Database!$E:$E,$C7)),-0.00001)</f>
        <v>39</v>
      </c>
      <c r="U7" s="185">
        <f>IFERROR(IF($C7="",-0.00001,SUMIFS(Database!W:W,Database!$E:$E,$C7)),-0.00001)</f>
        <v>58</v>
      </c>
      <c r="V7" s="186">
        <f t="shared" si="2"/>
        <v>0.67241379310344829</v>
      </c>
      <c r="W7" s="187"/>
      <c r="X7" s="187"/>
      <c r="Y7" s="187"/>
      <c r="Z7" s="187"/>
      <c r="AA7" s="187"/>
      <c r="AB7" s="187"/>
      <c r="AC7" s="187"/>
      <c r="AD7" s="187"/>
      <c r="AE7" s="187"/>
    </row>
    <row r="8" spans="1:31" x14ac:dyDescent="0.25">
      <c r="A8" s="187"/>
      <c r="B8" s="187">
        <f>IF($C8="","",MAX($B$4:$B7)+1)</f>
        <v>5</v>
      </c>
      <c r="C8" s="183" t="s">
        <v>9</v>
      </c>
      <c r="D8" s="183" t="str">
        <f>IFERROR(VLOOKUP($C8,Rosters!$C$4:$M$239,INDEX(Lists!$N$5:$O$80,MATCH($C8,Lists!$N$5:$N$80,FALSE),2)),"")</f>
        <v>Wombats</v>
      </c>
      <c r="E8" s="185">
        <f>IF($C8="",-0.00001,COUNTIF(Database!E:E,$C8))</f>
        <v>11</v>
      </c>
      <c r="F8" s="185">
        <f>IFERROR(IF($C8="",-0.00001,SUMIFS(Database!H:H,Database!$E:$E,$C8)),-0.00001)</f>
        <v>156</v>
      </c>
      <c r="G8" s="185">
        <f>IFERROR(IF($C8="",-0.00001,SUMIFS(Database!I:I,Database!$E:$E,$C8)),-0.00001)</f>
        <v>67</v>
      </c>
      <c r="H8" s="185">
        <f>IFERROR(IF($C8="",-0.00001,SUMIFS(Database!J:J,Database!$E:$E,$C8)),-0.00001)</f>
        <v>18</v>
      </c>
      <c r="I8" s="185">
        <f>IFERROR(IF($C8="",-0.00001,SUMIFS(Database!K:K,Database!$E:$E,$C8)),-0.00001)</f>
        <v>8</v>
      </c>
      <c r="J8" s="185">
        <f>IFERROR(IF($C8="",-0.00001,SUMIFS(Database!L:L,Database!$E:$E,$C8)),-0.00001)</f>
        <v>4</v>
      </c>
      <c r="K8" s="185">
        <f>IFERROR(IF($C8="",-0.00001,SUMIFS(Database!M:M,Database!$E:$E,$C8)),-0.00001)</f>
        <v>28</v>
      </c>
      <c r="L8" s="185">
        <f>IFERROR(IF($C8="",-0.00001,SUMIFS(Database!N:N,Database!$E:$E,$C8)),-0.00001)</f>
        <v>13</v>
      </c>
      <c r="M8" s="185">
        <f>IFERROR(IF($C8="",-0.00001,SUMIFS(Database!O:O,Database!$E:$E,$C8)),-0.00001)</f>
        <v>54</v>
      </c>
      <c r="N8" s="185">
        <f>IFERROR(IF($C8="",-0.00001,SUMIFS(Database!P:P,Database!$E:$E,$C8)),-0.00001)</f>
        <v>29</v>
      </c>
      <c r="O8" s="185">
        <f>IFERROR(IF($C8="",-0.00001,SUMIFS(Database!Q:Q,Database!$E:$E,$C8)),-0.00001)</f>
        <v>93</v>
      </c>
      <c r="P8" s="186">
        <f t="shared" si="0"/>
        <v>0.31182795698924731</v>
      </c>
      <c r="Q8" s="185">
        <f>IFERROR(IF($C8="",-0.00001,SUMIFS(Database!S:S,Database!$E:$E,$C8)),-0.00001)</f>
        <v>60</v>
      </c>
      <c r="R8" s="185">
        <f>IFERROR(IF($C8="",-0.00001,SUMIFS(Database!T:T,Database!$E:$E,$C8)),-0.00001)</f>
        <v>153</v>
      </c>
      <c r="S8" s="186">
        <f t="shared" si="1"/>
        <v>0.39215686274509803</v>
      </c>
      <c r="T8" s="185">
        <f>IFERROR(IF($C8="",-0.00001,SUMIFS(Database!V:V,Database!$E:$E,$C8)),-0.00001)</f>
        <v>7</v>
      </c>
      <c r="U8" s="185">
        <f>IFERROR(IF($C8="",-0.00001,SUMIFS(Database!W:W,Database!$E:$E,$C8)),-0.00001)</f>
        <v>16</v>
      </c>
      <c r="V8" s="186">
        <f t="shared" si="2"/>
        <v>0.4375</v>
      </c>
      <c r="W8" s="187"/>
      <c r="X8" s="187"/>
      <c r="Y8" s="187"/>
      <c r="Z8" s="187"/>
      <c r="AA8" s="187"/>
      <c r="AB8" s="187"/>
      <c r="AC8" s="187"/>
      <c r="AD8" s="187"/>
      <c r="AE8" s="187"/>
    </row>
    <row r="9" spans="1:31" x14ac:dyDescent="0.25">
      <c r="A9" s="187"/>
      <c r="B9" s="187">
        <f>IF($C9="","",MAX($B$4:$B8)+1)</f>
        <v>6</v>
      </c>
      <c r="C9" s="183" t="s">
        <v>15</v>
      </c>
      <c r="D9" s="183" t="str">
        <f>IFERROR(VLOOKUP($C9,Rosters!$C$4:$M$239,INDEX(Lists!$N$5:$O$80,MATCH($C9,Lists!$N$5:$N$80,FALSE),2)),"")</f>
        <v>Pistons</v>
      </c>
      <c r="E9" s="185">
        <f>IF($C9="",-0.00001,COUNTIF(Database!E:E,$C9))</f>
        <v>12</v>
      </c>
      <c r="F9" s="185">
        <f>IFERROR(IF($C9="",-0.00001,SUMIFS(Database!H:H,Database!$E:$E,$C9)),-0.00001)</f>
        <v>154</v>
      </c>
      <c r="G9" s="185">
        <f>IFERROR(IF($C9="",-0.00001,SUMIFS(Database!I:I,Database!$E:$E,$C9)),-0.00001)</f>
        <v>50</v>
      </c>
      <c r="H9" s="185">
        <f>IFERROR(IF($C9="",-0.00001,SUMIFS(Database!J:J,Database!$E:$E,$C9)),-0.00001)</f>
        <v>10</v>
      </c>
      <c r="I9" s="185">
        <f>IFERROR(IF($C9="",-0.00001,SUMIFS(Database!K:K,Database!$E:$E,$C9)),-0.00001)</f>
        <v>22</v>
      </c>
      <c r="J9" s="185">
        <f>IFERROR(IF($C9="",-0.00001,SUMIFS(Database!L:L,Database!$E:$E,$C9)),-0.00001)</f>
        <v>2</v>
      </c>
      <c r="K9" s="185">
        <f>IFERROR(IF($C9="",-0.00001,SUMIFS(Database!M:M,Database!$E:$E,$C9)),-0.00001)</f>
        <v>16</v>
      </c>
      <c r="L9" s="185">
        <f>IFERROR(IF($C9="",-0.00001,SUMIFS(Database!N:N,Database!$E:$E,$C9)),-0.00001)</f>
        <v>13</v>
      </c>
      <c r="M9" s="185">
        <f>IFERROR(IF($C9="",-0.00001,SUMIFS(Database!O:O,Database!$E:$E,$C9)),-0.00001)</f>
        <v>37</v>
      </c>
      <c r="N9" s="185">
        <f>IFERROR(IF($C9="",-0.00001,SUMIFS(Database!P:P,Database!$E:$E,$C9)),-0.00001)</f>
        <v>24</v>
      </c>
      <c r="O9" s="185">
        <f>IFERROR(IF($C9="",-0.00001,SUMIFS(Database!Q:Q,Database!$E:$E,$C9)),-0.00001)</f>
        <v>86</v>
      </c>
      <c r="P9" s="186">
        <f t="shared" si="0"/>
        <v>0.27906976744186046</v>
      </c>
      <c r="Q9" s="185">
        <f>IFERROR(IF($C9="",-0.00001,SUMIFS(Database!S:S,Database!$E:$E,$C9)),-0.00001)</f>
        <v>59</v>
      </c>
      <c r="R9" s="185">
        <f>IFERROR(IF($C9="",-0.00001,SUMIFS(Database!T:T,Database!$E:$E,$C9)),-0.00001)</f>
        <v>173</v>
      </c>
      <c r="S9" s="186">
        <f t="shared" si="1"/>
        <v>0.34104046242774566</v>
      </c>
      <c r="T9" s="185">
        <f>IFERROR(IF($C9="",-0.00001,SUMIFS(Database!V:V,Database!$E:$E,$C9)),-0.00001)</f>
        <v>8</v>
      </c>
      <c r="U9" s="185">
        <f>IFERROR(IF($C9="",-0.00001,SUMIFS(Database!W:W,Database!$E:$E,$C9)),-0.00001)</f>
        <v>17</v>
      </c>
      <c r="V9" s="186">
        <f t="shared" si="2"/>
        <v>0.47058823529411764</v>
      </c>
      <c r="W9" s="187"/>
      <c r="X9" s="187"/>
      <c r="Y9" s="187"/>
      <c r="Z9" s="187"/>
      <c r="AA9" s="187"/>
      <c r="AB9" s="187"/>
      <c r="AC9" s="187"/>
      <c r="AD9" s="187"/>
      <c r="AE9" s="187"/>
    </row>
    <row r="10" spans="1:31" x14ac:dyDescent="0.25">
      <c r="A10" s="187"/>
      <c r="B10" s="187">
        <f>IF($C10="","",MAX($B$4:$B9)+1)</f>
        <v>7</v>
      </c>
      <c r="C10" s="183" t="s">
        <v>7</v>
      </c>
      <c r="D10" s="183" t="str">
        <f>IFERROR(VLOOKUP($C10,Rosters!$C$4:$M$239,INDEX(Lists!$N$5:$O$80,MATCH($C10,Lists!$N$5:$N$80,FALSE),2)),"")</f>
        <v>Wombats</v>
      </c>
      <c r="E10" s="185">
        <f>IF($C10="",-0.00001,COUNTIF(Database!E:E,$C10))</f>
        <v>10</v>
      </c>
      <c r="F10" s="185">
        <f>IFERROR(IF($C10="",-0.00001,SUMIFS(Database!H:H,Database!$E:$E,$C10)),-0.00001)</f>
        <v>145</v>
      </c>
      <c r="G10" s="185">
        <f>IFERROR(IF($C10="",-0.00001,SUMIFS(Database!I:I,Database!$E:$E,$C10)),-0.00001)</f>
        <v>60</v>
      </c>
      <c r="H10" s="185">
        <f>IFERROR(IF($C10="",-0.00001,SUMIFS(Database!J:J,Database!$E:$E,$C10)),-0.00001)</f>
        <v>23</v>
      </c>
      <c r="I10" s="185">
        <f>IFERROR(IF($C10="",-0.00001,SUMIFS(Database!K:K,Database!$E:$E,$C10)),-0.00001)</f>
        <v>15</v>
      </c>
      <c r="J10" s="185">
        <f>IFERROR(IF($C10="",-0.00001,SUMIFS(Database!L:L,Database!$E:$E,$C10)),-0.00001)</f>
        <v>2</v>
      </c>
      <c r="K10" s="185">
        <f>IFERROR(IF($C10="",-0.00001,SUMIFS(Database!M:M,Database!$E:$E,$C10)),-0.00001)</f>
        <v>25</v>
      </c>
      <c r="L10" s="185">
        <f>IFERROR(IF($C10="",-0.00001,SUMIFS(Database!N:N,Database!$E:$E,$C10)),-0.00001)</f>
        <v>17</v>
      </c>
      <c r="M10" s="185">
        <f>IFERROR(IF($C10="",-0.00001,SUMIFS(Database!O:O,Database!$E:$E,$C10)),-0.00001)</f>
        <v>43</v>
      </c>
      <c r="N10" s="185">
        <f>IFERROR(IF($C10="",-0.00001,SUMIFS(Database!P:P,Database!$E:$E,$C10)),-0.00001)</f>
        <v>19</v>
      </c>
      <c r="O10" s="185">
        <f>IFERROR(IF($C10="",-0.00001,SUMIFS(Database!Q:Q,Database!$E:$E,$C10)),-0.00001)</f>
        <v>49</v>
      </c>
      <c r="P10" s="186">
        <f t="shared" si="0"/>
        <v>0.38775510204081631</v>
      </c>
      <c r="Q10" s="185">
        <f>IFERROR(IF($C10="",-0.00001,SUMIFS(Database!S:S,Database!$E:$E,$C10)),-0.00001)</f>
        <v>55</v>
      </c>
      <c r="R10" s="185">
        <f>IFERROR(IF($C10="",-0.00001,SUMIFS(Database!T:T,Database!$E:$E,$C10)),-0.00001)</f>
        <v>135</v>
      </c>
      <c r="S10" s="186">
        <f t="shared" si="1"/>
        <v>0.40740740740740738</v>
      </c>
      <c r="T10" s="185">
        <f>IFERROR(IF($C10="",-0.00001,SUMIFS(Database!V:V,Database!$E:$E,$C10)),-0.00001)</f>
        <v>16</v>
      </c>
      <c r="U10" s="185">
        <f>IFERROR(IF($C10="",-0.00001,SUMIFS(Database!W:W,Database!$E:$E,$C10)),-0.00001)</f>
        <v>29</v>
      </c>
      <c r="V10" s="186">
        <f t="shared" si="2"/>
        <v>0.55172413793103448</v>
      </c>
      <c r="W10" s="187"/>
      <c r="X10" s="187"/>
      <c r="Y10" s="187"/>
      <c r="Z10" s="187"/>
      <c r="AA10" s="187"/>
      <c r="AB10" s="187"/>
      <c r="AC10" s="187"/>
      <c r="AD10" s="187"/>
      <c r="AE10" s="187"/>
    </row>
    <row r="11" spans="1:31" x14ac:dyDescent="0.25">
      <c r="A11" s="187"/>
      <c r="B11" s="187">
        <f>IF($C11="","",MAX($B$4:$B10)+1)</f>
        <v>8</v>
      </c>
      <c r="C11" s="183" t="s">
        <v>32</v>
      </c>
      <c r="D11" s="183" t="str">
        <f>IFERROR(VLOOKUP($C11,Rosters!$C$4:$M$239,INDEX(Lists!$N$5:$O$80,MATCH($C11,Lists!$N$5:$N$80,FALSE),2)),"")</f>
        <v>Vandals</v>
      </c>
      <c r="E11" s="185">
        <f>IF($C11="",-0.00001,COUNTIF(Database!E:E,$C11))</f>
        <v>11</v>
      </c>
      <c r="F11" s="185">
        <f>IFERROR(IF($C11="",-0.00001,SUMIFS(Database!H:H,Database!$E:$E,$C11)),-0.00001)</f>
        <v>130</v>
      </c>
      <c r="G11" s="185">
        <f>IFERROR(IF($C11="",-0.00001,SUMIFS(Database!I:I,Database!$E:$E,$C11)),-0.00001)</f>
        <v>76</v>
      </c>
      <c r="H11" s="185">
        <f>IFERROR(IF($C11="",-0.00001,SUMIFS(Database!J:J,Database!$E:$E,$C11)),-0.00001)</f>
        <v>28</v>
      </c>
      <c r="I11" s="185">
        <f>IFERROR(IF($C11="",-0.00001,SUMIFS(Database!K:K,Database!$E:$E,$C11)),-0.00001)</f>
        <v>22</v>
      </c>
      <c r="J11" s="185">
        <f>IFERROR(IF($C11="",-0.00001,SUMIFS(Database!L:L,Database!$E:$E,$C11)),-0.00001)</f>
        <v>14</v>
      </c>
      <c r="K11" s="185">
        <f>IFERROR(IF($C11="",-0.00001,SUMIFS(Database!M:M,Database!$E:$E,$C11)),-0.00001)</f>
        <v>18</v>
      </c>
      <c r="L11" s="185">
        <f>IFERROR(IF($C11="",-0.00001,SUMIFS(Database!N:N,Database!$E:$E,$C11)),-0.00001)</f>
        <v>32</v>
      </c>
      <c r="M11" s="185">
        <f>IFERROR(IF($C11="",-0.00001,SUMIFS(Database!O:O,Database!$E:$E,$C11)),-0.00001)</f>
        <v>44</v>
      </c>
      <c r="N11" s="185">
        <f>IFERROR(IF($C11="",-0.00001,SUMIFS(Database!P:P,Database!$E:$E,$C11)),-0.00001)</f>
        <v>14</v>
      </c>
      <c r="O11" s="185">
        <f>IFERROR(IF($C11="",-0.00001,SUMIFS(Database!Q:Q,Database!$E:$E,$C11)),-0.00001)</f>
        <v>49</v>
      </c>
      <c r="P11" s="186">
        <f t="shared" si="0"/>
        <v>0.2857142857142857</v>
      </c>
      <c r="Q11" s="185">
        <f>IFERROR(IF($C11="",-0.00001,SUMIFS(Database!S:S,Database!$E:$E,$C11)),-0.00001)</f>
        <v>50</v>
      </c>
      <c r="R11" s="185">
        <f>IFERROR(IF($C11="",-0.00001,SUMIFS(Database!T:T,Database!$E:$E,$C11)),-0.00001)</f>
        <v>142</v>
      </c>
      <c r="S11" s="186">
        <f t="shared" si="1"/>
        <v>0.352112676056338</v>
      </c>
      <c r="T11" s="185">
        <f>IFERROR(IF($C11="",-0.00001,SUMIFS(Database!V:V,Database!$E:$E,$C11)),-0.00001)</f>
        <v>16</v>
      </c>
      <c r="U11" s="185">
        <f>IFERROR(IF($C11="",-0.00001,SUMIFS(Database!W:W,Database!$E:$E,$C11)),-0.00001)</f>
        <v>24</v>
      </c>
      <c r="V11" s="186">
        <f t="shared" si="2"/>
        <v>0.66666666666666663</v>
      </c>
      <c r="W11" s="187"/>
      <c r="X11" s="187"/>
      <c r="Y11" s="187"/>
      <c r="Z11" s="187"/>
      <c r="AA11" s="187"/>
      <c r="AB11" s="187"/>
      <c r="AC11" s="187"/>
      <c r="AD11" s="187"/>
      <c r="AE11" s="187"/>
    </row>
    <row r="12" spans="1:31" x14ac:dyDescent="0.25">
      <c r="A12" s="187"/>
      <c r="B12" s="187">
        <f>IF($C12="","",MAX($B$4:$B11)+1)</f>
        <v>9</v>
      </c>
      <c r="C12" s="183" t="s">
        <v>27</v>
      </c>
      <c r="D12" s="183" t="str">
        <f>IFERROR(VLOOKUP($C12,Rosters!$C$4:$M$239,INDEX(Lists!$N$5:$O$80,MATCH($C12,Lists!$N$5:$N$80,FALSE),2)),"")</f>
        <v>Hoopers</v>
      </c>
      <c r="E12" s="185">
        <f>IF($C12="",-0.00001,COUNTIF(Database!E:E,$C12))</f>
        <v>11</v>
      </c>
      <c r="F12" s="185">
        <f>IFERROR(IF($C12="",-0.00001,SUMIFS(Database!H:H,Database!$E:$E,$C12)),-0.00001)</f>
        <v>128</v>
      </c>
      <c r="G12" s="185">
        <f>IFERROR(IF($C12="",-0.00001,SUMIFS(Database!I:I,Database!$E:$E,$C12)),-0.00001)</f>
        <v>54</v>
      </c>
      <c r="H12" s="185">
        <f>IFERROR(IF($C12="",-0.00001,SUMIFS(Database!J:J,Database!$E:$E,$C12)),-0.00001)</f>
        <v>14</v>
      </c>
      <c r="I12" s="185">
        <f>IFERROR(IF($C12="",-0.00001,SUMIFS(Database!K:K,Database!$E:$E,$C12)),-0.00001)</f>
        <v>17</v>
      </c>
      <c r="J12" s="185">
        <f>IFERROR(IF($C12="",-0.00001,SUMIFS(Database!L:L,Database!$E:$E,$C12)),-0.00001)</f>
        <v>2</v>
      </c>
      <c r="K12" s="185">
        <f>IFERROR(IF($C12="",-0.00001,SUMIFS(Database!M:M,Database!$E:$E,$C12)),-0.00001)</f>
        <v>23</v>
      </c>
      <c r="L12" s="185">
        <f>IFERROR(IF($C12="",-0.00001,SUMIFS(Database!N:N,Database!$E:$E,$C12)),-0.00001)</f>
        <v>22</v>
      </c>
      <c r="M12" s="185">
        <f>IFERROR(IF($C12="",-0.00001,SUMIFS(Database!O:O,Database!$E:$E,$C12)),-0.00001)</f>
        <v>32</v>
      </c>
      <c r="N12" s="185">
        <f>IFERROR(IF($C12="",-0.00001,SUMIFS(Database!P:P,Database!$E:$E,$C12)),-0.00001)</f>
        <v>12</v>
      </c>
      <c r="O12" s="185">
        <f>IFERROR(IF($C12="",-0.00001,SUMIFS(Database!Q:Q,Database!$E:$E,$C12)),-0.00001)</f>
        <v>63</v>
      </c>
      <c r="P12" s="186">
        <f t="shared" si="0"/>
        <v>0.19047619047619047</v>
      </c>
      <c r="Q12" s="185">
        <f>IFERROR(IF($C12="",-0.00001,SUMIFS(Database!S:S,Database!$E:$E,$C12)),-0.00001)</f>
        <v>55</v>
      </c>
      <c r="R12" s="185">
        <f>IFERROR(IF($C12="",-0.00001,SUMIFS(Database!T:T,Database!$E:$E,$C12)),-0.00001)</f>
        <v>188</v>
      </c>
      <c r="S12" s="186">
        <f t="shared" si="1"/>
        <v>0.29255319148936171</v>
      </c>
      <c r="T12" s="185">
        <f>IFERROR(IF($C12="",-0.00001,SUMIFS(Database!V:V,Database!$E:$E,$C12)),-0.00001)</f>
        <v>6</v>
      </c>
      <c r="U12" s="185">
        <f>IFERROR(IF($C12="",-0.00001,SUMIFS(Database!W:W,Database!$E:$E,$C12)),-0.00001)</f>
        <v>15</v>
      </c>
      <c r="V12" s="186">
        <f t="shared" si="2"/>
        <v>0.4</v>
      </c>
      <c r="W12" s="187"/>
      <c r="X12" s="187"/>
      <c r="Y12" s="187"/>
      <c r="Z12" s="187"/>
      <c r="AA12" s="187"/>
      <c r="AB12" s="187"/>
      <c r="AC12" s="187"/>
      <c r="AD12" s="187"/>
      <c r="AE12" s="187"/>
    </row>
    <row r="13" spans="1:31" x14ac:dyDescent="0.25">
      <c r="A13" s="187"/>
      <c r="B13" s="187">
        <f>IF($C13="","",MAX($B$4:$B12)+1)</f>
        <v>10</v>
      </c>
      <c r="C13" s="183" t="s">
        <v>13</v>
      </c>
      <c r="D13" s="183" t="str">
        <f>IFERROR(VLOOKUP($C13,Rosters!$C$4:$M$239,INDEX(Lists!$N$5:$O$80,MATCH($C13,Lists!$N$5:$N$80,FALSE),2)),"")</f>
        <v>Pistons</v>
      </c>
      <c r="E13" s="185">
        <f>IF($C13="",-0.00001,COUNTIF(Database!E:E,$C13))</f>
        <v>12</v>
      </c>
      <c r="F13" s="185">
        <f>IFERROR(IF($C13="",-0.00001,SUMIFS(Database!H:H,Database!$E:$E,$C13)),-0.00001)</f>
        <v>119</v>
      </c>
      <c r="G13" s="185">
        <f>IFERROR(IF($C13="",-0.00001,SUMIFS(Database!I:I,Database!$E:$E,$C13)),-0.00001)</f>
        <v>46</v>
      </c>
      <c r="H13" s="185">
        <f>IFERROR(IF($C13="",-0.00001,SUMIFS(Database!J:J,Database!$E:$E,$C13)),-0.00001)</f>
        <v>23</v>
      </c>
      <c r="I13" s="185">
        <f>IFERROR(IF($C13="",-0.00001,SUMIFS(Database!K:K,Database!$E:$E,$C13)),-0.00001)</f>
        <v>14</v>
      </c>
      <c r="J13" s="185">
        <f>IFERROR(IF($C13="",-0.00001,SUMIFS(Database!L:L,Database!$E:$E,$C13)),-0.00001)</f>
        <v>0</v>
      </c>
      <c r="K13" s="185">
        <f>IFERROR(IF($C13="",-0.00001,SUMIFS(Database!M:M,Database!$E:$E,$C13)),-0.00001)</f>
        <v>41</v>
      </c>
      <c r="L13" s="185">
        <f>IFERROR(IF($C13="",-0.00001,SUMIFS(Database!N:N,Database!$E:$E,$C13)),-0.00001)</f>
        <v>11</v>
      </c>
      <c r="M13" s="185">
        <f>IFERROR(IF($C13="",-0.00001,SUMIFS(Database!O:O,Database!$E:$E,$C13)),-0.00001)</f>
        <v>35</v>
      </c>
      <c r="N13" s="185">
        <f>IFERROR(IF($C13="",-0.00001,SUMIFS(Database!P:P,Database!$E:$E,$C13)),-0.00001)</f>
        <v>10</v>
      </c>
      <c r="O13" s="185">
        <f>IFERROR(IF($C13="",-0.00001,SUMIFS(Database!Q:Q,Database!$E:$E,$C13)),-0.00001)</f>
        <v>33</v>
      </c>
      <c r="P13" s="186">
        <f t="shared" si="0"/>
        <v>0.30303030303030304</v>
      </c>
      <c r="Q13" s="185">
        <f>IFERROR(IF($C13="",-0.00001,SUMIFS(Database!S:S,Database!$E:$E,$C13)),-0.00001)</f>
        <v>50</v>
      </c>
      <c r="R13" s="185">
        <f>IFERROR(IF($C13="",-0.00001,SUMIFS(Database!T:T,Database!$E:$E,$C13)),-0.00001)</f>
        <v>155</v>
      </c>
      <c r="S13" s="186">
        <f t="shared" si="1"/>
        <v>0.32258064516129031</v>
      </c>
      <c r="T13" s="185">
        <f>IFERROR(IF($C13="",-0.00001,SUMIFS(Database!V:V,Database!$E:$E,$C13)),-0.00001)</f>
        <v>9</v>
      </c>
      <c r="U13" s="185">
        <f>IFERROR(IF($C13="",-0.00001,SUMIFS(Database!W:W,Database!$E:$E,$C13)),-0.00001)</f>
        <v>15</v>
      </c>
      <c r="V13" s="186">
        <f t="shared" si="2"/>
        <v>0.6</v>
      </c>
      <c r="W13" s="187"/>
      <c r="X13" s="187"/>
      <c r="Y13" s="187"/>
      <c r="Z13" s="187"/>
      <c r="AA13" s="187"/>
      <c r="AB13" s="187"/>
      <c r="AC13" s="187"/>
      <c r="AD13" s="187"/>
      <c r="AE13" s="187"/>
    </row>
    <row r="14" spans="1:31" x14ac:dyDescent="0.25">
      <c r="A14" s="187"/>
      <c r="B14" s="187">
        <f>IF($C14="","",MAX($B$4:$B13)+1)</f>
        <v>11</v>
      </c>
      <c r="C14" s="183" t="s">
        <v>8</v>
      </c>
      <c r="D14" s="183" t="str">
        <f>IFERROR(VLOOKUP($C14,Rosters!$C$4:$M$239,INDEX(Lists!$N$5:$O$80,MATCH($C14,Lists!$N$5:$N$80,FALSE),2)),"")</f>
        <v>Wombats</v>
      </c>
      <c r="E14" s="185">
        <f>IF($C14="",-0.00001,COUNTIF(Database!E:E,$C14))</f>
        <v>4</v>
      </c>
      <c r="F14" s="185">
        <f>IFERROR(IF($C14="",-0.00001,SUMIFS(Database!H:H,Database!$E:$E,$C14)),-0.00001)</f>
        <v>95</v>
      </c>
      <c r="G14" s="185">
        <f>IFERROR(IF($C14="",-0.00001,SUMIFS(Database!I:I,Database!$E:$E,$C14)),-0.00001)</f>
        <v>22</v>
      </c>
      <c r="H14" s="185">
        <f>IFERROR(IF($C14="",-0.00001,SUMIFS(Database!J:J,Database!$E:$E,$C14)),-0.00001)</f>
        <v>14</v>
      </c>
      <c r="I14" s="185">
        <f>IFERROR(IF($C14="",-0.00001,SUMIFS(Database!K:K,Database!$E:$E,$C14)),-0.00001)</f>
        <v>2</v>
      </c>
      <c r="J14" s="185">
        <f>IFERROR(IF($C14="",-0.00001,SUMIFS(Database!L:L,Database!$E:$E,$C14)),-0.00001)</f>
        <v>0</v>
      </c>
      <c r="K14" s="185">
        <f>IFERROR(IF($C14="",-0.00001,SUMIFS(Database!M:M,Database!$E:$E,$C14)),-0.00001)</f>
        <v>15</v>
      </c>
      <c r="L14" s="185">
        <f>IFERROR(IF($C14="",-0.00001,SUMIFS(Database!N:N,Database!$E:$E,$C14)),-0.00001)</f>
        <v>10</v>
      </c>
      <c r="M14" s="185">
        <f>IFERROR(IF($C14="",-0.00001,SUMIFS(Database!O:O,Database!$E:$E,$C14)),-0.00001)</f>
        <v>12</v>
      </c>
      <c r="N14" s="185">
        <f>IFERROR(IF($C14="",-0.00001,SUMIFS(Database!P:P,Database!$E:$E,$C14)),-0.00001)</f>
        <v>12</v>
      </c>
      <c r="O14" s="185">
        <f>IFERROR(IF($C14="",-0.00001,SUMIFS(Database!Q:Q,Database!$E:$E,$C14)),-0.00001)</f>
        <v>39</v>
      </c>
      <c r="P14" s="186">
        <f t="shared" si="0"/>
        <v>0.30769230769230771</v>
      </c>
      <c r="Q14" s="185">
        <f>IFERROR(IF($C14="",-0.00001,SUMIFS(Database!S:S,Database!$E:$E,$C14)),-0.00001)</f>
        <v>36</v>
      </c>
      <c r="R14" s="185">
        <f>IFERROR(IF($C14="",-0.00001,SUMIFS(Database!T:T,Database!$E:$E,$C14)),-0.00001)</f>
        <v>95</v>
      </c>
      <c r="S14" s="186">
        <f t="shared" si="1"/>
        <v>0.37894736842105264</v>
      </c>
      <c r="T14" s="185">
        <f>IFERROR(IF($C14="",-0.00001,SUMIFS(Database!V:V,Database!$E:$E,$C14)),-0.00001)</f>
        <v>11</v>
      </c>
      <c r="U14" s="185">
        <f>IFERROR(IF($C14="",-0.00001,SUMIFS(Database!W:W,Database!$E:$E,$C14)),-0.00001)</f>
        <v>21</v>
      </c>
      <c r="V14" s="186">
        <f t="shared" si="2"/>
        <v>0.52380952380952384</v>
      </c>
      <c r="W14" s="187"/>
      <c r="X14" s="187"/>
      <c r="Y14" s="187"/>
      <c r="Z14" s="187"/>
      <c r="AA14" s="187"/>
      <c r="AB14" s="187"/>
      <c r="AC14" s="187"/>
      <c r="AD14" s="187"/>
      <c r="AE14" s="187"/>
    </row>
    <row r="15" spans="1:31" x14ac:dyDescent="0.25">
      <c r="A15" s="187"/>
      <c r="B15" s="187">
        <f>IF($C15="","",MAX($B$4:$B14)+1)</f>
        <v>12</v>
      </c>
      <c r="C15" s="183" t="s">
        <v>25</v>
      </c>
      <c r="D15" s="183" t="str">
        <f>IFERROR(VLOOKUP($C15,Rosters!$C$4:$M$239,INDEX(Lists!$N$5:$O$80,MATCH($C15,Lists!$N$5:$N$80,FALSE),2)),"")</f>
        <v>Hoopers</v>
      </c>
      <c r="E15" s="185">
        <f>IF($C15="",-0.00001,COUNTIF(Database!E:E,$C15))</f>
        <v>11</v>
      </c>
      <c r="F15" s="185">
        <f>IFERROR(IF($C15="",-0.00001,SUMIFS(Database!H:H,Database!$E:$E,$C15)),-0.00001)</f>
        <v>87</v>
      </c>
      <c r="G15" s="185">
        <f>IFERROR(IF($C15="",-0.00001,SUMIFS(Database!I:I,Database!$E:$E,$C15)),-0.00001)</f>
        <v>73</v>
      </c>
      <c r="H15" s="185">
        <f>IFERROR(IF($C15="",-0.00001,SUMIFS(Database!J:J,Database!$E:$E,$C15)),-0.00001)</f>
        <v>20</v>
      </c>
      <c r="I15" s="185">
        <f>IFERROR(IF($C15="",-0.00001,SUMIFS(Database!K:K,Database!$E:$E,$C15)),-0.00001)</f>
        <v>26</v>
      </c>
      <c r="J15" s="185">
        <f>IFERROR(IF($C15="",-0.00001,SUMIFS(Database!L:L,Database!$E:$E,$C15)),-0.00001)</f>
        <v>1</v>
      </c>
      <c r="K15" s="185">
        <f>IFERROR(IF($C15="",-0.00001,SUMIFS(Database!M:M,Database!$E:$E,$C15)),-0.00001)</f>
        <v>10</v>
      </c>
      <c r="L15" s="185">
        <f>IFERROR(IF($C15="",-0.00001,SUMIFS(Database!N:N,Database!$E:$E,$C15)),-0.00001)</f>
        <v>5</v>
      </c>
      <c r="M15" s="185">
        <f>IFERROR(IF($C15="",-0.00001,SUMIFS(Database!O:O,Database!$E:$E,$C15)),-0.00001)</f>
        <v>67</v>
      </c>
      <c r="N15" s="185">
        <f>IFERROR(IF($C15="",-0.00001,SUMIFS(Database!P:P,Database!$E:$E,$C15)),-0.00001)</f>
        <v>14</v>
      </c>
      <c r="O15" s="185">
        <f>IFERROR(IF($C15="",-0.00001,SUMIFS(Database!Q:Q,Database!$E:$E,$C15)),-0.00001)</f>
        <v>34</v>
      </c>
      <c r="P15" s="186">
        <f t="shared" si="0"/>
        <v>0.41176470588235292</v>
      </c>
      <c r="Q15" s="185">
        <f>IFERROR(IF($C15="",-0.00001,SUMIFS(Database!S:S,Database!$E:$E,$C15)),-0.00001)</f>
        <v>33</v>
      </c>
      <c r="R15" s="185">
        <f>IFERROR(IF($C15="",-0.00001,SUMIFS(Database!T:T,Database!$E:$E,$C15)),-0.00001)</f>
        <v>85</v>
      </c>
      <c r="S15" s="186">
        <f t="shared" si="1"/>
        <v>0.38823529411764707</v>
      </c>
      <c r="T15" s="185">
        <f>IFERROR(IF($C15="",-0.00001,SUMIFS(Database!V:V,Database!$E:$E,$C15)),-0.00001)</f>
        <v>8</v>
      </c>
      <c r="U15" s="185">
        <f>IFERROR(IF($C15="",-0.00001,SUMIFS(Database!W:W,Database!$E:$E,$C15)),-0.00001)</f>
        <v>18</v>
      </c>
      <c r="V15" s="186">
        <f t="shared" si="2"/>
        <v>0.44444444444444442</v>
      </c>
      <c r="W15" s="187"/>
      <c r="X15" s="187"/>
      <c r="Y15" s="187"/>
      <c r="Z15" s="187"/>
      <c r="AA15" s="187"/>
      <c r="AB15" s="187"/>
      <c r="AC15" s="187"/>
      <c r="AD15" s="187"/>
      <c r="AE15" s="187"/>
    </row>
    <row r="16" spans="1:31" x14ac:dyDescent="0.25">
      <c r="A16" s="187"/>
      <c r="B16" s="187">
        <f>IF($C16="","",MAX($B$4:$B15)+1)</f>
        <v>13</v>
      </c>
      <c r="C16" s="183" t="s">
        <v>26</v>
      </c>
      <c r="D16" s="183" t="str">
        <f>IFERROR(VLOOKUP($C16,Rosters!$C$4:$M$239,INDEX(Lists!$N$5:$O$80,MATCH($C16,Lists!$N$5:$N$80,FALSE),2)),"")</f>
        <v>Hoopers</v>
      </c>
      <c r="E16" s="185">
        <f>IF($C16="",-0.00001,COUNTIF(Database!E:E,$C16))</f>
        <v>4</v>
      </c>
      <c r="F16" s="185">
        <f>IFERROR(IF($C16="",-0.00001,SUMIFS(Database!H:H,Database!$E:$E,$C16)),-0.00001)</f>
        <v>78</v>
      </c>
      <c r="G16" s="185">
        <f>IFERROR(IF($C16="",-0.00001,SUMIFS(Database!I:I,Database!$E:$E,$C16)),-0.00001)</f>
        <v>27</v>
      </c>
      <c r="H16" s="185">
        <f>IFERROR(IF($C16="",-0.00001,SUMIFS(Database!J:J,Database!$E:$E,$C16)),-0.00001)</f>
        <v>8</v>
      </c>
      <c r="I16" s="185">
        <f>IFERROR(IF($C16="",-0.00001,SUMIFS(Database!K:K,Database!$E:$E,$C16)),-0.00001)</f>
        <v>2</v>
      </c>
      <c r="J16" s="185">
        <f>IFERROR(IF($C16="",-0.00001,SUMIFS(Database!L:L,Database!$E:$E,$C16)),-0.00001)</f>
        <v>0</v>
      </c>
      <c r="K16" s="185">
        <f>IFERROR(IF($C16="",-0.00001,SUMIFS(Database!M:M,Database!$E:$E,$C16)),-0.00001)</f>
        <v>4</v>
      </c>
      <c r="L16" s="185">
        <f>IFERROR(IF($C16="",-0.00001,SUMIFS(Database!N:N,Database!$E:$E,$C16)),-0.00001)</f>
        <v>13</v>
      </c>
      <c r="M16" s="185">
        <f>IFERROR(IF($C16="",-0.00001,SUMIFS(Database!O:O,Database!$E:$E,$C16)),-0.00001)</f>
        <v>14</v>
      </c>
      <c r="N16" s="185">
        <f>IFERROR(IF($C16="",-0.00001,SUMIFS(Database!P:P,Database!$E:$E,$C16)),-0.00001)</f>
        <v>15</v>
      </c>
      <c r="O16" s="185">
        <f>IFERROR(IF($C16="",-0.00001,SUMIFS(Database!Q:Q,Database!$E:$E,$C16)),-0.00001)</f>
        <v>42</v>
      </c>
      <c r="P16" s="186">
        <f t="shared" si="0"/>
        <v>0.35714285714285715</v>
      </c>
      <c r="Q16" s="185">
        <f>IFERROR(IF($C16="",-0.00001,SUMIFS(Database!S:S,Database!$E:$E,$C16)),-0.00001)</f>
        <v>30</v>
      </c>
      <c r="R16" s="185">
        <f>IFERROR(IF($C16="",-0.00001,SUMIFS(Database!T:T,Database!$E:$E,$C16)),-0.00001)</f>
        <v>88</v>
      </c>
      <c r="S16" s="186">
        <f t="shared" si="1"/>
        <v>0.34090909090909088</v>
      </c>
      <c r="T16" s="185">
        <f>IFERROR(IF($C16="",-0.00001,SUMIFS(Database!V:V,Database!$E:$E,$C16)),-0.00001)</f>
        <v>3</v>
      </c>
      <c r="U16" s="185">
        <f>IFERROR(IF($C16="",-0.00001,SUMIFS(Database!W:W,Database!$E:$E,$C16)),-0.00001)</f>
        <v>4</v>
      </c>
      <c r="V16" s="186">
        <f t="shared" si="2"/>
        <v>0.75</v>
      </c>
      <c r="W16" s="187"/>
      <c r="X16" s="187"/>
      <c r="Y16" s="187"/>
      <c r="Z16" s="187"/>
      <c r="AA16" s="187"/>
      <c r="AB16" s="187"/>
      <c r="AC16" s="187"/>
      <c r="AD16" s="187"/>
      <c r="AE16" s="187"/>
    </row>
    <row r="17" spans="1:31" x14ac:dyDescent="0.25">
      <c r="A17" s="187"/>
      <c r="B17" s="187">
        <f>IF($C17="","",MAX($B$4:$B16)+1)</f>
        <v>14</v>
      </c>
      <c r="C17" s="183" t="s">
        <v>4</v>
      </c>
      <c r="D17" s="183" t="str">
        <f>IFERROR(VLOOKUP($C17,Rosters!$C$4:$M$239,INDEX(Lists!$N$5:$O$80,MATCH($C17,Lists!$N$5:$N$80,FALSE),2)),"")</f>
        <v>Mustangs</v>
      </c>
      <c r="E17" s="185">
        <f>IF($C17="",-0.00001,COUNTIF(Database!E:E,$C17))</f>
        <v>12</v>
      </c>
      <c r="F17" s="185">
        <f>IFERROR(IF($C17="",-0.00001,SUMIFS(Database!H:H,Database!$E:$E,$C17)),-0.00001)</f>
        <v>74</v>
      </c>
      <c r="G17" s="185">
        <f>IFERROR(IF($C17="",-0.00001,SUMIFS(Database!I:I,Database!$E:$E,$C17)),-0.00001)</f>
        <v>67</v>
      </c>
      <c r="H17" s="185">
        <f>IFERROR(IF($C17="",-0.00001,SUMIFS(Database!J:J,Database!$E:$E,$C17)),-0.00001)</f>
        <v>26</v>
      </c>
      <c r="I17" s="185">
        <f>IFERROR(IF($C17="",-0.00001,SUMIFS(Database!K:K,Database!$E:$E,$C17)),-0.00001)</f>
        <v>8</v>
      </c>
      <c r="J17" s="185">
        <f>IFERROR(IF($C17="",-0.00001,SUMIFS(Database!L:L,Database!$E:$E,$C17)),-0.00001)</f>
        <v>1</v>
      </c>
      <c r="K17" s="185">
        <f>IFERROR(IF($C17="",-0.00001,SUMIFS(Database!M:M,Database!$E:$E,$C17)),-0.00001)</f>
        <v>25</v>
      </c>
      <c r="L17" s="185">
        <f>IFERROR(IF($C17="",-0.00001,SUMIFS(Database!N:N,Database!$E:$E,$C17)),-0.00001)</f>
        <v>14</v>
      </c>
      <c r="M17" s="185">
        <f>IFERROR(IF($C17="",-0.00001,SUMIFS(Database!O:O,Database!$E:$E,$C17)),-0.00001)</f>
        <v>44</v>
      </c>
      <c r="N17" s="185">
        <f>IFERROR(IF($C17="",-0.00001,SUMIFS(Database!P:P,Database!$E:$E,$C17)),-0.00001)</f>
        <v>14</v>
      </c>
      <c r="O17" s="185">
        <f>IFERROR(IF($C17="",-0.00001,SUMIFS(Database!Q:Q,Database!$E:$E,$C17)),-0.00001)</f>
        <v>59</v>
      </c>
      <c r="P17" s="186">
        <f t="shared" si="0"/>
        <v>0.23728813559322035</v>
      </c>
      <c r="Q17" s="185">
        <f>IFERROR(IF($C17="",-0.00001,SUMIFS(Database!S:S,Database!$E:$E,$C17)),-0.00001)</f>
        <v>30</v>
      </c>
      <c r="R17" s="185">
        <f>IFERROR(IF($C17="",-0.00001,SUMIFS(Database!T:T,Database!$E:$E,$C17)),-0.00001)</f>
        <v>93</v>
      </c>
      <c r="S17" s="186">
        <f t="shared" si="1"/>
        <v>0.32258064516129031</v>
      </c>
      <c r="T17" s="185">
        <f>IFERROR(IF($C17="",-0.00001,SUMIFS(Database!V:V,Database!$E:$E,$C17)),-0.00001)</f>
        <v>2</v>
      </c>
      <c r="U17" s="185">
        <f>IFERROR(IF($C17="",-0.00001,SUMIFS(Database!W:W,Database!$E:$E,$C17)),-0.00001)</f>
        <v>5</v>
      </c>
      <c r="V17" s="186">
        <f t="shared" si="2"/>
        <v>0.4</v>
      </c>
      <c r="W17" s="187"/>
      <c r="X17" s="187"/>
      <c r="Y17" s="187"/>
      <c r="Z17" s="187"/>
      <c r="AA17" s="187"/>
      <c r="AB17" s="187"/>
      <c r="AC17" s="187"/>
      <c r="AD17" s="187"/>
      <c r="AE17" s="187"/>
    </row>
    <row r="18" spans="1:31" x14ac:dyDescent="0.25">
      <c r="A18" s="187"/>
      <c r="B18" s="187">
        <f>IF($C18="","",MAX($B$4:$B17)+1)</f>
        <v>15</v>
      </c>
      <c r="C18" s="183" t="s">
        <v>28</v>
      </c>
      <c r="D18" s="183" t="str">
        <f>IFERROR(VLOOKUP($C18,Rosters!$C$4:$M$239,INDEX(Lists!$N$5:$O$80,MATCH($C18,Lists!$N$5:$N$80,FALSE),2)),"")</f>
        <v>Hoopers</v>
      </c>
      <c r="E18" s="185">
        <f>IF($C18="",-0.00001,COUNTIF(Database!E:E,$C18))</f>
        <v>11</v>
      </c>
      <c r="F18" s="185">
        <f>IFERROR(IF($C18="",-0.00001,SUMIFS(Database!H:H,Database!$E:$E,$C18)),-0.00001)</f>
        <v>73</v>
      </c>
      <c r="G18" s="185">
        <f>IFERROR(IF($C18="",-0.00001,SUMIFS(Database!I:I,Database!$E:$E,$C18)),-0.00001)</f>
        <v>39</v>
      </c>
      <c r="H18" s="185">
        <f>IFERROR(IF($C18="",-0.00001,SUMIFS(Database!J:J,Database!$E:$E,$C18)),-0.00001)</f>
        <v>9</v>
      </c>
      <c r="I18" s="185">
        <f>IFERROR(IF($C18="",-0.00001,SUMIFS(Database!K:K,Database!$E:$E,$C18)),-0.00001)</f>
        <v>12</v>
      </c>
      <c r="J18" s="185">
        <f>IFERROR(IF($C18="",-0.00001,SUMIFS(Database!L:L,Database!$E:$E,$C18)),-0.00001)</f>
        <v>1</v>
      </c>
      <c r="K18" s="185">
        <f>IFERROR(IF($C18="",-0.00001,SUMIFS(Database!M:M,Database!$E:$E,$C18)),-0.00001)</f>
        <v>3</v>
      </c>
      <c r="L18" s="185">
        <f>IFERROR(IF($C18="",-0.00001,SUMIFS(Database!N:N,Database!$E:$E,$C18)),-0.00001)</f>
        <v>8</v>
      </c>
      <c r="M18" s="185">
        <f>IFERROR(IF($C18="",-0.00001,SUMIFS(Database!O:O,Database!$E:$E,$C18)),-0.00001)</f>
        <v>31</v>
      </c>
      <c r="N18" s="185">
        <f>IFERROR(IF($C18="",-0.00001,SUMIFS(Database!P:P,Database!$E:$E,$C18)),-0.00001)</f>
        <v>20</v>
      </c>
      <c r="O18" s="185">
        <f>IFERROR(IF($C18="",-0.00001,SUMIFS(Database!Q:Q,Database!$E:$E,$C18)),-0.00001)</f>
        <v>51</v>
      </c>
      <c r="P18" s="186">
        <f t="shared" si="0"/>
        <v>0.39215686274509803</v>
      </c>
      <c r="Q18" s="185">
        <f>IFERROR(IF($C18="",-0.00001,SUMIFS(Database!S:S,Database!$E:$E,$C18)),-0.00001)</f>
        <v>23</v>
      </c>
      <c r="R18" s="185">
        <f>IFERROR(IF($C18="",-0.00001,SUMIFS(Database!T:T,Database!$E:$E,$C18)),-0.00001)</f>
        <v>58</v>
      </c>
      <c r="S18" s="186">
        <f t="shared" si="1"/>
        <v>0.39655172413793105</v>
      </c>
      <c r="T18" s="185">
        <f>IFERROR(IF($C18="",-0.00001,SUMIFS(Database!V:V,Database!$E:$E,$C18)),-0.00001)</f>
        <v>7</v>
      </c>
      <c r="U18" s="185">
        <f>IFERROR(IF($C18="",-0.00001,SUMIFS(Database!W:W,Database!$E:$E,$C18)),-0.00001)</f>
        <v>11</v>
      </c>
      <c r="V18" s="186">
        <f t="shared" si="2"/>
        <v>0.63636363636363635</v>
      </c>
      <c r="W18" s="187"/>
      <c r="X18" s="187"/>
      <c r="Y18" s="187"/>
      <c r="Z18" s="187"/>
      <c r="AA18" s="187"/>
      <c r="AB18" s="187"/>
      <c r="AC18" s="187"/>
      <c r="AD18" s="187"/>
      <c r="AE18" s="187"/>
    </row>
    <row r="19" spans="1:31" x14ac:dyDescent="0.25">
      <c r="A19" s="187"/>
      <c r="B19" s="187">
        <f>IF($C19="","",MAX($B$4:$B18)+1)</f>
        <v>16</v>
      </c>
      <c r="C19" s="183" t="s">
        <v>16</v>
      </c>
      <c r="D19" s="183" t="str">
        <f>IFERROR(VLOOKUP($C19,Rosters!$C$4:$M$239,INDEX(Lists!$N$5:$O$80,MATCH($C19,Lists!$N$5:$N$80,FALSE),2)),"")</f>
        <v>Pistons</v>
      </c>
      <c r="E19" s="185">
        <f>IF($C19="",-0.00001,COUNTIF(Database!E:E,$C19))</f>
        <v>7</v>
      </c>
      <c r="F19" s="185">
        <f>IFERROR(IF($C19="",-0.00001,SUMIFS(Database!H:H,Database!$E:$E,$C19)),-0.00001)</f>
        <v>72</v>
      </c>
      <c r="G19" s="185">
        <f>IFERROR(IF($C19="",-0.00001,SUMIFS(Database!I:I,Database!$E:$E,$C19)),-0.00001)</f>
        <v>42</v>
      </c>
      <c r="H19" s="185">
        <f>IFERROR(IF($C19="",-0.00001,SUMIFS(Database!J:J,Database!$E:$E,$C19)),-0.00001)</f>
        <v>9</v>
      </c>
      <c r="I19" s="185">
        <f>IFERROR(IF($C19="",-0.00001,SUMIFS(Database!K:K,Database!$E:$E,$C19)),-0.00001)</f>
        <v>8</v>
      </c>
      <c r="J19" s="185">
        <f>IFERROR(IF($C19="",-0.00001,SUMIFS(Database!L:L,Database!$E:$E,$C19)),-0.00001)</f>
        <v>7</v>
      </c>
      <c r="K19" s="185">
        <f>IFERROR(IF($C19="",-0.00001,SUMIFS(Database!M:M,Database!$E:$E,$C19)),-0.00001)</f>
        <v>8</v>
      </c>
      <c r="L19" s="185">
        <f>IFERROR(IF($C19="",-0.00001,SUMIFS(Database!N:N,Database!$E:$E,$C19)),-0.00001)</f>
        <v>12</v>
      </c>
      <c r="M19" s="185">
        <f>IFERROR(IF($C19="",-0.00001,SUMIFS(Database!O:O,Database!$E:$E,$C19)),-0.00001)</f>
        <v>30</v>
      </c>
      <c r="N19" s="185">
        <f>IFERROR(IF($C19="",-0.00001,SUMIFS(Database!P:P,Database!$E:$E,$C19)),-0.00001)</f>
        <v>7</v>
      </c>
      <c r="O19" s="185">
        <f>IFERROR(IF($C19="",-0.00001,SUMIFS(Database!Q:Q,Database!$E:$E,$C19)),-0.00001)</f>
        <v>20</v>
      </c>
      <c r="P19" s="186">
        <f t="shared" si="0"/>
        <v>0.35</v>
      </c>
      <c r="Q19" s="185">
        <f>IFERROR(IF($C19="",-0.00001,SUMIFS(Database!S:S,Database!$E:$E,$C19)),-0.00001)</f>
        <v>29</v>
      </c>
      <c r="R19" s="185">
        <f>IFERROR(IF($C19="",-0.00001,SUMIFS(Database!T:T,Database!$E:$E,$C19)),-0.00001)</f>
        <v>62</v>
      </c>
      <c r="S19" s="186">
        <f t="shared" si="1"/>
        <v>0.46774193548387094</v>
      </c>
      <c r="T19" s="185">
        <f>IFERROR(IF($C19="",-0.00001,SUMIFS(Database!V:V,Database!$E:$E,$C19)),-0.00001)</f>
        <v>5</v>
      </c>
      <c r="U19" s="185">
        <f>IFERROR(IF($C19="",-0.00001,SUMIFS(Database!W:W,Database!$E:$E,$C19)),-0.00001)</f>
        <v>8</v>
      </c>
      <c r="V19" s="186">
        <f t="shared" si="2"/>
        <v>0.625</v>
      </c>
      <c r="W19" s="187"/>
      <c r="X19" s="187"/>
      <c r="Y19" s="187"/>
      <c r="Z19" s="187"/>
      <c r="AA19" s="187"/>
      <c r="AB19" s="187"/>
      <c r="AC19" s="187"/>
      <c r="AD19" s="187"/>
      <c r="AE19" s="187"/>
    </row>
    <row r="20" spans="1:31" x14ac:dyDescent="0.25">
      <c r="A20" s="187"/>
      <c r="B20" s="187">
        <f>IF($C20="","",MAX($B$4:$B19)+1)</f>
        <v>17</v>
      </c>
      <c r="C20" s="183" t="s">
        <v>20</v>
      </c>
      <c r="D20" s="183" t="str">
        <f>IFERROR(VLOOKUP($C20,Rosters!$C$4:$M$239,INDEX(Lists!$N$5:$O$80,MATCH($C20,Lists!$N$5:$N$80,FALSE),2)),"")</f>
        <v>Lightning</v>
      </c>
      <c r="E20" s="185">
        <f>IF($C20="",-0.00001,COUNTIF(Database!E:E,$C20))</f>
        <v>4</v>
      </c>
      <c r="F20" s="185">
        <f>IFERROR(IF($C20="",-0.00001,SUMIFS(Database!H:H,Database!$E:$E,$C20)),-0.00001)</f>
        <v>62</v>
      </c>
      <c r="G20" s="185">
        <f>IFERROR(IF($C20="",-0.00001,SUMIFS(Database!I:I,Database!$E:$E,$C20)),-0.00001)</f>
        <v>21</v>
      </c>
      <c r="H20" s="185">
        <f>IFERROR(IF($C20="",-0.00001,SUMIFS(Database!J:J,Database!$E:$E,$C20)),-0.00001)</f>
        <v>8</v>
      </c>
      <c r="I20" s="185">
        <f>IFERROR(IF($C20="",-0.00001,SUMIFS(Database!K:K,Database!$E:$E,$C20)),-0.00001)</f>
        <v>8</v>
      </c>
      <c r="J20" s="185">
        <f>IFERROR(IF($C20="",-0.00001,SUMIFS(Database!L:L,Database!$E:$E,$C20)),-0.00001)</f>
        <v>1</v>
      </c>
      <c r="K20" s="185">
        <f>IFERROR(IF($C20="",-0.00001,SUMIFS(Database!M:M,Database!$E:$E,$C20)),-0.00001)</f>
        <v>3</v>
      </c>
      <c r="L20" s="185">
        <f>IFERROR(IF($C20="",-0.00001,SUMIFS(Database!N:N,Database!$E:$E,$C20)),-0.00001)</f>
        <v>8</v>
      </c>
      <c r="M20" s="185">
        <f>IFERROR(IF($C20="",-0.00001,SUMIFS(Database!O:O,Database!$E:$E,$C20)),-0.00001)</f>
        <v>13</v>
      </c>
      <c r="N20" s="185">
        <f>IFERROR(IF($C20="",-0.00001,SUMIFS(Database!P:P,Database!$E:$E,$C20)),-0.00001)</f>
        <v>7</v>
      </c>
      <c r="O20" s="185">
        <f>IFERROR(IF($C20="",-0.00001,SUMIFS(Database!Q:Q,Database!$E:$E,$C20)),-0.00001)</f>
        <v>25</v>
      </c>
      <c r="P20" s="186">
        <f t="shared" si="0"/>
        <v>0.28000000000000003</v>
      </c>
      <c r="Q20" s="185">
        <f>IFERROR(IF($C20="",-0.00001,SUMIFS(Database!S:S,Database!$E:$E,$C20)),-0.00001)</f>
        <v>27</v>
      </c>
      <c r="R20" s="185">
        <f>IFERROR(IF($C20="",-0.00001,SUMIFS(Database!T:T,Database!$E:$E,$C20)),-0.00001)</f>
        <v>70</v>
      </c>
      <c r="S20" s="186">
        <f t="shared" si="1"/>
        <v>0.38571428571428573</v>
      </c>
      <c r="T20" s="185">
        <f>IFERROR(IF($C20="",-0.00001,SUMIFS(Database!V:V,Database!$E:$E,$C20)),-0.00001)</f>
        <v>1</v>
      </c>
      <c r="U20" s="185">
        <f>IFERROR(IF($C20="",-0.00001,SUMIFS(Database!W:W,Database!$E:$E,$C20)),-0.00001)</f>
        <v>1</v>
      </c>
      <c r="V20" s="186">
        <f t="shared" si="2"/>
        <v>1</v>
      </c>
      <c r="W20" s="187"/>
      <c r="X20" s="187"/>
      <c r="Y20" s="187"/>
      <c r="Z20" s="187"/>
      <c r="AA20" s="187"/>
      <c r="AB20" s="187"/>
      <c r="AC20" s="187"/>
      <c r="AD20" s="187"/>
      <c r="AE20" s="187"/>
    </row>
    <row r="21" spans="1:31" x14ac:dyDescent="0.25">
      <c r="A21" s="187"/>
      <c r="B21" s="187">
        <f>IF($C21="","",MAX($B$4:$B20)+1)</f>
        <v>18</v>
      </c>
      <c r="C21" s="183" t="s">
        <v>99</v>
      </c>
      <c r="D21" s="183" t="str">
        <f>IFERROR(VLOOKUP($C21,Rosters!$C$4:$M$239,INDEX(Lists!$N$5:$O$80,MATCH($C21,Lists!$N$5:$N$80,FALSE),2)),"")</f>
        <v/>
      </c>
      <c r="E21" s="185">
        <f>IF($C21="",-0.00001,COUNTIF(Database!E:E,$C21))</f>
        <v>8</v>
      </c>
      <c r="F21" s="185">
        <f>IFERROR(IF($C21="",-0.00001,SUMIFS(Database!H:H,Database!$E:$E,$C21)),-0.00001)</f>
        <v>52</v>
      </c>
      <c r="G21" s="185">
        <f>IFERROR(IF($C21="",-0.00001,SUMIFS(Database!I:I,Database!$E:$E,$C21)),-0.00001)</f>
        <v>58</v>
      </c>
      <c r="H21" s="185">
        <f>IFERROR(IF($C21="",-0.00001,SUMIFS(Database!J:J,Database!$E:$E,$C21)),-0.00001)</f>
        <v>3</v>
      </c>
      <c r="I21" s="185">
        <f>IFERROR(IF($C21="",-0.00001,SUMIFS(Database!K:K,Database!$E:$E,$C21)),-0.00001)</f>
        <v>6</v>
      </c>
      <c r="J21" s="185">
        <f>IFERROR(IF($C21="",-0.00001,SUMIFS(Database!L:L,Database!$E:$E,$C21)),-0.00001)</f>
        <v>1</v>
      </c>
      <c r="K21" s="185">
        <f>IFERROR(IF($C21="",-0.00001,SUMIFS(Database!M:M,Database!$E:$E,$C21)),-0.00001)</f>
        <v>13</v>
      </c>
      <c r="L21" s="185">
        <f>IFERROR(IF($C21="",-0.00001,SUMIFS(Database!N:N,Database!$E:$E,$C21)),-0.00001)</f>
        <v>24</v>
      </c>
      <c r="M21" s="185">
        <f>IFERROR(IF($C21="",-0.00001,SUMIFS(Database!O:O,Database!$E:$E,$C21)),-0.00001)</f>
        <v>34</v>
      </c>
      <c r="N21" s="185">
        <f>IFERROR(IF($C21="",-0.00001,SUMIFS(Database!P:P,Database!$E:$E,$C21)),-0.00001)</f>
        <v>0</v>
      </c>
      <c r="O21" s="185">
        <f>IFERROR(IF($C21="",-0.00001,SUMIFS(Database!Q:Q,Database!$E:$E,$C21)),-0.00001)</f>
        <v>1</v>
      </c>
      <c r="P21" s="186">
        <f t="shared" si="0"/>
        <v>0</v>
      </c>
      <c r="Q21" s="185">
        <f>IFERROR(IF($C21="",-0.00001,SUMIFS(Database!S:S,Database!$E:$E,$C21)),-0.00001)</f>
        <v>24</v>
      </c>
      <c r="R21" s="185">
        <f>IFERROR(IF($C21="",-0.00001,SUMIFS(Database!T:T,Database!$E:$E,$C21)),-0.00001)</f>
        <v>57</v>
      </c>
      <c r="S21" s="186">
        <f t="shared" si="1"/>
        <v>0.42105263157894735</v>
      </c>
      <c r="T21" s="185">
        <f>IFERROR(IF($C21="",-0.00001,SUMIFS(Database!V:V,Database!$E:$E,$C21)),-0.00001)</f>
        <v>4</v>
      </c>
      <c r="U21" s="185">
        <f>IFERROR(IF($C21="",-0.00001,SUMIFS(Database!W:W,Database!$E:$E,$C21)),-0.00001)</f>
        <v>11</v>
      </c>
      <c r="V21" s="186">
        <f t="shared" si="2"/>
        <v>0.36363636363636365</v>
      </c>
      <c r="W21" s="187"/>
      <c r="X21" s="187"/>
      <c r="Y21" s="187"/>
      <c r="Z21" s="187"/>
      <c r="AA21" s="187"/>
      <c r="AB21" s="187"/>
      <c r="AC21" s="187"/>
      <c r="AD21" s="187"/>
      <c r="AE21" s="187"/>
    </row>
    <row r="22" spans="1:31" x14ac:dyDescent="0.25">
      <c r="A22" s="187"/>
      <c r="B22" s="187">
        <f>IF($C22="","",MAX($B$4:$B21)+1)</f>
        <v>19</v>
      </c>
      <c r="C22" s="183" t="s">
        <v>33</v>
      </c>
      <c r="D22" s="183" t="str">
        <f>IFERROR(VLOOKUP($C22,Rosters!$C$4:$M$239,INDEX(Lists!$N$5:$O$80,MATCH($C22,Lists!$N$5:$N$80,FALSE),2)),"")</f>
        <v>Vandals</v>
      </c>
      <c r="E22" s="185">
        <f>IF($C22="",-0.00001,COUNTIF(Database!E:E,$C22))</f>
        <v>4</v>
      </c>
      <c r="F22" s="185">
        <f>IFERROR(IF($C22="",-0.00001,SUMIFS(Database!H:H,Database!$E:$E,$C22)),-0.00001)</f>
        <v>51</v>
      </c>
      <c r="G22" s="185">
        <f>IFERROR(IF($C22="",-0.00001,SUMIFS(Database!I:I,Database!$E:$E,$C22)),-0.00001)</f>
        <v>59</v>
      </c>
      <c r="H22" s="185">
        <f>IFERROR(IF($C22="",-0.00001,SUMIFS(Database!J:J,Database!$E:$E,$C22)),-0.00001)</f>
        <v>10</v>
      </c>
      <c r="I22" s="185">
        <f>IFERROR(IF($C22="",-0.00001,SUMIFS(Database!K:K,Database!$E:$E,$C22)),-0.00001)</f>
        <v>19</v>
      </c>
      <c r="J22" s="185">
        <f>IFERROR(IF($C22="",-0.00001,SUMIFS(Database!L:L,Database!$E:$E,$C22)),-0.00001)</f>
        <v>4</v>
      </c>
      <c r="K22" s="185">
        <f>IFERROR(IF($C22="",-0.00001,SUMIFS(Database!M:M,Database!$E:$E,$C22)),-0.00001)</f>
        <v>14</v>
      </c>
      <c r="L22" s="185">
        <f>IFERROR(IF($C22="",-0.00001,SUMIFS(Database!N:N,Database!$E:$E,$C22)),-0.00001)</f>
        <v>7</v>
      </c>
      <c r="M22" s="185">
        <f>IFERROR(IF($C22="",-0.00001,SUMIFS(Database!O:O,Database!$E:$E,$C22)),-0.00001)</f>
        <v>41</v>
      </c>
      <c r="N22" s="185">
        <f>IFERROR(IF($C22="",-0.00001,SUMIFS(Database!P:P,Database!$E:$E,$C22)),-0.00001)</f>
        <v>6</v>
      </c>
      <c r="O22" s="185">
        <f>IFERROR(IF($C22="",-0.00001,SUMIFS(Database!Q:Q,Database!$E:$E,$C22)),-0.00001)</f>
        <v>24</v>
      </c>
      <c r="P22" s="186">
        <f t="shared" si="0"/>
        <v>0.25</v>
      </c>
      <c r="Q22" s="185">
        <f>IFERROR(IF($C22="",-0.00001,SUMIFS(Database!S:S,Database!$E:$E,$C22)),-0.00001)</f>
        <v>22</v>
      </c>
      <c r="R22" s="185">
        <f>IFERROR(IF($C22="",-0.00001,SUMIFS(Database!T:T,Database!$E:$E,$C22)),-0.00001)</f>
        <v>63</v>
      </c>
      <c r="S22" s="186">
        <f t="shared" si="1"/>
        <v>0.34920634920634919</v>
      </c>
      <c r="T22" s="185">
        <f>IFERROR(IF($C22="",-0.00001,SUMIFS(Database!V:V,Database!$E:$E,$C22)),-0.00001)</f>
        <v>1</v>
      </c>
      <c r="U22" s="185">
        <f>IFERROR(IF($C22="",-0.00001,SUMIFS(Database!W:W,Database!$E:$E,$C22)),-0.00001)</f>
        <v>2</v>
      </c>
      <c r="V22" s="186">
        <f t="shared" si="2"/>
        <v>0.5</v>
      </c>
      <c r="W22" s="187"/>
      <c r="X22" s="187"/>
      <c r="Y22" s="187"/>
      <c r="Z22" s="187"/>
      <c r="AA22" s="187"/>
      <c r="AB22" s="187"/>
      <c r="AC22" s="187"/>
      <c r="AD22" s="187"/>
      <c r="AE22" s="187"/>
    </row>
    <row r="23" spans="1:31" x14ac:dyDescent="0.25">
      <c r="A23" s="187"/>
      <c r="B23" s="187">
        <f>IF($C23="","",MAX($B$4:$B22)+1)</f>
        <v>20</v>
      </c>
      <c r="C23" s="183" t="s">
        <v>24</v>
      </c>
      <c r="D23" s="183" t="str">
        <f>IFERROR(VLOOKUP($C23,Rosters!$C$4:$M$239,INDEX(Lists!$N$5:$O$80,MATCH($C23,Lists!$N$5:$N$80,FALSE),2)),"")</f>
        <v>Lightning</v>
      </c>
      <c r="E23" s="185">
        <f>IF($C23="",-0.00001,COUNTIF(Database!E:E,$C23))</f>
        <v>10</v>
      </c>
      <c r="F23" s="185">
        <f>IFERROR(IF($C23="",-0.00001,SUMIFS(Database!H:H,Database!$E:$E,$C23)),-0.00001)</f>
        <v>48</v>
      </c>
      <c r="G23" s="185">
        <f>IFERROR(IF($C23="",-0.00001,SUMIFS(Database!I:I,Database!$E:$E,$C23)),-0.00001)</f>
        <v>36</v>
      </c>
      <c r="H23" s="185">
        <f>IFERROR(IF($C23="",-0.00001,SUMIFS(Database!J:J,Database!$E:$E,$C23)),-0.00001)</f>
        <v>10</v>
      </c>
      <c r="I23" s="185">
        <f>IFERROR(IF($C23="",-0.00001,SUMIFS(Database!K:K,Database!$E:$E,$C23)),-0.00001)</f>
        <v>4</v>
      </c>
      <c r="J23" s="185">
        <f>IFERROR(IF($C23="",-0.00001,SUMIFS(Database!L:L,Database!$E:$E,$C23)),-0.00001)</f>
        <v>1</v>
      </c>
      <c r="K23" s="185">
        <f>IFERROR(IF($C23="",-0.00001,SUMIFS(Database!M:M,Database!$E:$E,$C23)),-0.00001)</f>
        <v>15</v>
      </c>
      <c r="L23" s="185">
        <f>IFERROR(IF($C23="",-0.00001,SUMIFS(Database!N:N,Database!$E:$E,$C23)),-0.00001)</f>
        <v>11</v>
      </c>
      <c r="M23" s="185">
        <f>IFERROR(IF($C23="",-0.00001,SUMIFS(Database!O:O,Database!$E:$E,$C23)),-0.00001)</f>
        <v>25</v>
      </c>
      <c r="N23" s="185">
        <f>IFERROR(IF($C23="",-0.00001,SUMIFS(Database!P:P,Database!$E:$E,$C23)),-0.00001)</f>
        <v>0</v>
      </c>
      <c r="O23" s="185">
        <f>IFERROR(IF($C23="",-0.00001,SUMIFS(Database!Q:Q,Database!$E:$E,$C23)),-0.00001)</f>
        <v>0</v>
      </c>
      <c r="P23" s="186">
        <f t="shared" si="0"/>
        <v>-1.0000000000000001E-5</v>
      </c>
      <c r="Q23" s="185">
        <f>IFERROR(IF($C23="",-0.00001,SUMIFS(Database!S:S,Database!$E:$E,$C23)),-0.00001)</f>
        <v>25</v>
      </c>
      <c r="R23" s="185">
        <f>IFERROR(IF($C23="",-0.00001,SUMIFS(Database!T:T,Database!$E:$E,$C23)),-0.00001)</f>
        <v>49</v>
      </c>
      <c r="S23" s="186">
        <f t="shared" si="1"/>
        <v>0.51020408163265307</v>
      </c>
      <c r="T23" s="185">
        <f>IFERROR(IF($C23="",-0.00001,SUMIFS(Database!V:V,Database!$E:$E,$C23)),-0.00001)</f>
        <v>0</v>
      </c>
      <c r="U23" s="185">
        <f>IFERROR(IF($C23="",-0.00001,SUMIFS(Database!W:W,Database!$E:$E,$C23)),-0.00001)</f>
        <v>9</v>
      </c>
      <c r="V23" s="186">
        <f t="shared" si="2"/>
        <v>0</v>
      </c>
      <c r="W23" s="187"/>
      <c r="X23" s="187"/>
      <c r="Y23" s="187"/>
      <c r="Z23" s="187"/>
      <c r="AA23" s="187"/>
      <c r="AB23" s="187"/>
      <c r="AC23" s="187"/>
      <c r="AD23" s="187"/>
      <c r="AE23" s="187"/>
    </row>
    <row r="24" spans="1:31" x14ac:dyDescent="0.25">
      <c r="A24" s="187"/>
      <c r="B24" s="187">
        <f>IF($C24="","",MAX($B$4:$B23)+1)</f>
        <v>21</v>
      </c>
      <c r="C24" s="183" t="s">
        <v>14</v>
      </c>
      <c r="D24" s="183" t="str">
        <f>IFERROR(VLOOKUP($C24,Rosters!$C$4:$M$239,INDEX(Lists!$N$5:$O$80,MATCH($C24,Lists!$N$5:$N$80,FALSE),2)),"")</f>
        <v>Pistons</v>
      </c>
      <c r="E24" s="185">
        <f>IF($C24="",-0.00001,COUNTIF(Database!E:E,$C24))</f>
        <v>3</v>
      </c>
      <c r="F24" s="185">
        <f>IFERROR(IF($C24="",-0.00001,SUMIFS(Database!H:H,Database!$E:$E,$C24)),-0.00001)</f>
        <v>42</v>
      </c>
      <c r="G24" s="185">
        <f>IFERROR(IF($C24="",-0.00001,SUMIFS(Database!I:I,Database!$E:$E,$C24)),-0.00001)</f>
        <v>22</v>
      </c>
      <c r="H24" s="185">
        <f>IFERROR(IF($C24="",-0.00001,SUMIFS(Database!J:J,Database!$E:$E,$C24)),-0.00001)</f>
        <v>5</v>
      </c>
      <c r="I24" s="185">
        <f>IFERROR(IF($C24="",-0.00001,SUMIFS(Database!K:K,Database!$E:$E,$C24)),-0.00001)</f>
        <v>3</v>
      </c>
      <c r="J24" s="185">
        <f>IFERROR(IF($C24="",-0.00001,SUMIFS(Database!L:L,Database!$E:$E,$C24)),-0.00001)</f>
        <v>1</v>
      </c>
      <c r="K24" s="185">
        <f>IFERROR(IF($C24="",-0.00001,SUMIFS(Database!M:M,Database!$E:$E,$C24)),-0.00001)</f>
        <v>2</v>
      </c>
      <c r="L24" s="185">
        <f>IFERROR(IF($C24="",-0.00001,SUMIFS(Database!N:N,Database!$E:$E,$C24)),-0.00001)</f>
        <v>7</v>
      </c>
      <c r="M24" s="185">
        <f>IFERROR(IF($C24="",-0.00001,SUMIFS(Database!O:O,Database!$E:$E,$C24)),-0.00001)</f>
        <v>15</v>
      </c>
      <c r="N24" s="185">
        <f>IFERROR(IF($C24="",-0.00001,SUMIFS(Database!P:P,Database!$E:$E,$C24)),-0.00001)</f>
        <v>10</v>
      </c>
      <c r="O24" s="185">
        <f>IFERROR(IF($C24="",-0.00001,SUMIFS(Database!Q:Q,Database!$E:$E,$C24)),-0.00001)</f>
        <v>33</v>
      </c>
      <c r="P24" s="186">
        <f t="shared" si="0"/>
        <v>0.30303030303030304</v>
      </c>
      <c r="Q24" s="185">
        <f>IFERROR(IF($C24="",-0.00001,SUMIFS(Database!S:S,Database!$E:$E,$C24)),-0.00001)</f>
        <v>16</v>
      </c>
      <c r="R24" s="185">
        <f>IFERROR(IF($C24="",-0.00001,SUMIFS(Database!T:T,Database!$E:$E,$C24)),-0.00001)</f>
        <v>52</v>
      </c>
      <c r="S24" s="186">
        <f t="shared" si="1"/>
        <v>0.30769230769230771</v>
      </c>
      <c r="T24" s="185">
        <f>IFERROR(IF($C24="",-0.00001,SUMIFS(Database!V:V,Database!$E:$E,$C24)),-0.00001)</f>
        <v>0</v>
      </c>
      <c r="U24" s="185">
        <f>IFERROR(IF($C24="",-0.00001,SUMIFS(Database!W:W,Database!$E:$E,$C24)),-0.00001)</f>
        <v>1</v>
      </c>
      <c r="V24" s="186">
        <f t="shared" si="2"/>
        <v>0</v>
      </c>
      <c r="W24" s="187"/>
      <c r="X24" s="187"/>
      <c r="Y24" s="187"/>
      <c r="Z24" s="187"/>
      <c r="AA24" s="187"/>
      <c r="AB24" s="187"/>
      <c r="AC24" s="187"/>
      <c r="AD24" s="187"/>
      <c r="AE24" s="187"/>
    </row>
    <row r="25" spans="1:31" x14ac:dyDescent="0.25">
      <c r="A25" s="187"/>
      <c r="B25" s="187">
        <f>IF($C25="","",MAX($B$4:$B24)+1)</f>
        <v>22</v>
      </c>
      <c r="C25" s="183" t="s">
        <v>34</v>
      </c>
      <c r="D25" s="183" t="str">
        <f>IFERROR(VLOOKUP($C25,Rosters!$C$4:$M$239,INDEX(Lists!$N$5:$O$80,MATCH($C25,Lists!$N$5:$N$80,FALSE),2)),"")</f>
        <v>Vandals</v>
      </c>
      <c r="E25" s="185">
        <f>IF($C25="",-0.00001,COUNTIF(Database!E:E,$C25))</f>
        <v>3</v>
      </c>
      <c r="F25" s="185">
        <f>IFERROR(IF($C25="",-0.00001,SUMIFS(Database!H:H,Database!$E:$E,$C25)),-0.00001)</f>
        <v>42</v>
      </c>
      <c r="G25" s="185">
        <f>IFERROR(IF($C25="",-0.00001,SUMIFS(Database!I:I,Database!$E:$E,$C25)),-0.00001)</f>
        <v>30</v>
      </c>
      <c r="H25" s="185">
        <f>IFERROR(IF($C25="",-0.00001,SUMIFS(Database!J:J,Database!$E:$E,$C25)),-0.00001)</f>
        <v>6</v>
      </c>
      <c r="I25" s="185">
        <f>IFERROR(IF($C25="",-0.00001,SUMIFS(Database!K:K,Database!$E:$E,$C25)),-0.00001)</f>
        <v>8</v>
      </c>
      <c r="J25" s="185">
        <f>IFERROR(IF($C25="",-0.00001,SUMIFS(Database!L:L,Database!$E:$E,$C25)),-0.00001)</f>
        <v>0</v>
      </c>
      <c r="K25" s="185">
        <f>IFERROR(IF($C25="",-0.00001,SUMIFS(Database!M:M,Database!$E:$E,$C25)),-0.00001)</f>
        <v>13</v>
      </c>
      <c r="L25" s="185">
        <f>IFERROR(IF($C25="",-0.00001,SUMIFS(Database!N:N,Database!$E:$E,$C25)),-0.00001)</f>
        <v>7</v>
      </c>
      <c r="M25" s="185">
        <f>IFERROR(IF($C25="",-0.00001,SUMIFS(Database!O:O,Database!$E:$E,$C25)),-0.00001)</f>
        <v>12</v>
      </c>
      <c r="N25" s="185">
        <f>IFERROR(IF($C25="",-0.00001,SUMIFS(Database!P:P,Database!$E:$E,$C25)),-0.00001)</f>
        <v>2</v>
      </c>
      <c r="O25" s="185">
        <f>IFERROR(IF($C25="",-0.00001,SUMIFS(Database!Q:Q,Database!$E:$E,$C25)),-0.00001)</f>
        <v>8</v>
      </c>
      <c r="P25" s="186">
        <f t="shared" si="0"/>
        <v>0.25</v>
      </c>
      <c r="Q25" s="185">
        <f>IFERROR(IF($C25="",-0.00001,SUMIFS(Database!S:S,Database!$E:$E,$C25)),-0.00001)</f>
        <v>17</v>
      </c>
      <c r="R25" s="185">
        <f>IFERROR(IF($C25="",-0.00001,SUMIFS(Database!T:T,Database!$E:$E,$C25)),-0.00001)</f>
        <v>42</v>
      </c>
      <c r="S25" s="186">
        <f t="shared" si="1"/>
        <v>0.40476190476190477</v>
      </c>
      <c r="T25" s="185">
        <f>IFERROR(IF($C25="",-0.00001,SUMIFS(Database!V:V,Database!$E:$E,$C25)),-0.00001)</f>
        <v>6</v>
      </c>
      <c r="U25" s="185">
        <f>IFERROR(IF($C25="",-0.00001,SUMIFS(Database!W:W,Database!$E:$E,$C25)),-0.00001)</f>
        <v>7</v>
      </c>
      <c r="V25" s="186">
        <f t="shared" si="2"/>
        <v>0.8571428571428571</v>
      </c>
      <c r="W25" s="187"/>
      <c r="X25" s="187"/>
      <c r="Y25" s="187"/>
      <c r="Z25" s="187"/>
      <c r="AA25" s="187"/>
      <c r="AB25" s="187"/>
      <c r="AC25" s="187"/>
      <c r="AD25" s="187"/>
      <c r="AE25" s="187"/>
    </row>
    <row r="26" spans="1:31" x14ac:dyDescent="0.25">
      <c r="A26" s="187"/>
      <c r="B26" s="187">
        <f>IF($C26="","",MAX($B$4:$B25)+1)</f>
        <v>23</v>
      </c>
      <c r="C26" s="183" t="s">
        <v>35</v>
      </c>
      <c r="D26" s="183" t="str">
        <f>IFERROR(VLOOKUP($C26,Rosters!$C$4:$M$239,INDEX(Lists!$N$5:$O$80,MATCH($C26,Lists!$N$5:$N$80,FALSE),2)),"")</f>
        <v>Vandals</v>
      </c>
      <c r="E26" s="185">
        <f>IF($C26="",-0.00001,COUNTIF(Database!E:E,$C26))</f>
        <v>11</v>
      </c>
      <c r="F26" s="185">
        <f>IFERROR(IF($C26="",-0.00001,SUMIFS(Database!H:H,Database!$E:$E,$C26)),-0.00001)</f>
        <v>40</v>
      </c>
      <c r="G26" s="185">
        <f>IFERROR(IF($C26="",-0.00001,SUMIFS(Database!I:I,Database!$E:$E,$C26)),-0.00001)</f>
        <v>51</v>
      </c>
      <c r="H26" s="185">
        <f>IFERROR(IF($C26="",-0.00001,SUMIFS(Database!J:J,Database!$E:$E,$C26)),-0.00001)</f>
        <v>11</v>
      </c>
      <c r="I26" s="185">
        <f>IFERROR(IF($C26="",-0.00001,SUMIFS(Database!K:K,Database!$E:$E,$C26)),-0.00001)</f>
        <v>6</v>
      </c>
      <c r="J26" s="185">
        <f>IFERROR(IF($C26="",-0.00001,SUMIFS(Database!L:L,Database!$E:$E,$C26)),-0.00001)</f>
        <v>2</v>
      </c>
      <c r="K26" s="185">
        <f>IFERROR(IF($C26="",-0.00001,SUMIFS(Database!M:M,Database!$E:$E,$C26)),-0.00001)</f>
        <v>6</v>
      </c>
      <c r="L26" s="185">
        <f>IFERROR(IF($C26="",-0.00001,SUMIFS(Database!N:N,Database!$E:$E,$C26)),-0.00001)</f>
        <v>6</v>
      </c>
      <c r="M26" s="185">
        <f>IFERROR(IF($C26="",-0.00001,SUMIFS(Database!O:O,Database!$E:$E,$C26)),-0.00001)</f>
        <v>43</v>
      </c>
      <c r="N26" s="185">
        <f>IFERROR(IF($C26="",-0.00001,SUMIFS(Database!P:P,Database!$E:$E,$C26)),-0.00001)</f>
        <v>6</v>
      </c>
      <c r="O26" s="185">
        <f>IFERROR(IF($C26="",-0.00001,SUMIFS(Database!Q:Q,Database!$E:$E,$C26)),-0.00001)</f>
        <v>27</v>
      </c>
      <c r="P26" s="186">
        <f t="shared" si="0"/>
        <v>0.22222222222222221</v>
      </c>
      <c r="Q26" s="185">
        <f>IFERROR(IF($C26="",-0.00001,SUMIFS(Database!S:S,Database!$E:$E,$C26)),-0.00001)</f>
        <v>17</v>
      </c>
      <c r="R26" s="185">
        <f>IFERROR(IF($C26="",-0.00001,SUMIFS(Database!T:T,Database!$E:$E,$C26)),-0.00001)</f>
        <v>46</v>
      </c>
      <c r="S26" s="186">
        <f t="shared" si="1"/>
        <v>0.36956521739130432</v>
      </c>
      <c r="T26" s="185">
        <f>IFERROR(IF($C26="",-0.00001,SUMIFS(Database!V:V,Database!$E:$E,$C26)),-0.00001)</f>
        <v>1</v>
      </c>
      <c r="U26" s="185">
        <f>IFERROR(IF($C26="",-0.00001,SUMIFS(Database!W:W,Database!$E:$E,$C26)),-0.00001)</f>
        <v>1</v>
      </c>
      <c r="V26" s="186">
        <f t="shared" si="2"/>
        <v>1</v>
      </c>
      <c r="W26" s="187"/>
      <c r="X26" s="187"/>
      <c r="Y26" s="187"/>
      <c r="Z26" s="187"/>
      <c r="AA26" s="187"/>
      <c r="AB26" s="187"/>
      <c r="AC26" s="187"/>
      <c r="AD26" s="187"/>
      <c r="AE26" s="187"/>
    </row>
    <row r="27" spans="1:31" x14ac:dyDescent="0.25">
      <c r="A27" s="187"/>
      <c r="B27" s="187">
        <f>IF($C27="","",MAX($B$4:$B26)+1)</f>
        <v>24</v>
      </c>
      <c r="C27" s="183" t="s">
        <v>23</v>
      </c>
      <c r="D27" s="183" t="str">
        <f>IFERROR(VLOOKUP($C27,Rosters!$C$4:$M$239,INDEX(Lists!$N$5:$O$80,MATCH($C27,Lists!$N$5:$N$80,FALSE),2)),"")</f>
        <v>Lightning</v>
      </c>
      <c r="E27" s="185">
        <f>IF($C27="",-0.00001,COUNTIF(Database!E:E,$C27))</f>
        <v>4</v>
      </c>
      <c r="F27" s="185">
        <f>IFERROR(IF($C27="",-0.00001,SUMIFS(Database!H:H,Database!$E:$E,$C27)),-0.00001)</f>
        <v>37</v>
      </c>
      <c r="G27" s="185">
        <f>IFERROR(IF($C27="",-0.00001,SUMIFS(Database!I:I,Database!$E:$E,$C27)),-0.00001)</f>
        <v>21</v>
      </c>
      <c r="H27" s="185">
        <f>IFERROR(IF($C27="",-0.00001,SUMIFS(Database!J:J,Database!$E:$E,$C27)),-0.00001)</f>
        <v>11</v>
      </c>
      <c r="I27" s="185">
        <f>IFERROR(IF($C27="",-0.00001,SUMIFS(Database!K:K,Database!$E:$E,$C27)),-0.00001)</f>
        <v>8</v>
      </c>
      <c r="J27" s="185">
        <f>IFERROR(IF($C27="",-0.00001,SUMIFS(Database!L:L,Database!$E:$E,$C27)),-0.00001)</f>
        <v>0</v>
      </c>
      <c r="K27" s="185">
        <f>IFERROR(IF($C27="",-0.00001,SUMIFS(Database!M:M,Database!$E:$E,$C27)),-0.00001)</f>
        <v>9</v>
      </c>
      <c r="L27" s="185">
        <f>IFERROR(IF($C27="",-0.00001,SUMIFS(Database!N:N,Database!$E:$E,$C27)),-0.00001)</f>
        <v>4</v>
      </c>
      <c r="M27" s="185">
        <f>IFERROR(IF($C27="",-0.00001,SUMIFS(Database!O:O,Database!$E:$E,$C27)),-0.00001)</f>
        <v>17</v>
      </c>
      <c r="N27" s="185">
        <f>IFERROR(IF($C27="",-0.00001,SUMIFS(Database!P:P,Database!$E:$E,$C27)),-0.00001)</f>
        <v>5</v>
      </c>
      <c r="O27" s="185">
        <f>IFERROR(IF($C27="",-0.00001,SUMIFS(Database!Q:Q,Database!$E:$E,$C27)),-0.00001)</f>
        <v>19</v>
      </c>
      <c r="P27" s="186">
        <f t="shared" si="0"/>
        <v>0.26315789473684209</v>
      </c>
      <c r="Q27" s="185">
        <f>IFERROR(IF($C27="",-0.00001,SUMIFS(Database!S:S,Database!$E:$E,$C27)),-0.00001)</f>
        <v>16</v>
      </c>
      <c r="R27" s="185">
        <f>IFERROR(IF($C27="",-0.00001,SUMIFS(Database!T:T,Database!$E:$E,$C27)),-0.00001)</f>
        <v>41</v>
      </c>
      <c r="S27" s="186">
        <f t="shared" si="1"/>
        <v>0.3902439024390244</v>
      </c>
      <c r="T27" s="185">
        <f>IFERROR(IF($C27="",-0.00001,SUMIFS(Database!V:V,Database!$E:$E,$C27)),-0.00001)</f>
        <v>0</v>
      </c>
      <c r="U27" s="185">
        <f>IFERROR(IF($C27="",-0.00001,SUMIFS(Database!W:W,Database!$E:$E,$C27)),-0.00001)</f>
        <v>0</v>
      </c>
      <c r="V27" s="186">
        <f t="shared" si="2"/>
        <v>-1.0000000000000001E-5</v>
      </c>
      <c r="W27" s="187"/>
      <c r="X27" s="187"/>
      <c r="Y27" s="187"/>
      <c r="Z27" s="187"/>
      <c r="AA27" s="187"/>
      <c r="AB27" s="187"/>
      <c r="AC27" s="187"/>
      <c r="AD27" s="187"/>
      <c r="AE27" s="187"/>
    </row>
    <row r="28" spans="1:31" x14ac:dyDescent="0.25">
      <c r="A28" s="187"/>
      <c r="B28" s="187">
        <f>IF($C28="","",MAX($B$4:$B27)+1)</f>
        <v>25</v>
      </c>
      <c r="C28" s="183" t="s">
        <v>21</v>
      </c>
      <c r="D28" s="183" t="str">
        <f>IFERROR(VLOOKUP($C28,Rosters!$C$4:$M$239,INDEX(Lists!$N$5:$O$80,MATCH($C28,Lists!$N$5:$N$80,FALSE),2)),"")</f>
        <v>Lightning</v>
      </c>
      <c r="E28" s="185">
        <f>IF($C28="",-0.00001,COUNTIF(Database!E:E,$C28))</f>
        <v>4</v>
      </c>
      <c r="F28" s="185">
        <f>IFERROR(IF($C28="",-0.00001,SUMIFS(Database!H:H,Database!$E:$E,$C28)),-0.00001)</f>
        <v>36</v>
      </c>
      <c r="G28" s="185">
        <f>IFERROR(IF($C28="",-0.00001,SUMIFS(Database!I:I,Database!$E:$E,$C28)),-0.00001)</f>
        <v>28</v>
      </c>
      <c r="H28" s="185">
        <f>IFERROR(IF($C28="",-0.00001,SUMIFS(Database!J:J,Database!$E:$E,$C28)),-0.00001)</f>
        <v>2</v>
      </c>
      <c r="I28" s="185">
        <f>IFERROR(IF($C28="",-0.00001,SUMIFS(Database!K:K,Database!$E:$E,$C28)),-0.00001)</f>
        <v>2</v>
      </c>
      <c r="J28" s="185">
        <f>IFERROR(IF($C28="",-0.00001,SUMIFS(Database!L:L,Database!$E:$E,$C28)),-0.00001)</f>
        <v>0</v>
      </c>
      <c r="K28" s="185">
        <f>IFERROR(IF($C28="",-0.00001,SUMIFS(Database!M:M,Database!$E:$E,$C28)),-0.00001)</f>
        <v>4</v>
      </c>
      <c r="L28" s="185">
        <f>IFERROR(IF($C28="",-0.00001,SUMIFS(Database!N:N,Database!$E:$E,$C28)),-0.00001)</f>
        <v>10</v>
      </c>
      <c r="M28" s="185">
        <f>IFERROR(IF($C28="",-0.00001,SUMIFS(Database!O:O,Database!$E:$E,$C28)),-0.00001)</f>
        <v>18</v>
      </c>
      <c r="N28" s="185">
        <f>IFERROR(IF($C28="",-0.00001,SUMIFS(Database!P:P,Database!$E:$E,$C28)),-0.00001)</f>
        <v>1</v>
      </c>
      <c r="O28" s="185">
        <f>IFERROR(IF($C28="",-0.00001,SUMIFS(Database!Q:Q,Database!$E:$E,$C28)),-0.00001)</f>
        <v>5</v>
      </c>
      <c r="P28" s="186">
        <f t="shared" si="0"/>
        <v>0.2</v>
      </c>
      <c r="Q28" s="185">
        <f>IFERROR(IF($C28="",-0.00001,SUMIFS(Database!S:S,Database!$E:$E,$C28)),-0.00001)</f>
        <v>16</v>
      </c>
      <c r="R28" s="185">
        <f>IFERROR(IF($C28="",-0.00001,SUMIFS(Database!T:T,Database!$E:$E,$C28)),-0.00001)</f>
        <v>49</v>
      </c>
      <c r="S28" s="186">
        <f t="shared" si="1"/>
        <v>0.32653061224489793</v>
      </c>
      <c r="T28" s="185">
        <f>IFERROR(IF($C28="",-0.00001,SUMIFS(Database!V:V,Database!$E:$E,$C28)),-0.00001)</f>
        <v>3</v>
      </c>
      <c r="U28" s="185">
        <f>IFERROR(IF($C28="",-0.00001,SUMIFS(Database!W:W,Database!$E:$E,$C28)),-0.00001)</f>
        <v>3</v>
      </c>
      <c r="V28" s="186">
        <f t="shared" si="2"/>
        <v>1</v>
      </c>
      <c r="W28" s="187"/>
      <c r="X28" s="187"/>
      <c r="Y28" s="187"/>
      <c r="Z28" s="187"/>
      <c r="AA28" s="187"/>
      <c r="AB28" s="187"/>
      <c r="AC28" s="187"/>
      <c r="AD28" s="187"/>
      <c r="AE28" s="187"/>
    </row>
    <row r="29" spans="1:31" x14ac:dyDescent="0.25">
      <c r="A29" s="187"/>
      <c r="B29" s="187">
        <f>IF($C29="","",MAX($B$4:$B28)+1)</f>
        <v>26</v>
      </c>
      <c r="C29" s="183" t="s">
        <v>3</v>
      </c>
      <c r="D29" s="183" t="str">
        <f>IFERROR(VLOOKUP($C29,Rosters!$C$4:$M$239,INDEX(Lists!$N$5:$O$80,MATCH($C29,Lists!$N$5:$N$80,FALSE),2)),"")</f>
        <v>Mustangs</v>
      </c>
      <c r="E29" s="185">
        <f>IF($C29="",-0.00001,COUNTIF(Database!E:E,$C29))</f>
        <v>3</v>
      </c>
      <c r="F29" s="185">
        <f>IFERROR(IF($C29="",-0.00001,SUMIFS(Database!H:H,Database!$E:$E,$C29)),-0.00001)</f>
        <v>35</v>
      </c>
      <c r="G29" s="185">
        <f>IFERROR(IF($C29="",-0.00001,SUMIFS(Database!I:I,Database!$E:$E,$C29)),-0.00001)</f>
        <v>16</v>
      </c>
      <c r="H29" s="185">
        <f>IFERROR(IF($C29="",-0.00001,SUMIFS(Database!J:J,Database!$E:$E,$C29)),-0.00001)</f>
        <v>6</v>
      </c>
      <c r="I29" s="185">
        <f>IFERROR(IF($C29="",-0.00001,SUMIFS(Database!K:K,Database!$E:$E,$C29)),-0.00001)</f>
        <v>7</v>
      </c>
      <c r="J29" s="185">
        <f>IFERROR(IF($C29="",-0.00001,SUMIFS(Database!L:L,Database!$E:$E,$C29)),-0.00001)</f>
        <v>1</v>
      </c>
      <c r="K29" s="185">
        <f>IFERROR(IF($C29="",-0.00001,SUMIFS(Database!M:M,Database!$E:$E,$C29)),-0.00001)</f>
        <v>4</v>
      </c>
      <c r="L29" s="185">
        <f>IFERROR(IF($C29="",-0.00001,SUMIFS(Database!N:N,Database!$E:$E,$C29)),-0.00001)</f>
        <v>1</v>
      </c>
      <c r="M29" s="185">
        <f>IFERROR(IF($C29="",-0.00001,SUMIFS(Database!O:O,Database!$E:$E,$C29)),-0.00001)</f>
        <v>11</v>
      </c>
      <c r="N29" s="185">
        <f>IFERROR(IF($C29="",-0.00001,SUMIFS(Database!P:P,Database!$E:$E,$C29)),-0.00001)</f>
        <v>5</v>
      </c>
      <c r="O29" s="185">
        <f>IFERROR(IF($C29="",-0.00001,SUMIFS(Database!Q:Q,Database!$E:$E,$C29)),-0.00001)</f>
        <v>24</v>
      </c>
      <c r="P29" s="186">
        <f t="shared" si="0"/>
        <v>0.20833333333333334</v>
      </c>
      <c r="Q29" s="185">
        <f>IFERROR(IF($C29="",-0.00001,SUMIFS(Database!S:S,Database!$E:$E,$C29)),-0.00001)</f>
        <v>15</v>
      </c>
      <c r="R29" s="185">
        <f>IFERROR(IF($C29="",-0.00001,SUMIFS(Database!T:T,Database!$E:$E,$C29)),-0.00001)</f>
        <v>42</v>
      </c>
      <c r="S29" s="186">
        <f t="shared" si="1"/>
        <v>0.35714285714285715</v>
      </c>
      <c r="T29" s="185">
        <f>IFERROR(IF($C29="",-0.00001,SUMIFS(Database!V:V,Database!$E:$E,$C29)),-0.00001)</f>
        <v>0</v>
      </c>
      <c r="U29" s="185">
        <f>IFERROR(IF($C29="",-0.00001,SUMIFS(Database!W:W,Database!$E:$E,$C29)),-0.00001)</f>
        <v>0</v>
      </c>
      <c r="V29" s="186">
        <f t="shared" si="2"/>
        <v>-1.0000000000000001E-5</v>
      </c>
      <c r="W29" s="187"/>
      <c r="X29" s="187"/>
      <c r="Y29" s="187"/>
      <c r="Z29" s="187"/>
      <c r="AA29" s="187"/>
      <c r="AB29" s="187"/>
      <c r="AC29" s="187"/>
      <c r="AD29" s="187"/>
      <c r="AE29" s="187"/>
    </row>
    <row r="30" spans="1:31" x14ac:dyDescent="0.25">
      <c r="A30" s="187"/>
      <c r="B30" s="187">
        <f>IF($C30="","",MAX($B$4:$B29)+1)</f>
        <v>27</v>
      </c>
      <c r="C30" s="183" t="s">
        <v>22</v>
      </c>
      <c r="D30" s="183" t="str">
        <f>IFERROR(VLOOKUP($C30,Rosters!$C$4:$M$239,INDEX(Lists!$N$5:$O$80,MATCH($C30,Lists!$N$5:$N$80,FALSE),2)),"")</f>
        <v>Lightning</v>
      </c>
      <c r="E30" s="185">
        <f>IF($C30="",-0.00001,COUNTIF(Database!E:E,$C30))</f>
        <v>2</v>
      </c>
      <c r="F30" s="185">
        <f>IFERROR(IF($C30="",-0.00001,SUMIFS(Database!H:H,Database!$E:$E,$C30)),-0.00001)</f>
        <v>35</v>
      </c>
      <c r="G30" s="185">
        <f>IFERROR(IF($C30="",-0.00001,SUMIFS(Database!I:I,Database!$E:$E,$C30)),-0.00001)</f>
        <v>14</v>
      </c>
      <c r="H30" s="185">
        <f>IFERROR(IF($C30="",-0.00001,SUMIFS(Database!J:J,Database!$E:$E,$C30)),-0.00001)</f>
        <v>6</v>
      </c>
      <c r="I30" s="185">
        <f>IFERROR(IF($C30="",-0.00001,SUMIFS(Database!K:K,Database!$E:$E,$C30)),-0.00001)</f>
        <v>5</v>
      </c>
      <c r="J30" s="185">
        <f>IFERROR(IF($C30="",-0.00001,SUMIFS(Database!L:L,Database!$E:$E,$C30)),-0.00001)</f>
        <v>0</v>
      </c>
      <c r="K30" s="185">
        <f>IFERROR(IF($C30="",-0.00001,SUMIFS(Database!M:M,Database!$E:$E,$C30)),-0.00001)</f>
        <v>5</v>
      </c>
      <c r="L30" s="185">
        <f>IFERROR(IF($C30="",-0.00001,SUMIFS(Database!N:N,Database!$E:$E,$C30)),-0.00001)</f>
        <v>2</v>
      </c>
      <c r="M30" s="185">
        <f>IFERROR(IF($C30="",-0.00001,SUMIFS(Database!O:O,Database!$E:$E,$C30)),-0.00001)</f>
        <v>12</v>
      </c>
      <c r="N30" s="185">
        <f>IFERROR(IF($C30="",-0.00001,SUMIFS(Database!P:P,Database!$E:$E,$C30)),-0.00001)</f>
        <v>8</v>
      </c>
      <c r="O30" s="185">
        <f>IFERROR(IF($C30="",-0.00001,SUMIFS(Database!Q:Q,Database!$E:$E,$C30)),-0.00001)</f>
        <v>22</v>
      </c>
      <c r="P30" s="186">
        <f t="shared" si="0"/>
        <v>0.36363636363636365</v>
      </c>
      <c r="Q30" s="185">
        <f>IFERROR(IF($C30="",-0.00001,SUMIFS(Database!S:S,Database!$E:$E,$C30)),-0.00001)</f>
        <v>13</v>
      </c>
      <c r="R30" s="185">
        <f>IFERROR(IF($C30="",-0.00001,SUMIFS(Database!T:T,Database!$E:$E,$C30)),-0.00001)</f>
        <v>32</v>
      </c>
      <c r="S30" s="186">
        <f t="shared" si="1"/>
        <v>0.40625</v>
      </c>
      <c r="T30" s="185">
        <f>IFERROR(IF($C30="",-0.00001,SUMIFS(Database!V:V,Database!$E:$E,$C30)),-0.00001)</f>
        <v>1</v>
      </c>
      <c r="U30" s="185">
        <f>IFERROR(IF($C30="",-0.00001,SUMIFS(Database!W:W,Database!$E:$E,$C30)),-0.00001)</f>
        <v>2</v>
      </c>
      <c r="V30" s="186">
        <f t="shared" si="2"/>
        <v>0.5</v>
      </c>
      <c r="W30" s="187"/>
      <c r="X30" s="187"/>
      <c r="Y30" s="187"/>
      <c r="Z30" s="187"/>
      <c r="AA30" s="187"/>
      <c r="AB30" s="187"/>
      <c r="AC30" s="187"/>
      <c r="AD30" s="187"/>
      <c r="AE30" s="187"/>
    </row>
    <row r="31" spans="1:31" x14ac:dyDescent="0.25">
      <c r="A31" s="187"/>
      <c r="B31" s="187">
        <f>IF($C31="","",MAX($B$4:$B30)+1)</f>
        <v>28</v>
      </c>
      <c r="C31" s="183" t="s">
        <v>11</v>
      </c>
      <c r="D31" s="183" t="str">
        <f>IFERROR(VLOOKUP($C31,Rosters!$C$4:$M$239,INDEX(Lists!$N$5:$O$80,MATCH($C31,Lists!$N$5:$N$80,FALSE),2)),"")</f>
        <v>Wombats</v>
      </c>
      <c r="E31" s="185">
        <f>IF($C31="",-0.00001,COUNTIF(Database!E:E,$C31))</f>
        <v>10</v>
      </c>
      <c r="F31" s="185">
        <f>IFERROR(IF($C31="",-0.00001,SUMIFS(Database!H:H,Database!$E:$E,$C31)),-0.00001)</f>
        <v>31</v>
      </c>
      <c r="G31" s="185">
        <f>IFERROR(IF($C31="",-0.00001,SUMIFS(Database!I:I,Database!$E:$E,$C31)),-0.00001)</f>
        <v>52</v>
      </c>
      <c r="H31" s="185">
        <f>IFERROR(IF($C31="",-0.00001,SUMIFS(Database!J:J,Database!$E:$E,$C31)),-0.00001)</f>
        <v>9</v>
      </c>
      <c r="I31" s="185">
        <f>IFERROR(IF($C31="",-0.00001,SUMIFS(Database!K:K,Database!$E:$E,$C31)),-0.00001)</f>
        <v>10</v>
      </c>
      <c r="J31" s="185">
        <f>IFERROR(IF($C31="",-0.00001,SUMIFS(Database!L:L,Database!$E:$E,$C31)),-0.00001)</f>
        <v>5</v>
      </c>
      <c r="K31" s="185">
        <f>IFERROR(IF($C31="",-0.00001,SUMIFS(Database!M:M,Database!$E:$E,$C31)),-0.00001)</f>
        <v>10</v>
      </c>
      <c r="L31" s="185">
        <f>IFERROR(IF($C31="",-0.00001,SUMIFS(Database!N:N,Database!$E:$E,$C31)),-0.00001)</f>
        <v>10</v>
      </c>
      <c r="M31" s="185">
        <f>IFERROR(IF($C31="",-0.00001,SUMIFS(Database!O:O,Database!$E:$E,$C31)),-0.00001)</f>
        <v>42</v>
      </c>
      <c r="N31" s="185">
        <f>IFERROR(IF($C31="",-0.00001,SUMIFS(Database!P:P,Database!$E:$E,$C31)),-0.00001)</f>
        <v>5</v>
      </c>
      <c r="O31" s="185">
        <f>IFERROR(IF($C31="",-0.00001,SUMIFS(Database!Q:Q,Database!$E:$E,$C31)),-0.00001)</f>
        <v>23</v>
      </c>
      <c r="P31" s="186">
        <f t="shared" si="0"/>
        <v>0.21739130434782608</v>
      </c>
      <c r="Q31" s="185">
        <f>IFERROR(IF($C31="",-0.00001,SUMIFS(Database!S:S,Database!$E:$E,$C31)),-0.00001)</f>
        <v>13</v>
      </c>
      <c r="R31" s="185">
        <f>IFERROR(IF($C31="",-0.00001,SUMIFS(Database!T:T,Database!$E:$E,$C31)),-0.00001)</f>
        <v>38</v>
      </c>
      <c r="S31" s="186">
        <f t="shared" si="1"/>
        <v>0.34210526315789475</v>
      </c>
      <c r="T31" s="185">
        <f>IFERROR(IF($C31="",-0.00001,SUMIFS(Database!V:V,Database!$E:$E,$C31)),-0.00001)</f>
        <v>1</v>
      </c>
      <c r="U31" s="185">
        <f>IFERROR(IF($C31="",-0.00001,SUMIFS(Database!W:W,Database!$E:$E,$C31)),-0.00001)</f>
        <v>2</v>
      </c>
      <c r="V31" s="186">
        <f t="shared" si="2"/>
        <v>0.5</v>
      </c>
      <c r="W31" s="187"/>
      <c r="X31" s="187"/>
      <c r="Y31" s="187"/>
      <c r="Z31" s="187"/>
      <c r="AA31" s="187"/>
      <c r="AB31" s="187"/>
      <c r="AC31" s="187"/>
      <c r="AD31" s="187"/>
      <c r="AE31" s="187"/>
    </row>
    <row r="32" spans="1:31" x14ac:dyDescent="0.25">
      <c r="A32" s="187"/>
      <c r="B32" s="187">
        <f>IF($C32="","",MAX($B$4:$B31)+1)</f>
        <v>29</v>
      </c>
      <c r="C32" s="183" t="s">
        <v>30</v>
      </c>
      <c r="D32" s="183" t="str">
        <f>IFERROR(VLOOKUP($C32,Rosters!$C$4:$M$239,INDEX(Lists!$N$5:$O$80,MATCH($C32,Lists!$N$5:$N$80,FALSE),2)),"")</f>
        <v>Wombats</v>
      </c>
      <c r="E32" s="185">
        <f>IF($C32="",-0.00001,COUNTIF(Database!E:E,$C32))</f>
        <v>11</v>
      </c>
      <c r="F32" s="185">
        <f>IFERROR(IF($C32="",-0.00001,SUMIFS(Database!H:H,Database!$E:$E,$C32)),-0.00001)</f>
        <v>30</v>
      </c>
      <c r="G32" s="185">
        <f>IFERROR(IF($C32="",-0.00001,SUMIFS(Database!I:I,Database!$E:$E,$C32)),-0.00001)</f>
        <v>31</v>
      </c>
      <c r="H32" s="185">
        <f>IFERROR(IF($C32="",-0.00001,SUMIFS(Database!J:J,Database!$E:$E,$C32)),-0.00001)</f>
        <v>6</v>
      </c>
      <c r="I32" s="185">
        <f>IFERROR(IF($C32="",-0.00001,SUMIFS(Database!K:K,Database!$E:$E,$C32)),-0.00001)</f>
        <v>3</v>
      </c>
      <c r="J32" s="185">
        <f>IFERROR(IF($C32="",-0.00001,SUMIFS(Database!L:L,Database!$E:$E,$C32)),-0.00001)</f>
        <v>1</v>
      </c>
      <c r="K32" s="185">
        <f>IFERROR(IF($C32="",-0.00001,SUMIFS(Database!M:M,Database!$E:$E,$C32)),-0.00001)</f>
        <v>13</v>
      </c>
      <c r="L32" s="185">
        <f>IFERROR(IF($C32="",-0.00001,SUMIFS(Database!N:N,Database!$E:$E,$C32)),-0.00001)</f>
        <v>8</v>
      </c>
      <c r="M32" s="185">
        <f>IFERROR(IF($C32="",-0.00001,SUMIFS(Database!O:O,Database!$E:$E,$C32)),-0.00001)</f>
        <v>23</v>
      </c>
      <c r="N32" s="185">
        <f>IFERROR(IF($C32="",-0.00001,SUMIFS(Database!P:P,Database!$E:$E,$C32)),-0.00001)</f>
        <v>6</v>
      </c>
      <c r="O32" s="185">
        <f>IFERROR(IF($C32="",-0.00001,SUMIFS(Database!Q:Q,Database!$E:$E,$C32)),-0.00001)</f>
        <v>33</v>
      </c>
      <c r="P32" s="186">
        <f t="shared" si="0"/>
        <v>0.18181818181818182</v>
      </c>
      <c r="Q32" s="185">
        <f>IFERROR(IF($C32="",-0.00001,SUMIFS(Database!S:S,Database!$E:$E,$C32)),-0.00001)</f>
        <v>12</v>
      </c>
      <c r="R32" s="185">
        <f>IFERROR(IF($C32="",-0.00001,SUMIFS(Database!T:T,Database!$E:$E,$C32)),-0.00001)</f>
        <v>46</v>
      </c>
      <c r="S32" s="186">
        <f t="shared" si="1"/>
        <v>0.2608695652173913</v>
      </c>
      <c r="T32" s="185">
        <f>IFERROR(IF($C32="",-0.00001,SUMIFS(Database!V:V,Database!$E:$E,$C32)),-0.00001)</f>
        <v>0</v>
      </c>
      <c r="U32" s="185">
        <f>IFERROR(IF($C32="",-0.00001,SUMIFS(Database!W:W,Database!$E:$E,$C32)),-0.00001)</f>
        <v>2</v>
      </c>
      <c r="V32" s="186">
        <f t="shared" si="2"/>
        <v>0</v>
      </c>
      <c r="W32" s="187"/>
      <c r="X32" s="187"/>
      <c r="Y32" s="187"/>
      <c r="Z32" s="187"/>
      <c r="AA32" s="187"/>
      <c r="AB32" s="187"/>
      <c r="AC32" s="187"/>
      <c r="AD32" s="187"/>
      <c r="AE32" s="187"/>
    </row>
    <row r="33" spans="1:31" x14ac:dyDescent="0.25">
      <c r="A33" s="187"/>
      <c r="B33" s="187">
        <f>IF($C33="","",MAX($B$4:$B32)+1)</f>
        <v>30</v>
      </c>
      <c r="C33" s="183" t="s">
        <v>5</v>
      </c>
      <c r="D33" s="183" t="str">
        <f>IFERROR(VLOOKUP($C33,Rosters!$C$4:$M$239,INDEX(Lists!$N$5:$O$80,MATCH($C33,Lists!$N$5:$N$80,FALSE),2)),"")</f>
        <v>Mustangs</v>
      </c>
      <c r="E33" s="185">
        <f>IF($C33="",-0.00001,COUNTIF(Database!E:E,$C33))</f>
        <v>4</v>
      </c>
      <c r="F33" s="185">
        <f>IFERROR(IF($C33="",-0.00001,SUMIFS(Database!H:H,Database!$E:$E,$C33)),-0.00001)</f>
        <v>30</v>
      </c>
      <c r="G33" s="185">
        <f>IFERROR(IF($C33="",-0.00001,SUMIFS(Database!I:I,Database!$E:$E,$C33)),-0.00001)</f>
        <v>17</v>
      </c>
      <c r="H33" s="185">
        <f>IFERROR(IF($C33="",-0.00001,SUMIFS(Database!J:J,Database!$E:$E,$C33)),-0.00001)</f>
        <v>0</v>
      </c>
      <c r="I33" s="185">
        <f>IFERROR(IF($C33="",-0.00001,SUMIFS(Database!K:K,Database!$E:$E,$C33)),-0.00001)</f>
        <v>6</v>
      </c>
      <c r="J33" s="185">
        <f>IFERROR(IF($C33="",-0.00001,SUMIFS(Database!L:L,Database!$E:$E,$C33)),-0.00001)</f>
        <v>3</v>
      </c>
      <c r="K33" s="185">
        <f>IFERROR(IF($C33="",-0.00001,SUMIFS(Database!M:M,Database!$E:$E,$C33)),-0.00001)</f>
        <v>2</v>
      </c>
      <c r="L33" s="185">
        <f>IFERROR(IF($C33="",-0.00001,SUMIFS(Database!N:N,Database!$E:$E,$C33)),-0.00001)</f>
        <v>3</v>
      </c>
      <c r="M33" s="185">
        <f>IFERROR(IF($C33="",-0.00001,SUMIFS(Database!O:O,Database!$E:$E,$C33)),-0.00001)</f>
        <v>10</v>
      </c>
      <c r="N33" s="185">
        <f>IFERROR(IF($C33="",-0.00001,SUMIFS(Database!P:P,Database!$E:$E,$C33)),-0.00001)</f>
        <v>2</v>
      </c>
      <c r="O33" s="185">
        <f>IFERROR(IF($C33="",-0.00001,SUMIFS(Database!Q:Q,Database!$E:$E,$C33)),-0.00001)</f>
        <v>8</v>
      </c>
      <c r="P33" s="186">
        <f t="shared" si="0"/>
        <v>0.25</v>
      </c>
      <c r="Q33" s="185">
        <f>IFERROR(IF($C33="",-0.00001,SUMIFS(Database!S:S,Database!$E:$E,$C33)),-0.00001)</f>
        <v>12</v>
      </c>
      <c r="R33" s="185">
        <f>IFERROR(IF($C33="",-0.00001,SUMIFS(Database!T:T,Database!$E:$E,$C33)),-0.00001)</f>
        <v>28</v>
      </c>
      <c r="S33" s="186">
        <f t="shared" si="1"/>
        <v>0.42857142857142855</v>
      </c>
      <c r="T33" s="185">
        <f>IFERROR(IF($C33="",-0.00001,SUMIFS(Database!V:V,Database!$E:$E,$C33)),-0.00001)</f>
        <v>4</v>
      </c>
      <c r="U33" s="185">
        <f>IFERROR(IF($C33="",-0.00001,SUMIFS(Database!W:W,Database!$E:$E,$C33)),-0.00001)</f>
        <v>5</v>
      </c>
      <c r="V33" s="186">
        <f t="shared" si="2"/>
        <v>0.8</v>
      </c>
      <c r="W33" s="187"/>
      <c r="X33" s="187"/>
      <c r="Y33" s="187"/>
      <c r="Z33" s="187"/>
      <c r="AA33" s="187"/>
      <c r="AB33" s="187"/>
      <c r="AC33" s="187"/>
      <c r="AD33" s="187"/>
      <c r="AE33" s="187"/>
    </row>
    <row r="34" spans="1:31" x14ac:dyDescent="0.25">
      <c r="A34" s="187"/>
      <c r="B34" s="187">
        <f>IF($C34="","",MAX($B$4:$B33)+1)</f>
        <v>31</v>
      </c>
      <c r="C34" s="183" t="s">
        <v>18</v>
      </c>
      <c r="D34" s="183" t="str">
        <f>IFERROR(VLOOKUP($C34,Rosters!$C$4:$M$239,INDEX(Lists!$N$5:$O$80,MATCH($C34,Lists!$N$5:$N$80,FALSE),2)),"")</f>
        <v>Pistons</v>
      </c>
      <c r="E34" s="185">
        <f>IF($C34="",-0.00001,COUNTIF(Database!E:E,$C34))</f>
        <v>11</v>
      </c>
      <c r="F34" s="185">
        <f>IFERROR(IF($C34="",-0.00001,SUMIFS(Database!H:H,Database!$E:$E,$C34)),-0.00001)</f>
        <v>28</v>
      </c>
      <c r="G34" s="185">
        <f>IFERROR(IF($C34="",-0.00001,SUMIFS(Database!I:I,Database!$E:$E,$C34)),-0.00001)</f>
        <v>50</v>
      </c>
      <c r="H34" s="185">
        <f>IFERROR(IF($C34="",-0.00001,SUMIFS(Database!J:J,Database!$E:$E,$C34)),-0.00001)</f>
        <v>3</v>
      </c>
      <c r="I34" s="185">
        <f>IFERROR(IF($C34="",-0.00001,SUMIFS(Database!K:K,Database!$E:$E,$C34)),-0.00001)</f>
        <v>5</v>
      </c>
      <c r="J34" s="185">
        <f>IFERROR(IF($C34="",-0.00001,SUMIFS(Database!L:L,Database!$E:$E,$C34)),-0.00001)</f>
        <v>1</v>
      </c>
      <c r="K34" s="185">
        <f>IFERROR(IF($C34="",-0.00001,SUMIFS(Database!M:M,Database!$E:$E,$C34)),-0.00001)</f>
        <v>14</v>
      </c>
      <c r="L34" s="185">
        <f>IFERROR(IF($C34="",-0.00001,SUMIFS(Database!N:N,Database!$E:$E,$C34)),-0.00001)</f>
        <v>15</v>
      </c>
      <c r="M34" s="185">
        <f>IFERROR(IF($C34="",-0.00001,SUMIFS(Database!O:O,Database!$E:$E,$C34)),-0.00001)</f>
        <v>35</v>
      </c>
      <c r="N34" s="185">
        <f>IFERROR(IF($C34="",-0.00001,SUMIFS(Database!P:P,Database!$E:$E,$C34)),-0.00001)</f>
        <v>2</v>
      </c>
      <c r="O34" s="185">
        <f>IFERROR(IF($C34="",-0.00001,SUMIFS(Database!Q:Q,Database!$E:$E,$C34)),-0.00001)</f>
        <v>19</v>
      </c>
      <c r="P34" s="186">
        <f t="shared" si="0"/>
        <v>0.10526315789473684</v>
      </c>
      <c r="Q34" s="185">
        <f>IFERROR(IF($C34="",-0.00001,SUMIFS(Database!S:S,Database!$E:$E,$C34)),-0.00001)</f>
        <v>13</v>
      </c>
      <c r="R34" s="185">
        <f>IFERROR(IF($C34="",-0.00001,SUMIFS(Database!T:T,Database!$E:$E,$C34)),-0.00001)</f>
        <v>40</v>
      </c>
      <c r="S34" s="186">
        <f t="shared" si="1"/>
        <v>0.32500000000000001</v>
      </c>
      <c r="T34" s="185">
        <f>IFERROR(IF($C34="",-0.00001,SUMIFS(Database!V:V,Database!$E:$E,$C34)),-0.00001)</f>
        <v>0</v>
      </c>
      <c r="U34" s="185">
        <f>IFERROR(IF($C34="",-0.00001,SUMIFS(Database!W:W,Database!$E:$E,$C34)),-0.00001)</f>
        <v>0</v>
      </c>
      <c r="V34" s="186">
        <f t="shared" si="2"/>
        <v>-1.0000000000000001E-5</v>
      </c>
      <c r="W34" s="187"/>
      <c r="X34" s="187"/>
      <c r="Y34" s="187"/>
      <c r="Z34" s="187"/>
      <c r="AA34" s="187"/>
      <c r="AB34" s="187"/>
      <c r="AC34" s="187"/>
      <c r="AD34" s="187"/>
      <c r="AE34" s="187"/>
    </row>
    <row r="35" spans="1:31" x14ac:dyDescent="0.25">
      <c r="A35" s="187"/>
      <c r="B35" s="187">
        <f>IF($C35="","",MAX($B$4:$B34)+1)</f>
        <v>32</v>
      </c>
      <c r="C35" s="183" t="s">
        <v>6</v>
      </c>
      <c r="D35" s="183" t="str">
        <f>IFERROR(VLOOKUP($C35,Rosters!$C$4:$M$239,INDEX(Lists!$N$5:$O$80,MATCH($C35,Lists!$N$5:$N$80,FALSE),2)),"")</f>
        <v>Mustangs</v>
      </c>
      <c r="E35" s="185">
        <f>IF($C35="",-0.00001,COUNTIF(Database!E:E,$C35))</f>
        <v>3</v>
      </c>
      <c r="F35" s="185">
        <f>IFERROR(IF($C35="",-0.00001,SUMIFS(Database!H:H,Database!$E:$E,$C35)),-0.00001)</f>
        <v>22</v>
      </c>
      <c r="G35" s="185">
        <f>IFERROR(IF($C35="",-0.00001,SUMIFS(Database!I:I,Database!$E:$E,$C35)),-0.00001)</f>
        <v>21</v>
      </c>
      <c r="H35" s="185">
        <f>IFERROR(IF($C35="",-0.00001,SUMIFS(Database!J:J,Database!$E:$E,$C35)),-0.00001)</f>
        <v>8</v>
      </c>
      <c r="I35" s="185">
        <f>IFERROR(IF($C35="",-0.00001,SUMIFS(Database!K:K,Database!$E:$E,$C35)),-0.00001)</f>
        <v>1</v>
      </c>
      <c r="J35" s="185">
        <f>IFERROR(IF($C35="",-0.00001,SUMIFS(Database!L:L,Database!$E:$E,$C35)),-0.00001)</f>
        <v>0</v>
      </c>
      <c r="K35" s="185">
        <f>IFERROR(IF($C35="",-0.00001,SUMIFS(Database!M:M,Database!$E:$E,$C35)),-0.00001)</f>
        <v>3</v>
      </c>
      <c r="L35" s="185">
        <f>IFERROR(IF($C35="",-0.00001,SUMIFS(Database!N:N,Database!$E:$E,$C35)),-0.00001)</f>
        <v>8</v>
      </c>
      <c r="M35" s="185">
        <f>IFERROR(IF($C35="",-0.00001,SUMIFS(Database!O:O,Database!$E:$E,$C35)),-0.00001)</f>
        <v>13</v>
      </c>
      <c r="N35" s="185">
        <f>IFERROR(IF($C35="",-0.00001,SUMIFS(Database!P:P,Database!$E:$E,$C35)),-0.00001)</f>
        <v>2</v>
      </c>
      <c r="O35" s="185">
        <f>IFERROR(IF($C35="",-0.00001,SUMIFS(Database!Q:Q,Database!$E:$E,$C35)),-0.00001)</f>
        <v>11</v>
      </c>
      <c r="P35" s="186">
        <f t="shared" si="0"/>
        <v>0.18181818181818182</v>
      </c>
      <c r="Q35" s="185">
        <f>IFERROR(IF($C35="",-0.00001,SUMIFS(Database!S:S,Database!$E:$E,$C35)),-0.00001)</f>
        <v>10</v>
      </c>
      <c r="R35" s="185">
        <f>IFERROR(IF($C35="",-0.00001,SUMIFS(Database!T:T,Database!$E:$E,$C35)),-0.00001)</f>
        <v>26</v>
      </c>
      <c r="S35" s="186">
        <f t="shared" si="1"/>
        <v>0.38461538461538464</v>
      </c>
      <c r="T35" s="185">
        <f>IFERROR(IF($C35="",-0.00001,SUMIFS(Database!V:V,Database!$E:$E,$C35)),-0.00001)</f>
        <v>0</v>
      </c>
      <c r="U35" s="185">
        <f>IFERROR(IF($C35="",-0.00001,SUMIFS(Database!W:W,Database!$E:$E,$C35)),-0.00001)</f>
        <v>0</v>
      </c>
      <c r="V35" s="186">
        <f t="shared" si="2"/>
        <v>-1.0000000000000001E-5</v>
      </c>
      <c r="W35" s="187"/>
      <c r="X35" s="187"/>
      <c r="Y35" s="187"/>
      <c r="Z35" s="187"/>
      <c r="AA35" s="187"/>
      <c r="AB35" s="187"/>
      <c r="AC35" s="187"/>
      <c r="AD35" s="187"/>
      <c r="AE35" s="187"/>
    </row>
    <row r="36" spans="1:31" x14ac:dyDescent="0.25">
      <c r="A36" s="187"/>
      <c r="B36" s="187">
        <f>IF($C36="","",MAX($B$4:$B35)+1)</f>
        <v>33</v>
      </c>
      <c r="C36" s="183" t="s">
        <v>36</v>
      </c>
      <c r="D36" s="183" t="str">
        <f>IFERROR(VLOOKUP($C36,Rosters!$C$4:$M$239,INDEX(Lists!$N$5:$O$80,MATCH($C36,Lists!$N$5:$N$80,FALSE),2)),"")</f>
        <v>Vandals</v>
      </c>
      <c r="E36" s="185">
        <f>IF($C36="",-0.00001,COUNTIF(Database!E:E,$C36))</f>
        <v>11</v>
      </c>
      <c r="F36" s="185">
        <f>IFERROR(IF($C36="",-0.00001,SUMIFS(Database!H:H,Database!$E:$E,$C36)),-0.00001)</f>
        <v>22</v>
      </c>
      <c r="G36" s="185">
        <f>IFERROR(IF($C36="",-0.00001,SUMIFS(Database!I:I,Database!$E:$E,$C36)),-0.00001)</f>
        <v>36</v>
      </c>
      <c r="H36" s="185">
        <f>IFERROR(IF($C36="",-0.00001,SUMIFS(Database!J:J,Database!$E:$E,$C36)),-0.00001)</f>
        <v>9</v>
      </c>
      <c r="I36" s="185">
        <f>IFERROR(IF($C36="",-0.00001,SUMIFS(Database!K:K,Database!$E:$E,$C36)),-0.00001)</f>
        <v>5</v>
      </c>
      <c r="J36" s="185">
        <f>IFERROR(IF($C36="",-0.00001,SUMIFS(Database!L:L,Database!$E:$E,$C36)),-0.00001)</f>
        <v>3</v>
      </c>
      <c r="K36" s="185">
        <f>IFERROR(IF($C36="",-0.00001,SUMIFS(Database!M:M,Database!$E:$E,$C36)),-0.00001)</f>
        <v>19</v>
      </c>
      <c r="L36" s="185">
        <f>IFERROR(IF($C36="",-0.00001,SUMIFS(Database!N:N,Database!$E:$E,$C36)),-0.00001)</f>
        <v>8</v>
      </c>
      <c r="M36" s="185">
        <f>IFERROR(IF($C36="",-0.00001,SUMIFS(Database!O:O,Database!$E:$E,$C36)),-0.00001)</f>
        <v>22</v>
      </c>
      <c r="N36" s="185">
        <f>IFERROR(IF($C36="",-0.00001,SUMIFS(Database!P:P,Database!$E:$E,$C36)),-0.00001)</f>
        <v>4</v>
      </c>
      <c r="O36" s="185">
        <f>IFERROR(IF($C36="",-0.00001,SUMIFS(Database!Q:Q,Database!$E:$E,$C36)),-0.00001)</f>
        <v>29</v>
      </c>
      <c r="P36" s="186">
        <f t="shared" si="0"/>
        <v>0.13793103448275862</v>
      </c>
      <c r="Q36" s="185">
        <f>IFERROR(IF($C36="",-0.00001,SUMIFS(Database!S:S,Database!$E:$E,$C36)),-0.00001)</f>
        <v>9</v>
      </c>
      <c r="R36" s="185">
        <f>IFERROR(IF($C36="",-0.00001,SUMIFS(Database!T:T,Database!$E:$E,$C36)),-0.00001)</f>
        <v>37</v>
      </c>
      <c r="S36" s="186">
        <f t="shared" si="1"/>
        <v>0.24324324324324326</v>
      </c>
      <c r="T36" s="185">
        <f>IFERROR(IF($C36="",-0.00001,SUMIFS(Database!V:V,Database!$E:$E,$C36)),-0.00001)</f>
        <v>0</v>
      </c>
      <c r="U36" s="185">
        <f>IFERROR(IF($C36="",-0.00001,SUMIFS(Database!W:W,Database!$E:$E,$C36)),-0.00001)</f>
        <v>0</v>
      </c>
      <c r="V36" s="186">
        <f t="shared" si="2"/>
        <v>-1.0000000000000001E-5</v>
      </c>
      <c r="W36" s="187"/>
      <c r="X36" s="187"/>
      <c r="Y36" s="187"/>
      <c r="Z36" s="187"/>
      <c r="AA36" s="187"/>
      <c r="AB36" s="187"/>
      <c r="AC36" s="187"/>
      <c r="AD36" s="187"/>
      <c r="AE36" s="187"/>
    </row>
    <row r="37" spans="1:31" x14ac:dyDescent="0.25">
      <c r="A37" s="187"/>
      <c r="B37" s="187">
        <f>IF($C37="","",MAX($B$4:$B36)+1)</f>
        <v>34</v>
      </c>
      <c r="C37" s="183" t="s">
        <v>100</v>
      </c>
      <c r="D37" s="183" t="str">
        <f>IFERROR(VLOOKUP($C37,Rosters!$C$4:$M$239,INDEX(Lists!$N$5:$O$80,MATCH($C37,Lists!$N$5:$N$80,FALSE),2)),"")</f>
        <v>Lightning</v>
      </c>
      <c r="E37" s="185">
        <f>IF($C37="",-0.00001,COUNTIF(Database!E:E,$C37))</f>
        <v>8</v>
      </c>
      <c r="F37" s="185">
        <f>IFERROR(IF($C37="",-0.00001,SUMIFS(Database!H:H,Database!$E:$E,$C37)),-0.00001)</f>
        <v>18</v>
      </c>
      <c r="G37" s="185">
        <f>IFERROR(IF($C37="",-0.00001,SUMIFS(Database!I:I,Database!$E:$E,$C37)),-0.00001)</f>
        <v>24</v>
      </c>
      <c r="H37" s="185">
        <f>IFERROR(IF($C37="",-0.00001,SUMIFS(Database!J:J,Database!$E:$E,$C37)),-0.00001)</f>
        <v>3</v>
      </c>
      <c r="I37" s="185">
        <f>IFERROR(IF($C37="",-0.00001,SUMIFS(Database!K:K,Database!$E:$E,$C37)),-0.00001)</f>
        <v>13</v>
      </c>
      <c r="J37" s="185">
        <f>IFERROR(IF($C37="",-0.00001,SUMIFS(Database!L:L,Database!$E:$E,$C37)),-0.00001)</f>
        <v>7</v>
      </c>
      <c r="K37" s="185">
        <f>IFERROR(IF($C37="",-0.00001,SUMIFS(Database!M:M,Database!$E:$E,$C37)),-0.00001)</f>
        <v>11</v>
      </c>
      <c r="L37" s="185">
        <f>IFERROR(IF($C37="",-0.00001,SUMIFS(Database!N:N,Database!$E:$E,$C37)),-0.00001)</f>
        <v>10</v>
      </c>
      <c r="M37" s="185">
        <f>IFERROR(IF($C37="",-0.00001,SUMIFS(Database!O:O,Database!$E:$E,$C37)),-0.00001)</f>
        <v>14</v>
      </c>
      <c r="N37" s="185">
        <f>IFERROR(IF($C37="",-0.00001,SUMIFS(Database!P:P,Database!$E:$E,$C37)),-0.00001)</f>
        <v>2</v>
      </c>
      <c r="O37" s="185">
        <f>IFERROR(IF($C37="",-0.00001,SUMIFS(Database!Q:Q,Database!$E:$E,$C37)),-0.00001)</f>
        <v>11</v>
      </c>
      <c r="P37" s="186">
        <f t="shared" si="0"/>
        <v>0.18181818181818182</v>
      </c>
      <c r="Q37" s="185">
        <f>IFERROR(IF($C37="",-0.00001,SUMIFS(Database!S:S,Database!$E:$E,$C37)),-0.00001)</f>
        <v>8</v>
      </c>
      <c r="R37" s="185">
        <f>IFERROR(IF($C37="",-0.00001,SUMIFS(Database!T:T,Database!$E:$E,$C37)),-0.00001)</f>
        <v>28</v>
      </c>
      <c r="S37" s="186">
        <f t="shared" si="1"/>
        <v>0.2857142857142857</v>
      </c>
      <c r="T37" s="185">
        <f>IFERROR(IF($C37="",-0.00001,SUMIFS(Database!V:V,Database!$E:$E,$C37)),-0.00001)</f>
        <v>0</v>
      </c>
      <c r="U37" s="185">
        <f>IFERROR(IF($C37="",-0.00001,SUMIFS(Database!W:W,Database!$E:$E,$C37)),-0.00001)</f>
        <v>0</v>
      </c>
      <c r="V37" s="186">
        <f t="shared" si="2"/>
        <v>-1.0000000000000001E-5</v>
      </c>
      <c r="W37" s="187"/>
      <c r="X37" s="187"/>
      <c r="Y37" s="187"/>
      <c r="Z37" s="187"/>
      <c r="AA37" s="187"/>
      <c r="AB37" s="187"/>
      <c r="AC37" s="187"/>
      <c r="AD37" s="187"/>
      <c r="AE37" s="187"/>
    </row>
    <row r="38" spans="1:31" x14ac:dyDescent="0.25">
      <c r="A38" s="187"/>
      <c r="B38" s="187">
        <f>IF($C38="","",MAX($B$4:$B37)+1)</f>
        <v>35</v>
      </c>
      <c r="C38" s="183" t="s">
        <v>10</v>
      </c>
      <c r="D38" s="183" t="str">
        <f>IFERROR(VLOOKUP($C38,Rosters!$C$4:$M$239,INDEX(Lists!$N$5:$O$80,MATCH($C38,Lists!$N$5:$N$80,FALSE),2)),"")</f>
        <v>Wombats</v>
      </c>
      <c r="E38" s="185">
        <f>IF($C38="",-0.00001,COUNTIF(Database!E:E,$C38))</f>
        <v>4</v>
      </c>
      <c r="F38" s="185">
        <f>IFERROR(IF($C38="",-0.00001,SUMIFS(Database!H:H,Database!$E:$E,$C38)),-0.00001)</f>
        <v>18</v>
      </c>
      <c r="G38" s="185">
        <f>IFERROR(IF($C38="",-0.00001,SUMIFS(Database!I:I,Database!$E:$E,$C38)),-0.00001)</f>
        <v>15</v>
      </c>
      <c r="H38" s="185">
        <f>IFERROR(IF($C38="",-0.00001,SUMIFS(Database!J:J,Database!$E:$E,$C38)),-0.00001)</f>
        <v>4</v>
      </c>
      <c r="I38" s="185">
        <f>IFERROR(IF($C38="",-0.00001,SUMIFS(Database!K:K,Database!$E:$E,$C38)),-0.00001)</f>
        <v>3</v>
      </c>
      <c r="J38" s="185">
        <f>IFERROR(IF($C38="",-0.00001,SUMIFS(Database!L:L,Database!$E:$E,$C38)),-0.00001)</f>
        <v>0</v>
      </c>
      <c r="K38" s="185">
        <f>IFERROR(IF($C38="",-0.00001,SUMIFS(Database!M:M,Database!$E:$E,$C38)),-0.00001)</f>
        <v>7</v>
      </c>
      <c r="L38" s="185">
        <f>IFERROR(IF($C38="",-0.00001,SUMIFS(Database!N:N,Database!$E:$E,$C38)),-0.00001)</f>
        <v>4</v>
      </c>
      <c r="M38" s="185">
        <f>IFERROR(IF($C38="",-0.00001,SUMIFS(Database!O:O,Database!$E:$E,$C38)),-0.00001)</f>
        <v>11</v>
      </c>
      <c r="N38" s="185">
        <f>IFERROR(IF($C38="",-0.00001,SUMIFS(Database!P:P,Database!$E:$E,$C38)),-0.00001)</f>
        <v>6</v>
      </c>
      <c r="O38" s="185">
        <f>IFERROR(IF($C38="",-0.00001,SUMIFS(Database!Q:Q,Database!$E:$E,$C38)),-0.00001)</f>
        <v>19</v>
      </c>
      <c r="P38" s="186">
        <f t="shared" si="0"/>
        <v>0.31578947368421051</v>
      </c>
      <c r="Q38" s="185">
        <f>IFERROR(IF($C38="",-0.00001,SUMIFS(Database!S:S,Database!$E:$E,$C38)),-0.00001)</f>
        <v>6</v>
      </c>
      <c r="R38" s="185">
        <f>IFERROR(IF($C38="",-0.00001,SUMIFS(Database!T:T,Database!$E:$E,$C38)),-0.00001)</f>
        <v>29</v>
      </c>
      <c r="S38" s="186">
        <f t="shared" si="1"/>
        <v>0.20689655172413793</v>
      </c>
      <c r="T38" s="185">
        <f>IFERROR(IF($C38="",-0.00001,SUMIFS(Database!V:V,Database!$E:$E,$C38)),-0.00001)</f>
        <v>0</v>
      </c>
      <c r="U38" s="185">
        <f>IFERROR(IF($C38="",-0.00001,SUMIFS(Database!W:W,Database!$E:$E,$C38)),-0.00001)</f>
        <v>0</v>
      </c>
      <c r="V38" s="186">
        <f t="shared" si="2"/>
        <v>-1.0000000000000001E-5</v>
      </c>
      <c r="W38" s="187"/>
      <c r="X38" s="187"/>
      <c r="Y38" s="187"/>
      <c r="Z38" s="187"/>
      <c r="AA38" s="187"/>
      <c r="AB38" s="187"/>
      <c r="AC38" s="187"/>
      <c r="AD38" s="187"/>
      <c r="AE38" s="187"/>
    </row>
    <row r="39" spans="1:31" x14ac:dyDescent="0.25">
      <c r="A39" s="187"/>
      <c r="B39" s="187">
        <f>IF($C39="","",MAX($B$4:$B38)+1)</f>
        <v>36</v>
      </c>
      <c r="C39" s="183" t="s">
        <v>101</v>
      </c>
      <c r="D39" s="183" t="str">
        <f>IFERROR(VLOOKUP($C39,Rosters!$C$4:$M$239,INDEX(Lists!$N$5:$O$80,MATCH($C39,Lists!$N$5:$N$80,FALSE),2)),"")</f>
        <v/>
      </c>
      <c r="E39" s="185">
        <f>IF($C39="",-0.00001,COUNTIF(Database!E:E,$C39))</f>
        <v>6</v>
      </c>
      <c r="F39" s="185">
        <f>IFERROR(IF($C39="",-0.00001,SUMIFS(Database!H:H,Database!$E:$E,$C39)),-0.00001)</f>
        <v>15</v>
      </c>
      <c r="G39" s="185">
        <f>IFERROR(IF($C39="",-0.00001,SUMIFS(Database!I:I,Database!$E:$E,$C39)),-0.00001)</f>
        <v>21</v>
      </c>
      <c r="H39" s="185">
        <f>IFERROR(IF($C39="",-0.00001,SUMIFS(Database!J:J,Database!$E:$E,$C39)),-0.00001)</f>
        <v>1</v>
      </c>
      <c r="I39" s="185">
        <f>IFERROR(IF($C39="",-0.00001,SUMIFS(Database!K:K,Database!$E:$E,$C39)),-0.00001)</f>
        <v>4</v>
      </c>
      <c r="J39" s="185">
        <f>IFERROR(IF($C39="",-0.00001,SUMIFS(Database!L:L,Database!$E:$E,$C39)),-0.00001)</f>
        <v>2</v>
      </c>
      <c r="K39" s="185">
        <f>IFERROR(IF($C39="",-0.00001,SUMIFS(Database!M:M,Database!$E:$E,$C39)),-0.00001)</f>
        <v>4</v>
      </c>
      <c r="L39" s="185">
        <f>IFERROR(IF($C39="",-0.00001,SUMIFS(Database!N:N,Database!$E:$E,$C39)),-0.00001)</f>
        <v>2</v>
      </c>
      <c r="M39" s="185">
        <f>IFERROR(IF($C39="",-0.00001,SUMIFS(Database!O:O,Database!$E:$E,$C39)),-0.00001)</f>
        <v>19</v>
      </c>
      <c r="N39" s="185">
        <f>IFERROR(IF($C39="",-0.00001,SUMIFS(Database!P:P,Database!$E:$E,$C39)),-0.00001)</f>
        <v>2</v>
      </c>
      <c r="O39" s="185">
        <f>IFERROR(IF($C39="",-0.00001,SUMIFS(Database!Q:Q,Database!$E:$E,$C39)),-0.00001)</f>
        <v>7</v>
      </c>
      <c r="P39" s="186">
        <f t="shared" si="0"/>
        <v>0.2857142857142857</v>
      </c>
      <c r="Q39" s="185">
        <f>IFERROR(IF($C39="",-0.00001,SUMIFS(Database!S:S,Database!$E:$E,$C39)),-0.00001)</f>
        <v>6</v>
      </c>
      <c r="R39" s="185">
        <f>IFERROR(IF($C39="",-0.00001,SUMIFS(Database!T:T,Database!$E:$E,$C39)),-0.00001)</f>
        <v>20</v>
      </c>
      <c r="S39" s="186">
        <f t="shared" si="1"/>
        <v>0.3</v>
      </c>
      <c r="T39" s="185">
        <f>IFERROR(IF($C39="",-0.00001,SUMIFS(Database!V:V,Database!$E:$E,$C39)),-0.00001)</f>
        <v>1</v>
      </c>
      <c r="U39" s="185">
        <f>IFERROR(IF($C39="",-0.00001,SUMIFS(Database!W:W,Database!$E:$E,$C39)),-0.00001)</f>
        <v>2</v>
      </c>
      <c r="V39" s="186">
        <f t="shared" si="2"/>
        <v>0.5</v>
      </c>
      <c r="W39" s="187"/>
      <c r="X39" s="187"/>
      <c r="Y39" s="187"/>
      <c r="Z39" s="187"/>
      <c r="AA39" s="187"/>
      <c r="AB39" s="187"/>
      <c r="AC39" s="187"/>
      <c r="AD39" s="187"/>
      <c r="AE39" s="187"/>
    </row>
    <row r="40" spans="1:31" x14ac:dyDescent="0.25">
      <c r="A40" s="187"/>
      <c r="B40" s="187">
        <f>IF($C40="","",MAX($B$4:$B39)+1)</f>
        <v>37</v>
      </c>
      <c r="C40" s="183" t="s">
        <v>29</v>
      </c>
      <c r="D40" s="183" t="str">
        <f>IFERROR(VLOOKUP($C40,Rosters!$C$4:$M$239,INDEX(Lists!$N$5:$O$80,MATCH($C40,Lists!$N$5:$N$80,FALSE),2)),"")</f>
        <v>Hoopers</v>
      </c>
      <c r="E40" s="185">
        <f>IF($C40="",-0.00001,COUNTIF(Database!E:E,$C40))</f>
        <v>3</v>
      </c>
      <c r="F40" s="185">
        <f>IFERROR(IF($C40="",-0.00001,SUMIFS(Database!H:H,Database!$E:$E,$C40)),-0.00001)</f>
        <v>15</v>
      </c>
      <c r="G40" s="185">
        <f>IFERROR(IF($C40="",-0.00001,SUMIFS(Database!I:I,Database!$E:$E,$C40)),-0.00001)</f>
        <v>28</v>
      </c>
      <c r="H40" s="185">
        <f>IFERROR(IF($C40="",-0.00001,SUMIFS(Database!J:J,Database!$E:$E,$C40)),-0.00001)</f>
        <v>6</v>
      </c>
      <c r="I40" s="185">
        <f>IFERROR(IF($C40="",-0.00001,SUMIFS(Database!K:K,Database!$E:$E,$C40)),-0.00001)</f>
        <v>4</v>
      </c>
      <c r="J40" s="185">
        <f>IFERROR(IF($C40="",-0.00001,SUMIFS(Database!L:L,Database!$E:$E,$C40)),-0.00001)</f>
        <v>1</v>
      </c>
      <c r="K40" s="185">
        <f>IFERROR(IF($C40="",-0.00001,SUMIFS(Database!M:M,Database!$E:$E,$C40)),-0.00001)</f>
        <v>9</v>
      </c>
      <c r="L40" s="185">
        <f>IFERROR(IF($C40="",-0.00001,SUMIFS(Database!N:N,Database!$E:$E,$C40)),-0.00001)</f>
        <v>14</v>
      </c>
      <c r="M40" s="185">
        <f>IFERROR(IF($C40="",-0.00001,SUMIFS(Database!O:O,Database!$E:$E,$C40)),-0.00001)</f>
        <v>14</v>
      </c>
      <c r="N40" s="185">
        <f>IFERROR(IF($C40="",-0.00001,SUMIFS(Database!P:P,Database!$E:$E,$C40)),-0.00001)</f>
        <v>1</v>
      </c>
      <c r="O40" s="185">
        <f>IFERROR(IF($C40="",-0.00001,SUMIFS(Database!Q:Q,Database!$E:$E,$C40)),-0.00001)</f>
        <v>7</v>
      </c>
      <c r="P40" s="186">
        <f t="shared" si="0"/>
        <v>0.14285714285714285</v>
      </c>
      <c r="Q40" s="185">
        <f>IFERROR(IF($C40="",-0.00001,SUMIFS(Database!S:S,Database!$E:$E,$C40)),-0.00001)</f>
        <v>7</v>
      </c>
      <c r="R40" s="185">
        <f>IFERROR(IF($C40="",-0.00001,SUMIFS(Database!T:T,Database!$E:$E,$C40)),-0.00001)</f>
        <v>28</v>
      </c>
      <c r="S40" s="186">
        <f t="shared" si="1"/>
        <v>0.25</v>
      </c>
      <c r="T40" s="185">
        <f>IFERROR(IF($C40="",-0.00001,SUMIFS(Database!V:V,Database!$E:$E,$C40)),-0.00001)</f>
        <v>0</v>
      </c>
      <c r="U40" s="185">
        <f>IFERROR(IF($C40="",-0.00001,SUMIFS(Database!W:W,Database!$E:$E,$C40)),-0.00001)</f>
        <v>4</v>
      </c>
      <c r="V40" s="186">
        <f t="shared" si="2"/>
        <v>0</v>
      </c>
      <c r="W40" s="187"/>
      <c r="X40" s="187"/>
      <c r="Y40" s="187"/>
      <c r="Z40" s="187"/>
      <c r="AA40" s="187"/>
      <c r="AB40" s="187"/>
      <c r="AC40" s="187"/>
      <c r="AD40" s="187"/>
      <c r="AE40" s="187"/>
    </row>
    <row r="41" spans="1:31" x14ac:dyDescent="0.25">
      <c r="A41" s="187"/>
      <c r="B41" s="187">
        <f>IF($C41="","",MAX($B$4:$B40)+1)</f>
        <v>38</v>
      </c>
      <c r="C41" s="183" t="s">
        <v>12</v>
      </c>
      <c r="D41" s="183" t="str">
        <f>IFERROR(VLOOKUP($C41,Rosters!$C$4:$M$239,INDEX(Lists!$N$5:$O$80,MATCH($C41,Lists!$N$5:$N$80,FALSE),2)),"")</f>
        <v>Hoopers</v>
      </c>
      <c r="E41" s="185">
        <f>IF($C41="",-0.00001,COUNTIF(Database!E:E,$C41))</f>
        <v>10</v>
      </c>
      <c r="F41" s="185">
        <f>IFERROR(IF($C41="",-0.00001,SUMIFS(Database!H:H,Database!$E:$E,$C41)),-0.00001)</f>
        <v>15</v>
      </c>
      <c r="G41" s="185">
        <f>IFERROR(IF($C41="",-0.00001,SUMIFS(Database!I:I,Database!$E:$E,$C41)),-0.00001)</f>
        <v>37</v>
      </c>
      <c r="H41" s="185">
        <f>IFERROR(IF($C41="",-0.00001,SUMIFS(Database!J:J,Database!$E:$E,$C41)),-0.00001)</f>
        <v>4</v>
      </c>
      <c r="I41" s="185">
        <f>IFERROR(IF($C41="",-0.00001,SUMIFS(Database!K:K,Database!$E:$E,$C41)),-0.00001)</f>
        <v>5</v>
      </c>
      <c r="J41" s="185">
        <f>IFERROR(IF($C41="",-0.00001,SUMIFS(Database!L:L,Database!$E:$E,$C41)),-0.00001)</f>
        <v>6</v>
      </c>
      <c r="K41" s="185">
        <f>IFERROR(IF($C41="",-0.00001,SUMIFS(Database!M:M,Database!$E:$E,$C41)),-0.00001)</f>
        <v>14</v>
      </c>
      <c r="L41" s="185">
        <f>IFERROR(IF($C41="",-0.00001,SUMIFS(Database!N:N,Database!$E:$E,$C41)),-0.00001)</f>
        <v>20</v>
      </c>
      <c r="M41" s="185">
        <f>IFERROR(IF($C41="",-0.00001,SUMIFS(Database!O:O,Database!$E:$E,$C41)),-0.00001)</f>
        <v>17</v>
      </c>
      <c r="N41" s="185">
        <f>IFERROR(IF($C41="",-0.00001,SUMIFS(Database!P:P,Database!$E:$E,$C41)),-0.00001)</f>
        <v>1</v>
      </c>
      <c r="O41" s="185">
        <f>IFERROR(IF($C41="",-0.00001,SUMIFS(Database!Q:Q,Database!$E:$E,$C41)),-0.00001)</f>
        <v>5</v>
      </c>
      <c r="P41" s="186">
        <f t="shared" si="0"/>
        <v>0.2</v>
      </c>
      <c r="Q41" s="185">
        <f>IFERROR(IF($C41="",-0.00001,SUMIFS(Database!S:S,Database!$E:$E,$C41)),-0.00001)</f>
        <v>6</v>
      </c>
      <c r="R41" s="185">
        <f>IFERROR(IF($C41="",-0.00001,SUMIFS(Database!T:T,Database!$E:$E,$C41)),-0.00001)</f>
        <v>24</v>
      </c>
      <c r="S41" s="186">
        <f t="shared" si="1"/>
        <v>0.25</v>
      </c>
      <c r="T41" s="185">
        <f>IFERROR(IF($C41="",-0.00001,SUMIFS(Database!V:V,Database!$E:$E,$C41)),-0.00001)</f>
        <v>2</v>
      </c>
      <c r="U41" s="185">
        <f>IFERROR(IF($C41="",-0.00001,SUMIFS(Database!W:W,Database!$E:$E,$C41)),-0.00001)</f>
        <v>2</v>
      </c>
      <c r="V41" s="186">
        <f t="shared" si="2"/>
        <v>1</v>
      </c>
      <c r="W41" s="187"/>
      <c r="X41" s="187"/>
      <c r="Y41" s="187"/>
      <c r="Z41" s="187"/>
      <c r="AA41" s="187"/>
      <c r="AB41" s="187"/>
      <c r="AC41" s="187"/>
      <c r="AD41" s="187"/>
      <c r="AE41" s="187"/>
    </row>
    <row r="42" spans="1:31" x14ac:dyDescent="0.25">
      <c r="A42" s="187"/>
      <c r="B42" s="187">
        <f>IF($C42="","",MAX($B$4:$B41)+1)</f>
        <v>39</v>
      </c>
      <c r="C42" s="183" t="s">
        <v>17</v>
      </c>
      <c r="D42" s="183" t="str">
        <f>IFERROR(VLOOKUP($C42,Rosters!$C$4:$M$239,INDEX(Lists!$N$5:$O$80,MATCH($C42,Lists!$N$5:$N$80,FALSE),2)),"")</f>
        <v>Pistons</v>
      </c>
      <c r="E42" s="185">
        <f>IF($C42="",-0.00001,COUNTIF(Database!E:E,$C42))</f>
        <v>4</v>
      </c>
      <c r="F42" s="185">
        <f>IFERROR(IF($C42="",-0.00001,SUMIFS(Database!H:H,Database!$E:$E,$C42)),-0.00001)</f>
        <v>12</v>
      </c>
      <c r="G42" s="185">
        <f>IFERROR(IF($C42="",-0.00001,SUMIFS(Database!I:I,Database!$E:$E,$C42)),-0.00001)</f>
        <v>33</v>
      </c>
      <c r="H42" s="185">
        <f>IFERROR(IF($C42="",-0.00001,SUMIFS(Database!J:J,Database!$E:$E,$C42)),-0.00001)</f>
        <v>1</v>
      </c>
      <c r="I42" s="185">
        <f>IFERROR(IF($C42="",-0.00001,SUMIFS(Database!K:K,Database!$E:$E,$C42)),-0.00001)</f>
        <v>3</v>
      </c>
      <c r="J42" s="185">
        <f>IFERROR(IF($C42="",-0.00001,SUMIFS(Database!L:L,Database!$E:$E,$C42)),-0.00001)</f>
        <v>2</v>
      </c>
      <c r="K42" s="185">
        <f>IFERROR(IF($C42="",-0.00001,SUMIFS(Database!M:M,Database!$E:$E,$C42)),-0.00001)</f>
        <v>5</v>
      </c>
      <c r="L42" s="185">
        <f>IFERROR(IF($C42="",-0.00001,SUMIFS(Database!N:N,Database!$E:$E,$C42)),-0.00001)</f>
        <v>2</v>
      </c>
      <c r="M42" s="185">
        <f>IFERROR(IF($C42="",-0.00001,SUMIFS(Database!O:O,Database!$E:$E,$C42)),-0.00001)</f>
        <v>31</v>
      </c>
      <c r="N42" s="185">
        <f>IFERROR(IF($C42="",-0.00001,SUMIFS(Database!P:P,Database!$E:$E,$C42)),-0.00001)</f>
        <v>0</v>
      </c>
      <c r="O42" s="185">
        <f>IFERROR(IF($C42="",-0.00001,SUMIFS(Database!Q:Q,Database!$E:$E,$C42)),-0.00001)</f>
        <v>6</v>
      </c>
      <c r="P42" s="186">
        <f t="shared" si="0"/>
        <v>0</v>
      </c>
      <c r="Q42" s="185">
        <f>IFERROR(IF($C42="",-0.00001,SUMIFS(Database!S:S,Database!$E:$E,$C42)),-0.00001)</f>
        <v>6</v>
      </c>
      <c r="R42" s="185">
        <f>IFERROR(IF($C42="",-0.00001,SUMIFS(Database!T:T,Database!$E:$E,$C42)),-0.00001)</f>
        <v>19</v>
      </c>
      <c r="S42" s="186">
        <f t="shared" si="1"/>
        <v>0.31578947368421051</v>
      </c>
      <c r="T42" s="185">
        <f>IFERROR(IF($C42="",-0.00001,SUMIFS(Database!V:V,Database!$E:$E,$C42)),-0.00001)</f>
        <v>0</v>
      </c>
      <c r="U42" s="185">
        <f>IFERROR(IF($C42="",-0.00001,SUMIFS(Database!W:W,Database!$E:$E,$C42)),-0.00001)</f>
        <v>0</v>
      </c>
      <c r="V42" s="186">
        <f t="shared" si="2"/>
        <v>-1.0000000000000001E-5</v>
      </c>
      <c r="W42" s="187"/>
      <c r="X42" s="187"/>
      <c r="Y42" s="187"/>
      <c r="Z42" s="187"/>
      <c r="AA42" s="187"/>
      <c r="AB42" s="187"/>
      <c r="AC42" s="187"/>
      <c r="AD42" s="187"/>
      <c r="AE42" s="187"/>
    </row>
    <row r="43" spans="1:31" x14ac:dyDescent="0.25">
      <c r="A43" s="187"/>
      <c r="B43" s="187">
        <f>IF($C43="","",MAX($B$4:$B42)+1)</f>
        <v>40</v>
      </c>
      <c r="C43" s="183" t="s">
        <v>230</v>
      </c>
      <c r="D43" s="183" t="str">
        <f>IFERROR(VLOOKUP($C43,Rosters!$C$4:$M$239,INDEX(Lists!$N$5:$O$80,MATCH($C43,Lists!$N$5:$N$80,FALSE),2)),"")</f>
        <v>Pistons</v>
      </c>
      <c r="E43" s="185">
        <f>IF($C43="",-0.00001,COUNTIF(Database!E:E,$C43))</f>
        <v>2</v>
      </c>
      <c r="F43" s="185">
        <f>IFERROR(IF($C43="",-0.00001,SUMIFS(Database!H:H,Database!$E:$E,$C43)),-0.00001)</f>
        <v>10</v>
      </c>
      <c r="G43" s="185">
        <f>IFERROR(IF($C43="",-0.00001,SUMIFS(Database!I:I,Database!$E:$E,$C43)),-0.00001)</f>
        <v>20</v>
      </c>
      <c r="H43" s="185">
        <f>IFERROR(IF($C43="",-0.00001,SUMIFS(Database!J:J,Database!$E:$E,$C43)),-0.00001)</f>
        <v>0</v>
      </c>
      <c r="I43" s="185">
        <f>IFERROR(IF($C43="",-0.00001,SUMIFS(Database!K:K,Database!$E:$E,$C43)),-0.00001)</f>
        <v>0</v>
      </c>
      <c r="J43" s="185">
        <f>IFERROR(IF($C43="",-0.00001,SUMIFS(Database!L:L,Database!$E:$E,$C43)),-0.00001)</f>
        <v>1</v>
      </c>
      <c r="K43" s="185">
        <f>IFERROR(IF($C43="",-0.00001,SUMIFS(Database!M:M,Database!$E:$E,$C43)),-0.00001)</f>
        <v>7</v>
      </c>
      <c r="L43" s="185">
        <f>IFERROR(IF($C43="",-0.00001,SUMIFS(Database!N:N,Database!$E:$E,$C43)),-0.00001)</f>
        <v>8</v>
      </c>
      <c r="M43" s="185">
        <f>IFERROR(IF($C43="",-0.00001,SUMIFS(Database!O:O,Database!$E:$E,$C43)),-0.00001)</f>
        <v>12</v>
      </c>
      <c r="N43" s="185">
        <f>IFERROR(IF($C43="",-0.00001,SUMIFS(Database!P:P,Database!$E:$E,$C43)),-0.00001)</f>
        <v>0</v>
      </c>
      <c r="O43" s="185">
        <f>IFERROR(IF($C43="",-0.00001,SUMIFS(Database!Q:Q,Database!$E:$E,$C43)),-0.00001)</f>
        <v>0</v>
      </c>
      <c r="P43" s="186">
        <f t="shared" si="0"/>
        <v>-1.0000000000000001E-5</v>
      </c>
      <c r="Q43" s="185">
        <f>IFERROR(IF($C43="",-0.00001,SUMIFS(Database!S:S,Database!$E:$E,$C43)),-0.00001)</f>
        <v>5</v>
      </c>
      <c r="R43" s="185">
        <f>IFERROR(IF($C43="",-0.00001,SUMIFS(Database!T:T,Database!$E:$E,$C43)),-0.00001)</f>
        <v>18</v>
      </c>
      <c r="S43" s="186">
        <f t="shared" si="1"/>
        <v>0.27777777777777779</v>
      </c>
      <c r="T43" s="185">
        <f>IFERROR(IF($C43="",-0.00001,SUMIFS(Database!V:V,Database!$E:$E,$C43)),-0.00001)</f>
        <v>0</v>
      </c>
      <c r="U43" s="185">
        <f>IFERROR(IF($C43="",-0.00001,SUMIFS(Database!W:W,Database!$E:$E,$C43)),-0.00001)</f>
        <v>2</v>
      </c>
      <c r="V43" s="186">
        <f t="shared" si="2"/>
        <v>0</v>
      </c>
      <c r="W43" s="187"/>
      <c r="X43" s="187"/>
      <c r="Y43" s="187"/>
      <c r="Z43" s="187"/>
      <c r="AA43" s="187"/>
      <c r="AB43" s="187"/>
      <c r="AC43" s="187"/>
      <c r="AD43" s="187"/>
      <c r="AE43" s="187"/>
    </row>
    <row r="44" spans="1:31" x14ac:dyDescent="0.25">
      <c r="A44" s="187"/>
      <c r="B44" s="187">
        <f>IF($C44="","",MAX($B$4:$B43)+1)</f>
        <v>41</v>
      </c>
      <c r="C44" s="183" t="s">
        <v>102</v>
      </c>
      <c r="D44" s="183" t="str">
        <f>IFERROR(VLOOKUP($C44,Rosters!$C$4:$M$239,INDEX(Lists!$N$5:$O$80,MATCH($C44,Lists!$N$5:$N$80,FALSE),2)),"")</f>
        <v/>
      </c>
      <c r="E44" s="185">
        <f>IF($C44="",-0.00001,COUNTIF(Database!E:E,$C44))</f>
        <v>8</v>
      </c>
      <c r="F44" s="185">
        <f>IFERROR(IF($C44="",-0.00001,SUMIFS(Database!H:H,Database!$E:$E,$C44)),-0.00001)</f>
        <v>9</v>
      </c>
      <c r="G44" s="185">
        <f>IFERROR(IF($C44="",-0.00001,SUMIFS(Database!I:I,Database!$E:$E,$C44)),-0.00001)</f>
        <v>38</v>
      </c>
      <c r="H44" s="185">
        <f>IFERROR(IF($C44="",-0.00001,SUMIFS(Database!J:J,Database!$E:$E,$C44)),-0.00001)</f>
        <v>2</v>
      </c>
      <c r="I44" s="185">
        <f>IFERROR(IF($C44="",-0.00001,SUMIFS(Database!K:K,Database!$E:$E,$C44)),-0.00001)</f>
        <v>1</v>
      </c>
      <c r="J44" s="185">
        <f>IFERROR(IF($C44="",-0.00001,SUMIFS(Database!L:L,Database!$E:$E,$C44)),-0.00001)</f>
        <v>2</v>
      </c>
      <c r="K44" s="185">
        <f>IFERROR(IF($C44="",-0.00001,SUMIFS(Database!M:M,Database!$E:$E,$C44)),-0.00001)</f>
        <v>4</v>
      </c>
      <c r="L44" s="185">
        <f>IFERROR(IF($C44="",-0.00001,SUMIFS(Database!N:N,Database!$E:$E,$C44)),-0.00001)</f>
        <v>9</v>
      </c>
      <c r="M44" s="185">
        <f>IFERROR(IF($C44="",-0.00001,SUMIFS(Database!O:O,Database!$E:$E,$C44)),-0.00001)</f>
        <v>29</v>
      </c>
      <c r="N44" s="185">
        <f>IFERROR(IF($C44="",-0.00001,SUMIFS(Database!P:P,Database!$E:$E,$C44)),-0.00001)</f>
        <v>1</v>
      </c>
      <c r="O44" s="185">
        <f>IFERROR(IF($C44="",-0.00001,SUMIFS(Database!Q:Q,Database!$E:$E,$C44)),-0.00001)</f>
        <v>10</v>
      </c>
      <c r="P44" s="186">
        <f t="shared" si="0"/>
        <v>0.1</v>
      </c>
      <c r="Q44" s="185">
        <f>IFERROR(IF($C44="",-0.00001,SUMIFS(Database!S:S,Database!$E:$E,$C44)),-0.00001)</f>
        <v>4</v>
      </c>
      <c r="R44" s="185">
        <f>IFERROR(IF($C44="",-0.00001,SUMIFS(Database!T:T,Database!$E:$E,$C44)),-0.00001)</f>
        <v>20</v>
      </c>
      <c r="S44" s="186">
        <f t="shared" si="1"/>
        <v>0.2</v>
      </c>
      <c r="T44" s="185">
        <f>IFERROR(IF($C44="",-0.00001,SUMIFS(Database!V:V,Database!$E:$E,$C44)),-0.00001)</f>
        <v>0</v>
      </c>
      <c r="U44" s="185">
        <f>IFERROR(IF($C44="",-0.00001,SUMIFS(Database!W:W,Database!$E:$E,$C44)),-0.00001)</f>
        <v>0</v>
      </c>
      <c r="V44" s="186">
        <f t="shared" si="2"/>
        <v>-1.0000000000000001E-5</v>
      </c>
      <c r="W44" s="187"/>
      <c r="X44" s="187"/>
      <c r="Y44" s="187"/>
      <c r="Z44" s="187"/>
      <c r="AA44" s="187"/>
      <c r="AB44" s="187"/>
      <c r="AC44" s="187"/>
      <c r="AD44" s="187"/>
      <c r="AE44" s="187"/>
    </row>
    <row r="45" spans="1:31" x14ac:dyDescent="0.25">
      <c r="A45" s="187"/>
      <c r="B45" s="187" t="str">
        <f>IF($C45="","",MAX($B$4:$B44)+1)</f>
        <v/>
      </c>
      <c r="C45" s="183"/>
      <c r="D45" s="183" t="str">
        <f>IFERROR(VLOOKUP($C45,Rosters!$C$4:$M$239,INDEX(Lists!$N$5:$O$80,MATCH($C45,Lists!$N$5:$N$80,FALSE),2)),"")</f>
        <v/>
      </c>
      <c r="E45" s="185">
        <f>IF($C45="",-0.00001,COUNTIF(Database!E:E,$C45))</f>
        <v>-1.0000000000000001E-5</v>
      </c>
      <c r="F45" s="185">
        <f>IFERROR(IF($C45="",-0.00001,SUMIFS(Database!H:H,Database!$E:$E,$C45)),-0.00001)</f>
        <v>-1.0000000000000001E-5</v>
      </c>
      <c r="G45" s="185">
        <f>IFERROR(IF($C45="",-0.00001,SUMIFS(Database!I:I,Database!$E:$E,$C45)),-0.00001)</f>
        <v>-1.0000000000000001E-5</v>
      </c>
      <c r="H45" s="185">
        <f>IFERROR(IF($C45="",-0.00001,SUMIFS(Database!J:J,Database!$E:$E,$C45)),-0.00001)</f>
        <v>-1.0000000000000001E-5</v>
      </c>
      <c r="I45" s="185">
        <f>IFERROR(IF($C45="",-0.00001,SUMIFS(Database!K:K,Database!$E:$E,$C45)),-0.00001)</f>
        <v>-1.0000000000000001E-5</v>
      </c>
      <c r="J45" s="185">
        <f>IFERROR(IF($C45="",-0.00001,SUMIFS(Database!L:L,Database!$E:$E,$C45)),-0.00001)</f>
        <v>-1.0000000000000001E-5</v>
      </c>
      <c r="K45" s="185">
        <f>IFERROR(IF($C45="",-0.00001,SUMIFS(Database!M:M,Database!$E:$E,$C45)),-0.00001)</f>
        <v>-1.0000000000000001E-5</v>
      </c>
      <c r="L45" s="185">
        <f>IFERROR(IF($C45="",-0.00001,SUMIFS(Database!N:N,Database!$E:$E,$C45)),-0.00001)</f>
        <v>-1.0000000000000001E-5</v>
      </c>
      <c r="M45" s="185">
        <f>IFERROR(IF($C45="",-0.00001,SUMIFS(Database!O:O,Database!$E:$E,$C45)),-0.00001)</f>
        <v>-1.0000000000000001E-5</v>
      </c>
      <c r="N45" s="185">
        <f>IFERROR(IF($C45="",-0.00001,SUMIFS(Database!P:P,Database!$E:$E,$C45)),-0.00001)</f>
        <v>-1.0000000000000001E-5</v>
      </c>
      <c r="O45" s="185">
        <f>IFERROR(IF($C45="",-0.00001,SUMIFS(Database!Q:Q,Database!$E:$E,$C45)),-0.00001)</f>
        <v>-1.0000000000000001E-5</v>
      </c>
      <c r="P45" s="186">
        <f t="shared" si="0"/>
        <v>-1.0000000000000001E-5</v>
      </c>
      <c r="Q45" s="185">
        <f>IFERROR(IF($C45="",-0.00001,SUMIFS(Database!S:S,Database!$E:$E,$C45)),-0.00001)</f>
        <v>-1.0000000000000001E-5</v>
      </c>
      <c r="R45" s="185">
        <f>IFERROR(IF($C45="",-0.00001,SUMIFS(Database!T:T,Database!$E:$E,$C45)),-0.00001)</f>
        <v>-1.0000000000000001E-5</v>
      </c>
      <c r="S45" s="186">
        <f t="shared" si="1"/>
        <v>-1.0000000000000001E-5</v>
      </c>
      <c r="T45" s="185">
        <f>IFERROR(IF($C45="",-0.00001,SUMIFS(Database!V:V,Database!$E:$E,$C45)),-0.00001)</f>
        <v>-1.0000000000000001E-5</v>
      </c>
      <c r="U45" s="185">
        <f>IFERROR(IF($C45="",-0.00001,SUMIFS(Database!W:W,Database!$E:$E,$C45)),-0.00001)</f>
        <v>-1.0000000000000001E-5</v>
      </c>
      <c r="V45" s="186">
        <f t="shared" si="2"/>
        <v>-1.0000000000000001E-5</v>
      </c>
      <c r="W45" s="187"/>
      <c r="X45" s="187"/>
      <c r="Y45" s="187"/>
      <c r="Z45" s="187"/>
      <c r="AA45" s="187"/>
      <c r="AB45" s="187"/>
      <c r="AC45" s="187"/>
      <c r="AD45" s="187"/>
      <c r="AE45" s="187"/>
    </row>
    <row r="46" spans="1:31" x14ac:dyDescent="0.25">
      <c r="A46" s="187"/>
      <c r="B46" s="187" t="str">
        <f>IF($C46="","",MAX($B$4:$B45)+1)</f>
        <v/>
      </c>
      <c r="C46" s="183"/>
      <c r="D46" s="183" t="str">
        <f>IFERROR(VLOOKUP($C46,Rosters!$C$4:$M$239,INDEX(Lists!$N$5:$O$80,MATCH($C46,Lists!$N$5:$N$80,FALSE),2)),"")</f>
        <v/>
      </c>
      <c r="E46" s="185">
        <f>IF($C46="",-0.00001,COUNTIF(Database!E:E,$C46))</f>
        <v>-1.0000000000000001E-5</v>
      </c>
      <c r="F46" s="185">
        <f>IFERROR(IF($C46="",-0.00001,SUMIFS(Database!H:H,Database!$E:$E,$C46)),-0.00001)</f>
        <v>-1.0000000000000001E-5</v>
      </c>
      <c r="G46" s="185">
        <f>IFERROR(IF($C46="",-0.00001,SUMIFS(Database!I:I,Database!$E:$E,$C46)),-0.00001)</f>
        <v>-1.0000000000000001E-5</v>
      </c>
      <c r="H46" s="185">
        <f>IFERROR(IF($C46="",-0.00001,SUMIFS(Database!J:J,Database!$E:$E,$C46)),-0.00001)</f>
        <v>-1.0000000000000001E-5</v>
      </c>
      <c r="I46" s="185">
        <f>IFERROR(IF($C46="",-0.00001,SUMIFS(Database!K:K,Database!$E:$E,$C46)),-0.00001)</f>
        <v>-1.0000000000000001E-5</v>
      </c>
      <c r="J46" s="185">
        <f>IFERROR(IF($C46="",-0.00001,SUMIFS(Database!L:L,Database!$E:$E,$C46)),-0.00001)</f>
        <v>-1.0000000000000001E-5</v>
      </c>
      <c r="K46" s="185">
        <f>IFERROR(IF($C46="",-0.00001,SUMIFS(Database!M:M,Database!$E:$E,$C46)),-0.00001)</f>
        <v>-1.0000000000000001E-5</v>
      </c>
      <c r="L46" s="185">
        <f>IFERROR(IF($C46="",-0.00001,SUMIFS(Database!N:N,Database!$E:$E,$C46)),-0.00001)</f>
        <v>-1.0000000000000001E-5</v>
      </c>
      <c r="M46" s="185">
        <f>IFERROR(IF($C46="",-0.00001,SUMIFS(Database!O:O,Database!$E:$E,$C46)),-0.00001)</f>
        <v>-1.0000000000000001E-5</v>
      </c>
      <c r="N46" s="185">
        <f>IFERROR(IF($C46="",-0.00001,SUMIFS(Database!P:P,Database!$E:$E,$C46)),-0.00001)</f>
        <v>-1.0000000000000001E-5</v>
      </c>
      <c r="O46" s="185">
        <f>IFERROR(IF($C46="",-0.00001,SUMIFS(Database!Q:Q,Database!$E:$E,$C46)),-0.00001)</f>
        <v>-1.0000000000000001E-5</v>
      </c>
      <c r="P46" s="186">
        <f t="shared" si="0"/>
        <v>-1.0000000000000001E-5</v>
      </c>
      <c r="Q46" s="185">
        <f>IFERROR(IF($C46="",-0.00001,SUMIFS(Database!S:S,Database!$E:$E,$C46)),-0.00001)</f>
        <v>-1.0000000000000001E-5</v>
      </c>
      <c r="R46" s="185">
        <f>IFERROR(IF($C46="",-0.00001,SUMIFS(Database!T:T,Database!$E:$E,$C46)),-0.00001)</f>
        <v>-1.0000000000000001E-5</v>
      </c>
      <c r="S46" s="186">
        <f t="shared" si="1"/>
        <v>-1.0000000000000001E-5</v>
      </c>
      <c r="T46" s="185">
        <f>IFERROR(IF($C46="",-0.00001,SUMIFS(Database!V:V,Database!$E:$E,$C46)),-0.00001)</f>
        <v>-1.0000000000000001E-5</v>
      </c>
      <c r="U46" s="185">
        <f>IFERROR(IF($C46="",-0.00001,SUMIFS(Database!W:W,Database!$E:$E,$C46)),-0.00001)</f>
        <v>-1.0000000000000001E-5</v>
      </c>
      <c r="V46" s="186">
        <f t="shared" si="2"/>
        <v>-1.0000000000000001E-5</v>
      </c>
      <c r="W46" s="187"/>
      <c r="X46" s="187"/>
      <c r="Y46" s="187"/>
      <c r="Z46" s="187"/>
      <c r="AA46" s="187"/>
      <c r="AB46" s="187"/>
      <c r="AC46" s="187"/>
      <c r="AD46" s="187"/>
      <c r="AE46" s="187"/>
    </row>
    <row r="47" spans="1:31" x14ac:dyDescent="0.25">
      <c r="A47" s="187"/>
      <c r="B47" s="187" t="str">
        <f>IF($C47="","",MAX($B$4:$B46)+1)</f>
        <v/>
      </c>
      <c r="C47" s="183"/>
      <c r="D47" s="183" t="str">
        <f>IFERROR(VLOOKUP($C47,Rosters!$C$4:$M$239,INDEX(Lists!$N$5:$O$80,MATCH($C47,Lists!$N$5:$N$80,FALSE),2)),"")</f>
        <v/>
      </c>
      <c r="E47" s="185">
        <f>IF($C47="",-0.00001,COUNTIF(Database!E:E,$C47))</f>
        <v>-1.0000000000000001E-5</v>
      </c>
      <c r="F47" s="185">
        <f>IFERROR(IF($C47="",-0.00001,SUMIFS(Database!H:H,Database!$E:$E,$C47)),-0.00001)</f>
        <v>-1.0000000000000001E-5</v>
      </c>
      <c r="G47" s="185">
        <f>IFERROR(IF($C47="",-0.00001,SUMIFS(Database!I:I,Database!$E:$E,$C47)),-0.00001)</f>
        <v>-1.0000000000000001E-5</v>
      </c>
      <c r="H47" s="185">
        <f>IFERROR(IF($C47="",-0.00001,SUMIFS(Database!J:J,Database!$E:$E,$C47)),-0.00001)</f>
        <v>-1.0000000000000001E-5</v>
      </c>
      <c r="I47" s="185">
        <f>IFERROR(IF($C47="",-0.00001,SUMIFS(Database!K:K,Database!$E:$E,$C47)),-0.00001)</f>
        <v>-1.0000000000000001E-5</v>
      </c>
      <c r="J47" s="185">
        <f>IFERROR(IF($C47="",-0.00001,SUMIFS(Database!L:L,Database!$E:$E,$C47)),-0.00001)</f>
        <v>-1.0000000000000001E-5</v>
      </c>
      <c r="K47" s="185">
        <f>IFERROR(IF($C47="",-0.00001,SUMIFS(Database!M:M,Database!$E:$E,$C47)),-0.00001)</f>
        <v>-1.0000000000000001E-5</v>
      </c>
      <c r="L47" s="185">
        <f>IFERROR(IF($C47="",-0.00001,SUMIFS(Database!N:N,Database!$E:$E,$C47)),-0.00001)</f>
        <v>-1.0000000000000001E-5</v>
      </c>
      <c r="M47" s="185">
        <f>IFERROR(IF($C47="",-0.00001,SUMIFS(Database!O:O,Database!$E:$E,$C47)),-0.00001)</f>
        <v>-1.0000000000000001E-5</v>
      </c>
      <c r="N47" s="185">
        <f>IFERROR(IF($C47="",-0.00001,SUMIFS(Database!P:P,Database!$E:$E,$C47)),-0.00001)</f>
        <v>-1.0000000000000001E-5</v>
      </c>
      <c r="O47" s="185">
        <f>IFERROR(IF($C47="",-0.00001,SUMIFS(Database!Q:Q,Database!$E:$E,$C47)),-0.00001)</f>
        <v>-1.0000000000000001E-5</v>
      </c>
      <c r="P47" s="186">
        <f t="shared" si="0"/>
        <v>-1.0000000000000001E-5</v>
      </c>
      <c r="Q47" s="185">
        <f>IFERROR(IF($C47="",-0.00001,SUMIFS(Database!S:S,Database!$E:$E,$C47)),-0.00001)</f>
        <v>-1.0000000000000001E-5</v>
      </c>
      <c r="R47" s="185">
        <f>IFERROR(IF($C47="",-0.00001,SUMIFS(Database!T:T,Database!$E:$E,$C47)),-0.00001)</f>
        <v>-1.0000000000000001E-5</v>
      </c>
      <c r="S47" s="186">
        <f t="shared" si="1"/>
        <v>-1.0000000000000001E-5</v>
      </c>
      <c r="T47" s="185">
        <f>IFERROR(IF($C47="",-0.00001,SUMIFS(Database!V:V,Database!$E:$E,$C47)),-0.00001)</f>
        <v>-1.0000000000000001E-5</v>
      </c>
      <c r="U47" s="185">
        <f>IFERROR(IF($C47="",-0.00001,SUMIFS(Database!W:W,Database!$E:$E,$C47)),-0.00001)</f>
        <v>-1.0000000000000001E-5</v>
      </c>
      <c r="V47" s="186">
        <f t="shared" si="2"/>
        <v>-1.0000000000000001E-5</v>
      </c>
      <c r="W47" s="187"/>
      <c r="X47" s="187"/>
      <c r="Y47" s="187"/>
      <c r="Z47" s="187"/>
      <c r="AA47" s="187"/>
      <c r="AB47" s="187"/>
      <c r="AC47" s="187"/>
      <c r="AD47" s="187"/>
      <c r="AE47" s="187"/>
    </row>
    <row r="48" spans="1:31" x14ac:dyDescent="0.25">
      <c r="A48" s="187"/>
      <c r="B48" s="187" t="str">
        <f>IF($C48="","",MAX($B$4:$B47)+1)</f>
        <v/>
      </c>
      <c r="C48" s="183"/>
      <c r="D48" s="183" t="str">
        <f>IFERROR(VLOOKUP($C48,Rosters!$C$4:$M$239,INDEX(Lists!$N$5:$O$80,MATCH($C48,Lists!$N$5:$N$80,FALSE),2)),"")</f>
        <v/>
      </c>
      <c r="E48" s="185">
        <f>IF($C48="",-0.00001,COUNTIF(Database!E:E,$C48))</f>
        <v>-1.0000000000000001E-5</v>
      </c>
      <c r="F48" s="185">
        <f>IFERROR(IF($C48="",-0.00001,SUMIFS(Database!H:H,Database!$E:$E,$C48)),-0.00001)</f>
        <v>-1.0000000000000001E-5</v>
      </c>
      <c r="G48" s="185">
        <f>IFERROR(IF($C48="",-0.00001,SUMIFS(Database!I:I,Database!$E:$E,$C48)),-0.00001)</f>
        <v>-1.0000000000000001E-5</v>
      </c>
      <c r="H48" s="185">
        <f>IFERROR(IF($C48="",-0.00001,SUMIFS(Database!J:J,Database!$E:$E,$C48)),-0.00001)</f>
        <v>-1.0000000000000001E-5</v>
      </c>
      <c r="I48" s="185">
        <f>IFERROR(IF($C48="",-0.00001,SUMIFS(Database!K:K,Database!$E:$E,$C48)),-0.00001)</f>
        <v>-1.0000000000000001E-5</v>
      </c>
      <c r="J48" s="185">
        <f>IFERROR(IF($C48="",-0.00001,SUMIFS(Database!L:L,Database!$E:$E,$C48)),-0.00001)</f>
        <v>-1.0000000000000001E-5</v>
      </c>
      <c r="K48" s="185">
        <f>IFERROR(IF($C48="",-0.00001,SUMIFS(Database!M:M,Database!$E:$E,$C48)),-0.00001)</f>
        <v>-1.0000000000000001E-5</v>
      </c>
      <c r="L48" s="185">
        <f>IFERROR(IF($C48="",-0.00001,SUMIFS(Database!N:N,Database!$E:$E,$C48)),-0.00001)</f>
        <v>-1.0000000000000001E-5</v>
      </c>
      <c r="M48" s="185">
        <f>IFERROR(IF($C48="",-0.00001,SUMIFS(Database!O:O,Database!$E:$E,$C48)),-0.00001)</f>
        <v>-1.0000000000000001E-5</v>
      </c>
      <c r="N48" s="185">
        <f>IFERROR(IF($C48="",-0.00001,SUMIFS(Database!P:P,Database!$E:$E,$C48)),-0.00001)</f>
        <v>-1.0000000000000001E-5</v>
      </c>
      <c r="O48" s="185">
        <f>IFERROR(IF($C48="",-0.00001,SUMIFS(Database!Q:Q,Database!$E:$E,$C48)),-0.00001)</f>
        <v>-1.0000000000000001E-5</v>
      </c>
      <c r="P48" s="186">
        <f t="shared" si="0"/>
        <v>-1.0000000000000001E-5</v>
      </c>
      <c r="Q48" s="185">
        <f>IFERROR(IF($C48="",-0.00001,SUMIFS(Database!S:S,Database!$E:$E,$C48)),-0.00001)</f>
        <v>-1.0000000000000001E-5</v>
      </c>
      <c r="R48" s="185">
        <f>IFERROR(IF($C48="",-0.00001,SUMIFS(Database!T:T,Database!$E:$E,$C48)),-0.00001)</f>
        <v>-1.0000000000000001E-5</v>
      </c>
      <c r="S48" s="186">
        <f t="shared" si="1"/>
        <v>-1.0000000000000001E-5</v>
      </c>
      <c r="T48" s="185">
        <f>IFERROR(IF($C48="",-0.00001,SUMIFS(Database!V:V,Database!$E:$E,$C48)),-0.00001)</f>
        <v>-1.0000000000000001E-5</v>
      </c>
      <c r="U48" s="185">
        <f>IFERROR(IF($C48="",-0.00001,SUMIFS(Database!W:W,Database!$E:$E,$C48)),-0.00001)</f>
        <v>-1.0000000000000001E-5</v>
      </c>
      <c r="V48" s="186">
        <f t="shared" si="2"/>
        <v>-1.0000000000000001E-5</v>
      </c>
      <c r="W48" s="187"/>
      <c r="X48" s="187"/>
      <c r="Y48" s="187"/>
      <c r="Z48" s="187"/>
      <c r="AA48" s="187"/>
      <c r="AB48" s="187"/>
      <c r="AC48" s="187"/>
      <c r="AD48" s="187"/>
      <c r="AE48" s="187"/>
    </row>
    <row r="49" spans="1:31" x14ac:dyDescent="0.25">
      <c r="A49" s="187"/>
      <c r="B49" s="187" t="str">
        <f>IF($C49="","",MAX($B$4:$B48)+1)</f>
        <v/>
      </c>
      <c r="C49" s="183"/>
      <c r="D49" s="183" t="str">
        <f>IFERROR(VLOOKUP($C49,Rosters!$C$4:$M$239,INDEX(Lists!$N$5:$O$80,MATCH($C49,Lists!$N$5:$N$80,FALSE),2)),"")</f>
        <v/>
      </c>
      <c r="E49" s="185">
        <f>IF($C49="",-0.00001,COUNTIF(Database!E:E,$C49))</f>
        <v>-1.0000000000000001E-5</v>
      </c>
      <c r="F49" s="185">
        <f>IFERROR(IF($C49="",-0.00001,SUMIFS(Database!H:H,Database!$E:$E,$C49)),-0.00001)</f>
        <v>-1.0000000000000001E-5</v>
      </c>
      <c r="G49" s="185">
        <f>IFERROR(IF($C49="",-0.00001,SUMIFS(Database!I:I,Database!$E:$E,$C49)),-0.00001)</f>
        <v>-1.0000000000000001E-5</v>
      </c>
      <c r="H49" s="185">
        <f>IFERROR(IF($C49="",-0.00001,SUMIFS(Database!J:J,Database!$E:$E,$C49)),-0.00001)</f>
        <v>-1.0000000000000001E-5</v>
      </c>
      <c r="I49" s="185">
        <f>IFERROR(IF($C49="",-0.00001,SUMIFS(Database!K:K,Database!$E:$E,$C49)),-0.00001)</f>
        <v>-1.0000000000000001E-5</v>
      </c>
      <c r="J49" s="185">
        <f>IFERROR(IF($C49="",-0.00001,SUMIFS(Database!L:L,Database!$E:$E,$C49)),-0.00001)</f>
        <v>-1.0000000000000001E-5</v>
      </c>
      <c r="K49" s="185">
        <f>IFERROR(IF($C49="",-0.00001,SUMIFS(Database!M:M,Database!$E:$E,$C49)),-0.00001)</f>
        <v>-1.0000000000000001E-5</v>
      </c>
      <c r="L49" s="185">
        <f>IFERROR(IF($C49="",-0.00001,SUMIFS(Database!N:N,Database!$E:$E,$C49)),-0.00001)</f>
        <v>-1.0000000000000001E-5</v>
      </c>
      <c r="M49" s="185">
        <f>IFERROR(IF($C49="",-0.00001,SUMIFS(Database!O:O,Database!$E:$E,$C49)),-0.00001)</f>
        <v>-1.0000000000000001E-5</v>
      </c>
      <c r="N49" s="185">
        <f>IFERROR(IF($C49="",-0.00001,SUMIFS(Database!P:P,Database!$E:$E,$C49)),-0.00001)</f>
        <v>-1.0000000000000001E-5</v>
      </c>
      <c r="O49" s="185">
        <f>IFERROR(IF($C49="",-0.00001,SUMIFS(Database!Q:Q,Database!$E:$E,$C49)),-0.00001)</f>
        <v>-1.0000000000000001E-5</v>
      </c>
      <c r="P49" s="186">
        <f t="shared" si="0"/>
        <v>-1.0000000000000001E-5</v>
      </c>
      <c r="Q49" s="185">
        <f>IFERROR(IF($C49="",-0.00001,SUMIFS(Database!S:S,Database!$E:$E,$C49)),-0.00001)</f>
        <v>-1.0000000000000001E-5</v>
      </c>
      <c r="R49" s="185">
        <f>IFERROR(IF($C49="",-0.00001,SUMIFS(Database!T:T,Database!$E:$E,$C49)),-0.00001)</f>
        <v>-1.0000000000000001E-5</v>
      </c>
      <c r="S49" s="186">
        <f t="shared" si="1"/>
        <v>-1.0000000000000001E-5</v>
      </c>
      <c r="T49" s="185">
        <f>IFERROR(IF($C49="",-0.00001,SUMIFS(Database!V:V,Database!$E:$E,$C49)),-0.00001)</f>
        <v>-1.0000000000000001E-5</v>
      </c>
      <c r="U49" s="185">
        <f>IFERROR(IF($C49="",-0.00001,SUMIFS(Database!W:W,Database!$E:$E,$C49)),-0.00001)</f>
        <v>-1.0000000000000001E-5</v>
      </c>
      <c r="V49" s="186">
        <f t="shared" si="2"/>
        <v>-1.0000000000000001E-5</v>
      </c>
      <c r="W49" s="187"/>
      <c r="X49" s="187"/>
      <c r="Y49" s="187"/>
      <c r="Z49" s="187"/>
      <c r="AA49" s="187"/>
      <c r="AB49" s="187"/>
      <c r="AC49" s="187"/>
      <c r="AD49" s="187"/>
      <c r="AE49" s="187"/>
    </row>
    <row r="50" spans="1:31" x14ac:dyDescent="0.25">
      <c r="A50" s="187"/>
      <c r="B50" s="187" t="str">
        <f>IF($C50="","",MAX($B$4:$B49)+1)</f>
        <v/>
      </c>
      <c r="C50" s="183"/>
      <c r="D50" s="183" t="str">
        <f>IFERROR(VLOOKUP($C50,Rosters!$C$4:$M$239,INDEX(Lists!$N$5:$O$80,MATCH($C50,Lists!$N$5:$N$80,FALSE),2)),"")</f>
        <v/>
      </c>
      <c r="E50" s="185">
        <f>IF($C50="",-0.00001,COUNTIF(Database!E:E,$C50))</f>
        <v>-1.0000000000000001E-5</v>
      </c>
      <c r="F50" s="185">
        <f>IFERROR(IF($C50="",-0.00001,SUMIFS(Database!H:H,Database!$E:$E,$C50)),-0.00001)</f>
        <v>-1.0000000000000001E-5</v>
      </c>
      <c r="G50" s="185">
        <f>IFERROR(IF($C50="",-0.00001,SUMIFS(Database!I:I,Database!$E:$E,$C50)),-0.00001)</f>
        <v>-1.0000000000000001E-5</v>
      </c>
      <c r="H50" s="185">
        <f>IFERROR(IF($C50="",-0.00001,SUMIFS(Database!J:J,Database!$E:$E,$C50)),-0.00001)</f>
        <v>-1.0000000000000001E-5</v>
      </c>
      <c r="I50" s="185">
        <f>IFERROR(IF($C50="",-0.00001,SUMIFS(Database!K:K,Database!$E:$E,$C50)),-0.00001)</f>
        <v>-1.0000000000000001E-5</v>
      </c>
      <c r="J50" s="185">
        <f>IFERROR(IF($C50="",-0.00001,SUMIFS(Database!L:L,Database!$E:$E,$C50)),-0.00001)</f>
        <v>-1.0000000000000001E-5</v>
      </c>
      <c r="K50" s="185">
        <f>IFERROR(IF($C50="",-0.00001,SUMIFS(Database!M:M,Database!$E:$E,$C50)),-0.00001)</f>
        <v>-1.0000000000000001E-5</v>
      </c>
      <c r="L50" s="185">
        <f>IFERROR(IF($C50="",-0.00001,SUMIFS(Database!N:N,Database!$E:$E,$C50)),-0.00001)</f>
        <v>-1.0000000000000001E-5</v>
      </c>
      <c r="M50" s="185">
        <f>IFERROR(IF($C50="",-0.00001,SUMIFS(Database!O:O,Database!$E:$E,$C50)),-0.00001)</f>
        <v>-1.0000000000000001E-5</v>
      </c>
      <c r="N50" s="185">
        <f>IFERROR(IF($C50="",-0.00001,SUMIFS(Database!P:P,Database!$E:$E,$C50)),-0.00001)</f>
        <v>-1.0000000000000001E-5</v>
      </c>
      <c r="O50" s="185">
        <f>IFERROR(IF($C50="",-0.00001,SUMIFS(Database!Q:Q,Database!$E:$E,$C50)),-0.00001)</f>
        <v>-1.0000000000000001E-5</v>
      </c>
      <c r="P50" s="186">
        <f t="shared" si="0"/>
        <v>-1.0000000000000001E-5</v>
      </c>
      <c r="Q50" s="185">
        <f>IFERROR(IF($C50="",-0.00001,SUMIFS(Database!S:S,Database!$E:$E,$C50)),-0.00001)</f>
        <v>-1.0000000000000001E-5</v>
      </c>
      <c r="R50" s="185">
        <f>IFERROR(IF($C50="",-0.00001,SUMIFS(Database!T:T,Database!$E:$E,$C50)),-0.00001)</f>
        <v>-1.0000000000000001E-5</v>
      </c>
      <c r="S50" s="186">
        <f t="shared" si="1"/>
        <v>-1.0000000000000001E-5</v>
      </c>
      <c r="T50" s="185">
        <f>IFERROR(IF($C50="",-0.00001,SUMIFS(Database!V:V,Database!$E:$E,$C50)),-0.00001)</f>
        <v>-1.0000000000000001E-5</v>
      </c>
      <c r="U50" s="185">
        <f>IFERROR(IF($C50="",-0.00001,SUMIFS(Database!W:W,Database!$E:$E,$C50)),-0.00001)</f>
        <v>-1.0000000000000001E-5</v>
      </c>
      <c r="V50" s="186">
        <f t="shared" si="2"/>
        <v>-1.0000000000000001E-5</v>
      </c>
      <c r="W50" s="187"/>
      <c r="X50" s="187"/>
      <c r="Y50" s="187"/>
      <c r="Z50" s="187"/>
      <c r="AA50" s="187"/>
      <c r="AB50" s="187"/>
      <c r="AC50" s="187"/>
      <c r="AD50" s="187"/>
      <c r="AE50" s="187"/>
    </row>
    <row r="51" spans="1:31" x14ac:dyDescent="0.25">
      <c r="A51" s="187"/>
      <c r="B51" s="187" t="str">
        <f>IF($C51="","",MAX($B$4:$B50)+1)</f>
        <v/>
      </c>
      <c r="C51" s="183"/>
      <c r="D51" s="183" t="str">
        <f>IFERROR(VLOOKUP($C51,Rosters!$C$4:$M$239,INDEX(Lists!$N$5:$O$80,MATCH($C51,Lists!$N$5:$N$80,FALSE),2)),"")</f>
        <v/>
      </c>
      <c r="E51" s="185">
        <f>IF($C51="",-0.00001,COUNTIF(Database!E:E,$C51))</f>
        <v>-1.0000000000000001E-5</v>
      </c>
      <c r="F51" s="185">
        <f>IFERROR(IF($C51="",-0.00001,SUMIFS(Database!H:H,Database!$E:$E,$C51)),-0.00001)</f>
        <v>-1.0000000000000001E-5</v>
      </c>
      <c r="G51" s="185">
        <f>IFERROR(IF($C51="",-0.00001,SUMIFS(Database!I:I,Database!$E:$E,$C51)),-0.00001)</f>
        <v>-1.0000000000000001E-5</v>
      </c>
      <c r="H51" s="185">
        <f>IFERROR(IF($C51="",-0.00001,SUMIFS(Database!J:J,Database!$E:$E,$C51)),-0.00001)</f>
        <v>-1.0000000000000001E-5</v>
      </c>
      <c r="I51" s="185">
        <f>IFERROR(IF($C51="",-0.00001,SUMIFS(Database!K:K,Database!$E:$E,$C51)),-0.00001)</f>
        <v>-1.0000000000000001E-5</v>
      </c>
      <c r="J51" s="185">
        <f>IFERROR(IF($C51="",-0.00001,SUMIFS(Database!L:L,Database!$E:$E,$C51)),-0.00001)</f>
        <v>-1.0000000000000001E-5</v>
      </c>
      <c r="K51" s="185">
        <f>IFERROR(IF($C51="",-0.00001,SUMIFS(Database!M:M,Database!$E:$E,$C51)),-0.00001)</f>
        <v>-1.0000000000000001E-5</v>
      </c>
      <c r="L51" s="185">
        <f>IFERROR(IF($C51="",-0.00001,SUMIFS(Database!N:N,Database!$E:$E,$C51)),-0.00001)</f>
        <v>-1.0000000000000001E-5</v>
      </c>
      <c r="M51" s="185">
        <f>IFERROR(IF($C51="",-0.00001,SUMIFS(Database!O:O,Database!$E:$E,$C51)),-0.00001)</f>
        <v>-1.0000000000000001E-5</v>
      </c>
      <c r="N51" s="185">
        <f>IFERROR(IF($C51="",-0.00001,SUMIFS(Database!P:P,Database!$E:$E,$C51)),-0.00001)</f>
        <v>-1.0000000000000001E-5</v>
      </c>
      <c r="O51" s="185">
        <f>IFERROR(IF($C51="",-0.00001,SUMIFS(Database!Q:Q,Database!$E:$E,$C51)),-0.00001)</f>
        <v>-1.0000000000000001E-5</v>
      </c>
      <c r="P51" s="186">
        <f t="shared" si="0"/>
        <v>-1.0000000000000001E-5</v>
      </c>
      <c r="Q51" s="185">
        <f>IFERROR(IF($C51="",-0.00001,SUMIFS(Database!S:S,Database!$E:$E,$C51)),-0.00001)</f>
        <v>-1.0000000000000001E-5</v>
      </c>
      <c r="R51" s="185">
        <f>IFERROR(IF($C51="",-0.00001,SUMIFS(Database!T:T,Database!$E:$E,$C51)),-0.00001)</f>
        <v>-1.0000000000000001E-5</v>
      </c>
      <c r="S51" s="186">
        <f t="shared" si="1"/>
        <v>-1.0000000000000001E-5</v>
      </c>
      <c r="T51" s="185">
        <f>IFERROR(IF($C51="",-0.00001,SUMIFS(Database!V:V,Database!$E:$E,$C51)),-0.00001)</f>
        <v>-1.0000000000000001E-5</v>
      </c>
      <c r="U51" s="185">
        <f>IFERROR(IF($C51="",-0.00001,SUMIFS(Database!W:W,Database!$E:$E,$C51)),-0.00001)</f>
        <v>-1.0000000000000001E-5</v>
      </c>
      <c r="V51" s="186">
        <f t="shared" si="2"/>
        <v>-1.0000000000000001E-5</v>
      </c>
      <c r="W51" s="187"/>
      <c r="X51" s="187"/>
      <c r="Y51" s="187"/>
      <c r="Z51" s="187"/>
      <c r="AA51" s="187"/>
      <c r="AB51" s="187"/>
      <c r="AC51" s="187"/>
      <c r="AD51" s="187"/>
      <c r="AE51" s="187"/>
    </row>
    <row r="52" spans="1:31" x14ac:dyDescent="0.25">
      <c r="A52" s="187"/>
      <c r="B52" s="187" t="str">
        <f>IF($C52="","",MAX($B$4:$B51)+1)</f>
        <v/>
      </c>
      <c r="C52" s="183"/>
      <c r="D52" s="183" t="str">
        <f>IFERROR(VLOOKUP($C52,Rosters!$C$4:$M$239,INDEX(Lists!$N$5:$O$80,MATCH($C52,Lists!$N$5:$N$80,FALSE),2)),"")</f>
        <v/>
      </c>
      <c r="E52" s="185">
        <f>IF($C52="",-0.00001,COUNTIF(Database!E:E,$C52))</f>
        <v>-1.0000000000000001E-5</v>
      </c>
      <c r="F52" s="185">
        <f>IFERROR(IF($C52="",-0.00001,SUMIFS(Database!H:H,Database!$E:$E,$C52)),-0.00001)</f>
        <v>-1.0000000000000001E-5</v>
      </c>
      <c r="G52" s="185">
        <f>IFERROR(IF($C52="",-0.00001,SUMIFS(Database!I:I,Database!$E:$E,$C52)),-0.00001)</f>
        <v>-1.0000000000000001E-5</v>
      </c>
      <c r="H52" s="185">
        <f>IFERROR(IF($C52="",-0.00001,SUMIFS(Database!J:J,Database!$E:$E,$C52)),-0.00001)</f>
        <v>-1.0000000000000001E-5</v>
      </c>
      <c r="I52" s="185">
        <f>IFERROR(IF($C52="",-0.00001,SUMIFS(Database!K:K,Database!$E:$E,$C52)),-0.00001)</f>
        <v>-1.0000000000000001E-5</v>
      </c>
      <c r="J52" s="185">
        <f>IFERROR(IF($C52="",-0.00001,SUMIFS(Database!L:L,Database!$E:$E,$C52)),-0.00001)</f>
        <v>-1.0000000000000001E-5</v>
      </c>
      <c r="K52" s="185">
        <f>IFERROR(IF($C52="",-0.00001,SUMIFS(Database!M:M,Database!$E:$E,$C52)),-0.00001)</f>
        <v>-1.0000000000000001E-5</v>
      </c>
      <c r="L52" s="185">
        <f>IFERROR(IF($C52="",-0.00001,SUMIFS(Database!N:N,Database!$E:$E,$C52)),-0.00001)</f>
        <v>-1.0000000000000001E-5</v>
      </c>
      <c r="M52" s="185">
        <f>IFERROR(IF($C52="",-0.00001,SUMIFS(Database!O:O,Database!$E:$E,$C52)),-0.00001)</f>
        <v>-1.0000000000000001E-5</v>
      </c>
      <c r="N52" s="185">
        <f>IFERROR(IF($C52="",-0.00001,SUMIFS(Database!P:P,Database!$E:$E,$C52)),-0.00001)</f>
        <v>-1.0000000000000001E-5</v>
      </c>
      <c r="O52" s="185">
        <f>IFERROR(IF($C52="",-0.00001,SUMIFS(Database!Q:Q,Database!$E:$E,$C52)),-0.00001)</f>
        <v>-1.0000000000000001E-5</v>
      </c>
      <c r="P52" s="186">
        <f t="shared" si="0"/>
        <v>-1.0000000000000001E-5</v>
      </c>
      <c r="Q52" s="185">
        <f>IFERROR(IF($C52="",-0.00001,SUMIFS(Database!S:S,Database!$E:$E,$C52)),-0.00001)</f>
        <v>-1.0000000000000001E-5</v>
      </c>
      <c r="R52" s="185">
        <f>IFERROR(IF($C52="",-0.00001,SUMIFS(Database!T:T,Database!$E:$E,$C52)),-0.00001)</f>
        <v>-1.0000000000000001E-5</v>
      </c>
      <c r="S52" s="186">
        <f t="shared" si="1"/>
        <v>-1.0000000000000001E-5</v>
      </c>
      <c r="T52" s="185">
        <f>IFERROR(IF($C52="",-0.00001,SUMIFS(Database!V:V,Database!$E:$E,$C52)),-0.00001)</f>
        <v>-1.0000000000000001E-5</v>
      </c>
      <c r="U52" s="185">
        <f>IFERROR(IF($C52="",-0.00001,SUMIFS(Database!W:W,Database!$E:$E,$C52)),-0.00001)</f>
        <v>-1.0000000000000001E-5</v>
      </c>
      <c r="V52" s="186">
        <f t="shared" si="2"/>
        <v>-1.0000000000000001E-5</v>
      </c>
      <c r="W52" s="187"/>
      <c r="X52" s="187"/>
      <c r="Y52" s="187"/>
      <c r="Z52" s="187"/>
      <c r="AA52" s="187"/>
      <c r="AB52" s="187"/>
      <c r="AC52" s="187"/>
      <c r="AD52" s="187"/>
      <c r="AE52" s="187"/>
    </row>
    <row r="53" spans="1:31" x14ac:dyDescent="0.25">
      <c r="A53" s="187"/>
      <c r="B53" s="187" t="str">
        <f>IF($C53="","",MAX($B$4:$B52)+1)</f>
        <v/>
      </c>
      <c r="C53" s="183"/>
      <c r="D53" s="183" t="str">
        <f>IFERROR(VLOOKUP($C53,Rosters!$C$4:$M$239,INDEX(Lists!$N$5:$O$80,MATCH($C53,Lists!$N$5:$N$80,FALSE),2)),"")</f>
        <v/>
      </c>
      <c r="E53" s="185">
        <f>IF($C53="",-0.00001,COUNTIF(Database!E:E,$C53))</f>
        <v>-1.0000000000000001E-5</v>
      </c>
      <c r="F53" s="185">
        <f>IFERROR(IF($C53="",-0.00001,SUMIFS(Database!H:H,Database!$E:$E,$C53)),-0.00001)</f>
        <v>-1.0000000000000001E-5</v>
      </c>
      <c r="G53" s="185">
        <f>IFERROR(IF($C53="",-0.00001,SUMIFS(Database!I:I,Database!$E:$E,$C53)),-0.00001)</f>
        <v>-1.0000000000000001E-5</v>
      </c>
      <c r="H53" s="185">
        <f>IFERROR(IF($C53="",-0.00001,SUMIFS(Database!J:J,Database!$E:$E,$C53)),-0.00001)</f>
        <v>-1.0000000000000001E-5</v>
      </c>
      <c r="I53" s="185">
        <f>IFERROR(IF($C53="",-0.00001,SUMIFS(Database!K:K,Database!$E:$E,$C53)),-0.00001)</f>
        <v>-1.0000000000000001E-5</v>
      </c>
      <c r="J53" s="185">
        <f>IFERROR(IF($C53="",-0.00001,SUMIFS(Database!L:L,Database!$E:$E,$C53)),-0.00001)</f>
        <v>-1.0000000000000001E-5</v>
      </c>
      <c r="K53" s="185">
        <f>IFERROR(IF($C53="",-0.00001,SUMIFS(Database!M:M,Database!$E:$E,$C53)),-0.00001)</f>
        <v>-1.0000000000000001E-5</v>
      </c>
      <c r="L53" s="185">
        <f>IFERROR(IF($C53="",-0.00001,SUMIFS(Database!N:N,Database!$E:$E,$C53)),-0.00001)</f>
        <v>-1.0000000000000001E-5</v>
      </c>
      <c r="M53" s="185">
        <f>IFERROR(IF($C53="",-0.00001,SUMIFS(Database!O:O,Database!$E:$E,$C53)),-0.00001)</f>
        <v>-1.0000000000000001E-5</v>
      </c>
      <c r="N53" s="185">
        <f>IFERROR(IF($C53="",-0.00001,SUMIFS(Database!P:P,Database!$E:$E,$C53)),-0.00001)</f>
        <v>-1.0000000000000001E-5</v>
      </c>
      <c r="O53" s="185">
        <f>IFERROR(IF($C53="",-0.00001,SUMIFS(Database!Q:Q,Database!$E:$E,$C53)),-0.00001)</f>
        <v>-1.0000000000000001E-5</v>
      </c>
      <c r="P53" s="186">
        <f t="shared" si="0"/>
        <v>-1.0000000000000001E-5</v>
      </c>
      <c r="Q53" s="185">
        <f>IFERROR(IF($C53="",-0.00001,SUMIFS(Database!S:S,Database!$E:$E,$C53)),-0.00001)</f>
        <v>-1.0000000000000001E-5</v>
      </c>
      <c r="R53" s="185">
        <f>IFERROR(IF($C53="",-0.00001,SUMIFS(Database!T:T,Database!$E:$E,$C53)),-0.00001)</f>
        <v>-1.0000000000000001E-5</v>
      </c>
      <c r="S53" s="186">
        <f t="shared" si="1"/>
        <v>-1.0000000000000001E-5</v>
      </c>
      <c r="T53" s="185">
        <f>IFERROR(IF($C53="",-0.00001,SUMIFS(Database!V:V,Database!$E:$E,$C53)),-0.00001)</f>
        <v>-1.0000000000000001E-5</v>
      </c>
      <c r="U53" s="185">
        <f>IFERROR(IF($C53="",-0.00001,SUMIFS(Database!W:W,Database!$E:$E,$C53)),-0.00001)</f>
        <v>-1.0000000000000001E-5</v>
      </c>
      <c r="V53" s="186">
        <f t="shared" si="2"/>
        <v>-1.0000000000000001E-5</v>
      </c>
      <c r="W53" s="187"/>
      <c r="X53" s="187"/>
      <c r="Y53" s="187"/>
      <c r="Z53" s="187"/>
      <c r="AA53" s="187"/>
      <c r="AB53" s="187"/>
      <c r="AC53" s="187"/>
      <c r="AD53" s="187"/>
      <c r="AE53" s="187"/>
    </row>
    <row r="54" spans="1:31" x14ac:dyDescent="0.25">
      <c r="A54" s="187"/>
      <c r="B54" s="187" t="str">
        <f>IF($C54="","",MAX($B$4:$B53)+1)</f>
        <v/>
      </c>
      <c r="C54" s="183"/>
      <c r="D54" s="183" t="str">
        <f>IFERROR(VLOOKUP($C54,Rosters!$C$4:$M$239,INDEX(Lists!$N$5:$O$80,MATCH($C54,Lists!$N$5:$N$80,FALSE),2)),"")</f>
        <v/>
      </c>
      <c r="E54" s="185">
        <f>IF($C54="",-0.00001,COUNTIF(Database!E:E,$C54))</f>
        <v>-1.0000000000000001E-5</v>
      </c>
      <c r="F54" s="185">
        <f>IFERROR(IF($C54="",-0.00001,SUMIFS(Database!H:H,Database!$E:$E,$C54)),-0.00001)</f>
        <v>-1.0000000000000001E-5</v>
      </c>
      <c r="G54" s="185">
        <f>IFERROR(IF($C54="",-0.00001,SUMIFS(Database!I:I,Database!$E:$E,$C54)),-0.00001)</f>
        <v>-1.0000000000000001E-5</v>
      </c>
      <c r="H54" s="185">
        <f>IFERROR(IF($C54="",-0.00001,SUMIFS(Database!J:J,Database!$E:$E,$C54)),-0.00001)</f>
        <v>-1.0000000000000001E-5</v>
      </c>
      <c r="I54" s="185">
        <f>IFERROR(IF($C54="",-0.00001,SUMIFS(Database!K:K,Database!$E:$E,$C54)),-0.00001)</f>
        <v>-1.0000000000000001E-5</v>
      </c>
      <c r="J54" s="185">
        <f>IFERROR(IF($C54="",-0.00001,SUMIFS(Database!L:L,Database!$E:$E,$C54)),-0.00001)</f>
        <v>-1.0000000000000001E-5</v>
      </c>
      <c r="K54" s="185">
        <f>IFERROR(IF($C54="",-0.00001,SUMIFS(Database!M:M,Database!$E:$E,$C54)),-0.00001)</f>
        <v>-1.0000000000000001E-5</v>
      </c>
      <c r="L54" s="185">
        <f>IFERROR(IF($C54="",-0.00001,SUMIFS(Database!N:N,Database!$E:$E,$C54)),-0.00001)</f>
        <v>-1.0000000000000001E-5</v>
      </c>
      <c r="M54" s="185">
        <f>IFERROR(IF($C54="",-0.00001,SUMIFS(Database!O:O,Database!$E:$E,$C54)),-0.00001)</f>
        <v>-1.0000000000000001E-5</v>
      </c>
      <c r="N54" s="185">
        <f>IFERROR(IF($C54="",-0.00001,SUMIFS(Database!P:P,Database!$E:$E,$C54)),-0.00001)</f>
        <v>-1.0000000000000001E-5</v>
      </c>
      <c r="O54" s="185">
        <f>IFERROR(IF($C54="",-0.00001,SUMIFS(Database!Q:Q,Database!$E:$E,$C54)),-0.00001)</f>
        <v>-1.0000000000000001E-5</v>
      </c>
      <c r="P54" s="186">
        <f t="shared" si="0"/>
        <v>-1.0000000000000001E-5</v>
      </c>
      <c r="Q54" s="185">
        <f>IFERROR(IF($C54="",-0.00001,SUMIFS(Database!S:S,Database!$E:$E,$C54)),-0.00001)</f>
        <v>-1.0000000000000001E-5</v>
      </c>
      <c r="R54" s="185">
        <f>IFERROR(IF($C54="",-0.00001,SUMIFS(Database!T:T,Database!$E:$E,$C54)),-0.00001)</f>
        <v>-1.0000000000000001E-5</v>
      </c>
      <c r="S54" s="186">
        <f t="shared" si="1"/>
        <v>-1.0000000000000001E-5</v>
      </c>
      <c r="T54" s="185">
        <f>IFERROR(IF($C54="",-0.00001,SUMIFS(Database!V:V,Database!$E:$E,$C54)),-0.00001)</f>
        <v>-1.0000000000000001E-5</v>
      </c>
      <c r="U54" s="185">
        <f>IFERROR(IF($C54="",-0.00001,SUMIFS(Database!W:W,Database!$E:$E,$C54)),-0.00001)</f>
        <v>-1.0000000000000001E-5</v>
      </c>
      <c r="V54" s="186">
        <f t="shared" si="2"/>
        <v>-1.0000000000000001E-5</v>
      </c>
      <c r="W54" s="187"/>
      <c r="X54" s="187"/>
      <c r="Y54" s="187"/>
      <c r="Z54" s="187"/>
      <c r="AA54" s="187"/>
      <c r="AB54" s="187"/>
      <c r="AC54" s="187"/>
      <c r="AD54" s="187"/>
      <c r="AE54" s="187"/>
    </row>
    <row r="55" spans="1:31" x14ac:dyDescent="0.25">
      <c r="A55" s="187"/>
      <c r="B55" s="187" t="str">
        <f>IF($C55="","",MAX($B$4:$B54)+1)</f>
        <v/>
      </c>
      <c r="C55" s="183"/>
      <c r="D55" s="183" t="str">
        <f>IFERROR(VLOOKUP($C55,Rosters!$C$4:$M$239,INDEX(Lists!$N$5:$O$80,MATCH($C55,Lists!$N$5:$N$80,FALSE),2)),"")</f>
        <v/>
      </c>
      <c r="E55" s="185">
        <f>IF($C55="",-0.00001,COUNTIF(Database!E:E,$C55))</f>
        <v>-1.0000000000000001E-5</v>
      </c>
      <c r="F55" s="185">
        <f>IFERROR(IF($C55="",-0.00001,SUMIFS(Database!H:H,Database!$E:$E,$C55)),-0.00001)</f>
        <v>-1.0000000000000001E-5</v>
      </c>
      <c r="G55" s="185">
        <f>IFERROR(IF($C55="",-0.00001,SUMIFS(Database!I:I,Database!$E:$E,$C55)),-0.00001)</f>
        <v>-1.0000000000000001E-5</v>
      </c>
      <c r="H55" s="185">
        <f>IFERROR(IF($C55="",-0.00001,SUMIFS(Database!J:J,Database!$E:$E,$C55)),-0.00001)</f>
        <v>-1.0000000000000001E-5</v>
      </c>
      <c r="I55" s="185">
        <f>IFERROR(IF($C55="",-0.00001,SUMIFS(Database!K:K,Database!$E:$E,$C55)),-0.00001)</f>
        <v>-1.0000000000000001E-5</v>
      </c>
      <c r="J55" s="185">
        <f>IFERROR(IF($C55="",-0.00001,SUMIFS(Database!L:L,Database!$E:$E,$C55)),-0.00001)</f>
        <v>-1.0000000000000001E-5</v>
      </c>
      <c r="K55" s="185">
        <f>IFERROR(IF($C55="",-0.00001,SUMIFS(Database!M:M,Database!$E:$E,$C55)),-0.00001)</f>
        <v>-1.0000000000000001E-5</v>
      </c>
      <c r="L55" s="185">
        <f>IFERROR(IF($C55="",-0.00001,SUMIFS(Database!N:N,Database!$E:$E,$C55)),-0.00001)</f>
        <v>-1.0000000000000001E-5</v>
      </c>
      <c r="M55" s="185">
        <f>IFERROR(IF($C55="",-0.00001,SUMIFS(Database!O:O,Database!$E:$E,$C55)),-0.00001)</f>
        <v>-1.0000000000000001E-5</v>
      </c>
      <c r="N55" s="185">
        <f>IFERROR(IF($C55="",-0.00001,SUMIFS(Database!P:P,Database!$E:$E,$C55)),-0.00001)</f>
        <v>-1.0000000000000001E-5</v>
      </c>
      <c r="O55" s="185">
        <f>IFERROR(IF($C55="",-0.00001,SUMIFS(Database!Q:Q,Database!$E:$E,$C55)),-0.00001)</f>
        <v>-1.0000000000000001E-5</v>
      </c>
      <c r="P55" s="186">
        <f t="shared" si="0"/>
        <v>-1.0000000000000001E-5</v>
      </c>
      <c r="Q55" s="185">
        <f>IFERROR(IF($C55="",-0.00001,SUMIFS(Database!S:S,Database!$E:$E,$C55)),-0.00001)</f>
        <v>-1.0000000000000001E-5</v>
      </c>
      <c r="R55" s="185">
        <f>IFERROR(IF($C55="",-0.00001,SUMIFS(Database!T:T,Database!$E:$E,$C55)),-0.00001)</f>
        <v>-1.0000000000000001E-5</v>
      </c>
      <c r="S55" s="186">
        <f t="shared" si="1"/>
        <v>-1.0000000000000001E-5</v>
      </c>
      <c r="T55" s="185">
        <f>IFERROR(IF($C55="",-0.00001,SUMIFS(Database!V:V,Database!$E:$E,$C55)),-0.00001)</f>
        <v>-1.0000000000000001E-5</v>
      </c>
      <c r="U55" s="185">
        <f>IFERROR(IF($C55="",-0.00001,SUMIFS(Database!W:W,Database!$E:$E,$C55)),-0.00001)</f>
        <v>-1.0000000000000001E-5</v>
      </c>
      <c r="V55" s="186">
        <f t="shared" si="2"/>
        <v>-1.0000000000000001E-5</v>
      </c>
      <c r="W55" s="187"/>
      <c r="X55" s="187"/>
      <c r="Y55" s="187"/>
      <c r="Z55" s="187"/>
      <c r="AA55" s="187"/>
      <c r="AB55" s="187"/>
      <c r="AC55" s="187"/>
      <c r="AD55" s="187"/>
      <c r="AE55" s="187"/>
    </row>
    <row r="56" spans="1:31" x14ac:dyDescent="0.25">
      <c r="A56" s="187"/>
      <c r="B56" s="187" t="str">
        <f>IF($C56="","",MAX($B$4:$B55)+1)</f>
        <v/>
      </c>
      <c r="C56" s="183"/>
      <c r="D56" s="183" t="str">
        <f>IFERROR(VLOOKUP($C56,Rosters!$C$4:$M$239,INDEX(Lists!$N$5:$O$80,MATCH($C56,Lists!$N$5:$N$80,FALSE),2)),"")</f>
        <v/>
      </c>
      <c r="E56" s="185">
        <f>IF($C56="",-0.00001,COUNTIF(Database!E:E,$C56))</f>
        <v>-1.0000000000000001E-5</v>
      </c>
      <c r="F56" s="185">
        <f>IFERROR(IF($C56="",-0.00001,SUMIFS(Database!H:H,Database!$E:$E,$C56)),-0.00001)</f>
        <v>-1.0000000000000001E-5</v>
      </c>
      <c r="G56" s="185">
        <f>IFERROR(IF($C56="",-0.00001,SUMIFS(Database!I:I,Database!$E:$E,$C56)),-0.00001)</f>
        <v>-1.0000000000000001E-5</v>
      </c>
      <c r="H56" s="185">
        <f>IFERROR(IF($C56="",-0.00001,SUMIFS(Database!J:J,Database!$E:$E,$C56)),-0.00001)</f>
        <v>-1.0000000000000001E-5</v>
      </c>
      <c r="I56" s="185">
        <f>IFERROR(IF($C56="",-0.00001,SUMIFS(Database!K:K,Database!$E:$E,$C56)),-0.00001)</f>
        <v>-1.0000000000000001E-5</v>
      </c>
      <c r="J56" s="185">
        <f>IFERROR(IF($C56="",-0.00001,SUMIFS(Database!L:L,Database!$E:$E,$C56)),-0.00001)</f>
        <v>-1.0000000000000001E-5</v>
      </c>
      <c r="K56" s="185">
        <f>IFERROR(IF($C56="",-0.00001,SUMIFS(Database!M:M,Database!$E:$E,$C56)),-0.00001)</f>
        <v>-1.0000000000000001E-5</v>
      </c>
      <c r="L56" s="185">
        <f>IFERROR(IF($C56="",-0.00001,SUMIFS(Database!N:N,Database!$E:$E,$C56)),-0.00001)</f>
        <v>-1.0000000000000001E-5</v>
      </c>
      <c r="M56" s="185">
        <f>IFERROR(IF($C56="",-0.00001,SUMIFS(Database!O:O,Database!$E:$E,$C56)),-0.00001)</f>
        <v>-1.0000000000000001E-5</v>
      </c>
      <c r="N56" s="185">
        <f>IFERROR(IF($C56="",-0.00001,SUMIFS(Database!P:P,Database!$E:$E,$C56)),-0.00001)</f>
        <v>-1.0000000000000001E-5</v>
      </c>
      <c r="O56" s="185">
        <f>IFERROR(IF($C56="",-0.00001,SUMIFS(Database!Q:Q,Database!$E:$E,$C56)),-0.00001)</f>
        <v>-1.0000000000000001E-5</v>
      </c>
      <c r="P56" s="186">
        <f t="shared" si="0"/>
        <v>-1.0000000000000001E-5</v>
      </c>
      <c r="Q56" s="185">
        <f>IFERROR(IF($C56="",-0.00001,SUMIFS(Database!S:S,Database!$E:$E,$C56)),-0.00001)</f>
        <v>-1.0000000000000001E-5</v>
      </c>
      <c r="R56" s="185">
        <f>IFERROR(IF($C56="",-0.00001,SUMIFS(Database!T:T,Database!$E:$E,$C56)),-0.00001)</f>
        <v>-1.0000000000000001E-5</v>
      </c>
      <c r="S56" s="186">
        <f t="shared" si="1"/>
        <v>-1.0000000000000001E-5</v>
      </c>
      <c r="T56" s="185">
        <f>IFERROR(IF($C56="",-0.00001,SUMIFS(Database!V:V,Database!$E:$E,$C56)),-0.00001)</f>
        <v>-1.0000000000000001E-5</v>
      </c>
      <c r="U56" s="185">
        <f>IFERROR(IF($C56="",-0.00001,SUMIFS(Database!W:W,Database!$E:$E,$C56)),-0.00001)</f>
        <v>-1.0000000000000001E-5</v>
      </c>
      <c r="V56" s="186">
        <f t="shared" si="2"/>
        <v>-1.0000000000000001E-5</v>
      </c>
      <c r="W56" s="187"/>
      <c r="X56" s="187"/>
      <c r="Y56" s="187"/>
      <c r="Z56" s="187"/>
      <c r="AA56" s="187"/>
      <c r="AB56" s="187"/>
      <c r="AC56" s="187"/>
      <c r="AD56" s="187"/>
      <c r="AE56" s="187"/>
    </row>
    <row r="57" spans="1:31" x14ac:dyDescent="0.25">
      <c r="A57" s="187"/>
      <c r="B57" s="187" t="str">
        <f>IF($C57="","",MAX($B$4:$B56)+1)</f>
        <v/>
      </c>
      <c r="C57" s="183"/>
      <c r="D57" s="183" t="str">
        <f>IFERROR(VLOOKUP($C57,Rosters!$C$4:$M$239,INDEX(Lists!$N$5:$O$80,MATCH($C57,Lists!$N$5:$N$80,FALSE),2)),"")</f>
        <v/>
      </c>
      <c r="E57" s="185">
        <f>IF($C57="",-0.00001,COUNTIF(Database!E:E,$C57))</f>
        <v>-1.0000000000000001E-5</v>
      </c>
      <c r="F57" s="185">
        <f>IFERROR(IF($C57="",-0.00001,SUMIFS(Database!H:H,Database!$E:$E,$C57)),-0.00001)</f>
        <v>-1.0000000000000001E-5</v>
      </c>
      <c r="G57" s="185">
        <f>IFERROR(IF($C57="",-0.00001,SUMIFS(Database!I:I,Database!$E:$E,$C57)),-0.00001)</f>
        <v>-1.0000000000000001E-5</v>
      </c>
      <c r="H57" s="185">
        <f>IFERROR(IF($C57="",-0.00001,SUMIFS(Database!J:J,Database!$E:$E,$C57)),-0.00001)</f>
        <v>-1.0000000000000001E-5</v>
      </c>
      <c r="I57" s="185">
        <f>IFERROR(IF($C57="",-0.00001,SUMIFS(Database!K:K,Database!$E:$E,$C57)),-0.00001)</f>
        <v>-1.0000000000000001E-5</v>
      </c>
      <c r="J57" s="185">
        <f>IFERROR(IF($C57="",-0.00001,SUMIFS(Database!L:L,Database!$E:$E,$C57)),-0.00001)</f>
        <v>-1.0000000000000001E-5</v>
      </c>
      <c r="K57" s="185">
        <f>IFERROR(IF($C57="",-0.00001,SUMIFS(Database!M:M,Database!$E:$E,$C57)),-0.00001)</f>
        <v>-1.0000000000000001E-5</v>
      </c>
      <c r="L57" s="185">
        <f>IFERROR(IF($C57="",-0.00001,SUMIFS(Database!N:N,Database!$E:$E,$C57)),-0.00001)</f>
        <v>-1.0000000000000001E-5</v>
      </c>
      <c r="M57" s="185">
        <f>IFERROR(IF($C57="",-0.00001,SUMIFS(Database!O:O,Database!$E:$E,$C57)),-0.00001)</f>
        <v>-1.0000000000000001E-5</v>
      </c>
      <c r="N57" s="185">
        <f>IFERROR(IF($C57="",-0.00001,SUMIFS(Database!P:P,Database!$E:$E,$C57)),-0.00001)</f>
        <v>-1.0000000000000001E-5</v>
      </c>
      <c r="O57" s="185">
        <f>IFERROR(IF($C57="",-0.00001,SUMIFS(Database!Q:Q,Database!$E:$E,$C57)),-0.00001)</f>
        <v>-1.0000000000000001E-5</v>
      </c>
      <c r="P57" s="186">
        <f t="shared" si="0"/>
        <v>-1.0000000000000001E-5</v>
      </c>
      <c r="Q57" s="185">
        <f>IFERROR(IF($C57="",-0.00001,SUMIFS(Database!S:S,Database!$E:$E,$C57)),-0.00001)</f>
        <v>-1.0000000000000001E-5</v>
      </c>
      <c r="R57" s="185">
        <f>IFERROR(IF($C57="",-0.00001,SUMIFS(Database!T:T,Database!$E:$E,$C57)),-0.00001)</f>
        <v>-1.0000000000000001E-5</v>
      </c>
      <c r="S57" s="186">
        <f t="shared" si="1"/>
        <v>-1.0000000000000001E-5</v>
      </c>
      <c r="T57" s="185">
        <f>IFERROR(IF($C57="",-0.00001,SUMIFS(Database!V:V,Database!$E:$E,$C57)),-0.00001)</f>
        <v>-1.0000000000000001E-5</v>
      </c>
      <c r="U57" s="185">
        <f>IFERROR(IF($C57="",-0.00001,SUMIFS(Database!W:W,Database!$E:$E,$C57)),-0.00001)</f>
        <v>-1.0000000000000001E-5</v>
      </c>
      <c r="V57" s="186">
        <f t="shared" si="2"/>
        <v>-1.0000000000000001E-5</v>
      </c>
      <c r="W57" s="187"/>
      <c r="X57" s="187"/>
      <c r="Y57" s="187"/>
      <c r="Z57" s="187"/>
      <c r="AA57" s="187"/>
      <c r="AB57" s="187"/>
      <c r="AC57" s="187"/>
      <c r="AD57" s="187"/>
      <c r="AE57" s="187"/>
    </row>
    <row r="58" spans="1:31" x14ac:dyDescent="0.25">
      <c r="A58" s="187"/>
      <c r="B58" s="187" t="str">
        <f>IF($C58="","",MAX($B$4:$B57)+1)</f>
        <v/>
      </c>
      <c r="C58" s="183"/>
      <c r="D58" s="183" t="str">
        <f>IFERROR(VLOOKUP($C58,Rosters!$C$4:$M$239,INDEX(Lists!$N$5:$O$80,MATCH($C58,Lists!$N$5:$N$80,FALSE),2)),"")</f>
        <v/>
      </c>
      <c r="E58" s="185">
        <f>IF($C58="",-0.00001,COUNTIF(Database!E:E,$C58))</f>
        <v>-1.0000000000000001E-5</v>
      </c>
      <c r="F58" s="185">
        <f>IFERROR(IF($C58="",-0.00001,SUMIFS(Database!H:H,Database!$E:$E,$C58)),-0.00001)</f>
        <v>-1.0000000000000001E-5</v>
      </c>
      <c r="G58" s="185">
        <f>IFERROR(IF($C58="",-0.00001,SUMIFS(Database!I:I,Database!$E:$E,$C58)),-0.00001)</f>
        <v>-1.0000000000000001E-5</v>
      </c>
      <c r="H58" s="185">
        <f>IFERROR(IF($C58="",-0.00001,SUMIFS(Database!J:J,Database!$E:$E,$C58)),-0.00001)</f>
        <v>-1.0000000000000001E-5</v>
      </c>
      <c r="I58" s="185">
        <f>IFERROR(IF($C58="",-0.00001,SUMIFS(Database!K:K,Database!$E:$E,$C58)),-0.00001)</f>
        <v>-1.0000000000000001E-5</v>
      </c>
      <c r="J58" s="185">
        <f>IFERROR(IF($C58="",-0.00001,SUMIFS(Database!L:L,Database!$E:$E,$C58)),-0.00001)</f>
        <v>-1.0000000000000001E-5</v>
      </c>
      <c r="K58" s="185">
        <f>IFERROR(IF($C58="",-0.00001,SUMIFS(Database!M:M,Database!$E:$E,$C58)),-0.00001)</f>
        <v>-1.0000000000000001E-5</v>
      </c>
      <c r="L58" s="185">
        <f>IFERROR(IF($C58="",-0.00001,SUMIFS(Database!N:N,Database!$E:$E,$C58)),-0.00001)</f>
        <v>-1.0000000000000001E-5</v>
      </c>
      <c r="M58" s="185">
        <f>IFERROR(IF($C58="",-0.00001,SUMIFS(Database!O:O,Database!$E:$E,$C58)),-0.00001)</f>
        <v>-1.0000000000000001E-5</v>
      </c>
      <c r="N58" s="185">
        <f>IFERROR(IF($C58="",-0.00001,SUMIFS(Database!P:P,Database!$E:$E,$C58)),-0.00001)</f>
        <v>-1.0000000000000001E-5</v>
      </c>
      <c r="O58" s="185">
        <f>IFERROR(IF($C58="",-0.00001,SUMIFS(Database!Q:Q,Database!$E:$E,$C58)),-0.00001)</f>
        <v>-1.0000000000000001E-5</v>
      </c>
      <c r="P58" s="186">
        <f t="shared" si="0"/>
        <v>-1.0000000000000001E-5</v>
      </c>
      <c r="Q58" s="185">
        <f>IFERROR(IF($C58="",-0.00001,SUMIFS(Database!S:S,Database!$E:$E,$C58)),-0.00001)</f>
        <v>-1.0000000000000001E-5</v>
      </c>
      <c r="R58" s="185">
        <f>IFERROR(IF($C58="",-0.00001,SUMIFS(Database!T:T,Database!$E:$E,$C58)),-0.00001)</f>
        <v>-1.0000000000000001E-5</v>
      </c>
      <c r="S58" s="186">
        <f t="shared" si="1"/>
        <v>-1.0000000000000001E-5</v>
      </c>
      <c r="T58" s="185">
        <f>IFERROR(IF($C58="",-0.00001,SUMIFS(Database!V:V,Database!$E:$E,$C58)),-0.00001)</f>
        <v>-1.0000000000000001E-5</v>
      </c>
      <c r="U58" s="185">
        <f>IFERROR(IF($C58="",-0.00001,SUMIFS(Database!W:W,Database!$E:$E,$C58)),-0.00001)</f>
        <v>-1.0000000000000001E-5</v>
      </c>
      <c r="V58" s="186">
        <f t="shared" si="2"/>
        <v>-1.0000000000000001E-5</v>
      </c>
      <c r="W58" s="187"/>
      <c r="X58" s="187"/>
      <c r="Y58" s="187"/>
      <c r="Z58" s="187"/>
      <c r="AA58" s="187"/>
      <c r="AB58" s="187"/>
      <c r="AC58" s="187"/>
      <c r="AD58" s="187"/>
      <c r="AE58" s="187"/>
    </row>
    <row r="59" spans="1:31" x14ac:dyDescent="0.25">
      <c r="A59" s="187"/>
      <c r="B59" s="187" t="str">
        <f>IF($C59="","",MAX($B$4:$B58)+1)</f>
        <v/>
      </c>
      <c r="C59" s="183"/>
      <c r="D59" s="183" t="str">
        <f>IFERROR(VLOOKUP($C59,Rosters!$C$4:$M$239,INDEX(Lists!$N$5:$O$80,MATCH($C59,Lists!$N$5:$N$80,FALSE),2)),"")</f>
        <v/>
      </c>
      <c r="E59" s="185">
        <f>IF($C59="",-0.00001,COUNTIF(Database!E:E,$C59))</f>
        <v>-1.0000000000000001E-5</v>
      </c>
      <c r="F59" s="185">
        <f>IFERROR(IF($C59="",-0.00001,SUMIFS(Database!H:H,Database!$E:$E,$C59)),-0.00001)</f>
        <v>-1.0000000000000001E-5</v>
      </c>
      <c r="G59" s="185">
        <f>IFERROR(IF($C59="",-0.00001,SUMIFS(Database!I:I,Database!$E:$E,$C59)),-0.00001)</f>
        <v>-1.0000000000000001E-5</v>
      </c>
      <c r="H59" s="185">
        <f>IFERROR(IF($C59="",-0.00001,SUMIFS(Database!J:J,Database!$E:$E,$C59)),-0.00001)</f>
        <v>-1.0000000000000001E-5</v>
      </c>
      <c r="I59" s="185">
        <f>IFERROR(IF($C59="",-0.00001,SUMIFS(Database!K:K,Database!$E:$E,$C59)),-0.00001)</f>
        <v>-1.0000000000000001E-5</v>
      </c>
      <c r="J59" s="185">
        <f>IFERROR(IF($C59="",-0.00001,SUMIFS(Database!L:L,Database!$E:$E,$C59)),-0.00001)</f>
        <v>-1.0000000000000001E-5</v>
      </c>
      <c r="K59" s="185">
        <f>IFERROR(IF($C59="",-0.00001,SUMIFS(Database!M:M,Database!$E:$E,$C59)),-0.00001)</f>
        <v>-1.0000000000000001E-5</v>
      </c>
      <c r="L59" s="185">
        <f>IFERROR(IF($C59="",-0.00001,SUMIFS(Database!N:N,Database!$E:$E,$C59)),-0.00001)</f>
        <v>-1.0000000000000001E-5</v>
      </c>
      <c r="M59" s="185">
        <f>IFERROR(IF($C59="",-0.00001,SUMIFS(Database!O:O,Database!$E:$E,$C59)),-0.00001)</f>
        <v>-1.0000000000000001E-5</v>
      </c>
      <c r="N59" s="185">
        <f>IFERROR(IF($C59="",-0.00001,SUMIFS(Database!P:P,Database!$E:$E,$C59)),-0.00001)</f>
        <v>-1.0000000000000001E-5</v>
      </c>
      <c r="O59" s="185">
        <f>IFERROR(IF($C59="",-0.00001,SUMIFS(Database!Q:Q,Database!$E:$E,$C59)),-0.00001)</f>
        <v>-1.0000000000000001E-5</v>
      </c>
      <c r="P59" s="186">
        <f t="shared" si="0"/>
        <v>-1.0000000000000001E-5</v>
      </c>
      <c r="Q59" s="185">
        <f>IFERROR(IF($C59="",-0.00001,SUMIFS(Database!S:S,Database!$E:$E,$C59)),-0.00001)</f>
        <v>-1.0000000000000001E-5</v>
      </c>
      <c r="R59" s="185">
        <f>IFERROR(IF($C59="",-0.00001,SUMIFS(Database!T:T,Database!$E:$E,$C59)),-0.00001)</f>
        <v>-1.0000000000000001E-5</v>
      </c>
      <c r="S59" s="186">
        <f t="shared" si="1"/>
        <v>-1.0000000000000001E-5</v>
      </c>
      <c r="T59" s="185">
        <f>IFERROR(IF($C59="",-0.00001,SUMIFS(Database!V:V,Database!$E:$E,$C59)),-0.00001)</f>
        <v>-1.0000000000000001E-5</v>
      </c>
      <c r="U59" s="185">
        <f>IFERROR(IF($C59="",-0.00001,SUMIFS(Database!W:W,Database!$E:$E,$C59)),-0.00001)</f>
        <v>-1.0000000000000001E-5</v>
      </c>
      <c r="V59" s="186">
        <f t="shared" si="2"/>
        <v>-1.0000000000000001E-5</v>
      </c>
      <c r="W59" s="187"/>
      <c r="X59" s="187"/>
      <c r="Y59" s="187"/>
      <c r="Z59" s="187"/>
      <c r="AA59" s="187"/>
      <c r="AB59" s="187"/>
      <c r="AC59" s="187"/>
      <c r="AD59" s="187"/>
      <c r="AE59" s="187"/>
    </row>
    <row r="60" spans="1:31" x14ac:dyDescent="0.25">
      <c r="A60" s="187"/>
      <c r="B60" s="187" t="str">
        <f>IF($C60="","",MAX($B$4:$B59)+1)</f>
        <v/>
      </c>
      <c r="C60" s="183"/>
      <c r="D60" s="183" t="str">
        <f>IFERROR(VLOOKUP($C60,Rosters!$C$4:$M$239,INDEX(Lists!$N$5:$O$80,MATCH($C60,Lists!$N$5:$N$80,FALSE),2)),"")</f>
        <v/>
      </c>
      <c r="E60" s="185">
        <f>IF($C60="",-0.00001,COUNTIF(Database!E:E,$C60))</f>
        <v>-1.0000000000000001E-5</v>
      </c>
      <c r="F60" s="185">
        <f>IFERROR(IF($C60="",-0.00001,SUMIFS(Database!H:H,Database!$E:$E,$C60)),-0.00001)</f>
        <v>-1.0000000000000001E-5</v>
      </c>
      <c r="G60" s="185">
        <f>IFERROR(IF($C60="",-0.00001,SUMIFS(Database!I:I,Database!$E:$E,$C60)),-0.00001)</f>
        <v>-1.0000000000000001E-5</v>
      </c>
      <c r="H60" s="185">
        <f>IFERROR(IF($C60="",-0.00001,SUMIFS(Database!J:J,Database!$E:$E,$C60)),-0.00001)</f>
        <v>-1.0000000000000001E-5</v>
      </c>
      <c r="I60" s="185">
        <f>IFERROR(IF($C60="",-0.00001,SUMIFS(Database!K:K,Database!$E:$E,$C60)),-0.00001)</f>
        <v>-1.0000000000000001E-5</v>
      </c>
      <c r="J60" s="185">
        <f>IFERROR(IF($C60="",-0.00001,SUMIFS(Database!L:L,Database!$E:$E,$C60)),-0.00001)</f>
        <v>-1.0000000000000001E-5</v>
      </c>
      <c r="K60" s="185">
        <f>IFERROR(IF($C60="",-0.00001,SUMIFS(Database!M:M,Database!$E:$E,$C60)),-0.00001)</f>
        <v>-1.0000000000000001E-5</v>
      </c>
      <c r="L60" s="185">
        <f>IFERROR(IF($C60="",-0.00001,SUMIFS(Database!N:N,Database!$E:$E,$C60)),-0.00001)</f>
        <v>-1.0000000000000001E-5</v>
      </c>
      <c r="M60" s="185">
        <f>IFERROR(IF($C60="",-0.00001,SUMIFS(Database!O:O,Database!$E:$E,$C60)),-0.00001)</f>
        <v>-1.0000000000000001E-5</v>
      </c>
      <c r="N60" s="185">
        <f>IFERROR(IF($C60="",-0.00001,SUMIFS(Database!P:P,Database!$E:$E,$C60)),-0.00001)</f>
        <v>-1.0000000000000001E-5</v>
      </c>
      <c r="O60" s="185">
        <f>IFERROR(IF($C60="",-0.00001,SUMIFS(Database!Q:Q,Database!$E:$E,$C60)),-0.00001)</f>
        <v>-1.0000000000000001E-5</v>
      </c>
      <c r="P60" s="186">
        <f t="shared" si="0"/>
        <v>-1.0000000000000001E-5</v>
      </c>
      <c r="Q60" s="185">
        <f>IFERROR(IF($C60="",-0.00001,SUMIFS(Database!S:S,Database!$E:$E,$C60)),-0.00001)</f>
        <v>-1.0000000000000001E-5</v>
      </c>
      <c r="R60" s="185">
        <f>IFERROR(IF($C60="",-0.00001,SUMIFS(Database!T:T,Database!$E:$E,$C60)),-0.00001)</f>
        <v>-1.0000000000000001E-5</v>
      </c>
      <c r="S60" s="186">
        <f t="shared" si="1"/>
        <v>-1.0000000000000001E-5</v>
      </c>
      <c r="T60" s="185">
        <f>IFERROR(IF($C60="",-0.00001,SUMIFS(Database!V:V,Database!$E:$E,$C60)),-0.00001)</f>
        <v>-1.0000000000000001E-5</v>
      </c>
      <c r="U60" s="185">
        <f>IFERROR(IF($C60="",-0.00001,SUMIFS(Database!W:W,Database!$E:$E,$C60)),-0.00001)</f>
        <v>-1.0000000000000001E-5</v>
      </c>
      <c r="V60" s="186">
        <f t="shared" si="2"/>
        <v>-1.0000000000000001E-5</v>
      </c>
      <c r="W60" s="187"/>
      <c r="X60" s="187"/>
      <c r="Y60" s="187"/>
      <c r="Z60" s="187"/>
      <c r="AA60" s="187"/>
      <c r="AB60" s="187"/>
      <c r="AC60" s="187"/>
      <c r="AD60" s="187"/>
      <c r="AE60" s="187"/>
    </row>
    <row r="61" spans="1:31" x14ac:dyDescent="0.25">
      <c r="A61" s="187"/>
      <c r="B61" s="187" t="str">
        <f>IF($C61="","",MAX($B$4:$B60)+1)</f>
        <v/>
      </c>
      <c r="C61" s="183"/>
      <c r="D61" s="183" t="str">
        <f>IFERROR(VLOOKUP($C61,Rosters!$C$4:$M$239,INDEX(Lists!$N$5:$O$80,MATCH($C61,Lists!$N$5:$N$80,FALSE),2)),"")</f>
        <v/>
      </c>
      <c r="E61" s="185">
        <f>IF($C61="",-0.00001,COUNTIF(Database!E:E,$C61))</f>
        <v>-1.0000000000000001E-5</v>
      </c>
      <c r="F61" s="185">
        <f>IFERROR(IF($C61="",-0.00001,SUMIFS(Database!H:H,Database!$E:$E,$C61)),-0.00001)</f>
        <v>-1.0000000000000001E-5</v>
      </c>
      <c r="G61" s="185">
        <f>IFERROR(IF($C61="",-0.00001,SUMIFS(Database!I:I,Database!$E:$E,$C61)),-0.00001)</f>
        <v>-1.0000000000000001E-5</v>
      </c>
      <c r="H61" s="185">
        <f>IFERROR(IF($C61="",-0.00001,SUMIFS(Database!J:J,Database!$E:$E,$C61)),-0.00001)</f>
        <v>-1.0000000000000001E-5</v>
      </c>
      <c r="I61" s="185">
        <f>IFERROR(IF($C61="",-0.00001,SUMIFS(Database!K:K,Database!$E:$E,$C61)),-0.00001)</f>
        <v>-1.0000000000000001E-5</v>
      </c>
      <c r="J61" s="185">
        <f>IFERROR(IF($C61="",-0.00001,SUMIFS(Database!L:L,Database!$E:$E,$C61)),-0.00001)</f>
        <v>-1.0000000000000001E-5</v>
      </c>
      <c r="K61" s="185">
        <f>IFERROR(IF($C61="",-0.00001,SUMIFS(Database!M:M,Database!$E:$E,$C61)),-0.00001)</f>
        <v>-1.0000000000000001E-5</v>
      </c>
      <c r="L61" s="185">
        <f>IFERROR(IF($C61="",-0.00001,SUMIFS(Database!N:N,Database!$E:$E,$C61)),-0.00001)</f>
        <v>-1.0000000000000001E-5</v>
      </c>
      <c r="M61" s="185">
        <f>IFERROR(IF($C61="",-0.00001,SUMIFS(Database!O:O,Database!$E:$E,$C61)),-0.00001)</f>
        <v>-1.0000000000000001E-5</v>
      </c>
      <c r="N61" s="185">
        <f>IFERROR(IF($C61="",-0.00001,SUMIFS(Database!P:P,Database!$E:$E,$C61)),-0.00001)</f>
        <v>-1.0000000000000001E-5</v>
      </c>
      <c r="O61" s="185">
        <f>IFERROR(IF($C61="",-0.00001,SUMIFS(Database!Q:Q,Database!$E:$E,$C61)),-0.00001)</f>
        <v>-1.0000000000000001E-5</v>
      </c>
      <c r="P61" s="186">
        <f t="shared" si="0"/>
        <v>-1.0000000000000001E-5</v>
      </c>
      <c r="Q61" s="185">
        <f>IFERROR(IF($C61="",-0.00001,SUMIFS(Database!S:S,Database!$E:$E,$C61)),-0.00001)</f>
        <v>-1.0000000000000001E-5</v>
      </c>
      <c r="R61" s="185">
        <f>IFERROR(IF($C61="",-0.00001,SUMIFS(Database!T:T,Database!$E:$E,$C61)),-0.00001)</f>
        <v>-1.0000000000000001E-5</v>
      </c>
      <c r="S61" s="186">
        <f t="shared" si="1"/>
        <v>-1.0000000000000001E-5</v>
      </c>
      <c r="T61" s="185">
        <f>IFERROR(IF($C61="",-0.00001,SUMIFS(Database!V:V,Database!$E:$E,$C61)),-0.00001)</f>
        <v>-1.0000000000000001E-5</v>
      </c>
      <c r="U61" s="185">
        <f>IFERROR(IF($C61="",-0.00001,SUMIFS(Database!W:W,Database!$E:$E,$C61)),-0.00001)</f>
        <v>-1.0000000000000001E-5</v>
      </c>
      <c r="V61" s="186">
        <f t="shared" si="2"/>
        <v>-1.0000000000000001E-5</v>
      </c>
      <c r="W61" s="187"/>
      <c r="X61" s="187"/>
      <c r="Y61" s="187"/>
      <c r="Z61" s="187"/>
      <c r="AA61" s="187"/>
      <c r="AB61" s="187"/>
      <c r="AC61" s="187"/>
      <c r="AD61" s="187"/>
      <c r="AE61" s="187"/>
    </row>
    <row r="62" spans="1:31" x14ac:dyDescent="0.25">
      <c r="A62" s="187"/>
      <c r="B62" s="187" t="str">
        <f>IF($C62="","",MAX($B$4:$B61)+1)</f>
        <v/>
      </c>
      <c r="C62" s="183"/>
      <c r="D62" s="183" t="str">
        <f>IFERROR(VLOOKUP($C62,Rosters!$C$4:$M$239,INDEX(Lists!$N$5:$O$80,MATCH($C62,Lists!$N$5:$N$80,FALSE),2)),"")</f>
        <v/>
      </c>
      <c r="E62" s="185">
        <f>IF($C62="",-0.00001,COUNTIF(Database!E:E,$C62))</f>
        <v>-1.0000000000000001E-5</v>
      </c>
      <c r="F62" s="185">
        <f>IFERROR(IF($C62="",-0.00001,SUMIFS(Database!H:H,Database!$E:$E,$C62)),-0.00001)</f>
        <v>-1.0000000000000001E-5</v>
      </c>
      <c r="G62" s="185">
        <f>IFERROR(IF($C62="",-0.00001,SUMIFS(Database!I:I,Database!$E:$E,$C62)),-0.00001)</f>
        <v>-1.0000000000000001E-5</v>
      </c>
      <c r="H62" s="185">
        <f>IFERROR(IF($C62="",-0.00001,SUMIFS(Database!J:J,Database!$E:$E,$C62)),-0.00001)</f>
        <v>-1.0000000000000001E-5</v>
      </c>
      <c r="I62" s="185">
        <f>IFERROR(IF($C62="",-0.00001,SUMIFS(Database!K:K,Database!$E:$E,$C62)),-0.00001)</f>
        <v>-1.0000000000000001E-5</v>
      </c>
      <c r="J62" s="185">
        <f>IFERROR(IF($C62="",-0.00001,SUMIFS(Database!L:L,Database!$E:$E,$C62)),-0.00001)</f>
        <v>-1.0000000000000001E-5</v>
      </c>
      <c r="K62" s="185">
        <f>IFERROR(IF($C62="",-0.00001,SUMIFS(Database!M:M,Database!$E:$E,$C62)),-0.00001)</f>
        <v>-1.0000000000000001E-5</v>
      </c>
      <c r="L62" s="185">
        <f>IFERROR(IF($C62="",-0.00001,SUMIFS(Database!N:N,Database!$E:$E,$C62)),-0.00001)</f>
        <v>-1.0000000000000001E-5</v>
      </c>
      <c r="M62" s="185">
        <f>IFERROR(IF($C62="",-0.00001,SUMIFS(Database!O:O,Database!$E:$E,$C62)),-0.00001)</f>
        <v>-1.0000000000000001E-5</v>
      </c>
      <c r="N62" s="185">
        <f>IFERROR(IF($C62="",-0.00001,SUMIFS(Database!P:P,Database!$E:$E,$C62)),-0.00001)</f>
        <v>-1.0000000000000001E-5</v>
      </c>
      <c r="O62" s="185">
        <f>IFERROR(IF($C62="",-0.00001,SUMIFS(Database!Q:Q,Database!$E:$E,$C62)),-0.00001)</f>
        <v>-1.0000000000000001E-5</v>
      </c>
      <c r="P62" s="186">
        <f t="shared" si="0"/>
        <v>-1.0000000000000001E-5</v>
      </c>
      <c r="Q62" s="185">
        <f>IFERROR(IF($C62="",-0.00001,SUMIFS(Database!S:S,Database!$E:$E,$C62)),-0.00001)</f>
        <v>-1.0000000000000001E-5</v>
      </c>
      <c r="R62" s="185">
        <f>IFERROR(IF($C62="",-0.00001,SUMIFS(Database!T:T,Database!$E:$E,$C62)),-0.00001)</f>
        <v>-1.0000000000000001E-5</v>
      </c>
      <c r="S62" s="186">
        <f t="shared" si="1"/>
        <v>-1.0000000000000001E-5</v>
      </c>
      <c r="T62" s="185">
        <f>IFERROR(IF($C62="",-0.00001,SUMIFS(Database!V:V,Database!$E:$E,$C62)),-0.00001)</f>
        <v>-1.0000000000000001E-5</v>
      </c>
      <c r="U62" s="185">
        <f>IFERROR(IF($C62="",-0.00001,SUMIFS(Database!W:W,Database!$E:$E,$C62)),-0.00001)</f>
        <v>-1.0000000000000001E-5</v>
      </c>
      <c r="V62" s="186">
        <f t="shared" si="2"/>
        <v>-1.0000000000000001E-5</v>
      </c>
      <c r="W62" s="187"/>
      <c r="X62" s="187"/>
      <c r="Y62" s="187"/>
      <c r="Z62" s="187"/>
      <c r="AA62" s="187"/>
      <c r="AB62" s="187"/>
      <c r="AC62" s="187"/>
      <c r="AD62" s="187"/>
      <c r="AE62" s="187"/>
    </row>
    <row r="63" spans="1:31" x14ac:dyDescent="0.25">
      <c r="A63" s="187"/>
      <c r="B63" s="187" t="str">
        <f>IF($C63="","",MAX($B$4:$B62)+1)</f>
        <v/>
      </c>
      <c r="C63" s="183"/>
      <c r="D63" s="183" t="str">
        <f>IFERROR(VLOOKUP($C63,Rosters!$C$4:$M$239,INDEX(Lists!$N$5:$O$80,MATCH($C63,Lists!$N$5:$N$80,FALSE),2)),"")</f>
        <v/>
      </c>
      <c r="E63" s="185">
        <f>IF($C63="",-0.00001,COUNTIF(Database!E:E,$C63))</f>
        <v>-1.0000000000000001E-5</v>
      </c>
      <c r="F63" s="185">
        <f>IFERROR(IF($C63="",-0.00001,SUMIFS(Database!H:H,Database!$E:$E,$C63)),-0.00001)</f>
        <v>-1.0000000000000001E-5</v>
      </c>
      <c r="G63" s="185">
        <f>IFERROR(IF($C63="",-0.00001,SUMIFS(Database!I:I,Database!$E:$E,$C63)),-0.00001)</f>
        <v>-1.0000000000000001E-5</v>
      </c>
      <c r="H63" s="185">
        <f>IFERROR(IF($C63="",-0.00001,SUMIFS(Database!J:J,Database!$E:$E,$C63)),-0.00001)</f>
        <v>-1.0000000000000001E-5</v>
      </c>
      <c r="I63" s="185">
        <f>IFERROR(IF($C63="",-0.00001,SUMIFS(Database!K:K,Database!$E:$E,$C63)),-0.00001)</f>
        <v>-1.0000000000000001E-5</v>
      </c>
      <c r="J63" s="185">
        <f>IFERROR(IF($C63="",-0.00001,SUMIFS(Database!L:L,Database!$E:$E,$C63)),-0.00001)</f>
        <v>-1.0000000000000001E-5</v>
      </c>
      <c r="K63" s="185">
        <f>IFERROR(IF($C63="",-0.00001,SUMIFS(Database!M:M,Database!$E:$E,$C63)),-0.00001)</f>
        <v>-1.0000000000000001E-5</v>
      </c>
      <c r="L63" s="185">
        <f>IFERROR(IF($C63="",-0.00001,SUMIFS(Database!N:N,Database!$E:$E,$C63)),-0.00001)</f>
        <v>-1.0000000000000001E-5</v>
      </c>
      <c r="M63" s="185">
        <f>IFERROR(IF($C63="",-0.00001,SUMIFS(Database!O:O,Database!$E:$E,$C63)),-0.00001)</f>
        <v>-1.0000000000000001E-5</v>
      </c>
      <c r="N63" s="185">
        <f>IFERROR(IF($C63="",-0.00001,SUMIFS(Database!P:P,Database!$E:$E,$C63)),-0.00001)</f>
        <v>-1.0000000000000001E-5</v>
      </c>
      <c r="O63" s="185">
        <f>IFERROR(IF($C63="",-0.00001,SUMIFS(Database!Q:Q,Database!$E:$E,$C63)),-0.00001)</f>
        <v>-1.0000000000000001E-5</v>
      </c>
      <c r="P63" s="186">
        <f t="shared" si="0"/>
        <v>-1.0000000000000001E-5</v>
      </c>
      <c r="Q63" s="185">
        <f>IFERROR(IF($C63="",-0.00001,SUMIFS(Database!S:S,Database!$E:$E,$C63)),-0.00001)</f>
        <v>-1.0000000000000001E-5</v>
      </c>
      <c r="R63" s="185">
        <f>IFERROR(IF($C63="",-0.00001,SUMIFS(Database!T:T,Database!$E:$E,$C63)),-0.00001)</f>
        <v>-1.0000000000000001E-5</v>
      </c>
      <c r="S63" s="186">
        <f t="shared" si="1"/>
        <v>-1.0000000000000001E-5</v>
      </c>
      <c r="T63" s="185">
        <f>IFERROR(IF($C63="",-0.00001,SUMIFS(Database!V:V,Database!$E:$E,$C63)),-0.00001)</f>
        <v>-1.0000000000000001E-5</v>
      </c>
      <c r="U63" s="185">
        <f>IFERROR(IF($C63="",-0.00001,SUMIFS(Database!W:W,Database!$E:$E,$C63)),-0.00001)</f>
        <v>-1.0000000000000001E-5</v>
      </c>
      <c r="V63" s="186">
        <f t="shared" si="2"/>
        <v>-1.0000000000000001E-5</v>
      </c>
      <c r="W63" s="187"/>
      <c r="X63" s="187"/>
      <c r="Y63" s="187"/>
      <c r="Z63" s="187"/>
      <c r="AA63" s="187"/>
      <c r="AB63" s="187"/>
      <c r="AC63" s="187"/>
      <c r="AD63" s="187"/>
      <c r="AE63" s="187"/>
    </row>
    <row r="64" spans="1:31" x14ac:dyDescent="0.25">
      <c r="A64" s="187"/>
      <c r="B64" s="187" t="str">
        <f>IF($C64="","",MAX($B$4:$B63)+1)</f>
        <v/>
      </c>
      <c r="C64" s="183"/>
      <c r="D64" s="183" t="str">
        <f>IFERROR(VLOOKUP($C64,Rosters!$C$4:$M$239,INDEX(Lists!$N$5:$O$80,MATCH($C64,Lists!$N$5:$N$80,FALSE),2)),"")</f>
        <v/>
      </c>
      <c r="E64" s="185">
        <f>IF($C64="",-0.00001,COUNTIF(Database!E:E,$C64))</f>
        <v>-1.0000000000000001E-5</v>
      </c>
      <c r="F64" s="185">
        <f>IFERROR(IF($C64="",-0.00001,SUMIFS(Database!H:H,Database!$E:$E,$C64)),-0.00001)</f>
        <v>-1.0000000000000001E-5</v>
      </c>
      <c r="G64" s="185">
        <f>IFERROR(IF($C64="",-0.00001,SUMIFS(Database!I:I,Database!$E:$E,$C64)),-0.00001)</f>
        <v>-1.0000000000000001E-5</v>
      </c>
      <c r="H64" s="185">
        <f>IFERROR(IF($C64="",-0.00001,SUMIFS(Database!J:J,Database!$E:$E,$C64)),-0.00001)</f>
        <v>-1.0000000000000001E-5</v>
      </c>
      <c r="I64" s="185">
        <f>IFERROR(IF($C64="",-0.00001,SUMIFS(Database!K:K,Database!$E:$E,$C64)),-0.00001)</f>
        <v>-1.0000000000000001E-5</v>
      </c>
      <c r="J64" s="185">
        <f>IFERROR(IF($C64="",-0.00001,SUMIFS(Database!L:L,Database!$E:$E,$C64)),-0.00001)</f>
        <v>-1.0000000000000001E-5</v>
      </c>
      <c r="K64" s="185">
        <f>IFERROR(IF($C64="",-0.00001,SUMIFS(Database!M:M,Database!$E:$E,$C64)),-0.00001)</f>
        <v>-1.0000000000000001E-5</v>
      </c>
      <c r="L64" s="185">
        <f>IFERROR(IF($C64="",-0.00001,SUMIFS(Database!N:N,Database!$E:$E,$C64)),-0.00001)</f>
        <v>-1.0000000000000001E-5</v>
      </c>
      <c r="M64" s="185">
        <f>IFERROR(IF($C64="",-0.00001,SUMIFS(Database!O:O,Database!$E:$E,$C64)),-0.00001)</f>
        <v>-1.0000000000000001E-5</v>
      </c>
      <c r="N64" s="185">
        <f>IFERROR(IF($C64="",-0.00001,SUMIFS(Database!P:P,Database!$E:$E,$C64)),-0.00001)</f>
        <v>-1.0000000000000001E-5</v>
      </c>
      <c r="O64" s="185">
        <f>IFERROR(IF($C64="",-0.00001,SUMIFS(Database!Q:Q,Database!$E:$E,$C64)),-0.00001)</f>
        <v>-1.0000000000000001E-5</v>
      </c>
      <c r="P64" s="186">
        <f t="shared" si="0"/>
        <v>-1.0000000000000001E-5</v>
      </c>
      <c r="Q64" s="185">
        <f>IFERROR(IF($C64="",-0.00001,SUMIFS(Database!S:S,Database!$E:$E,$C64)),-0.00001)</f>
        <v>-1.0000000000000001E-5</v>
      </c>
      <c r="R64" s="185">
        <f>IFERROR(IF($C64="",-0.00001,SUMIFS(Database!T:T,Database!$E:$E,$C64)),-0.00001)</f>
        <v>-1.0000000000000001E-5</v>
      </c>
      <c r="S64" s="186">
        <f t="shared" si="1"/>
        <v>-1.0000000000000001E-5</v>
      </c>
      <c r="T64" s="185">
        <f>IFERROR(IF($C64="",-0.00001,SUMIFS(Database!V:V,Database!$E:$E,$C64)),-0.00001)</f>
        <v>-1.0000000000000001E-5</v>
      </c>
      <c r="U64" s="185">
        <f>IFERROR(IF($C64="",-0.00001,SUMIFS(Database!W:W,Database!$E:$E,$C64)),-0.00001)</f>
        <v>-1.0000000000000001E-5</v>
      </c>
      <c r="V64" s="186">
        <f t="shared" si="2"/>
        <v>-1.0000000000000001E-5</v>
      </c>
      <c r="W64" s="187"/>
      <c r="X64" s="187"/>
      <c r="Y64" s="187"/>
      <c r="Z64" s="187"/>
      <c r="AA64" s="187"/>
      <c r="AB64" s="187"/>
      <c r="AC64" s="187"/>
      <c r="AD64" s="187"/>
      <c r="AE64" s="187"/>
    </row>
    <row r="65" spans="1:31" x14ac:dyDescent="0.25">
      <c r="A65" s="187"/>
      <c r="B65" s="187" t="str">
        <f>IF($C65="","",MAX($B$4:$B64)+1)</f>
        <v/>
      </c>
      <c r="C65" s="183"/>
      <c r="D65" s="183" t="str">
        <f>IFERROR(VLOOKUP($C65,Rosters!$C$4:$M$239,INDEX(Lists!$N$5:$O$80,MATCH($C65,Lists!$N$5:$N$80,FALSE),2)),"")</f>
        <v/>
      </c>
      <c r="E65" s="185">
        <f>IF($C65="",-0.00001,COUNTIF(Database!E:E,$C65))</f>
        <v>-1.0000000000000001E-5</v>
      </c>
      <c r="F65" s="185">
        <f>IFERROR(IF($C65="",-0.00001,SUMIFS(Database!H:H,Database!$E:$E,$C65)),-0.00001)</f>
        <v>-1.0000000000000001E-5</v>
      </c>
      <c r="G65" s="185">
        <f>IFERROR(IF($C65="",-0.00001,SUMIFS(Database!I:I,Database!$E:$E,$C65)),-0.00001)</f>
        <v>-1.0000000000000001E-5</v>
      </c>
      <c r="H65" s="185">
        <f>IFERROR(IF($C65="",-0.00001,SUMIFS(Database!J:J,Database!$E:$E,$C65)),-0.00001)</f>
        <v>-1.0000000000000001E-5</v>
      </c>
      <c r="I65" s="185">
        <f>IFERROR(IF($C65="",-0.00001,SUMIFS(Database!K:K,Database!$E:$E,$C65)),-0.00001)</f>
        <v>-1.0000000000000001E-5</v>
      </c>
      <c r="J65" s="185">
        <f>IFERROR(IF($C65="",-0.00001,SUMIFS(Database!L:L,Database!$E:$E,$C65)),-0.00001)</f>
        <v>-1.0000000000000001E-5</v>
      </c>
      <c r="K65" s="185">
        <f>IFERROR(IF($C65="",-0.00001,SUMIFS(Database!M:M,Database!$E:$E,$C65)),-0.00001)</f>
        <v>-1.0000000000000001E-5</v>
      </c>
      <c r="L65" s="185">
        <f>IFERROR(IF($C65="",-0.00001,SUMIFS(Database!N:N,Database!$E:$E,$C65)),-0.00001)</f>
        <v>-1.0000000000000001E-5</v>
      </c>
      <c r="M65" s="185">
        <f>IFERROR(IF($C65="",-0.00001,SUMIFS(Database!O:O,Database!$E:$E,$C65)),-0.00001)</f>
        <v>-1.0000000000000001E-5</v>
      </c>
      <c r="N65" s="185">
        <f>IFERROR(IF($C65="",-0.00001,SUMIFS(Database!P:P,Database!$E:$E,$C65)),-0.00001)</f>
        <v>-1.0000000000000001E-5</v>
      </c>
      <c r="O65" s="185">
        <f>IFERROR(IF($C65="",-0.00001,SUMIFS(Database!Q:Q,Database!$E:$E,$C65)),-0.00001)</f>
        <v>-1.0000000000000001E-5</v>
      </c>
      <c r="P65" s="186">
        <f t="shared" si="0"/>
        <v>-1.0000000000000001E-5</v>
      </c>
      <c r="Q65" s="185">
        <f>IFERROR(IF($C65="",-0.00001,SUMIFS(Database!S:S,Database!$E:$E,$C65)),-0.00001)</f>
        <v>-1.0000000000000001E-5</v>
      </c>
      <c r="R65" s="185">
        <f>IFERROR(IF($C65="",-0.00001,SUMIFS(Database!T:T,Database!$E:$E,$C65)),-0.00001)</f>
        <v>-1.0000000000000001E-5</v>
      </c>
      <c r="S65" s="186">
        <f t="shared" si="1"/>
        <v>-1.0000000000000001E-5</v>
      </c>
      <c r="T65" s="185">
        <f>IFERROR(IF($C65="",-0.00001,SUMIFS(Database!V:V,Database!$E:$E,$C65)),-0.00001)</f>
        <v>-1.0000000000000001E-5</v>
      </c>
      <c r="U65" s="185">
        <f>IFERROR(IF($C65="",-0.00001,SUMIFS(Database!W:W,Database!$E:$E,$C65)),-0.00001)</f>
        <v>-1.0000000000000001E-5</v>
      </c>
      <c r="V65" s="186">
        <f t="shared" si="2"/>
        <v>-1.0000000000000001E-5</v>
      </c>
      <c r="W65" s="187"/>
      <c r="X65" s="187"/>
      <c r="Y65" s="187"/>
      <c r="Z65" s="187"/>
      <c r="AA65" s="187"/>
      <c r="AB65" s="187"/>
      <c r="AC65" s="187"/>
      <c r="AD65" s="187"/>
      <c r="AE65" s="187"/>
    </row>
    <row r="66" spans="1:31" x14ac:dyDescent="0.25">
      <c r="A66" s="187"/>
      <c r="B66" s="187" t="str">
        <f>IF($C66="","",MAX($B$4:$B65)+1)</f>
        <v/>
      </c>
      <c r="C66" s="183"/>
      <c r="D66" s="183" t="str">
        <f>IFERROR(VLOOKUP($C66,Rosters!$C$4:$M$239,INDEX(Lists!$N$5:$O$80,MATCH($C66,Lists!$N$5:$N$80,FALSE),2)),"")</f>
        <v/>
      </c>
      <c r="E66" s="185">
        <f>IF($C66="",-0.00001,COUNTIF(Database!E:E,$C66))</f>
        <v>-1.0000000000000001E-5</v>
      </c>
      <c r="F66" s="185">
        <f>IFERROR(IF($C66="",-0.00001,SUMIFS(Database!H:H,Database!$E:$E,$C66)),-0.00001)</f>
        <v>-1.0000000000000001E-5</v>
      </c>
      <c r="G66" s="185">
        <f>IFERROR(IF($C66="",-0.00001,SUMIFS(Database!I:I,Database!$E:$E,$C66)),-0.00001)</f>
        <v>-1.0000000000000001E-5</v>
      </c>
      <c r="H66" s="185">
        <f>IFERROR(IF($C66="",-0.00001,SUMIFS(Database!J:J,Database!$E:$E,$C66)),-0.00001)</f>
        <v>-1.0000000000000001E-5</v>
      </c>
      <c r="I66" s="185">
        <f>IFERROR(IF($C66="",-0.00001,SUMIFS(Database!K:K,Database!$E:$E,$C66)),-0.00001)</f>
        <v>-1.0000000000000001E-5</v>
      </c>
      <c r="J66" s="185">
        <f>IFERROR(IF($C66="",-0.00001,SUMIFS(Database!L:L,Database!$E:$E,$C66)),-0.00001)</f>
        <v>-1.0000000000000001E-5</v>
      </c>
      <c r="K66" s="185">
        <f>IFERROR(IF($C66="",-0.00001,SUMIFS(Database!M:M,Database!$E:$E,$C66)),-0.00001)</f>
        <v>-1.0000000000000001E-5</v>
      </c>
      <c r="L66" s="185">
        <f>IFERROR(IF($C66="",-0.00001,SUMIFS(Database!N:N,Database!$E:$E,$C66)),-0.00001)</f>
        <v>-1.0000000000000001E-5</v>
      </c>
      <c r="M66" s="185">
        <f>IFERROR(IF($C66="",-0.00001,SUMIFS(Database!O:O,Database!$E:$E,$C66)),-0.00001)</f>
        <v>-1.0000000000000001E-5</v>
      </c>
      <c r="N66" s="185">
        <f>IFERROR(IF($C66="",-0.00001,SUMIFS(Database!P:P,Database!$E:$E,$C66)),-0.00001)</f>
        <v>-1.0000000000000001E-5</v>
      </c>
      <c r="O66" s="185">
        <f>IFERROR(IF($C66="",-0.00001,SUMIFS(Database!Q:Q,Database!$E:$E,$C66)),-0.00001)</f>
        <v>-1.0000000000000001E-5</v>
      </c>
      <c r="P66" s="186">
        <f t="shared" si="0"/>
        <v>-1.0000000000000001E-5</v>
      </c>
      <c r="Q66" s="185">
        <f>IFERROR(IF($C66="",-0.00001,SUMIFS(Database!S:S,Database!$E:$E,$C66)),-0.00001)</f>
        <v>-1.0000000000000001E-5</v>
      </c>
      <c r="R66" s="185">
        <f>IFERROR(IF($C66="",-0.00001,SUMIFS(Database!T:T,Database!$E:$E,$C66)),-0.00001)</f>
        <v>-1.0000000000000001E-5</v>
      </c>
      <c r="S66" s="186">
        <f t="shared" si="1"/>
        <v>-1.0000000000000001E-5</v>
      </c>
      <c r="T66" s="185">
        <f>IFERROR(IF($C66="",-0.00001,SUMIFS(Database!V:V,Database!$E:$E,$C66)),-0.00001)</f>
        <v>-1.0000000000000001E-5</v>
      </c>
      <c r="U66" s="185">
        <f>IFERROR(IF($C66="",-0.00001,SUMIFS(Database!W:W,Database!$E:$E,$C66)),-0.00001)</f>
        <v>-1.0000000000000001E-5</v>
      </c>
      <c r="V66" s="186">
        <f t="shared" si="2"/>
        <v>-1.0000000000000001E-5</v>
      </c>
      <c r="W66" s="187"/>
      <c r="X66" s="187"/>
      <c r="Y66" s="187"/>
      <c r="Z66" s="187"/>
      <c r="AA66" s="187"/>
      <c r="AB66" s="187"/>
      <c r="AC66" s="187"/>
      <c r="AD66" s="187"/>
      <c r="AE66" s="187"/>
    </row>
    <row r="67" spans="1:31" x14ac:dyDescent="0.25">
      <c r="A67" s="187"/>
      <c r="B67" s="187" t="str">
        <f>IF($C67="","",MAX($B$4:$B66)+1)</f>
        <v/>
      </c>
      <c r="C67" s="183"/>
      <c r="D67" s="183" t="str">
        <f>IFERROR(VLOOKUP($C67,Rosters!$C$4:$M$239,INDEX(Lists!$N$5:$O$80,MATCH($C67,Lists!$N$5:$N$80,FALSE),2)),"")</f>
        <v/>
      </c>
      <c r="E67" s="185">
        <f>IF($C67="",-0.00001,COUNTIF(Database!E:E,$C67))</f>
        <v>-1.0000000000000001E-5</v>
      </c>
      <c r="F67" s="185">
        <f>IFERROR(IF($C67="",-0.00001,SUMIFS(Database!H:H,Database!$E:$E,$C67)),-0.00001)</f>
        <v>-1.0000000000000001E-5</v>
      </c>
      <c r="G67" s="185">
        <f>IFERROR(IF($C67="",-0.00001,SUMIFS(Database!I:I,Database!$E:$E,$C67)),-0.00001)</f>
        <v>-1.0000000000000001E-5</v>
      </c>
      <c r="H67" s="185">
        <f>IFERROR(IF($C67="",-0.00001,SUMIFS(Database!J:J,Database!$E:$E,$C67)),-0.00001)</f>
        <v>-1.0000000000000001E-5</v>
      </c>
      <c r="I67" s="185">
        <f>IFERROR(IF($C67="",-0.00001,SUMIFS(Database!K:K,Database!$E:$E,$C67)),-0.00001)</f>
        <v>-1.0000000000000001E-5</v>
      </c>
      <c r="J67" s="185">
        <f>IFERROR(IF($C67="",-0.00001,SUMIFS(Database!L:L,Database!$E:$E,$C67)),-0.00001)</f>
        <v>-1.0000000000000001E-5</v>
      </c>
      <c r="K67" s="185">
        <f>IFERROR(IF($C67="",-0.00001,SUMIFS(Database!M:M,Database!$E:$E,$C67)),-0.00001)</f>
        <v>-1.0000000000000001E-5</v>
      </c>
      <c r="L67" s="185">
        <f>IFERROR(IF($C67="",-0.00001,SUMIFS(Database!N:N,Database!$E:$E,$C67)),-0.00001)</f>
        <v>-1.0000000000000001E-5</v>
      </c>
      <c r="M67" s="185">
        <f>IFERROR(IF($C67="",-0.00001,SUMIFS(Database!O:O,Database!$E:$E,$C67)),-0.00001)</f>
        <v>-1.0000000000000001E-5</v>
      </c>
      <c r="N67" s="185">
        <f>IFERROR(IF($C67="",-0.00001,SUMIFS(Database!P:P,Database!$E:$E,$C67)),-0.00001)</f>
        <v>-1.0000000000000001E-5</v>
      </c>
      <c r="O67" s="185">
        <f>IFERROR(IF($C67="",-0.00001,SUMIFS(Database!Q:Q,Database!$E:$E,$C67)),-0.00001)</f>
        <v>-1.0000000000000001E-5</v>
      </c>
      <c r="P67" s="186">
        <f t="shared" si="0"/>
        <v>-1.0000000000000001E-5</v>
      </c>
      <c r="Q67" s="185">
        <f>IFERROR(IF($C67="",-0.00001,SUMIFS(Database!S:S,Database!$E:$E,$C67)),-0.00001)</f>
        <v>-1.0000000000000001E-5</v>
      </c>
      <c r="R67" s="185">
        <f>IFERROR(IF($C67="",-0.00001,SUMIFS(Database!T:T,Database!$E:$E,$C67)),-0.00001)</f>
        <v>-1.0000000000000001E-5</v>
      </c>
      <c r="S67" s="186">
        <f t="shared" si="1"/>
        <v>-1.0000000000000001E-5</v>
      </c>
      <c r="T67" s="185">
        <f>IFERROR(IF($C67="",-0.00001,SUMIFS(Database!V:V,Database!$E:$E,$C67)),-0.00001)</f>
        <v>-1.0000000000000001E-5</v>
      </c>
      <c r="U67" s="185">
        <f>IFERROR(IF($C67="",-0.00001,SUMIFS(Database!W:W,Database!$E:$E,$C67)),-0.00001)</f>
        <v>-1.0000000000000001E-5</v>
      </c>
      <c r="V67" s="186">
        <f t="shared" si="2"/>
        <v>-1.0000000000000001E-5</v>
      </c>
      <c r="W67" s="187"/>
      <c r="X67" s="187"/>
      <c r="Y67" s="187"/>
      <c r="Z67" s="187"/>
      <c r="AA67" s="187"/>
      <c r="AB67" s="187"/>
      <c r="AC67" s="187"/>
      <c r="AD67" s="187"/>
      <c r="AE67" s="187"/>
    </row>
    <row r="68" spans="1:31" x14ac:dyDescent="0.25">
      <c r="A68" s="187"/>
      <c r="B68" s="187" t="str">
        <f>IF($C68="","",MAX($B$4:$B67)+1)</f>
        <v/>
      </c>
      <c r="C68" s="183"/>
      <c r="D68" s="183" t="str">
        <f>IFERROR(VLOOKUP($C68,Rosters!$C$4:$M$239,INDEX(Lists!$N$5:$O$80,MATCH($C68,Lists!$N$5:$N$80,FALSE),2)),"")</f>
        <v/>
      </c>
      <c r="E68" s="185">
        <f>IF($C68="",-0.00001,COUNTIF(Database!E:E,$C68))</f>
        <v>-1.0000000000000001E-5</v>
      </c>
      <c r="F68" s="185">
        <f>IFERROR(IF($C68="",-0.00001,SUMIFS(Database!H:H,Database!$E:$E,$C68)),-0.00001)</f>
        <v>-1.0000000000000001E-5</v>
      </c>
      <c r="G68" s="185">
        <f>IFERROR(IF($C68="",-0.00001,SUMIFS(Database!I:I,Database!$E:$E,$C68)),-0.00001)</f>
        <v>-1.0000000000000001E-5</v>
      </c>
      <c r="H68" s="185">
        <f>IFERROR(IF($C68="",-0.00001,SUMIFS(Database!J:J,Database!$E:$E,$C68)),-0.00001)</f>
        <v>-1.0000000000000001E-5</v>
      </c>
      <c r="I68" s="185">
        <f>IFERROR(IF($C68="",-0.00001,SUMIFS(Database!K:K,Database!$E:$E,$C68)),-0.00001)</f>
        <v>-1.0000000000000001E-5</v>
      </c>
      <c r="J68" s="185">
        <f>IFERROR(IF($C68="",-0.00001,SUMIFS(Database!L:L,Database!$E:$E,$C68)),-0.00001)</f>
        <v>-1.0000000000000001E-5</v>
      </c>
      <c r="K68" s="185">
        <f>IFERROR(IF($C68="",-0.00001,SUMIFS(Database!M:M,Database!$E:$E,$C68)),-0.00001)</f>
        <v>-1.0000000000000001E-5</v>
      </c>
      <c r="L68" s="185">
        <f>IFERROR(IF($C68="",-0.00001,SUMIFS(Database!N:N,Database!$E:$E,$C68)),-0.00001)</f>
        <v>-1.0000000000000001E-5</v>
      </c>
      <c r="M68" s="185">
        <f>IFERROR(IF($C68="",-0.00001,SUMIFS(Database!O:O,Database!$E:$E,$C68)),-0.00001)</f>
        <v>-1.0000000000000001E-5</v>
      </c>
      <c r="N68" s="185">
        <f>IFERROR(IF($C68="",-0.00001,SUMIFS(Database!P:P,Database!$E:$E,$C68)),-0.00001)</f>
        <v>-1.0000000000000001E-5</v>
      </c>
      <c r="O68" s="185">
        <f>IFERROR(IF($C68="",-0.00001,SUMIFS(Database!Q:Q,Database!$E:$E,$C68)),-0.00001)</f>
        <v>-1.0000000000000001E-5</v>
      </c>
      <c r="P68" s="186">
        <f t="shared" ref="P68:P131" si="3">IFERROR(IF($C68="",-0.00001,$N68/$O68),-0.00001)</f>
        <v>-1.0000000000000001E-5</v>
      </c>
      <c r="Q68" s="185">
        <f>IFERROR(IF($C68="",-0.00001,SUMIFS(Database!S:S,Database!$E:$E,$C68)),-0.00001)</f>
        <v>-1.0000000000000001E-5</v>
      </c>
      <c r="R68" s="185">
        <f>IFERROR(IF($C68="",-0.00001,SUMIFS(Database!T:T,Database!$E:$E,$C68)),-0.00001)</f>
        <v>-1.0000000000000001E-5</v>
      </c>
      <c r="S68" s="186">
        <f t="shared" ref="S68:S131" si="4">IFERROR(IF($C68="",-0.00001,$Q68/$R68),-0.00001)</f>
        <v>-1.0000000000000001E-5</v>
      </c>
      <c r="T68" s="185">
        <f>IFERROR(IF($C68="",-0.00001,SUMIFS(Database!V:V,Database!$E:$E,$C68)),-0.00001)</f>
        <v>-1.0000000000000001E-5</v>
      </c>
      <c r="U68" s="185">
        <f>IFERROR(IF($C68="",-0.00001,SUMIFS(Database!W:W,Database!$E:$E,$C68)),-0.00001)</f>
        <v>-1.0000000000000001E-5</v>
      </c>
      <c r="V68" s="186">
        <f t="shared" ref="V68:V131" si="5">IFERROR(IF($C68="",-0.00001,$T68/$U68),-0.00001)</f>
        <v>-1.0000000000000001E-5</v>
      </c>
      <c r="W68" s="187"/>
      <c r="X68" s="187"/>
      <c r="Y68" s="187"/>
      <c r="Z68" s="187"/>
      <c r="AA68" s="187"/>
      <c r="AB68" s="187"/>
      <c r="AC68" s="187"/>
      <c r="AD68" s="187"/>
      <c r="AE68" s="187"/>
    </row>
    <row r="69" spans="1:31" x14ac:dyDescent="0.25">
      <c r="A69" s="187"/>
      <c r="B69" s="187" t="str">
        <f>IF($C69="","",MAX($B$4:$B68)+1)</f>
        <v/>
      </c>
      <c r="C69" s="183"/>
      <c r="D69" s="183" t="str">
        <f>IFERROR(VLOOKUP($C69,Rosters!$C$4:$M$239,INDEX(Lists!$N$5:$O$80,MATCH($C69,Lists!$N$5:$N$80,FALSE),2)),"")</f>
        <v/>
      </c>
      <c r="E69" s="185">
        <f>IF($C69="",-0.00001,COUNTIF(Database!E:E,$C69))</f>
        <v>-1.0000000000000001E-5</v>
      </c>
      <c r="F69" s="185">
        <f>IFERROR(IF($C69="",-0.00001,SUMIFS(Database!H:H,Database!$E:$E,$C69)),-0.00001)</f>
        <v>-1.0000000000000001E-5</v>
      </c>
      <c r="G69" s="185">
        <f>IFERROR(IF($C69="",-0.00001,SUMIFS(Database!I:I,Database!$E:$E,$C69)),-0.00001)</f>
        <v>-1.0000000000000001E-5</v>
      </c>
      <c r="H69" s="185">
        <f>IFERROR(IF($C69="",-0.00001,SUMIFS(Database!J:J,Database!$E:$E,$C69)),-0.00001)</f>
        <v>-1.0000000000000001E-5</v>
      </c>
      <c r="I69" s="185">
        <f>IFERROR(IF($C69="",-0.00001,SUMIFS(Database!K:K,Database!$E:$E,$C69)),-0.00001)</f>
        <v>-1.0000000000000001E-5</v>
      </c>
      <c r="J69" s="185">
        <f>IFERROR(IF($C69="",-0.00001,SUMIFS(Database!L:L,Database!$E:$E,$C69)),-0.00001)</f>
        <v>-1.0000000000000001E-5</v>
      </c>
      <c r="K69" s="185">
        <f>IFERROR(IF($C69="",-0.00001,SUMIFS(Database!M:M,Database!$E:$E,$C69)),-0.00001)</f>
        <v>-1.0000000000000001E-5</v>
      </c>
      <c r="L69" s="185">
        <f>IFERROR(IF($C69="",-0.00001,SUMIFS(Database!N:N,Database!$E:$E,$C69)),-0.00001)</f>
        <v>-1.0000000000000001E-5</v>
      </c>
      <c r="M69" s="185">
        <f>IFERROR(IF($C69="",-0.00001,SUMIFS(Database!O:O,Database!$E:$E,$C69)),-0.00001)</f>
        <v>-1.0000000000000001E-5</v>
      </c>
      <c r="N69" s="185">
        <f>IFERROR(IF($C69="",-0.00001,SUMIFS(Database!P:P,Database!$E:$E,$C69)),-0.00001)</f>
        <v>-1.0000000000000001E-5</v>
      </c>
      <c r="O69" s="185">
        <f>IFERROR(IF($C69="",-0.00001,SUMIFS(Database!Q:Q,Database!$E:$E,$C69)),-0.00001)</f>
        <v>-1.0000000000000001E-5</v>
      </c>
      <c r="P69" s="186">
        <f t="shared" si="3"/>
        <v>-1.0000000000000001E-5</v>
      </c>
      <c r="Q69" s="185">
        <f>IFERROR(IF($C69="",-0.00001,SUMIFS(Database!S:S,Database!$E:$E,$C69)),-0.00001)</f>
        <v>-1.0000000000000001E-5</v>
      </c>
      <c r="R69" s="185">
        <f>IFERROR(IF($C69="",-0.00001,SUMIFS(Database!T:T,Database!$E:$E,$C69)),-0.00001)</f>
        <v>-1.0000000000000001E-5</v>
      </c>
      <c r="S69" s="186">
        <f t="shared" si="4"/>
        <v>-1.0000000000000001E-5</v>
      </c>
      <c r="T69" s="185">
        <f>IFERROR(IF($C69="",-0.00001,SUMIFS(Database!V:V,Database!$E:$E,$C69)),-0.00001)</f>
        <v>-1.0000000000000001E-5</v>
      </c>
      <c r="U69" s="185">
        <f>IFERROR(IF($C69="",-0.00001,SUMIFS(Database!W:W,Database!$E:$E,$C69)),-0.00001)</f>
        <v>-1.0000000000000001E-5</v>
      </c>
      <c r="V69" s="186">
        <f t="shared" si="5"/>
        <v>-1.0000000000000001E-5</v>
      </c>
      <c r="W69" s="187"/>
      <c r="X69" s="187"/>
      <c r="Y69" s="187"/>
      <c r="Z69" s="187"/>
      <c r="AA69" s="187"/>
      <c r="AB69" s="187"/>
      <c r="AC69" s="187"/>
      <c r="AD69" s="187"/>
      <c r="AE69" s="187"/>
    </row>
    <row r="70" spans="1:31" x14ac:dyDescent="0.25">
      <c r="A70" s="187"/>
      <c r="B70" s="187" t="str">
        <f>IF($C70="","",MAX($B$4:$B69)+1)</f>
        <v/>
      </c>
      <c r="C70" s="183"/>
      <c r="D70" s="183" t="str">
        <f>IFERROR(VLOOKUP($C70,Rosters!$C$4:$M$239,INDEX(Lists!$N$5:$O$80,MATCH($C70,Lists!$N$5:$N$80,FALSE),2)),"")</f>
        <v/>
      </c>
      <c r="E70" s="185">
        <f>IF($C70="",-0.00001,COUNTIF(Database!E:E,$C70))</f>
        <v>-1.0000000000000001E-5</v>
      </c>
      <c r="F70" s="185">
        <f>IFERROR(IF($C70="",-0.00001,SUMIFS(Database!H:H,Database!$E:$E,$C70)),-0.00001)</f>
        <v>-1.0000000000000001E-5</v>
      </c>
      <c r="G70" s="185">
        <f>IFERROR(IF($C70="",-0.00001,SUMIFS(Database!I:I,Database!$E:$E,$C70)),-0.00001)</f>
        <v>-1.0000000000000001E-5</v>
      </c>
      <c r="H70" s="185">
        <f>IFERROR(IF($C70="",-0.00001,SUMIFS(Database!J:J,Database!$E:$E,$C70)),-0.00001)</f>
        <v>-1.0000000000000001E-5</v>
      </c>
      <c r="I70" s="185">
        <f>IFERROR(IF($C70="",-0.00001,SUMIFS(Database!K:K,Database!$E:$E,$C70)),-0.00001)</f>
        <v>-1.0000000000000001E-5</v>
      </c>
      <c r="J70" s="185">
        <f>IFERROR(IF($C70="",-0.00001,SUMIFS(Database!L:L,Database!$E:$E,$C70)),-0.00001)</f>
        <v>-1.0000000000000001E-5</v>
      </c>
      <c r="K70" s="185">
        <f>IFERROR(IF($C70="",-0.00001,SUMIFS(Database!M:M,Database!$E:$E,$C70)),-0.00001)</f>
        <v>-1.0000000000000001E-5</v>
      </c>
      <c r="L70" s="185">
        <f>IFERROR(IF($C70="",-0.00001,SUMIFS(Database!N:N,Database!$E:$E,$C70)),-0.00001)</f>
        <v>-1.0000000000000001E-5</v>
      </c>
      <c r="M70" s="185">
        <f>IFERROR(IF($C70="",-0.00001,SUMIFS(Database!O:O,Database!$E:$E,$C70)),-0.00001)</f>
        <v>-1.0000000000000001E-5</v>
      </c>
      <c r="N70" s="185">
        <f>IFERROR(IF($C70="",-0.00001,SUMIFS(Database!P:P,Database!$E:$E,$C70)),-0.00001)</f>
        <v>-1.0000000000000001E-5</v>
      </c>
      <c r="O70" s="185">
        <f>IFERROR(IF($C70="",-0.00001,SUMIFS(Database!Q:Q,Database!$E:$E,$C70)),-0.00001)</f>
        <v>-1.0000000000000001E-5</v>
      </c>
      <c r="P70" s="186">
        <f t="shared" si="3"/>
        <v>-1.0000000000000001E-5</v>
      </c>
      <c r="Q70" s="185">
        <f>IFERROR(IF($C70="",-0.00001,SUMIFS(Database!S:S,Database!$E:$E,$C70)),-0.00001)</f>
        <v>-1.0000000000000001E-5</v>
      </c>
      <c r="R70" s="185">
        <f>IFERROR(IF($C70="",-0.00001,SUMIFS(Database!T:T,Database!$E:$E,$C70)),-0.00001)</f>
        <v>-1.0000000000000001E-5</v>
      </c>
      <c r="S70" s="186">
        <f t="shared" si="4"/>
        <v>-1.0000000000000001E-5</v>
      </c>
      <c r="T70" s="185">
        <f>IFERROR(IF($C70="",-0.00001,SUMIFS(Database!V:V,Database!$E:$E,$C70)),-0.00001)</f>
        <v>-1.0000000000000001E-5</v>
      </c>
      <c r="U70" s="185">
        <f>IFERROR(IF($C70="",-0.00001,SUMIFS(Database!W:W,Database!$E:$E,$C70)),-0.00001)</f>
        <v>-1.0000000000000001E-5</v>
      </c>
      <c r="V70" s="186">
        <f t="shared" si="5"/>
        <v>-1.0000000000000001E-5</v>
      </c>
      <c r="W70" s="187"/>
      <c r="X70" s="187"/>
      <c r="Y70" s="187"/>
      <c r="Z70" s="187"/>
      <c r="AA70" s="187"/>
      <c r="AB70" s="187"/>
      <c r="AC70" s="187"/>
      <c r="AD70" s="187"/>
      <c r="AE70" s="187"/>
    </row>
    <row r="71" spans="1:31" x14ac:dyDescent="0.25">
      <c r="A71" s="187"/>
      <c r="B71" s="187" t="str">
        <f>IF($C71="","",MAX($B$4:$B70)+1)</f>
        <v/>
      </c>
      <c r="C71" s="183"/>
      <c r="D71" s="183" t="str">
        <f>IFERROR(VLOOKUP($C71,Rosters!$C$4:$M$239,INDEX(Lists!$N$5:$O$80,MATCH($C71,Lists!$N$5:$N$80,FALSE),2)),"")</f>
        <v/>
      </c>
      <c r="E71" s="185">
        <f>IF($C71="",-0.00001,COUNTIF(Database!E:E,$C71))</f>
        <v>-1.0000000000000001E-5</v>
      </c>
      <c r="F71" s="185">
        <f>IFERROR(IF($C71="",-0.00001,SUMIFS(Database!H:H,Database!$E:$E,$C71)),-0.00001)</f>
        <v>-1.0000000000000001E-5</v>
      </c>
      <c r="G71" s="185">
        <f>IFERROR(IF($C71="",-0.00001,SUMIFS(Database!I:I,Database!$E:$E,$C71)),-0.00001)</f>
        <v>-1.0000000000000001E-5</v>
      </c>
      <c r="H71" s="185">
        <f>IFERROR(IF($C71="",-0.00001,SUMIFS(Database!J:J,Database!$E:$E,$C71)),-0.00001)</f>
        <v>-1.0000000000000001E-5</v>
      </c>
      <c r="I71" s="185">
        <f>IFERROR(IF($C71="",-0.00001,SUMIFS(Database!K:K,Database!$E:$E,$C71)),-0.00001)</f>
        <v>-1.0000000000000001E-5</v>
      </c>
      <c r="J71" s="185">
        <f>IFERROR(IF($C71="",-0.00001,SUMIFS(Database!L:L,Database!$E:$E,$C71)),-0.00001)</f>
        <v>-1.0000000000000001E-5</v>
      </c>
      <c r="K71" s="185">
        <f>IFERROR(IF($C71="",-0.00001,SUMIFS(Database!M:M,Database!$E:$E,$C71)),-0.00001)</f>
        <v>-1.0000000000000001E-5</v>
      </c>
      <c r="L71" s="185">
        <f>IFERROR(IF($C71="",-0.00001,SUMIFS(Database!N:N,Database!$E:$E,$C71)),-0.00001)</f>
        <v>-1.0000000000000001E-5</v>
      </c>
      <c r="M71" s="185">
        <f>IFERROR(IF($C71="",-0.00001,SUMIFS(Database!O:O,Database!$E:$E,$C71)),-0.00001)</f>
        <v>-1.0000000000000001E-5</v>
      </c>
      <c r="N71" s="185">
        <f>IFERROR(IF($C71="",-0.00001,SUMIFS(Database!P:P,Database!$E:$E,$C71)),-0.00001)</f>
        <v>-1.0000000000000001E-5</v>
      </c>
      <c r="O71" s="185">
        <f>IFERROR(IF($C71="",-0.00001,SUMIFS(Database!Q:Q,Database!$E:$E,$C71)),-0.00001)</f>
        <v>-1.0000000000000001E-5</v>
      </c>
      <c r="P71" s="186">
        <f t="shared" si="3"/>
        <v>-1.0000000000000001E-5</v>
      </c>
      <c r="Q71" s="185">
        <f>IFERROR(IF($C71="",-0.00001,SUMIFS(Database!S:S,Database!$E:$E,$C71)),-0.00001)</f>
        <v>-1.0000000000000001E-5</v>
      </c>
      <c r="R71" s="185">
        <f>IFERROR(IF($C71="",-0.00001,SUMIFS(Database!T:T,Database!$E:$E,$C71)),-0.00001)</f>
        <v>-1.0000000000000001E-5</v>
      </c>
      <c r="S71" s="186">
        <f t="shared" si="4"/>
        <v>-1.0000000000000001E-5</v>
      </c>
      <c r="T71" s="185">
        <f>IFERROR(IF($C71="",-0.00001,SUMIFS(Database!V:V,Database!$E:$E,$C71)),-0.00001)</f>
        <v>-1.0000000000000001E-5</v>
      </c>
      <c r="U71" s="185">
        <f>IFERROR(IF($C71="",-0.00001,SUMIFS(Database!W:W,Database!$E:$E,$C71)),-0.00001)</f>
        <v>-1.0000000000000001E-5</v>
      </c>
      <c r="V71" s="186">
        <f t="shared" si="5"/>
        <v>-1.0000000000000001E-5</v>
      </c>
      <c r="W71" s="187"/>
      <c r="X71" s="187"/>
      <c r="Y71" s="187"/>
      <c r="Z71" s="187"/>
      <c r="AA71" s="187"/>
      <c r="AB71" s="187"/>
      <c r="AC71" s="187"/>
      <c r="AD71" s="187"/>
      <c r="AE71" s="187"/>
    </row>
    <row r="72" spans="1:31" x14ac:dyDescent="0.25">
      <c r="A72" s="187"/>
      <c r="B72" s="187" t="str">
        <f>IF($C72="","",MAX($B$4:$B71)+1)</f>
        <v/>
      </c>
      <c r="C72" s="183"/>
      <c r="D72" s="183" t="str">
        <f>IFERROR(VLOOKUP($C72,Rosters!$C$4:$M$239,INDEX(Lists!$N$5:$O$80,MATCH($C72,Lists!$N$5:$N$80,FALSE),2)),"")</f>
        <v/>
      </c>
      <c r="E72" s="185">
        <f>IF($C72="",-0.00001,COUNTIF(Database!E:E,$C72))</f>
        <v>-1.0000000000000001E-5</v>
      </c>
      <c r="F72" s="185">
        <f>IFERROR(IF($C72="",-0.00001,SUMIFS(Database!H:H,Database!$E:$E,$C72)),-0.00001)</f>
        <v>-1.0000000000000001E-5</v>
      </c>
      <c r="G72" s="185">
        <f>IFERROR(IF($C72="",-0.00001,SUMIFS(Database!I:I,Database!$E:$E,$C72)),-0.00001)</f>
        <v>-1.0000000000000001E-5</v>
      </c>
      <c r="H72" s="185">
        <f>IFERROR(IF($C72="",-0.00001,SUMIFS(Database!J:J,Database!$E:$E,$C72)),-0.00001)</f>
        <v>-1.0000000000000001E-5</v>
      </c>
      <c r="I72" s="185">
        <f>IFERROR(IF($C72="",-0.00001,SUMIFS(Database!K:K,Database!$E:$E,$C72)),-0.00001)</f>
        <v>-1.0000000000000001E-5</v>
      </c>
      <c r="J72" s="185">
        <f>IFERROR(IF($C72="",-0.00001,SUMIFS(Database!L:L,Database!$E:$E,$C72)),-0.00001)</f>
        <v>-1.0000000000000001E-5</v>
      </c>
      <c r="K72" s="185">
        <f>IFERROR(IF($C72="",-0.00001,SUMIFS(Database!M:M,Database!$E:$E,$C72)),-0.00001)</f>
        <v>-1.0000000000000001E-5</v>
      </c>
      <c r="L72" s="185">
        <f>IFERROR(IF($C72="",-0.00001,SUMIFS(Database!N:N,Database!$E:$E,$C72)),-0.00001)</f>
        <v>-1.0000000000000001E-5</v>
      </c>
      <c r="M72" s="185">
        <f>IFERROR(IF($C72="",-0.00001,SUMIFS(Database!O:O,Database!$E:$E,$C72)),-0.00001)</f>
        <v>-1.0000000000000001E-5</v>
      </c>
      <c r="N72" s="185">
        <f>IFERROR(IF($C72="",-0.00001,SUMIFS(Database!P:P,Database!$E:$E,$C72)),-0.00001)</f>
        <v>-1.0000000000000001E-5</v>
      </c>
      <c r="O72" s="185">
        <f>IFERROR(IF($C72="",-0.00001,SUMIFS(Database!Q:Q,Database!$E:$E,$C72)),-0.00001)</f>
        <v>-1.0000000000000001E-5</v>
      </c>
      <c r="P72" s="186">
        <f t="shared" si="3"/>
        <v>-1.0000000000000001E-5</v>
      </c>
      <c r="Q72" s="185">
        <f>IFERROR(IF($C72="",-0.00001,SUMIFS(Database!S:S,Database!$E:$E,$C72)),-0.00001)</f>
        <v>-1.0000000000000001E-5</v>
      </c>
      <c r="R72" s="185">
        <f>IFERROR(IF($C72="",-0.00001,SUMIFS(Database!T:T,Database!$E:$E,$C72)),-0.00001)</f>
        <v>-1.0000000000000001E-5</v>
      </c>
      <c r="S72" s="186">
        <f t="shared" si="4"/>
        <v>-1.0000000000000001E-5</v>
      </c>
      <c r="T72" s="185">
        <f>IFERROR(IF($C72="",-0.00001,SUMIFS(Database!V:V,Database!$E:$E,$C72)),-0.00001)</f>
        <v>-1.0000000000000001E-5</v>
      </c>
      <c r="U72" s="185">
        <f>IFERROR(IF($C72="",-0.00001,SUMIFS(Database!W:W,Database!$E:$E,$C72)),-0.00001)</f>
        <v>-1.0000000000000001E-5</v>
      </c>
      <c r="V72" s="186">
        <f t="shared" si="5"/>
        <v>-1.0000000000000001E-5</v>
      </c>
      <c r="W72" s="187"/>
      <c r="X72" s="187"/>
      <c r="Y72" s="187"/>
      <c r="Z72" s="187"/>
      <c r="AA72" s="187"/>
      <c r="AB72" s="187"/>
      <c r="AC72" s="187"/>
      <c r="AD72" s="187"/>
      <c r="AE72" s="187"/>
    </row>
    <row r="73" spans="1:31" x14ac:dyDescent="0.25">
      <c r="A73" s="187"/>
      <c r="B73" s="187" t="str">
        <f>IF($C73="","",MAX($B$4:$B72)+1)</f>
        <v/>
      </c>
      <c r="C73" s="183"/>
      <c r="D73" s="183" t="str">
        <f>IFERROR(VLOOKUP($C73,Rosters!$C$4:$M$239,INDEX(Lists!$N$5:$O$80,MATCH($C73,Lists!$N$5:$N$80,FALSE),2)),"")</f>
        <v/>
      </c>
      <c r="E73" s="185">
        <f>IF($C73="",-0.00001,COUNTIF(Database!E:E,$C73))</f>
        <v>-1.0000000000000001E-5</v>
      </c>
      <c r="F73" s="185">
        <f>IFERROR(IF($C73="",-0.00001,SUMIFS(Database!H:H,Database!$E:$E,$C73)),-0.00001)</f>
        <v>-1.0000000000000001E-5</v>
      </c>
      <c r="G73" s="185">
        <f>IFERROR(IF($C73="",-0.00001,SUMIFS(Database!I:I,Database!$E:$E,$C73)),-0.00001)</f>
        <v>-1.0000000000000001E-5</v>
      </c>
      <c r="H73" s="185">
        <f>IFERROR(IF($C73="",-0.00001,SUMIFS(Database!J:J,Database!$E:$E,$C73)),-0.00001)</f>
        <v>-1.0000000000000001E-5</v>
      </c>
      <c r="I73" s="185">
        <f>IFERROR(IF($C73="",-0.00001,SUMIFS(Database!K:K,Database!$E:$E,$C73)),-0.00001)</f>
        <v>-1.0000000000000001E-5</v>
      </c>
      <c r="J73" s="185">
        <f>IFERROR(IF($C73="",-0.00001,SUMIFS(Database!L:L,Database!$E:$E,$C73)),-0.00001)</f>
        <v>-1.0000000000000001E-5</v>
      </c>
      <c r="K73" s="185">
        <f>IFERROR(IF($C73="",-0.00001,SUMIFS(Database!M:M,Database!$E:$E,$C73)),-0.00001)</f>
        <v>-1.0000000000000001E-5</v>
      </c>
      <c r="L73" s="185">
        <f>IFERROR(IF($C73="",-0.00001,SUMIFS(Database!N:N,Database!$E:$E,$C73)),-0.00001)</f>
        <v>-1.0000000000000001E-5</v>
      </c>
      <c r="M73" s="185">
        <f>IFERROR(IF($C73="",-0.00001,SUMIFS(Database!O:O,Database!$E:$E,$C73)),-0.00001)</f>
        <v>-1.0000000000000001E-5</v>
      </c>
      <c r="N73" s="185">
        <f>IFERROR(IF($C73="",-0.00001,SUMIFS(Database!P:P,Database!$E:$E,$C73)),-0.00001)</f>
        <v>-1.0000000000000001E-5</v>
      </c>
      <c r="O73" s="185">
        <f>IFERROR(IF($C73="",-0.00001,SUMIFS(Database!Q:Q,Database!$E:$E,$C73)),-0.00001)</f>
        <v>-1.0000000000000001E-5</v>
      </c>
      <c r="P73" s="186">
        <f t="shared" si="3"/>
        <v>-1.0000000000000001E-5</v>
      </c>
      <c r="Q73" s="185">
        <f>IFERROR(IF($C73="",-0.00001,SUMIFS(Database!S:S,Database!$E:$E,$C73)),-0.00001)</f>
        <v>-1.0000000000000001E-5</v>
      </c>
      <c r="R73" s="185">
        <f>IFERROR(IF($C73="",-0.00001,SUMIFS(Database!T:T,Database!$E:$E,$C73)),-0.00001)</f>
        <v>-1.0000000000000001E-5</v>
      </c>
      <c r="S73" s="186">
        <f t="shared" si="4"/>
        <v>-1.0000000000000001E-5</v>
      </c>
      <c r="T73" s="185">
        <f>IFERROR(IF($C73="",-0.00001,SUMIFS(Database!V:V,Database!$E:$E,$C73)),-0.00001)</f>
        <v>-1.0000000000000001E-5</v>
      </c>
      <c r="U73" s="185">
        <f>IFERROR(IF($C73="",-0.00001,SUMIFS(Database!W:W,Database!$E:$E,$C73)),-0.00001)</f>
        <v>-1.0000000000000001E-5</v>
      </c>
      <c r="V73" s="186">
        <f t="shared" si="5"/>
        <v>-1.0000000000000001E-5</v>
      </c>
      <c r="W73" s="187"/>
      <c r="X73" s="187"/>
      <c r="Y73" s="187"/>
      <c r="Z73" s="187"/>
      <c r="AA73" s="187"/>
      <c r="AB73" s="187"/>
      <c r="AC73" s="187"/>
      <c r="AD73" s="187"/>
      <c r="AE73" s="187"/>
    </row>
    <row r="74" spans="1:31" x14ac:dyDescent="0.25">
      <c r="A74" s="187"/>
      <c r="B74" s="187" t="str">
        <f>IF($C74="","",MAX($B$4:$B73)+1)</f>
        <v/>
      </c>
      <c r="C74" s="183"/>
      <c r="D74" s="183" t="str">
        <f>IFERROR(VLOOKUP($C74,Rosters!$C$4:$M$239,INDEX(Lists!$N$5:$O$80,MATCH($C74,Lists!$N$5:$N$80,FALSE),2)),"")</f>
        <v/>
      </c>
      <c r="E74" s="185">
        <f>IF($C74="",-0.00001,COUNTIF(Database!E:E,$C74))</f>
        <v>-1.0000000000000001E-5</v>
      </c>
      <c r="F74" s="185">
        <f>IFERROR(IF($C74="",-0.00001,SUMIFS(Database!H:H,Database!$E:$E,$C74)),-0.00001)</f>
        <v>-1.0000000000000001E-5</v>
      </c>
      <c r="G74" s="185">
        <f>IFERROR(IF($C74="",-0.00001,SUMIFS(Database!I:I,Database!$E:$E,$C74)),-0.00001)</f>
        <v>-1.0000000000000001E-5</v>
      </c>
      <c r="H74" s="185">
        <f>IFERROR(IF($C74="",-0.00001,SUMIFS(Database!J:J,Database!$E:$E,$C74)),-0.00001)</f>
        <v>-1.0000000000000001E-5</v>
      </c>
      <c r="I74" s="185">
        <f>IFERROR(IF($C74="",-0.00001,SUMIFS(Database!K:K,Database!$E:$E,$C74)),-0.00001)</f>
        <v>-1.0000000000000001E-5</v>
      </c>
      <c r="J74" s="185">
        <f>IFERROR(IF($C74="",-0.00001,SUMIFS(Database!L:L,Database!$E:$E,$C74)),-0.00001)</f>
        <v>-1.0000000000000001E-5</v>
      </c>
      <c r="K74" s="185">
        <f>IFERROR(IF($C74="",-0.00001,SUMIFS(Database!M:M,Database!$E:$E,$C74)),-0.00001)</f>
        <v>-1.0000000000000001E-5</v>
      </c>
      <c r="L74" s="185">
        <f>IFERROR(IF($C74="",-0.00001,SUMIFS(Database!N:N,Database!$E:$E,$C74)),-0.00001)</f>
        <v>-1.0000000000000001E-5</v>
      </c>
      <c r="M74" s="185">
        <f>IFERROR(IF($C74="",-0.00001,SUMIFS(Database!O:O,Database!$E:$E,$C74)),-0.00001)</f>
        <v>-1.0000000000000001E-5</v>
      </c>
      <c r="N74" s="185">
        <f>IFERROR(IF($C74="",-0.00001,SUMIFS(Database!P:P,Database!$E:$E,$C74)),-0.00001)</f>
        <v>-1.0000000000000001E-5</v>
      </c>
      <c r="O74" s="185">
        <f>IFERROR(IF($C74="",-0.00001,SUMIFS(Database!Q:Q,Database!$E:$E,$C74)),-0.00001)</f>
        <v>-1.0000000000000001E-5</v>
      </c>
      <c r="P74" s="186">
        <f t="shared" si="3"/>
        <v>-1.0000000000000001E-5</v>
      </c>
      <c r="Q74" s="185">
        <f>IFERROR(IF($C74="",-0.00001,SUMIFS(Database!S:S,Database!$E:$E,$C74)),-0.00001)</f>
        <v>-1.0000000000000001E-5</v>
      </c>
      <c r="R74" s="185">
        <f>IFERROR(IF($C74="",-0.00001,SUMIFS(Database!T:T,Database!$E:$E,$C74)),-0.00001)</f>
        <v>-1.0000000000000001E-5</v>
      </c>
      <c r="S74" s="186">
        <f t="shared" si="4"/>
        <v>-1.0000000000000001E-5</v>
      </c>
      <c r="T74" s="185">
        <f>IFERROR(IF($C74="",-0.00001,SUMIFS(Database!V:V,Database!$E:$E,$C74)),-0.00001)</f>
        <v>-1.0000000000000001E-5</v>
      </c>
      <c r="U74" s="185">
        <f>IFERROR(IF($C74="",-0.00001,SUMIFS(Database!W:W,Database!$E:$E,$C74)),-0.00001)</f>
        <v>-1.0000000000000001E-5</v>
      </c>
      <c r="V74" s="186">
        <f t="shared" si="5"/>
        <v>-1.0000000000000001E-5</v>
      </c>
      <c r="W74" s="187"/>
      <c r="X74" s="187"/>
      <c r="Y74" s="187"/>
      <c r="Z74" s="187"/>
      <c r="AA74" s="187"/>
      <c r="AB74" s="187"/>
      <c r="AC74" s="187"/>
      <c r="AD74" s="187"/>
      <c r="AE74" s="187"/>
    </row>
    <row r="75" spans="1:31" x14ac:dyDescent="0.25">
      <c r="A75" s="187"/>
      <c r="B75" s="187" t="str">
        <f>IF($C75="","",MAX($B$4:$B74)+1)</f>
        <v/>
      </c>
      <c r="C75" s="183"/>
      <c r="D75" s="183" t="str">
        <f>IFERROR(VLOOKUP($C75,Rosters!$C$4:$M$239,INDEX(Lists!$N$5:$O$80,MATCH($C75,Lists!$N$5:$N$80,FALSE),2)),"")</f>
        <v/>
      </c>
      <c r="E75" s="185">
        <f>IF($C75="",-0.00001,COUNTIF(Database!E:E,$C75))</f>
        <v>-1.0000000000000001E-5</v>
      </c>
      <c r="F75" s="185">
        <f>IFERROR(IF($C75="",-0.00001,SUMIFS(Database!H:H,Database!$E:$E,$C75)),-0.00001)</f>
        <v>-1.0000000000000001E-5</v>
      </c>
      <c r="G75" s="185">
        <f>IFERROR(IF($C75="",-0.00001,SUMIFS(Database!I:I,Database!$E:$E,$C75)),-0.00001)</f>
        <v>-1.0000000000000001E-5</v>
      </c>
      <c r="H75" s="185">
        <f>IFERROR(IF($C75="",-0.00001,SUMIFS(Database!J:J,Database!$E:$E,$C75)),-0.00001)</f>
        <v>-1.0000000000000001E-5</v>
      </c>
      <c r="I75" s="185">
        <f>IFERROR(IF($C75="",-0.00001,SUMIFS(Database!K:K,Database!$E:$E,$C75)),-0.00001)</f>
        <v>-1.0000000000000001E-5</v>
      </c>
      <c r="J75" s="185">
        <f>IFERROR(IF($C75="",-0.00001,SUMIFS(Database!L:L,Database!$E:$E,$C75)),-0.00001)</f>
        <v>-1.0000000000000001E-5</v>
      </c>
      <c r="K75" s="185">
        <f>IFERROR(IF($C75="",-0.00001,SUMIFS(Database!M:M,Database!$E:$E,$C75)),-0.00001)</f>
        <v>-1.0000000000000001E-5</v>
      </c>
      <c r="L75" s="185">
        <f>IFERROR(IF($C75="",-0.00001,SUMIFS(Database!N:N,Database!$E:$E,$C75)),-0.00001)</f>
        <v>-1.0000000000000001E-5</v>
      </c>
      <c r="M75" s="185">
        <f>IFERROR(IF($C75="",-0.00001,SUMIFS(Database!O:O,Database!$E:$E,$C75)),-0.00001)</f>
        <v>-1.0000000000000001E-5</v>
      </c>
      <c r="N75" s="185">
        <f>IFERROR(IF($C75="",-0.00001,SUMIFS(Database!P:P,Database!$E:$E,$C75)),-0.00001)</f>
        <v>-1.0000000000000001E-5</v>
      </c>
      <c r="O75" s="185">
        <f>IFERROR(IF($C75="",-0.00001,SUMIFS(Database!Q:Q,Database!$E:$E,$C75)),-0.00001)</f>
        <v>-1.0000000000000001E-5</v>
      </c>
      <c r="P75" s="186">
        <f t="shared" si="3"/>
        <v>-1.0000000000000001E-5</v>
      </c>
      <c r="Q75" s="185">
        <f>IFERROR(IF($C75="",-0.00001,SUMIFS(Database!S:S,Database!$E:$E,$C75)),-0.00001)</f>
        <v>-1.0000000000000001E-5</v>
      </c>
      <c r="R75" s="185">
        <f>IFERROR(IF($C75="",-0.00001,SUMIFS(Database!T:T,Database!$E:$E,$C75)),-0.00001)</f>
        <v>-1.0000000000000001E-5</v>
      </c>
      <c r="S75" s="186">
        <f t="shared" si="4"/>
        <v>-1.0000000000000001E-5</v>
      </c>
      <c r="T75" s="185">
        <f>IFERROR(IF($C75="",-0.00001,SUMIFS(Database!V:V,Database!$E:$E,$C75)),-0.00001)</f>
        <v>-1.0000000000000001E-5</v>
      </c>
      <c r="U75" s="185">
        <f>IFERROR(IF($C75="",-0.00001,SUMIFS(Database!W:W,Database!$E:$E,$C75)),-0.00001)</f>
        <v>-1.0000000000000001E-5</v>
      </c>
      <c r="V75" s="186">
        <f t="shared" si="5"/>
        <v>-1.0000000000000001E-5</v>
      </c>
      <c r="W75" s="187"/>
      <c r="X75" s="187"/>
      <c r="Y75" s="187"/>
      <c r="Z75" s="187"/>
      <c r="AA75" s="187"/>
      <c r="AB75" s="187"/>
      <c r="AC75" s="187"/>
      <c r="AD75" s="187"/>
      <c r="AE75" s="187"/>
    </row>
    <row r="76" spans="1:31" x14ac:dyDescent="0.25">
      <c r="A76" s="187"/>
      <c r="B76" s="187" t="str">
        <f>IF($C76="","",MAX($B$4:$B75)+1)</f>
        <v/>
      </c>
      <c r="C76" s="183"/>
      <c r="D76" s="183" t="str">
        <f>IFERROR(VLOOKUP($C76,Rosters!$C$4:$M$239,INDEX(Lists!$N$5:$O$80,MATCH($C76,Lists!$N$5:$N$80,FALSE),2)),"")</f>
        <v/>
      </c>
      <c r="E76" s="185">
        <f>IF($C76="",-0.00001,COUNTIF(Database!E:E,$C76))</f>
        <v>-1.0000000000000001E-5</v>
      </c>
      <c r="F76" s="185">
        <f>IFERROR(IF($C76="",-0.00001,SUMIFS(Database!H:H,Database!$E:$E,$C76)),-0.00001)</f>
        <v>-1.0000000000000001E-5</v>
      </c>
      <c r="G76" s="185">
        <f>IFERROR(IF($C76="",-0.00001,SUMIFS(Database!I:I,Database!$E:$E,$C76)),-0.00001)</f>
        <v>-1.0000000000000001E-5</v>
      </c>
      <c r="H76" s="185">
        <f>IFERROR(IF($C76="",-0.00001,SUMIFS(Database!J:J,Database!$E:$E,$C76)),-0.00001)</f>
        <v>-1.0000000000000001E-5</v>
      </c>
      <c r="I76" s="185">
        <f>IFERROR(IF($C76="",-0.00001,SUMIFS(Database!K:K,Database!$E:$E,$C76)),-0.00001)</f>
        <v>-1.0000000000000001E-5</v>
      </c>
      <c r="J76" s="185">
        <f>IFERROR(IF($C76="",-0.00001,SUMIFS(Database!L:L,Database!$E:$E,$C76)),-0.00001)</f>
        <v>-1.0000000000000001E-5</v>
      </c>
      <c r="K76" s="185">
        <f>IFERROR(IF($C76="",-0.00001,SUMIFS(Database!M:M,Database!$E:$E,$C76)),-0.00001)</f>
        <v>-1.0000000000000001E-5</v>
      </c>
      <c r="L76" s="185">
        <f>IFERROR(IF($C76="",-0.00001,SUMIFS(Database!N:N,Database!$E:$E,$C76)),-0.00001)</f>
        <v>-1.0000000000000001E-5</v>
      </c>
      <c r="M76" s="185">
        <f>IFERROR(IF($C76="",-0.00001,SUMIFS(Database!O:O,Database!$E:$E,$C76)),-0.00001)</f>
        <v>-1.0000000000000001E-5</v>
      </c>
      <c r="N76" s="185">
        <f>IFERROR(IF($C76="",-0.00001,SUMIFS(Database!P:P,Database!$E:$E,$C76)),-0.00001)</f>
        <v>-1.0000000000000001E-5</v>
      </c>
      <c r="O76" s="185">
        <f>IFERROR(IF($C76="",-0.00001,SUMIFS(Database!Q:Q,Database!$E:$E,$C76)),-0.00001)</f>
        <v>-1.0000000000000001E-5</v>
      </c>
      <c r="P76" s="186">
        <f t="shared" si="3"/>
        <v>-1.0000000000000001E-5</v>
      </c>
      <c r="Q76" s="185">
        <f>IFERROR(IF($C76="",-0.00001,SUMIFS(Database!S:S,Database!$E:$E,$C76)),-0.00001)</f>
        <v>-1.0000000000000001E-5</v>
      </c>
      <c r="R76" s="185">
        <f>IFERROR(IF($C76="",-0.00001,SUMIFS(Database!T:T,Database!$E:$E,$C76)),-0.00001)</f>
        <v>-1.0000000000000001E-5</v>
      </c>
      <c r="S76" s="186">
        <f t="shared" si="4"/>
        <v>-1.0000000000000001E-5</v>
      </c>
      <c r="T76" s="185">
        <f>IFERROR(IF($C76="",-0.00001,SUMIFS(Database!V:V,Database!$E:$E,$C76)),-0.00001)</f>
        <v>-1.0000000000000001E-5</v>
      </c>
      <c r="U76" s="185">
        <f>IFERROR(IF($C76="",-0.00001,SUMIFS(Database!W:W,Database!$E:$E,$C76)),-0.00001)</f>
        <v>-1.0000000000000001E-5</v>
      </c>
      <c r="V76" s="186">
        <f t="shared" si="5"/>
        <v>-1.0000000000000001E-5</v>
      </c>
      <c r="W76" s="187"/>
      <c r="X76" s="187"/>
      <c r="Y76" s="187"/>
      <c r="Z76" s="187"/>
      <c r="AA76" s="187"/>
      <c r="AB76" s="187"/>
      <c r="AC76" s="187"/>
      <c r="AD76" s="187"/>
      <c r="AE76" s="187"/>
    </row>
    <row r="77" spans="1:31" x14ac:dyDescent="0.25">
      <c r="A77" s="187"/>
      <c r="B77" s="187" t="str">
        <f>IF($C77="","",MAX($B$4:$B76)+1)</f>
        <v/>
      </c>
      <c r="C77" s="183"/>
      <c r="D77" s="183" t="str">
        <f>IFERROR(VLOOKUP($C77,Rosters!$C$4:$M$239,INDEX(Lists!$N$5:$O$80,MATCH($C77,Lists!$N$5:$N$80,FALSE),2)),"")</f>
        <v/>
      </c>
      <c r="E77" s="185">
        <f>IF($C77="",-0.00001,COUNTIF(Database!E:E,$C77))</f>
        <v>-1.0000000000000001E-5</v>
      </c>
      <c r="F77" s="185">
        <f>IFERROR(IF($C77="",-0.00001,SUMIFS(Database!H:H,Database!$E:$E,$C77)),-0.00001)</f>
        <v>-1.0000000000000001E-5</v>
      </c>
      <c r="G77" s="185">
        <f>IFERROR(IF($C77="",-0.00001,SUMIFS(Database!I:I,Database!$E:$E,$C77)),-0.00001)</f>
        <v>-1.0000000000000001E-5</v>
      </c>
      <c r="H77" s="185">
        <f>IFERROR(IF($C77="",-0.00001,SUMIFS(Database!J:J,Database!$E:$E,$C77)),-0.00001)</f>
        <v>-1.0000000000000001E-5</v>
      </c>
      <c r="I77" s="185">
        <f>IFERROR(IF($C77="",-0.00001,SUMIFS(Database!K:K,Database!$E:$E,$C77)),-0.00001)</f>
        <v>-1.0000000000000001E-5</v>
      </c>
      <c r="J77" s="185">
        <f>IFERROR(IF($C77="",-0.00001,SUMIFS(Database!L:L,Database!$E:$E,$C77)),-0.00001)</f>
        <v>-1.0000000000000001E-5</v>
      </c>
      <c r="K77" s="185">
        <f>IFERROR(IF($C77="",-0.00001,SUMIFS(Database!M:M,Database!$E:$E,$C77)),-0.00001)</f>
        <v>-1.0000000000000001E-5</v>
      </c>
      <c r="L77" s="185">
        <f>IFERROR(IF($C77="",-0.00001,SUMIFS(Database!N:N,Database!$E:$E,$C77)),-0.00001)</f>
        <v>-1.0000000000000001E-5</v>
      </c>
      <c r="M77" s="185">
        <f>IFERROR(IF($C77="",-0.00001,SUMIFS(Database!O:O,Database!$E:$E,$C77)),-0.00001)</f>
        <v>-1.0000000000000001E-5</v>
      </c>
      <c r="N77" s="185">
        <f>IFERROR(IF($C77="",-0.00001,SUMIFS(Database!P:P,Database!$E:$E,$C77)),-0.00001)</f>
        <v>-1.0000000000000001E-5</v>
      </c>
      <c r="O77" s="185">
        <f>IFERROR(IF($C77="",-0.00001,SUMIFS(Database!Q:Q,Database!$E:$E,$C77)),-0.00001)</f>
        <v>-1.0000000000000001E-5</v>
      </c>
      <c r="P77" s="186">
        <f t="shared" si="3"/>
        <v>-1.0000000000000001E-5</v>
      </c>
      <c r="Q77" s="185">
        <f>IFERROR(IF($C77="",-0.00001,SUMIFS(Database!S:S,Database!$E:$E,$C77)),-0.00001)</f>
        <v>-1.0000000000000001E-5</v>
      </c>
      <c r="R77" s="185">
        <f>IFERROR(IF($C77="",-0.00001,SUMIFS(Database!T:T,Database!$E:$E,$C77)),-0.00001)</f>
        <v>-1.0000000000000001E-5</v>
      </c>
      <c r="S77" s="186">
        <f t="shared" si="4"/>
        <v>-1.0000000000000001E-5</v>
      </c>
      <c r="T77" s="185">
        <f>IFERROR(IF($C77="",-0.00001,SUMIFS(Database!V:V,Database!$E:$E,$C77)),-0.00001)</f>
        <v>-1.0000000000000001E-5</v>
      </c>
      <c r="U77" s="185">
        <f>IFERROR(IF($C77="",-0.00001,SUMIFS(Database!W:W,Database!$E:$E,$C77)),-0.00001)</f>
        <v>-1.0000000000000001E-5</v>
      </c>
      <c r="V77" s="186">
        <f t="shared" si="5"/>
        <v>-1.0000000000000001E-5</v>
      </c>
      <c r="W77" s="187"/>
      <c r="X77" s="187"/>
      <c r="Y77" s="187"/>
      <c r="Z77" s="187"/>
      <c r="AA77" s="187"/>
      <c r="AB77" s="187"/>
      <c r="AC77" s="187"/>
      <c r="AD77" s="187"/>
      <c r="AE77" s="187"/>
    </row>
    <row r="78" spans="1:31" x14ac:dyDescent="0.25">
      <c r="A78" s="187"/>
      <c r="B78" s="187" t="str">
        <f>IF($C78="","",MAX($B$4:$B77)+1)</f>
        <v/>
      </c>
      <c r="C78" s="183"/>
      <c r="D78" s="183" t="str">
        <f>IFERROR(VLOOKUP($C78,Rosters!$C$4:$M$239,INDEX(Lists!$N$5:$O$80,MATCH($C78,Lists!$N$5:$N$80,FALSE),2)),"")</f>
        <v/>
      </c>
      <c r="E78" s="185">
        <f>IF($C78="",-0.00001,COUNTIF(Database!E:E,$C78))</f>
        <v>-1.0000000000000001E-5</v>
      </c>
      <c r="F78" s="185">
        <f>IFERROR(IF($C78="",-0.00001,SUMIFS(Database!H:H,Database!$E:$E,$C78)),-0.00001)</f>
        <v>-1.0000000000000001E-5</v>
      </c>
      <c r="G78" s="185">
        <f>IFERROR(IF($C78="",-0.00001,SUMIFS(Database!I:I,Database!$E:$E,$C78)),-0.00001)</f>
        <v>-1.0000000000000001E-5</v>
      </c>
      <c r="H78" s="185">
        <f>IFERROR(IF($C78="",-0.00001,SUMIFS(Database!J:J,Database!$E:$E,$C78)),-0.00001)</f>
        <v>-1.0000000000000001E-5</v>
      </c>
      <c r="I78" s="185">
        <f>IFERROR(IF($C78="",-0.00001,SUMIFS(Database!K:K,Database!$E:$E,$C78)),-0.00001)</f>
        <v>-1.0000000000000001E-5</v>
      </c>
      <c r="J78" s="185">
        <f>IFERROR(IF($C78="",-0.00001,SUMIFS(Database!L:L,Database!$E:$E,$C78)),-0.00001)</f>
        <v>-1.0000000000000001E-5</v>
      </c>
      <c r="K78" s="185">
        <f>IFERROR(IF($C78="",-0.00001,SUMIFS(Database!M:M,Database!$E:$E,$C78)),-0.00001)</f>
        <v>-1.0000000000000001E-5</v>
      </c>
      <c r="L78" s="185">
        <f>IFERROR(IF($C78="",-0.00001,SUMIFS(Database!N:N,Database!$E:$E,$C78)),-0.00001)</f>
        <v>-1.0000000000000001E-5</v>
      </c>
      <c r="M78" s="185">
        <f>IFERROR(IF($C78="",-0.00001,SUMIFS(Database!O:O,Database!$E:$E,$C78)),-0.00001)</f>
        <v>-1.0000000000000001E-5</v>
      </c>
      <c r="N78" s="185">
        <f>IFERROR(IF($C78="",-0.00001,SUMIFS(Database!P:P,Database!$E:$E,$C78)),-0.00001)</f>
        <v>-1.0000000000000001E-5</v>
      </c>
      <c r="O78" s="185">
        <f>IFERROR(IF($C78="",-0.00001,SUMIFS(Database!Q:Q,Database!$E:$E,$C78)),-0.00001)</f>
        <v>-1.0000000000000001E-5</v>
      </c>
      <c r="P78" s="186">
        <f t="shared" si="3"/>
        <v>-1.0000000000000001E-5</v>
      </c>
      <c r="Q78" s="185">
        <f>IFERROR(IF($C78="",-0.00001,SUMIFS(Database!S:S,Database!$E:$E,$C78)),-0.00001)</f>
        <v>-1.0000000000000001E-5</v>
      </c>
      <c r="R78" s="185">
        <f>IFERROR(IF($C78="",-0.00001,SUMIFS(Database!T:T,Database!$E:$E,$C78)),-0.00001)</f>
        <v>-1.0000000000000001E-5</v>
      </c>
      <c r="S78" s="186">
        <f t="shared" si="4"/>
        <v>-1.0000000000000001E-5</v>
      </c>
      <c r="T78" s="185">
        <f>IFERROR(IF($C78="",-0.00001,SUMIFS(Database!V:V,Database!$E:$E,$C78)),-0.00001)</f>
        <v>-1.0000000000000001E-5</v>
      </c>
      <c r="U78" s="185">
        <f>IFERROR(IF($C78="",-0.00001,SUMIFS(Database!W:W,Database!$E:$E,$C78)),-0.00001)</f>
        <v>-1.0000000000000001E-5</v>
      </c>
      <c r="V78" s="186">
        <f t="shared" si="5"/>
        <v>-1.0000000000000001E-5</v>
      </c>
      <c r="W78" s="187"/>
      <c r="X78" s="187"/>
      <c r="Y78" s="187"/>
      <c r="Z78" s="187"/>
      <c r="AA78" s="187"/>
      <c r="AB78" s="187"/>
      <c r="AC78" s="187"/>
      <c r="AD78" s="187"/>
      <c r="AE78" s="187"/>
    </row>
    <row r="79" spans="1:31" x14ac:dyDescent="0.25">
      <c r="A79" s="187"/>
      <c r="B79" s="187" t="str">
        <f>IF($C79="","",MAX($B$4:$B78)+1)</f>
        <v/>
      </c>
      <c r="C79" s="183"/>
      <c r="D79" s="183" t="str">
        <f>IFERROR(VLOOKUP($C79,Rosters!$C$4:$M$239,INDEX(Lists!$N$5:$O$80,MATCH($C79,Lists!$N$5:$N$80,FALSE),2)),"")</f>
        <v/>
      </c>
      <c r="E79" s="185">
        <f>IF($C79="",-0.00001,COUNTIF(Database!E:E,$C79))</f>
        <v>-1.0000000000000001E-5</v>
      </c>
      <c r="F79" s="185">
        <f>IFERROR(IF($C79="",-0.00001,SUMIFS(Database!H:H,Database!$E:$E,$C79)),-0.00001)</f>
        <v>-1.0000000000000001E-5</v>
      </c>
      <c r="G79" s="185">
        <f>IFERROR(IF($C79="",-0.00001,SUMIFS(Database!I:I,Database!$E:$E,$C79)),-0.00001)</f>
        <v>-1.0000000000000001E-5</v>
      </c>
      <c r="H79" s="185">
        <f>IFERROR(IF($C79="",-0.00001,SUMIFS(Database!J:J,Database!$E:$E,$C79)),-0.00001)</f>
        <v>-1.0000000000000001E-5</v>
      </c>
      <c r="I79" s="185">
        <f>IFERROR(IF($C79="",-0.00001,SUMIFS(Database!K:K,Database!$E:$E,$C79)),-0.00001)</f>
        <v>-1.0000000000000001E-5</v>
      </c>
      <c r="J79" s="185">
        <f>IFERROR(IF($C79="",-0.00001,SUMIFS(Database!L:L,Database!$E:$E,$C79)),-0.00001)</f>
        <v>-1.0000000000000001E-5</v>
      </c>
      <c r="K79" s="185">
        <f>IFERROR(IF($C79="",-0.00001,SUMIFS(Database!M:M,Database!$E:$E,$C79)),-0.00001)</f>
        <v>-1.0000000000000001E-5</v>
      </c>
      <c r="L79" s="185">
        <f>IFERROR(IF($C79="",-0.00001,SUMIFS(Database!N:N,Database!$E:$E,$C79)),-0.00001)</f>
        <v>-1.0000000000000001E-5</v>
      </c>
      <c r="M79" s="185">
        <f>IFERROR(IF($C79="",-0.00001,SUMIFS(Database!O:O,Database!$E:$E,$C79)),-0.00001)</f>
        <v>-1.0000000000000001E-5</v>
      </c>
      <c r="N79" s="185">
        <f>IFERROR(IF($C79="",-0.00001,SUMIFS(Database!P:P,Database!$E:$E,$C79)),-0.00001)</f>
        <v>-1.0000000000000001E-5</v>
      </c>
      <c r="O79" s="185">
        <f>IFERROR(IF($C79="",-0.00001,SUMIFS(Database!Q:Q,Database!$E:$E,$C79)),-0.00001)</f>
        <v>-1.0000000000000001E-5</v>
      </c>
      <c r="P79" s="186">
        <f t="shared" si="3"/>
        <v>-1.0000000000000001E-5</v>
      </c>
      <c r="Q79" s="185">
        <f>IFERROR(IF($C79="",-0.00001,SUMIFS(Database!S:S,Database!$E:$E,$C79)),-0.00001)</f>
        <v>-1.0000000000000001E-5</v>
      </c>
      <c r="R79" s="185">
        <f>IFERROR(IF($C79="",-0.00001,SUMIFS(Database!T:T,Database!$E:$E,$C79)),-0.00001)</f>
        <v>-1.0000000000000001E-5</v>
      </c>
      <c r="S79" s="186">
        <f t="shared" si="4"/>
        <v>-1.0000000000000001E-5</v>
      </c>
      <c r="T79" s="185">
        <f>IFERROR(IF($C79="",-0.00001,SUMIFS(Database!V:V,Database!$E:$E,$C79)),-0.00001)</f>
        <v>-1.0000000000000001E-5</v>
      </c>
      <c r="U79" s="185">
        <f>IFERROR(IF($C79="",-0.00001,SUMIFS(Database!W:W,Database!$E:$E,$C79)),-0.00001)</f>
        <v>-1.0000000000000001E-5</v>
      </c>
      <c r="V79" s="186">
        <f t="shared" si="5"/>
        <v>-1.0000000000000001E-5</v>
      </c>
      <c r="W79" s="187"/>
      <c r="X79" s="187"/>
      <c r="Y79" s="187"/>
      <c r="Z79" s="187"/>
      <c r="AA79" s="187"/>
      <c r="AB79" s="187"/>
      <c r="AC79" s="187"/>
      <c r="AD79" s="187"/>
      <c r="AE79" s="187"/>
    </row>
    <row r="80" spans="1:31" x14ac:dyDescent="0.25">
      <c r="A80" s="187"/>
      <c r="B80" s="187" t="str">
        <f>IF($C80="","",MAX($B$4:$B79)+1)</f>
        <v/>
      </c>
      <c r="C80" s="183"/>
      <c r="D80" s="183" t="str">
        <f>IFERROR(VLOOKUP($C80,Rosters!$C$4:$M$239,INDEX(Lists!$N$5:$O$80,MATCH($C80,Lists!$N$5:$N$80,FALSE),2)),"")</f>
        <v/>
      </c>
      <c r="E80" s="185">
        <f>IF($C80="",-0.00001,COUNTIF(Database!E:E,$C80))</f>
        <v>-1.0000000000000001E-5</v>
      </c>
      <c r="F80" s="185">
        <f>IFERROR(IF($C80="",-0.00001,SUMIFS(Database!H:H,Database!$E:$E,$C80)),-0.00001)</f>
        <v>-1.0000000000000001E-5</v>
      </c>
      <c r="G80" s="185">
        <f>IFERROR(IF($C80="",-0.00001,SUMIFS(Database!I:I,Database!$E:$E,$C80)),-0.00001)</f>
        <v>-1.0000000000000001E-5</v>
      </c>
      <c r="H80" s="185">
        <f>IFERROR(IF($C80="",-0.00001,SUMIFS(Database!J:J,Database!$E:$E,$C80)),-0.00001)</f>
        <v>-1.0000000000000001E-5</v>
      </c>
      <c r="I80" s="185">
        <f>IFERROR(IF($C80="",-0.00001,SUMIFS(Database!K:K,Database!$E:$E,$C80)),-0.00001)</f>
        <v>-1.0000000000000001E-5</v>
      </c>
      <c r="J80" s="185">
        <f>IFERROR(IF($C80="",-0.00001,SUMIFS(Database!L:L,Database!$E:$E,$C80)),-0.00001)</f>
        <v>-1.0000000000000001E-5</v>
      </c>
      <c r="K80" s="185">
        <f>IFERROR(IF($C80="",-0.00001,SUMIFS(Database!M:M,Database!$E:$E,$C80)),-0.00001)</f>
        <v>-1.0000000000000001E-5</v>
      </c>
      <c r="L80" s="185">
        <f>IFERROR(IF($C80="",-0.00001,SUMIFS(Database!N:N,Database!$E:$E,$C80)),-0.00001)</f>
        <v>-1.0000000000000001E-5</v>
      </c>
      <c r="M80" s="185">
        <f>IFERROR(IF($C80="",-0.00001,SUMIFS(Database!O:O,Database!$E:$E,$C80)),-0.00001)</f>
        <v>-1.0000000000000001E-5</v>
      </c>
      <c r="N80" s="185">
        <f>IFERROR(IF($C80="",-0.00001,SUMIFS(Database!P:P,Database!$E:$E,$C80)),-0.00001)</f>
        <v>-1.0000000000000001E-5</v>
      </c>
      <c r="O80" s="185">
        <f>IFERROR(IF($C80="",-0.00001,SUMIFS(Database!Q:Q,Database!$E:$E,$C80)),-0.00001)</f>
        <v>-1.0000000000000001E-5</v>
      </c>
      <c r="P80" s="186">
        <f t="shared" si="3"/>
        <v>-1.0000000000000001E-5</v>
      </c>
      <c r="Q80" s="185">
        <f>IFERROR(IF($C80="",-0.00001,SUMIFS(Database!S:S,Database!$E:$E,$C80)),-0.00001)</f>
        <v>-1.0000000000000001E-5</v>
      </c>
      <c r="R80" s="185">
        <f>IFERROR(IF($C80="",-0.00001,SUMIFS(Database!T:T,Database!$E:$E,$C80)),-0.00001)</f>
        <v>-1.0000000000000001E-5</v>
      </c>
      <c r="S80" s="186">
        <f t="shared" si="4"/>
        <v>-1.0000000000000001E-5</v>
      </c>
      <c r="T80" s="185">
        <f>IFERROR(IF($C80="",-0.00001,SUMIFS(Database!V:V,Database!$E:$E,$C80)),-0.00001)</f>
        <v>-1.0000000000000001E-5</v>
      </c>
      <c r="U80" s="185">
        <f>IFERROR(IF($C80="",-0.00001,SUMIFS(Database!W:W,Database!$E:$E,$C80)),-0.00001)</f>
        <v>-1.0000000000000001E-5</v>
      </c>
      <c r="V80" s="186">
        <f t="shared" si="5"/>
        <v>-1.0000000000000001E-5</v>
      </c>
      <c r="W80" s="187"/>
      <c r="X80" s="187"/>
      <c r="Y80" s="187"/>
      <c r="Z80" s="187"/>
      <c r="AA80" s="187"/>
      <c r="AB80" s="187"/>
      <c r="AC80" s="187"/>
      <c r="AD80" s="187"/>
      <c r="AE80" s="187"/>
    </row>
    <row r="81" spans="1:31" x14ac:dyDescent="0.25">
      <c r="A81" s="187"/>
      <c r="B81" s="187" t="str">
        <f>IF($C81="","",MAX($B$4:$B80)+1)</f>
        <v/>
      </c>
      <c r="C81" s="183"/>
      <c r="D81" s="183" t="str">
        <f>IFERROR(VLOOKUP($C81,Rosters!$C$4:$M$239,INDEX(Lists!$N$5:$O$80,MATCH($C81,Lists!$N$5:$N$80,FALSE),2)),"")</f>
        <v/>
      </c>
      <c r="E81" s="185">
        <f>IF($C81="",-0.00001,COUNTIF(Database!E:E,$C81))</f>
        <v>-1.0000000000000001E-5</v>
      </c>
      <c r="F81" s="185">
        <f>IFERROR(IF($C81="",-0.00001,SUMIFS(Database!H:H,Database!$E:$E,$C81)),-0.00001)</f>
        <v>-1.0000000000000001E-5</v>
      </c>
      <c r="G81" s="185">
        <f>IFERROR(IF($C81="",-0.00001,SUMIFS(Database!I:I,Database!$E:$E,$C81)),-0.00001)</f>
        <v>-1.0000000000000001E-5</v>
      </c>
      <c r="H81" s="185">
        <f>IFERROR(IF($C81="",-0.00001,SUMIFS(Database!J:J,Database!$E:$E,$C81)),-0.00001)</f>
        <v>-1.0000000000000001E-5</v>
      </c>
      <c r="I81" s="185">
        <f>IFERROR(IF($C81="",-0.00001,SUMIFS(Database!K:K,Database!$E:$E,$C81)),-0.00001)</f>
        <v>-1.0000000000000001E-5</v>
      </c>
      <c r="J81" s="185">
        <f>IFERROR(IF($C81="",-0.00001,SUMIFS(Database!L:L,Database!$E:$E,$C81)),-0.00001)</f>
        <v>-1.0000000000000001E-5</v>
      </c>
      <c r="K81" s="185">
        <f>IFERROR(IF($C81="",-0.00001,SUMIFS(Database!M:M,Database!$E:$E,$C81)),-0.00001)</f>
        <v>-1.0000000000000001E-5</v>
      </c>
      <c r="L81" s="185">
        <f>IFERROR(IF($C81="",-0.00001,SUMIFS(Database!N:N,Database!$E:$E,$C81)),-0.00001)</f>
        <v>-1.0000000000000001E-5</v>
      </c>
      <c r="M81" s="185">
        <f>IFERROR(IF($C81="",-0.00001,SUMIFS(Database!O:O,Database!$E:$E,$C81)),-0.00001)</f>
        <v>-1.0000000000000001E-5</v>
      </c>
      <c r="N81" s="185">
        <f>IFERROR(IF($C81="",-0.00001,SUMIFS(Database!P:P,Database!$E:$E,$C81)),-0.00001)</f>
        <v>-1.0000000000000001E-5</v>
      </c>
      <c r="O81" s="185">
        <f>IFERROR(IF($C81="",-0.00001,SUMIFS(Database!Q:Q,Database!$E:$E,$C81)),-0.00001)</f>
        <v>-1.0000000000000001E-5</v>
      </c>
      <c r="P81" s="186">
        <f t="shared" si="3"/>
        <v>-1.0000000000000001E-5</v>
      </c>
      <c r="Q81" s="185">
        <f>IFERROR(IF($C81="",-0.00001,SUMIFS(Database!S:S,Database!$E:$E,$C81)),-0.00001)</f>
        <v>-1.0000000000000001E-5</v>
      </c>
      <c r="R81" s="185">
        <f>IFERROR(IF($C81="",-0.00001,SUMIFS(Database!T:T,Database!$E:$E,$C81)),-0.00001)</f>
        <v>-1.0000000000000001E-5</v>
      </c>
      <c r="S81" s="186">
        <f t="shared" si="4"/>
        <v>-1.0000000000000001E-5</v>
      </c>
      <c r="T81" s="185">
        <f>IFERROR(IF($C81="",-0.00001,SUMIFS(Database!V:V,Database!$E:$E,$C81)),-0.00001)</f>
        <v>-1.0000000000000001E-5</v>
      </c>
      <c r="U81" s="185">
        <f>IFERROR(IF($C81="",-0.00001,SUMIFS(Database!W:W,Database!$E:$E,$C81)),-0.00001)</f>
        <v>-1.0000000000000001E-5</v>
      </c>
      <c r="V81" s="186">
        <f t="shared" si="5"/>
        <v>-1.0000000000000001E-5</v>
      </c>
      <c r="W81" s="187"/>
      <c r="X81" s="187"/>
      <c r="Y81" s="187"/>
      <c r="Z81" s="187"/>
      <c r="AA81" s="187"/>
      <c r="AB81" s="187"/>
      <c r="AC81" s="187"/>
      <c r="AD81" s="187"/>
      <c r="AE81" s="187"/>
    </row>
    <row r="82" spans="1:31" x14ac:dyDescent="0.25">
      <c r="A82" s="187"/>
      <c r="B82" s="187" t="str">
        <f>IF($C82="","",MAX($B$4:$B81)+1)</f>
        <v/>
      </c>
      <c r="C82" s="183"/>
      <c r="D82" s="183" t="str">
        <f>IFERROR(VLOOKUP($C82,Rosters!$C$4:$M$239,INDEX(Lists!$N$5:$O$80,MATCH($C82,Lists!$N$5:$N$80,FALSE),2)),"")</f>
        <v/>
      </c>
      <c r="E82" s="185">
        <f>IF($C82="",-0.00001,COUNTIF(Database!E:E,$C82))</f>
        <v>-1.0000000000000001E-5</v>
      </c>
      <c r="F82" s="185">
        <f>IFERROR(IF($C82="",-0.00001,SUMIFS(Database!H:H,Database!$E:$E,$C82)),-0.00001)</f>
        <v>-1.0000000000000001E-5</v>
      </c>
      <c r="G82" s="185">
        <f>IFERROR(IF($C82="",-0.00001,SUMIFS(Database!I:I,Database!$E:$E,$C82)),-0.00001)</f>
        <v>-1.0000000000000001E-5</v>
      </c>
      <c r="H82" s="185">
        <f>IFERROR(IF($C82="",-0.00001,SUMIFS(Database!J:J,Database!$E:$E,$C82)),-0.00001)</f>
        <v>-1.0000000000000001E-5</v>
      </c>
      <c r="I82" s="185">
        <f>IFERROR(IF($C82="",-0.00001,SUMIFS(Database!K:K,Database!$E:$E,$C82)),-0.00001)</f>
        <v>-1.0000000000000001E-5</v>
      </c>
      <c r="J82" s="185">
        <f>IFERROR(IF($C82="",-0.00001,SUMIFS(Database!L:L,Database!$E:$E,$C82)),-0.00001)</f>
        <v>-1.0000000000000001E-5</v>
      </c>
      <c r="K82" s="185">
        <f>IFERROR(IF($C82="",-0.00001,SUMIFS(Database!M:M,Database!$E:$E,$C82)),-0.00001)</f>
        <v>-1.0000000000000001E-5</v>
      </c>
      <c r="L82" s="185">
        <f>IFERROR(IF($C82="",-0.00001,SUMIFS(Database!N:N,Database!$E:$E,$C82)),-0.00001)</f>
        <v>-1.0000000000000001E-5</v>
      </c>
      <c r="M82" s="185">
        <f>IFERROR(IF($C82="",-0.00001,SUMIFS(Database!O:O,Database!$E:$E,$C82)),-0.00001)</f>
        <v>-1.0000000000000001E-5</v>
      </c>
      <c r="N82" s="185">
        <f>IFERROR(IF($C82="",-0.00001,SUMIFS(Database!P:P,Database!$E:$E,$C82)),-0.00001)</f>
        <v>-1.0000000000000001E-5</v>
      </c>
      <c r="O82" s="185">
        <f>IFERROR(IF($C82="",-0.00001,SUMIFS(Database!Q:Q,Database!$E:$E,$C82)),-0.00001)</f>
        <v>-1.0000000000000001E-5</v>
      </c>
      <c r="P82" s="186">
        <f t="shared" si="3"/>
        <v>-1.0000000000000001E-5</v>
      </c>
      <c r="Q82" s="185">
        <f>IFERROR(IF($C82="",-0.00001,SUMIFS(Database!S:S,Database!$E:$E,$C82)),-0.00001)</f>
        <v>-1.0000000000000001E-5</v>
      </c>
      <c r="R82" s="185">
        <f>IFERROR(IF($C82="",-0.00001,SUMIFS(Database!T:T,Database!$E:$E,$C82)),-0.00001)</f>
        <v>-1.0000000000000001E-5</v>
      </c>
      <c r="S82" s="186">
        <f t="shared" si="4"/>
        <v>-1.0000000000000001E-5</v>
      </c>
      <c r="T82" s="185">
        <f>IFERROR(IF($C82="",-0.00001,SUMIFS(Database!V:V,Database!$E:$E,$C82)),-0.00001)</f>
        <v>-1.0000000000000001E-5</v>
      </c>
      <c r="U82" s="185">
        <f>IFERROR(IF($C82="",-0.00001,SUMIFS(Database!W:W,Database!$E:$E,$C82)),-0.00001)</f>
        <v>-1.0000000000000001E-5</v>
      </c>
      <c r="V82" s="186">
        <f t="shared" si="5"/>
        <v>-1.0000000000000001E-5</v>
      </c>
      <c r="W82" s="187"/>
      <c r="X82" s="187"/>
      <c r="Y82" s="187"/>
      <c r="Z82" s="187"/>
      <c r="AA82" s="187"/>
      <c r="AB82" s="187"/>
      <c r="AC82" s="187"/>
      <c r="AD82" s="187"/>
      <c r="AE82" s="187"/>
    </row>
    <row r="83" spans="1:31" x14ac:dyDescent="0.25">
      <c r="A83" s="187"/>
      <c r="B83" s="187" t="str">
        <f>IF($C83="","",MAX($B$4:$B82)+1)</f>
        <v/>
      </c>
      <c r="C83" s="183"/>
      <c r="D83" s="183" t="str">
        <f>IFERROR(VLOOKUP($C83,Rosters!$C$4:$M$239,INDEX(Lists!$N$5:$O$80,MATCH($C83,Lists!$N$5:$N$80,FALSE),2)),"")</f>
        <v/>
      </c>
      <c r="E83" s="185">
        <f>IF($C83="",-0.00001,COUNTIF(Database!E:E,$C83))</f>
        <v>-1.0000000000000001E-5</v>
      </c>
      <c r="F83" s="185">
        <f>IFERROR(IF($C83="",-0.00001,SUMIFS(Database!H:H,Database!$E:$E,$C83)),-0.00001)</f>
        <v>-1.0000000000000001E-5</v>
      </c>
      <c r="G83" s="185">
        <f>IFERROR(IF($C83="",-0.00001,SUMIFS(Database!I:I,Database!$E:$E,$C83)),-0.00001)</f>
        <v>-1.0000000000000001E-5</v>
      </c>
      <c r="H83" s="185">
        <f>IFERROR(IF($C83="",-0.00001,SUMIFS(Database!J:J,Database!$E:$E,$C83)),-0.00001)</f>
        <v>-1.0000000000000001E-5</v>
      </c>
      <c r="I83" s="185">
        <f>IFERROR(IF($C83="",-0.00001,SUMIFS(Database!K:K,Database!$E:$E,$C83)),-0.00001)</f>
        <v>-1.0000000000000001E-5</v>
      </c>
      <c r="J83" s="185">
        <f>IFERROR(IF($C83="",-0.00001,SUMIFS(Database!L:L,Database!$E:$E,$C83)),-0.00001)</f>
        <v>-1.0000000000000001E-5</v>
      </c>
      <c r="K83" s="185">
        <f>IFERROR(IF($C83="",-0.00001,SUMIFS(Database!M:M,Database!$E:$E,$C83)),-0.00001)</f>
        <v>-1.0000000000000001E-5</v>
      </c>
      <c r="L83" s="185">
        <f>IFERROR(IF($C83="",-0.00001,SUMIFS(Database!N:N,Database!$E:$E,$C83)),-0.00001)</f>
        <v>-1.0000000000000001E-5</v>
      </c>
      <c r="M83" s="185">
        <f>IFERROR(IF($C83="",-0.00001,SUMIFS(Database!O:O,Database!$E:$E,$C83)),-0.00001)</f>
        <v>-1.0000000000000001E-5</v>
      </c>
      <c r="N83" s="185">
        <f>IFERROR(IF($C83="",-0.00001,SUMIFS(Database!P:P,Database!$E:$E,$C83)),-0.00001)</f>
        <v>-1.0000000000000001E-5</v>
      </c>
      <c r="O83" s="185">
        <f>IFERROR(IF($C83="",-0.00001,SUMIFS(Database!Q:Q,Database!$E:$E,$C83)),-0.00001)</f>
        <v>-1.0000000000000001E-5</v>
      </c>
      <c r="P83" s="186">
        <f t="shared" si="3"/>
        <v>-1.0000000000000001E-5</v>
      </c>
      <c r="Q83" s="185">
        <f>IFERROR(IF($C83="",-0.00001,SUMIFS(Database!S:S,Database!$E:$E,$C83)),-0.00001)</f>
        <v>-1.0000000000000001E-5</v>
      </c>
      <c r="R83" s="185">
        <f>IFERROR(IF($C83="",-0.00001,SUMIFS(Database!T:T,Database!$E:$E,$C83)),-0.00001)</f>
        <v>-1.0000000000000001E-5</v>
      </c>
      <c r="S83" s="186">
        <f t="shared" si="4"/>
        <v>-1.0000000000000001E-5</v>
      </c>
      <c r="T83" s="185">
        <f>IFERROR(IF($C83="",-0.00001,SUMIFS(Database!V:V,Database!$E:$E,$C83)),-0.00001)</f>
        <v>-1.0000000000000001E-5</v>
      </c>
      <c r="U83" s="185">
        <f>IFERROR(IF($C83="",-0.00001,SUMIFS(Database!W:W,Database!$E:$E,$C83)),-0.00001)</f>
        <v>-1.0000000000000001E-5</v>
      </c>
      <c r="V83" s="186">
        <f t="shared" si="5"/>
        <v>-1.0000000000000001E-5</v>
      </c>
      <c r="W83" s="187"/>
      <c r="X83" s="187"/>
      <c r="Y83" s="187"/>
      <c r="Z83" s="187"/>
      <c r="AA83" s="187"/>
      <c r="AB83" s="187"/>
      <c r="AC83" s="187"/>
      <c r="AD83" s="187"/>
      <c r="AE83" s="187"/>
    </row>
    <row r="84" spans="1:31" x14ac:dyDescent="0.25">
      <c r="A84" s="187"/>
      <c r="B84" s="187" t="str">
        <f>IF($C84="","",MAX($B$4:$B83)+1)</f>
        <v/>
      </c>
      <c r="C84" s="183"/>
      <c r="D84" s="183" t="str">
        <f>IFERROR(VLOOKUP($C84,Rosters!$C$4:$M$239,INDEX(Lists!$N$5:$O$80,MATCH($C84,Lists!$N$5:$N$80,FALSE),2)),"")</f>
        <v/>
      </c>
      <c r="E84" s="185">
        <f>IF($C84="",-0.00001,COUNTIF(Database!E:E,$C84))</f>
        <v>-1.0000000000000001E-5</v>
      </c>
      <c r="F84" s="185">
        <f>IFERROR(IF($C84="",-0.00001,SUMIFS(Database!H:H,Database!$E:$E,$C84)),-0.00001)</f>
        <v>-1.0000000000000001E-5</v>
      </c>
      <c r="G84" s="185">
        <f>IFERROR(IF($C84="",-0.00001,SUMIFS(Database!I:I,Database!$E:$E,$C84)),-0.00001)</f>
        <v>-1.0000000000000001E-5</v>
      </c>
      <c r="H84" s="185">
        <f>IFERROR(IF($C84="",-0.00001,SUMIFS(Database!J:J,Database!$E:$E,$C84)),-0.00001)</f>
        <v>-1.0000000000000001E-5</v>
      </c>
      <c r="I84" s="185">
        <f>IFERROR(IF($C84="",-0.00001,SUMIFS(Database!K:K,Database!$E:$E,$C84)),-0.00001)</f>
        <v>-1.0000000000000001E-5</v>
      </c>
      <c r="J84" s="185">
        <f>IFERROR(IF($C84="",-0.00001,SUMIFS(Database!L:L,Database!$E:$E,$C84)),-0.00001)</f>
        <v>-1.0000000000000001E-5</v>
      </c>
      <c r="K84" s="185">
        <f>IFERROR(IF($C84="",-0.00001,SUMIFS(Database!M:M,Database!$E:$E,$C84)),-0.00001)</f>
        <v>-1.0000000000000001E-5</v>
      </c>
      <c r="L84" s="185">
        <f>IFERROR(IF($C84="",-0.00001,SUMIFS(Database!N:N,Database!$E:$E,$C84)),-0.00001)</f>
        <v>-1.0000000000000001E-5</v>
      </c>
      <c r="M84" s="185">
        <f>IFERROR(IF($C84="",-0.00001,SUMIFS(Database!O:O,Database!$E:$E,$C84)),-0.00001)</f>
        <v>-1.0000000000000001E-5</v>
      </c>
      <c r="N84" s="185">
        <f>IFERROR(IF($C84="",-0.00001,SUMIFS(Database!P:P,Database!$E:$E,$C84)),-0.00001)</f>
        <v>-1.0000000000000001E-5</v>
      </c>
      <c r="O84" s="185">
        <f>IFERROR(IF($C84="",-0.00001,SUMIFS(Database!Q:Q,Database!$E:$E,$C84)),-0.00001)</f>
        <v>-1.0000000000000001E-5</v>
      </c>
      <c r="P84" s="186">
        <f t="shared" si="3"/>
        <v>-1.0000000000000001E-5</v>
      </c>
      <c r="Q84" s="185">
        <f>IFERROR(IF($C84="",-0.00001,SUMIFS(Database!S:S,Database!$E:$E,$C84)),-0.00001)</f>
        <v>-1.0000000000000001E-5</v>
      </c>
      <c r="R84" s="185">
        <f>IFERROR(IF($C84="",-0.00001,SUMIFS(Database!T:T,Database!$E:$E,$C84)),-0.00001)</f>
        <v>-1.0000000000000001E-5</v>
      </c>
      <c r="S84" s="186">
        <f t="shared" si="4"/>
        <v>-1.0000000000000001E-5</v>
      </c>
      <c r="T84" s="185">
        <f>IFERROR(IF($C84="",-0.00001,SUMIFS(Database!V:V,Database!$E:$E,$C84)),-0.00001)</f>
        <v>-1.0000000000000001E-5</v>
      </c>
      <c r="U84" s="185">
        <f>IFERROR(IF($C84="",-0.00001,SUMIFS(Database!W:W,Database!$E:$E,$C84)),-0.00001)</f>
        <v>-1.0000000000000001E-5</v>
      </c>
      <c r="V84" s="186">
        <f t="shared" si="5"/>
        <v>-1.0000000000000001E-5</v>
      </c>
      <c r="W84" s="187"/>
      <c r="X84" s="187"/>
      <c r="Y84" s="187"/>
      <c r="Z84" s="187"/>
      <c r="AA84" s="187"/>
      <c r="AB84" s="187"/>
      <c r="AC84" s="187"/>
      <c r="AD84" s="187"/>
      <c r="AE84" s="187"/>
    </row>
    <row r="85" spans="1:31" x14ac:dyDescent="0.25">
      <c r="A85" s="187"/>
      <c r="B85" s="187" t="str">
        <f>IF($C85="","",MAX($B$4:$B84)+1)</f>
        <v/>
      </c>
      <c r="C85" s="183"/>
      <c r="D85" s="183" t="str">
        <f>IFERROR(VLOOKUP($C85,Rosters!$C$4:$M$239,INDEX(Lists!$N$5:$O$80,MATCH($C85,Lists!$N$5:$N$80,FALSE),2)),"")</f>
        <v/>
      </c>
      <c r="E85" s="185">
        <f>IF($C85="",-0.00001,COUNTIF(Database!E:E,$C85))</f>
        <v>-1.0000000000000001E-5</v>
      </c>
      <c r="F85" s="185">
        <f>IFERROR(IF($C85="",-0.00001,SUMIFS(Database!H:H,Database!$E:$E,$C85)),-0.00001)</f>
        <v>-1.0000000000000001E-5</v>
      </c>
      <c r="G85" s="185">
        <f>IFERROR(IF($C85="",-0.00001,SUMIFS(Database!I:I,Database!$E:$E,$C85)),-0.00001)</f>
        <v>-1.0000000000000001E-5</v>
      </c>
      <c r="H85" s="185">
        <f>IFERROR(IF($C85="",-0.00001,SUMIFS(Database!J:J,Database!$E:$E,$C85)),-0.00001)</f>
        <v>-1.0000000000000001E-5</v>
      </c>
      <c r="I85" s="185">
        <f>IFERROR(IF($C85="",-0.00001,SUMIFS(Database!K:K,Database!$E:$E,$C85)),-0.00001)</f>
        <v>-1.0000000000000001E-5</v>
      </c>
      <c r="J85" s="185">
        <f>IFERROR(IF($C85="",-0.00001,SUMIFS(Database!L:L,Database!$E:$E,$C85)),-0.00001)</f>
        <v>-1.0000000000000001E-5</v>
      </c>
      <c r="K85" s="185">
        <f>IFERROR(IF($C85="",-0.00001,SUMIFS(Database!M:M,Database!$E:$E,$C85)),-0.00001)</f>
        <v>-1.0000000000000001E-5</v>
      </c>
      <c r="L85" s="185">
        <f>IFERROR(IF($C85="",-0.00001,SUMIFS(Database!N:N,Database!$E:$E,$C85)),-0.00001)</f>
        <v>-1.0000000000000001E-5</v>
      </c>
      <c r="M85" s="185">
        <f>IFERROR(IF($C85="",-0.00001,SUMIFS(Database!O:O,Database!$E:$E,$C85)),-0.00001)</f>
        <v>-1.0000000000000001E-5</v>
      </c>
      <c r="N85" s="185">
        <f>IFERROR(IF($C85="",-0.00001,SUMIFS(Database!P:P,Database!$E:$E,$C85)),-0.00001)</f>
        <v>-1.0000000000000001E-5</v>
      </c>
      <c r="O85" s="185">
        <f>IFERROR(IF($C85="",-0.00001,SUMIFS(Database!Q:Q,Database!$E:$E,$C85)),-0.00001)</f>
        <v>-1.0000000000000001E-5</v>
      </c>
      <c r="P85" s="186">
        <f t="shared" si="3"/>
        <v>-1.0000000000000001E-5</v>
      </c>
      <c r="Q85" s="185">
        <f>IFERROR(IF($C85="",-0.00001,SUMIFS(Database!S:S,Database!$E:$E,$C85)),-0.00001)</f>
        <v>-1.0000000000000001E-5</v>
      </c>
      <c r="R85" s="185">
        <f>IFERROR(IF($C85="",-0.00001,SUMIFS(Database!T:T,Database!$E:$E,$C85)),-0.00001)</f>
        <v>-1.0000000000000001E-5</v>
      </c>
      <c r="S85" s="186">
        <f t="shared" si="4"/>
        <v>-1.0000000000000001E-5</v>
      </c>
      <c r="T85" s="185">
        <f>IFERROR(IF($C85="",-0.00001,SUMIFS(Database!V:V,Database!$E:$E,$C85)),-0.00001)</f>
        <v>-1.0000000000000001E-5</v>
      </c>
      <c r="U85" s="185">
        <f>IFERROR(IF($C85="",-0.00001,SUMIFS(Database!W:W,Database!$E:$E,$C85)),-0.00001)</f>
        <v>-1.0000000000000001E-5</v>
      </c>
      <c r="V85" s="186">
        <f t="shared" si="5"/>
        <v>-1.0000000000000001E-5</v>
      </c>
      <c r="W85" s="187"/>
      <c r="X85" s="187"/>
      <c r="Y85" s="187"/>
      <c r="Z85" s="187"/>
      <c r="AA85" s="187"/>
      <c r="AB85" s="187"/>
      <c r="AC85" s="187"/>
      <c r="AD85" s="187"/>
      <c r="AE85" s="187"/>
    </row>
    <row r="86" spans="1:31" x14ac:dyDescent="0.25">
      <c r="A86" s="187"/>
      <c r="B86" s="187" t="str">
        <f>IF($C86="","",MAX($B$4:$B85)+1)</f>
        <v/>
      </c>
      <c r="C86" s="183"/>
      <c r="D86" s="183" t="str">
        <f>IFERROR(VLOOKUP($C86,Rosters!$C$4:$M$239,INDEX(Lists!$N$5:$O$80,MATCH($C86,Lists!$N$5:$N$80,FALSE),2)),"")</f>
        <v/>
      </c>
      <c r="E86" s="185">
        <f>IF($C86="",-0.00001,COUNTIF(Database!E:E,$C86))</f>
        <v>-1.0000000000000001E-5</v>
      </c>
      <c r="F86" s="185">
        <f>IFERROR(IF($C86="",-0.00001,SUMIFS(Database!H:H,Database!$E:$E,$C86)),-0.00001)</f>
        <v>-1.0000000000000001E-5</v>
      </c>
      <c r="G86" s="185">
        <f>IFERROR(IF($C86="",-0.00001,SUMIFS(Database!I:I,Database!$E:$E,$C86)),-0.00001)</f>
        <v>-1.0000000000000001E-5</v>
      </c>
      <c r="H86" s="185">
        <f>IFERROR(IF($C86="",-0.00001,SUMIFS(Database!J:J,Database!$E:$E,$C86)),-0.00001)</f>
        <v>-1.0000000000000001E-5</v>
      </c>
      <c r="I86" s="185">
        <f>IFERROR(IF($C86="",-0.00001,SUMIFS(Database!K:K,Database!$E:$E,$C86)),-0.00001)</f>
        <v>-1.0000000000000001E-5</v>
      </c>
      <c r="J86" s="185">
        <f>IFERROR(IF($C86="",-0.00001,SUMIFS(Database!L:L,Database!$E:$E,$C86)),-0.00001)</f>
        <v>-1.0000000000000001E-5</v>
      </c>
      <c r="K86" s="185">
        <f>IFERROR(IF($C86="",-0.00001,SUMIFS(Database!M:M,Database!$E:$E,$C86)),-0.00001)</f>
        <v>-1.0000000000000001E-5</v>
      </c>
      <c r="L86" s="185">
        <f>IFERROR(IF($C86="",-0.00001,SUMIFS(Database!N:N,Database!$E:$E,$C86)),-0.00001)</f>
        <v>-1.0000000000000001E-5</v>
      </c>
      <c r="M86" s="185">
        <f>IFERROR(IF($C86="",-0.00001,SUMIFS(Database!O:O,Database!$E:$E,$C86)),-0.00001)</f>
        <v>-1.0000000000000001E-5</v>
      </c>
      <c r="N86" s="185">
        <f>IFERROR(IF($C86="",-0.00001,SUMIFS(Database!P:P,Database!$E:$E,$C86)),-0.00001)</f>
        <v>-1.0000000000000001E-5</v>
      </c>
      <c r="O86" s="185">
        <f>IFERROR(IF($C86="",-0.00001,SUMIFS(Database!Q:Q,Database!$E:$E,$C86)),-0.00001)</f>
        <v>-1.0000000000000001E-5</v>
      </c>
      <c r="P86" s="186">
        <f t="shared" si="3"/>
        <v>-1.0000000000000001E-5</v>
      </c>
      <c r="Q86" s="185">
        <f>IFERROR(IF($C86="",-0.00001,SUMIFS(Database!S:S,Database!$E:$E,$C86)),-0.00001)</f>
        <v>-1.0000000000000001E-5</v>
      </c>
      <c r="R86" s="185">
        <f>IFERROR(IF($C86="",-0.00001,SUMIFS(Database!T:T,Database!$E:$E,$C86)),-0.00001)</f>
        <v>-1.0000000000000001E-5</v>
      </c>
      <c r="S86" s="186">
        <f t="shared" si="4"/>
        <v>-1.0000000000000001E-5</v>
      </c>
      <c r="T86" s="185">
        <f>IFERROR(IF($C86="",-0.00001,SUMIFS(Database!V:V,Database!$E:$E,$C86)),-0.00001)</f>
        <v>-1.0000000000000001E-5</v>
      </c>
      <c r="U86" s="185">
        <f>IFERROR(IF($C86="",-0.00001,SUMIFS(Database!W:W,Database!$E:$E,$C86)),-0.00001)</f>
        <v>-1.0000000000000001E-5</v>
      </c>
      <c r="V86" s="186">
        <f t="shared" si="5"/>
        <v>-1.0000000000000001E-5</v>
      </c>
      <c r="W86" s="187"/>
      <c r="X86" s="187"/>
      <c r="Y86" s="187"/>
      <c r="Z86" s="187"/>
      <c r="AA86" s="187"/>
      <c r="AB86" s="187"/>
      <c r="AC86" s="187"/>
      <c r="AD86" s="187"/>
      <c r="AE86" s="187"/>
    </row>
    <row r="87" spans="1:31" x14ac:dyDescent="0.25">
      <c r="A87" s="187"/>
      <c r="B87" s="187" t="str">
        <f>IF($C87="","",MAX($B$4:$B86)+1)</f>
        <v/>
      </c>
      <c r="C87" s="183"/>
      <c r="D87" s="183" t="str">
        <f>IFERROR(VLOOKUP($C87,Rosters!$C$4:$M$239,INDEX(Lists!$N$5:$O$80,MATCH($C87,Lists!$N$5:$N$80,FALSE),2)),"")</f>
        <v/>
      </c>
      <c r="E87" s="185">
        <f>IF($C87="",-0.00001,COUNTIF(Database!E:E,$C87))</f>
        <v>-1.0000000000000001E-5</v>
      </c>
      <c r="F87" s="185">
        <f>IFERROR(IF($C87="",-0.00001,SUMIFS(Database!H:H,Database!$E:$E,$C87)),-0.00001)</f>
        <v>-1.0000000000000001E-5</v>
      </c>
      <c r="G87" s="185">
        <f>IFERROR(IF($C87="",-0.00001,SUMIFS(Database!I:I,Database!$E:$E,$C87)),-0.00001)</f>
        <v>-1.0000000000000001E-5</v>
      </c>
      <c r="H87" s="185">
        <f>IFERROR(IF($C87="",-0.00001,SUMIFS(Database!J:J,Database!$E:$E,$C87)),-0.00001)</f>
        <v>-1.0000000000000001E-5</v>
      </c>
      <c r="I87" s="185">
        <f>IFERROR(IF($C87="",-0.00001,SUMIFS(Database!K:K,Database!$E:$E,$C87)),-0.00001)</f>
        <v>-1.0000000000000001E-5</v>
      </c>
      <c r="J87" s="185">
        <f>IFERROR(IF($C87="",-0.00001,SUMIFS(Database!L:L,Database!$E:$E,$C87)),-0.00001)</f>
        <v>-1.0000000000000001E-5</v>
      </c>
      <c r="K87" s="185">
        <f>IFERROR(IF($C87="",-0.00001,SUMIFS(Database!M:M,Database!$E:$E,$C87)),-0.00001)</f>
        <v>-1.0000000000000001E-5</v>
      </c>
      <c r="L87" s="185">
        <f>IFERROR(IF($C87="",-0.00001,SUMIFS(Database!N:N,Database!$E:$E,$C87)),-0.00001)</f>
        <v>-1.0000000000000001E-5</v>
      </c>
      <c r="M87" s="185">
        <f>IFERROR(IF($C87="",-0.00001,SUMIFS(Database!O:O,Database!$E:$E,$C87)),-0.00001)</f>
        <v>-1.0000000000000001E-5</v>
      </c>
      <c r="N87" s="185">
        <f>IFERROR(IF($C87="",-0.00001,SUMIFS(Database!P:P,Database!$E:$E,$C87)),-0.00001)</f>
        <v>-1.0000000000000001E-5</v>
      </c>
      <c r="O87" s="185">
        <f>IFERROR(IF($C87="",-0.00001,SUMIFS(Database!Q:Q,Database!$E:$E,$C87)),-0.00001)</f>
        <v>-1.0000000000000001E-5</v>
      </c>
      <c r="P87" s="186">
        <f t="shared" si="3"/>
        <v>-1.0000000000000001E-5</v>
      </c>
      <c r="Q87" s="185">
        <f>IFERROR(IF($C87="",-0.00001,SUMIFS(Database!S:S,Database!$E:$E,$C87)),-0.00001)</f>
        <v>-1.0000000000000001E-5</v>
      </c>
      <c r="R87" s="185">
        <f>IFERROR(IF($C87="",-0.00001,SUMIFS(Database!T:T,Database!$E:$E,$C87)),-0.00001)</f>
        <v>-1.0000000000000001E-5</v>
      </c>
      <c r="S87" s="186">
        <f t="shared" si="4"/>
        <v>-1.0000000000000001E-5</v>
      </c>
      <c r="T87" s="185">
        <f>IFERROR(IF($C87="",-0.00001,SUMIFS(Database!V:V,Database!$E:$E,$C87)),-0.00001)</f>
        <v>-1.0000000000000001E-5</v>
      </c>
      <c r="U87" s="185">
        <f>IFERROR(IF($C87="",-0.00001,SUMIFS(Database!W:W,Database!$E:$E,$C87)),-0.00001)</f>
        <v>-1.0000000000000001E-5</v>
      </c>
      <c r="V87" s="186">
        <f t="shared" si="5"/>
        <v>-1.0000000000000001E-5</v>
      </c>
      <c r="W87" s="187"/>
      <c r="X87" s="187"/>
      <c r="Y87" s="187"/>
      <c r="Z87" s="187"/>
      <c r="AA87" s="187"/>
      <c r="AB87" s="187"/>
      <c r="AC87" s="187"/>
      <c r="AD87" s="187"/>
      <c r="AE87" s="187"/>
    </row>
    <row r="88" spans="1:31" x14ac:dyDescent="0.25">
      <c r="A88" s="187"/>
      <c r="B88" s="187" t="str">
        <f>IF($C88="","",MAX($B$4:$B87)+1)</f>
        <v/>
      </c>
      <c r="C88" s="183"/>
      <c r="D88" s="183" t="str">
        <f>IFERROR(VLOOKUP($C88,Rosters!$C$4:$M$239,INDEX(Lists!$N$5:$O$80,MATCH($C88,Lists!$N$5:$N$80,FALSE),2)),"")</f>
        <v/>
      </c>
      <c r="E88" s="185">
        <f>IF($C88="",-0.00001,COUNTIF(Database!E:E,$C88))</f>
        <v>-1.0000000000000001E-5</v>
      </c>
      <c r="F88" s="185">
        <f>IFERROR(IF($C88="",-0.00001,SUMIFS(Database!H:H,Database!$E:$E,$C88)),-0.00001)</f>
        <v>-1.0000000000000001E-5</v>
      </c>
      <c r="G88" s="185">
        <f>IFERROR(IF($C88="",-0.00001,SUMIFS(Database!I:I,Database!$E:$E,$C88)),-0.00001)</f>
        <v>-1.0000000000000001E-5</v>
      </c>
      <c r="H88" s="185">
        <f>IFERROR(IF($C88="",-0.00001,SUMIFS(Database!J:J,Database!$E:$E,$C88)),-0.00001)</f>
        <v>-1.0000000000000001E-5</v>
      </c>
      <c r="I88" s="185">
        <f>IFERROR(IF($C88="",-0.00001,SUMIFS(Database!K:K,Database!$E:$E,$C88)),-0.00001)</f>
        <v>-1.0000000000000001E-5</v>
      </c>
      <c r="J88" s="185">
        <f>IFERROR(IF($C88="",-0.00001,SUMIFS(Database!L:L,Database!$E:$E,$C88)),-0.00001)</f>
        <v>-1.0000000000000001E-5</v>
      </c>
      <c r="K88" s="185">
        <f>IFERROR(IF($C88="",-0.00001,SUMIFS(Database!M:M,Database!$E:$E,$C88)),-0.00001)</f>
        <v>-1.0000000000000001E-5</v>
      </c>
      <c r="L88" s="185">
        <f>IFERROR(IF($C88="",-0.00001,SUMIFS(Database!N:N,Database!$E:$E,$C88)),-0.00001)</f>
        <v>-1.0000000000000001E-5</v>
      </c>
      <c r="M88" s="185">
        <f>IFERROR(IF($C88="",-0.00001,SUMIFS(Database!O:O,Database!$E:$E,$C88)),-0.00001)</f>
        <v>-1.0000000000000001E-5</v>
      </c>
      <c r="N88" s="185">
        <f>IFERROR(IF($C88="",-0.00001,SUMIFS(Database!P:P,Database!$E:$E,$C88)),-0.00001)</f>
        <v>-1.0000000000000001E-5</v>
      </c>
      <c r="O88" s="185">
        <f>IFERROR(IF($C88="",-0.00001,SUMIFS(Database!Q:Q,Database!$E:$E,$C88)),-0.00001)</f>
        <v>-1.0000000000000001E-5</v>
      </c>
      <c r="P88" s="186">
        <f t="shared" si="3"/>
        <v>-1.0000000000000001E-5</v>
      </c>
      <c r="Q88" s="185">
        <f>IFERROR(IF($C88="",-0.00001,SUMIFS(Database!S:S,Database!$E:$E,$C88)),-0.00001)</f>
        <v>-1.0000000000000001E-5</v>
      </c>
      <c r="R88" s="185">
        <f>IFERROR(IF($C88="",-0.00001,SUMIFS(Database!T:T,Database!$E:$E,$C88)),-0.00001)</f>
        <v>-1.0000000000000001E-5</v>
      </c>
      <c r="S88" s="186">
        <f t="shared" si="4"/>
        <v>-1.0000000000000001E-5</v>
      </c>
      <c r="T88" s="185">
        <f>IFERROR(IF($C88="",-0.00001,SUMIFS(Database!V:V,Database!$E:$E,$C88)),-0.00001)</f>
        <v>-1.0000000000000001E-5</v>
      </c>
      <c r="U88" s="185">
        <f>IFERROR(IF($C88="",-0.00001,SUMIFS(Database!W:W,Database!$E:$E,$C88)),-0.00001)</f>
        <v>-1.0000000000000001E-5</v>
      </c>
      <c r="V88" s="186">
        <f t="shared" si="5"/>
        <v>-1.0000000000000001E-5</v>
      </c>
      <c r="W88" s="187"/>
      <c r="X88" s="187"/>
      <c r="Y88" s="187"/>
      <c r="Z88" s="187"/>
      <c r="AA88" s="187"/>
      <c r="AB88" s="187"/>
      <c r="AC88" s="187"/>
      <c r="AD88" s="187"/>
      <c r="AE88" s="187"/>
    </row>
    <row r="89" spans="1:31" x14ac:dyDescent="0.25">
      <c r="A89" s="187"/>
      <c r="B89" s="187" t="str">
        <f>IF($C89="","",MAX($B$4:$B88)+1)</f>
        <v/>
      </c>
      <c r="C89" s="183"/>
      <c r="D89" s="183" t="str">
        <f>IFERROR(VLOOKUP($C89,Rosters!$C$4:$M$239,INDEX(Lists!$N$5:$O$80,MATCH($C89,Lists!$N$5:$N$80,FALSE),2)),"")</f>
        <v/>
      </c>
      <c r="E89" s="185">
        <f>IF($C89="",-0.00001,COUNTIF(Database!E:E,$C89))</f>
        <v>-1.0000000000000001E-5</v>
      </c>
      <c r="F89" s="185">
        <f>IFERROR(IF($C89="",-0.00001,SUMIFS(Database!H:H,Database!$E:$E,$C89)),-0.00001)</f>
        <v>-1.0000000000000001E-5</v>
      </c>
      <c r="G89" s="185">
        <f>IFERROR(IF($C89="",-0.00001,SUMIFS(Database!I:I,Database!$E:$E,$C89)),-0.00001)</f>
        <v>-1.0000000000000001E-5</v>
      </c>
      <c r="H89" s="185">
        <f>IFERROR(IF($C89="",-0.00001,SUMIFS(Database!J:J,Database!$E:$E,$C89)),-0.00001)</f>
        <v>-1.0000000000000001E-5</v>
      </c>
      <c r="I89" s="185">
        <f>IFERROR(IF($C89="",-0.00001,SUMIFS(Database!K:K,Database!$E:$E,$C89)),-0.00001)</f>
        <v>-1.0000000000000001E-5</v>
      </c>
      <c r="J89" s="185">
        <f>IFERROR(IF($C89="",-0.00001,SUMIFS(Database!L:L,Database!$E:$E,$C89)),-0.00001)</f>
        <v>-1.0000000000000001E-5</v>
      </c>
      <c r="K89" s="185">
        <f>IFERROR(IF($C89="",-0.00001,SUMIFS(Database!M:M,Database!$E:$E,$C89)),-0.00001)</f>
        <v>-1.0000000000000001E-5</v>
      </c>
      <c r="L89" s="185">
        <f>IFERROR(IF($C89="",-0.00001,SUMIFS(Database!N:N,Database!$E:$E,$C89)),-0.00001)</f>
        <v>-1.0000000000000001E-5</v>
      </c>
      <c r="M89" s="185">
        <f>IFERROR(IF($C89="",-0.00001,SUMIFS(Database!O:O,Database!$E:$E,$C89)),-0.00001)</f>
        <v>-1.0000000000000001E-5</v>
      </c>
      <c r="N89" s="185">
        <f>IFERROR(IF($C89="",-0.00001,SUMIFS(Database!P:P,Database!$E:$E,$C89)),-0.00001)</f>
        <v>-1.0000000000000001E-5</v>
      </c>
      <c r="O89" s="185">
        <f>IFERROR(IF($C89="",-0.00001,SUMIFS(Database!Q:Q,Database!$E:$E,$C89)),-0.00001)</f>
        <v>-1.0000000000000001E-5</v>
      </c>
      <c r="P89" s="186">
        <f t="shared" si="3"/>
        <v>-1.0000000000000001E-5</v>
      </c>
      <c r="Q89" s="185">
        <f>IFERROR(IF($C89="",-0.00001,SUMIFS(Database!S:S,Database!$E:$E,$C89)),-0.00001)</f>
        <v>-1.0000000000000001E-5</v>
      </c>
      <c r="R89" s="185">
        <f>IFERROR(IF($C89="",-0.00001,SUMIFS(Database!T:T,Database!$E:$E,$C89)),-0.00001)</f>
        <v>-1.0000000000000001E-5</v>
      </c>
      <c r="S89" s="186">
        <f t="shared" si="4"/>
        <v>-1.0000000000000001E-5</v>
      </c>
      <c r="T89" s="185">
        <f>IFERROR(IF($C89="",-0.00001,SUMIFS(Database!V:V,Database!$E:$E,$C89)),-0.00001)</f>
        <v>-1.0000000000000001E-5</v>
      </c>
      <c r="U89" s="185">
        <f>IFERROR(IF($C89="",-0.00001,SUMIFS(Database!W:W,Database!$E:$E,$C89)),-0.00001)</f>
        <v>-1.0000000000000001E-5</v>
      </c>
      <c r="V89" s="186">
        <f t="shared" si="5"/>
        <v>-1.0000000000000001E-5</v>
      </c>
      <c r="W89" s="187"/>
      <c r="X89" s="187"/>
      <c r="Y89" s="187"/>
      <c r="Z89" s="187"/>
      <c r="AA89" s="187"/>
      <c r="AB89" s="187"/>
      <c r="AC89" s="187"/>
      <c r="AD89" s="187"/>
      <c r="AE89" s="187"/>
    </row>
    <row r="90" spans="1:31" x14ac:dyDescent="0.25">
      <c r="A90" s="187"/>
      <c r="B90" s="187" t="str">
        <f>IF($C90="","",MAX($B$4:$B89)+1)</f>
        <v/>
      </c>
      <c r="C90" s="183"/>
      <c r="D90" s="183" t="str">
        <f>IFERROR(VLOOKUP($C90,Rosters!$C$4:$M$239,INDEX(Lists!$N$5:$O$80,MATCH($C90,Lists!$N$5:$N$80,FALSE),2)),"")</f>
        <v/>
      </c>
      <c r="E90" s="185">
        <f>IF($C90="",-0.00001,COUNTIF(Database!E:E,$C90))</f>
        <v>-1.0000000000000001E-5</v>
      </c>
      <c r="F90" s="185">
        <f>IFERROR(IF($C90="",-0.00001,SUMIFS(Database!H:H,Database!$E:$E,$C90)),-0.00001)</f>
        <v>-1.0000000000000001E-5</v>
      </c>
      <c r="G90" s="185">
        <f>IFERROR(IF($C90="",-0.00001,SUMIFS(Database!I:I,Database!$E:$E,$C90)),-0.00001)</f>
        <v>-1.0000000000000001E-5</v>
      </c>
      <c r="H90" s="185">
        <f>IFERROR(IF($C90="",-0.00001,SUMIFS(Database!J:J,Database!$E:$E,$C90)),-0.00001)</f>
        <v>-1.0000000000000001E-5</v>
      </c>
      <c r="I90" s="185">
        <f>IFERROR(IF($C90="",-0.00001,SUMIFS(Database!K:K,Database!$E:$E,$C90)),-0.00001)</f>
        <v>-1.0000000000000001E-5</v>
      </c>
      <c r="J90" s="185">
        <f>IFERROR(IF($C90="",-0.00001,SUMIFS(Database!L:L,Database!$E:$E,$C90)),-0.00001)</f>
        <v>-1.0000000000000001E-5</v>
      </c>
      <c r="K90" s="185">
        <f>IFERROR(IF($C90="",-0.00001,SUMIFS(Database!M:M,Database!$E:$E,$C90)),-0.00001)</f>
        <v>-1.0000000000000001E-5</v>
      </c>
      <c r="L90" s="185">
        <f>IFERROR(IF($C90="",-0.00001,SUMIFS(Database!N:N,Database!$E:$E,$C90)),-0.00001)</f>
        <v>-1.0000000000000001E-5</v>
      </c>
      <c r="M90" s="185">
        <f>IFERROR(IF($C90="",-0.00001,SUMIFS(Database!O:O,Database!$E:$E,$C90)),-0.00001)</f>
        <v>-1.0000000000000001E-5</v>
      </c>
      <c r="N90" s="185">
        <f>IFERROR(IF($C90="",-0.00001,SUMIFS(Database!P:P,Database!$E:$E,$C90)),-0.00001)</f>
        <v>-1.0000000000000001E-5</v>
      </c>
      <c r="O90" s="185">
        <f>IFERROR(IF($C90="",-0.00001,SUMIFS(Database!Q:Q,Database!$E:$E,$C90)),-0.00001)</f>
        <v>-1.0000000000000001E-5</v>
      </c>
      <c r="P90" s="186">
        <f t="shared" si="3"/>
        <v>-1.0000000000000001E-5</v>
      </c>
      <c r="Q90" s="185">
        <f>IFERROR(IF($C90="",-0.00001,SUMIFS(Database!S:S,Database!$E:$E,$C90)),-0.00001)</f>
        <v>-1.0000000000000001E-5</v>
      </c>
      <c r="R90" s="185">
        <f>IFERROR(IF($C90="",-0.00001,SUMIFS(Database!T:T,Database!$E:$E,$C90)),-0.00001)</f>
        <v>-1.0000000000000001E-5</v>
      </c>
      <c r="S90" s="186">
        <f t="shared" si="4"/>
        <v>-1.0000000000000001E-5</v>
      </c>
      <c r="T90" s="185">
        <f>IFERROR(IF($C90="",-0.00001,SUMIFS(Database!V:V,Database!$E:$E,$C90)),-0.00001)</f>
        <v>-1.0000000000000001E-5</v>
      </c>
      <c r="U90" s="185">
        <f>IFERROR(IF($C90="",-0.00001,SUMIFS(Database!W:W,Database!$E:$E,$C90)),-0.00001)</f>
        <v>-1.0000000000000001E-5</v>
      </c>
      <c r="V90" s="186">
        <f t="shared" si="5"/>
        <v>-1.0000000000000001E-5</v>
      </c>
      <c r="W90" s="187"/>
      <c r="X90" s="187"/>
      <c r="Y90" s="187"/>
      <c r="Z90" s="187"/>
      <c r="AA90" s="187"/>
      <c r="AB90" s="187"/>
      <c r="AC90" s="187"/>
      <c r="AD90" s="187"/>
      <c r="AE90" s="187"/>
    </row>
    <row r="91" spans="1:31" x14ac:dyDescent="0.25">
      <c r="A91" s="187"/>
      <c r="B91" s="187" t="str">
        <f>IF($C91="","",MAX($B$4:$B90)+1)</f>
        <v/>
      </c>
      <c r="C91" s="183"/>
      <c r="D91" s="183" t="str">
        <f>IFERROR(VLOOKUP($C91,Rosters!$C$4:$M$239,INDEX(Lists!$N$5:$O$80,MATCH($C91,Lists!$N$5:$N$80,FALSE),2)),"")</f>
        <v/>
      </c>
      <c r="E91" s="185">
        <f>IF($C91="",-0.00001,COUNTIF(Database!E:E,$C91))</f>
        <v>-1.0000000000000001E-5</v>
      </c>
      <c r="F91" s="185">
        <f>IFERROR(IF($C91="",-0.00001,SUMIFS(Database!H:H,Database!$E:$E,$C91)),-0.00001)</f>
        <v>-1.0000000000000001E-5</v>
      </c>
      <c r="G91" s="185">
        <f>IFERROR(IF($C91="",-0.00001,SUMIFS(Database!I:I,Database!$E:$E,$C91)),-0.00001)</f>
        <v>-1.0000000000000001E-5</v>
      </c>
      <c r="H91" s="185">
        <f>IFERROR(IF($C91="",-0.00001,SUMIFS(Database!J:J,Database!$E:$E,$C91)),-0.00001)</f>
        <v>-1.0000000000000001E-5</v>
      </c>
      <c r="I91" s="185">
        <f>IFERROR(IF($C91="",-0.00001,SUMIFS(Database!K:K,Database!$E:$E,$C91)),-0.00001)</f>
        <v>-1.0000000000000001E-5</v>
      </c>
      <c r="J91" s="185">
        <f>IFERROR(IF($C91="",-0.00001,SUMIFS(Database!L:L,Database!$E:$E,$C91)),-0.00001)</f>
        <v>-1.0000000000000001E-5</v>
      </c>
      <c r="K91" s="185">
        <f>IFERROR(IF($C91="",-0.00001,SUMIFS(Database!M:M,Database!$E:$E,$C91)),-0.00001)</f>
        <v>-1.0000000000000001E-5</v>
      </c>
      <c r="L91" s="185">
        <f>IFERROR(IF($C91="",-0.00001,SUMIFS(Database!N:N,Database!$E:$E,$C91)),-0.00001)</f>
        <v>-1.0000000000000001E-5</v>
      </c>
      <c r="M91" s="185">
        <f>IFERROR(IF($C91="",-0.00001,SUMIFS(Database!O:O,Database!$E:$E,$C91)),-0.00001)</f>
        <v>-1.0000000000000001E-5</v>
      </c>
      <c r="N91" s="185">
        <f>IFERROR(IF($C91="",-0.00001,SUMIFS(Database!P:P,Database!$E:$E,$C91)),-0.00001)</f>
        <v>-1.0000000000000001E-5</v>
      </c>
      <c r="O91" s="185">
        <f>IFERROR(IF($C91="",-0.00001,SUMIFS(Database!Q:Q,Database!$E:$E,$C91)),-0.00001)</f>
        <v>-1.0000000000000001E-5</v>
      </c>
      <c r="P91" s="186">
        <f t="shared" si="3"/>
        <v>-1.0000000000000001E-5</v>
      </c>
      <c r="Q91" s="185">
        <f>IFERROR(IF($C91="",-0.00001,SUMIFS(Database!S:S,Database!$E:$E,$C91)),-0.00001)</f>
        <v>-1.0000000000000001E-5</v>
      </c>
      <c r="R91" s="185">
        <f>IFERROR(IF($C91="",-0.00001,SUMIFS(Database!T:T,Database!$E:$E,$C91)),-0.00001)</f>
        <v>-1.0000000000000001E-5</v>
      </c>
      <c r="S91" s="186">
        <f t="shared" si="4"/>
        <v>-1.0000000000000001E-5</v>
      </c>
      <c r="T91" s="185">
        <f>IFERROR(IF($C91="",-0.00001,SUMIFS(Database!V:V,Database!$E:$E,$C91)),-0.00001)</f>
        <v>-1.0000000000000001E-5</v>
      </c>
      <c r="U91" s="185">
        <f>IFERROR(IF($C91="",-0.00001,SUMIFS(Database!W:W,Database!$E:$E,$C91)),-0.00001)</f>
        <v>-1.0000000000000001E-5</v>
      </c>
      <c r="V91" s="186">
        <f t="shared" si="5"/>
        <v>-1.0000000000000001E-5</v>
      </c>
      <c r="W91" s="187"/>
      <c r="X91" s="187"/>
      <c r="Y91" s="187"/>
      <c r="Z91" s="187"/>
      <c r="AA91" s="187"/>
      <c r="AB91" s="187"/>
      <c r="AC91" s="187"/>
      <c r="AD91" s="187"/>
      <c r="AE91" s="187"/>
    </row>
    <row r="92" spans="1:31" x14ac:dyDescent="0.25">
      <c r="A92" s="187"/>
      <c r="B92" s="187" t="str">
        <f>IF($C92="","",MAX($B$4:$B91)+1)</f>
        <v/>
      </c>
      <c r="C92" s="183"/>
      <c r="D92" s="183" t="str">
        <f>IFERROR(VLOOKUP($C92,Rosters!$C$4:$M$239,INDEX(Lists!$N$5:$O$80,MATCH($C92,Lists!$N$5:$N$80,FALSE),2)),"")</f>
        <v/>
      </c>
      <c r="E92" s="185">
        <f>IF($C92="",-0.00001,COUNTIF(Database!E:E,$C92))</f>
        <v>-1.0000000000000001E-5</v>
      </c>
      <c r="F92" s="185">
        <f>IFERROR(IF($C92="",-0.00001,SUMIFS(Database!H:H,Database!$E:$E,$C92)),-0.00001)</f>
        <v>-1.0000000000000001E-5</v>
      </c>
      <c r="G92" s="185">
        <f>IFERROR(IF($C92="",-0.00001,SUMIFS(Database!I:I,Database!$E:$E,$C92)),-0.00001)</f>
        <v>-1.0000000000000001E-5</v>
      </c>
      <c r="H92" s="185">
        <f>IFERROR(IF($C92="",-0.00001,SUMIFS(Database!J:J,Database!$E:$E,$C92)),-0.00001)</f>
        <v>-1.0000000000000001E-5</v>
      </c>
      <c r="I92" s="185">
        <f>IFERROR(IF($C92="",-0.00001,SUMIFS(Database!K:K,Database!$E:$E,$C92)),-0.00001)</f>
        <v>-1.0000000000000001E-5</v>
      </c>
      <c r="J92" s="185">
        <f>IFERROR(IF($C92="",-0.00001,SUMIFS(Database!L:L,Database!$E:$E,$C92)),-0.00001)</f>
        <v>-1.0000000000000001E-5</v>
      </c>
      <c r="K92" s="185">
        <f>IFERROR(IF($C92="",-0.00001,SUMIFS(Database!M:M,Database!$E:$E,$C92)),-0.00001)</f>
        <v>-1.0000000000000001E-5</v>
      </c>
      <c r="L92" s="185">
        <f>IFERROR(IF($C92="",-0.00001,SUMIFS(Database!N:N,Database!$E:$E,$C92)),-0.00001)</f>
        <v>-1.0000000000000001E-5</v>
      </c>
      <c r="M92" s="185">
        <f>IFERROR(IF($C92="",-0.00001,SUMIFS(Database!O:O,Database!$E:$E,$C92)),-0.00001)</f>
        <v>-1.0000000000000001E-5</v>
      </c>
      <c r="N92" s="185">
        <f>IFERROR(IF($C92="",-0.00001,SUMIFS(Database!P:P,Database!$E:$E,$C92)),-0.00001)</f>
        <v>-1.0000000000000001E-5</v>
      </c>
      <c r="O92" s="185">
        <f>IFERROR(IF($C92="",-0.00001,SUMIFS(Database!Q:Q,Database!$E:$E,$C92)),-0.00001)</f>
        <v>-1.0000000000000001E-5</v>
      </c>
      <c r="P92" s="186">
        <f t="shared" si="3"/>
        <v>-1.0000000000000001E-5</v>
      </c>
      <c r="Q92" s="185">
        <f>IFERROR(IF($C92="",-0.00001,SUMIFS(Database!S:S,Database!$E:$E,$C92)),-0.00001)</f>
        <v>-1.0000000000000001E-5</v>
      </c>
      <c r="R92" s="185">
        <f>IFERROR(IF($C92="",-0.00001,SUMIFS(Database!T:T,Database!$E:$E,$C92)),-0.00001)</f>
        <v>-1.0000000000000001E-5</v>
      </c>
      <c r="S92" s="186">
        <f t="shared" si="4"/>
        <v>-1.0000000000000001E-5</v>
      </c>
      <c r="T92" s="185">
        <f>IFERROR(IF($C92="",-0.00001,SUMIFS(Database!V:V,Database!$E:$E,$C92)),-0.00001)</f>
        <v>-1.0000000000000001E-5</v>
      </c>
      <c r="U92" s="185">
        <f>IFERROR(IF($C92="",-0.00001,SUMIFS(Database!W:W,Database!$E:$E,$C92)),-0.00001)</f>
        <v>-1.0000000000000001E-5</v>
      </c>
      <c r="V92" s="186">
        <f t="shared" si="5"/>
        <v>-1.0000000000000001E-5</v>
      </c>
      <c r="W92" s="187"/>
      <c r="X92" s="187"/>
      <c r="Y92" s="187"/>
      <c r="Z92" s="187"/>
      <c r="AA92" s="187"/>
      <c r="AB92" s="187"/>
      <c r="AC92" s="187"/>
      <c r="AD92" s="187"/>
      <c r="AE92" s="187"/>
    </row>
    <row r="93" spans="1:31" x14ac:dyDescent="0.25">
      <c r="A93" s="187"/>
      <c r="B93" s="187" t="str">
        <f>IF($C93="","",MAX($B$4:$B92)+1)</f>
        <v/>
      </c>
      <c r="C93" s="183"/>
      <c r="D93" s="183" t="str">
        <f>IFERROR(VLOOKUP($C93,Rosters!$C$4:$M$239,INDEX(Lists!$N$5:$O$80,MATCH($C93,Lists!$N$5:$N$80,FALSE),2)),"")</f>
        <v/>
      </c>
      <c r="E93" s="185">
        <f>IF($C93="",-0.00001,COUNTIF(Database!E:E,$C93))</f>
        <v>-1.0000000000000001E-5</v>
      </c>
      <c r="F93" s="185">
        <f>IFERROR(IF($C93="",-0.00001,SUMIFS(Database!H:H,Database!$E:$E,$C93)),-0.00001)</f>
        <v>-1.0000000000000001E-5</v>
      </c>
      <c r="G93" s="185">
        <f>IFERROR(IF($C93="",-0.00001,SUMIFS(Database!I:I,Database!$E:$E,$C93)),-0.00001)</f>
        <v>-1.0000000000000001E-5</v>
      </c>
      <c r="H93" s="185">
        <f>IFERROR(IF($C93="",-0.00001,SUMIFS(Database!J:J,Database!$E:$E,$C93)),-0.00001)</f>
        <v>-1.0000000000000001E-5</v>
      </c>
      <c r="I93" s="185">
        <f>IFERROR(IF($C93="",-0.00001,SUMIFS(Database!K:K,Database!$E:$E,$C93)),-0.00001)</f>
        <v>-1.0000000000000001E-5</v>
      </c>
      <c r="J93" s="185">
        <f>IFERROR(IF($C93="",-0.00001,SUMIFS(Database!L:L,Database!$E:$E,$C93)),-0.00001)</f>
        <v>-1.0000000000000001E-5</v>
      </c>
      <c r="K93" s="185">
        <f>IFERROR(IF($C93="",-0.00001,SUMIFS(Database!M:M,Database!$E:$E,$C93)),-0.00001)</f>
        <v>-1.0000000000000001E-5</v>
      </c>
      <c r="L93" s="185">
        <f>IFERROR(IF($C93="",-0.00001,SUMIFS(Database!N:N,Database!$E:$E,$C93)),-0.00001)</f>
        <v>-1.0000000000000001E-5</v>
      </c>
      <c r="M93" s="185">
        <f>IFERROR(IF($C93="",-0.00001,SUMIFS(Database!O:O,Database!$E:$E,$C93)),-0.00001)</f>
        <v>-1.0000000000000001E-5</v>
      </c>
      <c r="N93" s="185">
        <f>IFERROR(IF($C93="",-0.00001,SUMIFS(Database!P:P,Database!$E:$E,$C93)),-0.00001)</f>
        <v>-1.0000000000000001E-5</v>
      </c>
      <c r="O93" s="185">
        <f>IFERROR(IF($C93="",-0.00001,SUMIFS(Database!Q:Q,Database!$E:$E,$C93)),-0.00001)</f>
        <v>-1.0000000000000001E-5</v>
      </c>
      <c r="P93" s="186">
        <f t="shared" si="3"/>
        <v>-1.0000000000000001E-5</v>
      </c>
      <c r="Q93" s="185">
        <f>IFERROR(IF($C93="",-0.00001,SUMIFS(Database!S:S,Database!$E:$E,$C93)),-0.00001)</f>
        <v>-1.0000000000000001E-5</v>
      </c>
      <c r="R93" s="185">
        <f>IFERROR(IF($C93="",-0.00001,SUMIFS(Database!T:T,Database!$E:$E,$C93)),-0.00001)</f>
        <v>-1.0000000000000001E-5</v>
      </c>
      <c r="S93" s="186">
        <f t="shared" si="4"/>
        <v>-1.0000000000000001E-5</v>
      </c>
      <c r="T93" s="185">
        <f>IFERROR(IF($C93="",-0.00001,SUMIFS(Database!V:V,Database!$E:$E,$C93)),-0.00001)</f>
        <v>-1.0000000000000001E-5</v>
      </c>
      <c r="U93" s="185">
        <f>IFERROR(IF($C93="",-0.00001,SUMIFS(Database!W:W,Database!$E:$E,$C93)),-0.00001)</f>
        <v>-1.0000000000000001E-5</v>
      </c>
      <c r="V93" s="186">
        <f t="shared" si="5"/>
        <v>-1.0000000000000001E-5</v>
      </c>
      <c r="W93" s="187"/>
      <c r="X93" s="187"/>
      <c r="Y93" s="187"/>
      <c r="Z93" s="187"/>
      <c r="AA93" s="187"/>
      <c r="AB93" s="187"/>
      <c r="AC93" s="187"/>
      <c r="AD93" s="187"/>
      <c r="AE93" s="187"/>
    </row>
    <row r="94" spans="1:31" x14ac:dyDescent="0.25">
      <c r="A94" s="187"/>
      <c r="B94" s="187" t="str">
        <f>IF($C94="","",MAX($B$4:$B93)+1)</f>
        <v/>
      </c>
      <c r="C94" s="183"/>
      <c r="D94" s="183" t="str">
        <f>IFERROR(VLOOKUP($C94,Rosters!$C$4:$M$239,INDEX(Lists!$N$5:$O$80,MATCH($C94,Lists!$N$5:$N$80,FALSE),2)),"")</f>
        <v/>
      </c>
      <c r="E94" s="185">
        <f>IF($C94="",-0.00001,COUNTIF(Database!E:E,$C94))</f>
        <v>-1.0000000000000001E-5</v>
      </c>
      <c r="F94" s="185">
        <f>IFERROR(IF($C94="",-0.00001,SUMIFS(Database!H:H,Database!$E:$E,$C94)),-0.00001)</f>
        <v>-1.0000000000000001E-5</v>
      </c>
      <c r="G94" s="185">
        <f>IFERROR(IF($C94="",-0.00001,SUMIFS(Database!I:I,Database!$E:$E,$C94)),-0.00001)</f>
        <v>-1.0000000000000001E-5</v>
      </c>
      <c r="H94" s="185">
        <f>IFERROR(IF($C94="",-0.00001,SUMIFS(Database!J:J,Database!$E:$E,$C94)),-0.00001)</f>
        <v>-1.0000000000000001E-5</v>
      </c>
      <c r="I94" s="185">
        <f>IFERROR(IF($C94="",-0.00001,SUMIFS(Database!K:K,Database!$E:$E,$C94)),-0.00001)</f>
        <v>-1.0000000000000001E-5</v>
      </c>
      <c r="J94" s="185">
        <f>IFERROR(IF($C94="",-0.00001,SUMIFS(Database!L:L,Database!$E:$E,$C94)),-0.00001)</f>
        <v>-1.0000000000000001E-5</v>
      </c>
      <c r="K94" s="185">
        <f>IFERROR(IF($C94="",-0.00001,SUMIFS(Database!M:M,Database!$E:$E,$C94)),-0.00001)</f>
        <v>-1.0000000000000001E-5</v>
      </c>
      <c r="L94" s="185">
        <f>IFERROR(IF($C94="",-0.00001,SUMIFS(Database!N:N,Database!$E:$E,$C94)),-0.00001)</f>
        <v>-1.0000000000000001E-5</v>
      </c>
      <c r="M94" s="185">
        <f>IFERROR(IF($C94="",-0.00001,SUMIFS(Database!O:O,Database!$E:$E,$C94)),-0.00001)</f>
        <v>-1.0000000000000001E-5</v>
      </c>
      <c r="N94" s="185">
        <f>IFERROR(IF($C94="",-0.00001,SUMIFS(Database!P:P,Database!$E:$E,$C94)),-0.00001)</f>
        <v>-1.0000000000000001E-5</v>
      </c>
      <c r="O94" s="185">
        <f>IFERROR(IF($C94="",-0.00001,SUMIFS(Database!Q:Q,Database!$E:$E,$C94)),-0.00001)</f>
        <v>-1.0000000000000001E-5</v>
      </c>
      <c r="P94" s="186">
        <f t="shared" si="3"/>
        <v>-1.0000000000000001E-5</v>
      </c>
      <c r="Q94" s="185">
        <f>IFERROR(IF($C94="",-0.00001,SUMIFS(Database!S:S,Database!$E:$E,$C94)),-0.00001)</f>
        <v>-1.0000000000000001E-5</v>
      </c>
      <c r="R94" s="185">
        <f>IFERROR(IF($C94="",-0.00001,SUMIFS(Database!T:T,Database!$E:$E,$C94)),-0.00001)</f>
        <v>-1.0000000000000001E-5</v>
      </c>
      <c r="S94" s="186">
        <f t="shared" si="4"/>
        <v>-1.0000000000000001E-5</v>
      </c>
      <c r="T94" s="185">
        <f>IFERROR(IF($C94="",-0.00001,SUMIFS(Database!V:V,Database!$E:$E,$C94)),-0.00001)</f>
        <v>-1.0000000000000001E-5</v>
      </c>
      <c r="U94" s="185">
        <f>IFERROR(IF($C94="",-0.00001,SUMIFS(Database!W:W,Database!$E:$E,$C94)),-0.00001)</f>
        <v>-1.0000000000000001E-5</v>
      </c>
      <c r="V94" s="186">
        <f t="shared" si="5"/>
        <v>-1.0000000000000001E-5</v>
      </c>
      <c r="W94" s="187"/>
      <c r="X94" s="187"/>
      <c r="Y94" s="187"/>
      <c r="Z94" s="187"/>
      <c r="AA94" s="187"/>
      <c r="AB94" s="187"/>
      <c r="AC94" s="187"/>
      <c r="AD94" s="187"/>
      <c r="AE94" s="187"/>
    </row>
    <row r="95" spans="1:31" x14ac:dyDescent="0.25">
      <c r="A95" s="187"/>
      <c r="B95" s="187" t="str">
        <f>IF($C95="","",MAX($B$4:$B94)+1)</f>
        <v/>
      </c>
      <c r="C95" s="183"/>
      <c r="D95" s="183" t="str">
        <f>IFERROR(VLOOKUP($C95,Rosters!$C$4:$M$239,INDEX(Lists!$N$5:$O$80,MATCH($C95,Lists!$N$5:$N$80,FALSE),2)),"")</f>
        <v/>
      </c>
      <c r="E95" s="185">
        <f>IF($C95="",-0.00001,COUNTIF(Database!E:E,$C95))</f>
        <v>-1.0000000000000001E-5</v>
      </c>
      <c r="F95" s="185">
        <f>IFERROR(IF($C95="",-0.00001,SUMIFS(Database!H:H,Database!$E:$E,$C95)),-0.00001)</f>
        <v>-1.0000000000000001E-5</v>
      </c>
      <c r="G95" s="185">
        <f>IFERROR(IF($C95="",-0.00001,SUMIFS(Database!I:I,Database!$E:$E,$C95)),-0.00001)</f>
        <v>-1.0000000000000001E-5</v>
      </c>
      <c r="H95" s="185">
        <f>IFERROR(IF($C95="",-0.00001,SUMIFS(Database!J:J,Database!$E:$E,$C95)),-0.00001)</f>
        <v>-1.0000000000000001E-5</v>
      </c>
      <c r="I95" s="185">
        <f>IFERROR(IF($C95="",-0.00001,SUMIFS(Database!K:K,Database!$E:$E,$C95)),-0.00001)</f>
        <v>-1.0000000000000001E-5</v>
      </c>
      <c r="J95" s="185">
        <f>IFERROR(IF($C95="",-0.00001,SUMIFS(Database!L:L,Database!$E:$E,$C95)),-0.00001)</f>
        <v>-1.0000000000000001E-5</v>
      </c>
      <c r="K95" s="185">
        <f>IFERROR(IF($C95="",-0.00001,SUMIFS(Database!M:M,Database!$E:$E,$C95)),-0.00001)</f>
        <v>-1.0000000000000001E-5</v>
      </c>
      <c r="L95" s="185">
        <f>IFERROR(IF($C95="",-0.00001,SUMIFS(Database!N:N,Database!$E:$E,$C95)),-0.00001)</f>
        <v>-1.0000000000000001E-5</v>
      </c>
      <c r="M95" s="185">
        <f>IFERROR(IF($C95="",-0.00001,SUMIFS(Database!O:O,Database!$E:$E,$C95)),-0.00001)</f>
        <v>-1.0000000000000001E-5</v>
      </c>
      <c r="N95" s="185">
        <f>IFERROR(IF($C95="",-0.00001,SUMIFS(Database!P:P,Database!$E:$E,$C95)),-0.00001)</f>
        <v>-1.0000000000000001E-5</v>
      </c>
      <c r="O95" s="185">
        <f>IFERROR(IF($C95="",-0.00001,SUMIFS(Database!Q:Q,Database!$E:$E,$C95)),-0.00001)</f>
        <v>-1.0000000000000001E-5</v>
      </c>
      <c r="P95" s="186">
        <f t="shared" si="3"/>
        <v>-1.0000000000000001E-5</v>
      </c>
      <c r="Q95" s="185">
        <f>IFERROR(IF($C95="",-0.00001,SUMIFS(Database!S:S,Database!$E:$E,$C95)),-0.00001)</f>
        <v>-1.0000000000000001E-5</v>
      </c>
      <c r="R95" s="185">
        <f>IFERROR(IF($C95="",-0.00001,SUMIFS(Database!T:T,Database!$E:$E,$C95)),-0.00001)</f>
        <v>-1.0000000000000001E-5</v>
      </c>
      <c r="S95" s="186">
        <f t="shared" si="4"/>
        <v>-1.0000000000000001E-5</v>
      </c>
      <c r="T95" s="185">
        <f>IFERROR(IF($C95="",-0.00001,SUMIFS(Database!V:V,Database!$E:$E,$C95)),-0.00001)</f>
        <v>-1.0000000000000001E-5</v>
      </c>
      <c r="U95" s="185">
        <f>IFERROR(IF($C95="",-0.00001,SUMIFS(Database!W:W,Database!$E:$E,$C95)),-0.00001)</f>
        <v>-1.0000000000000001E-5</v>
      </c>
      <c r="V95" s="186">
        <f t="shared" si="5"/>
        <v>-1.0000000000000001E-5</v>
      </c>
      <c r="W95" s="187"/>
      <c r="X95" s="187"/>
      <c r="Y95" s="187"/>
      <c r="Z95" s="187"/>
      <c r="AA95" s="187"/>
      <c r="AB95" s="187"/>
      <c r="AC95" s="187"/>
      <c r="AD95" s="187"/>
      <c r="AE95" s="187"/>
    </row>
    <row r="96" spans="1:31" x14ac:dyDescent="0.25">
      <c r="A96" s="187"/>
      <c r="B96" s="187" t="str">
        <f>IF($C96="","",MAX($B$4:$B95)+1)</f>
        <v/>
      </c>
      <c r="C96" s="183"/>
      <c r="D96" s="183" t="str">
        <f>IFERROR(VLOOKUP($C96,Rosters!$C$4:$M$239,INDEX(Lists!$N$5:$O$80,MATCH($C96,Lists!$N$5:$N$80,FALSE),2)),"")</f>
        <v/>
      </c>
      <c r="E96" s="185">
        <f>IF($C96="",-0.00001,COUNTIF(Database!E:E,$C96))</f>
        <v>-1.0000000000000001E-5</v>
      </c>
      <c r="F96" s="185">
        <f>IFERROR(IF($C96="",-0.00001,SUMIFS(Database!H:H,Database!$E:$E,$C96)),-0.00001)</f>
        <v>-1.0000000000000001E-5</v>
      </c>
      <c r="G96" s="185">
        <f>IFERROR(IF($C96="",-0.00001,SUMIFS(Database!I:I,Database!$E:$E,$C96)),-0.00001)</f>
        <v>-1.0000000000000001E-5</v>
      </c>
      <c r="H96" s="185">
        <f>IFERROR(IF($C96="",-0.00001,SUMIFS(Database!J:J,Database!$E:$E,$C96)),-0.00001)</f>
        <v>-1.0000000000000001E-5</v>
      </c>
      <c r="I96" s="185">
        <f>IFERROR(IF($C96="",-0.00001,SUMIFS(Database!K:K,Database!$E:$E,$C96)),-0.00001)</f>
        <v>-1.0000000000000001E-5</v>
      </c>
      <c r="J96" s="185">
        <f>IFERROR(IF($C96="",-0.00001,SUMIFS(Database!L:L,Database!$E:$E,$C96)),-0.00001)</f>
        <v>-1.0000000000000001E-5</v>
      </c>
      <c r="K96" s="185">
        <f>IFERROR(IF($C96="",-0.00001,SUMIFS(Database!M:M,Database!$E:$E,$C96)),-0.00001)</f>
        <v>-1.0000000000000001E-5</v>
      </c>
      <c r="L96" s="185">
        <f>IFERROR(IF($C96="",-0.00001,SUMIFS(Database!N:N,Database!$E:$E,$C96)),-0.00001)</f>
        <v>-1.0000000000000001E-5</v>
      </c>
      <c r="M96" s="185">
        <f>IFERROR(IF($C96="",-0.00001,SUMIFS(Database!O:O,Database!$E:$E,$C96)),-0.00001)</f>
        <v>-1.0000000000000001E-5</v>
      </c>
      <c r="N96" s="185">
        <f>IFERROR(IF($C96="",-0.00001,SUMIFS(Database!P:P,Database!$E:$E,$C96)),-0.00001)</f>
        <v>-1.0000000000000001E-5</v>
      </c>
      <c r="O96" s="185">
        <f>IFERROR(IF($C96="",-0.00001,SUMIFS(Database!Q:Q,Database!$E:$E,$C96)),-0.00001)</f>
        <v>-1.0000000000000001E-5</v>
      </c>
      <c r="P96" s="186">
        <f t="shared" si="3"/>
        <v>-1.0000000000000001E-5</v>
      </c>
      <c r="Q96" s="185">
        <f>IFERROR(IF($C96="",-0.00001,SUMIFS(Database!S:S,Database!$E:$E,$C96)),-0.00001)</f>
        <v>-1.0000000000000001E-5</v>
      </c>
      <c r="R96" s="185">
        <f>IFERROR(IF($C96="",-0.00001,SUMIFS(Database!T:T,Database!$E:$E,$C96)),-0.00001)</f>
        <v>-1.0000000000000001E-5</v>
      </c>
      <c r="S96" s="186">
        <f t="shared" si="4"/>
        <v>-1.0000000000000001E-5</v>
      </c>
      <c r="T96" s="185">
        <f>IFERROR(IF($C96="",-0.00001,SUMIFS(Database!V:V,Database!$E:$E,$C96)),-0.00001)</f>
        <v>-1.0000000000000001E-5</v>
      </c>
      <c r="U96" s="185">
        <f>IFERROR(IF($C96="",-0.00001,SUMIFS(Database!W:W,Database!$E:$E,$C96)),-0.00001)</f>
        <v>-1.0000000000000001E-5</v>
      </c>
      <c r="V96" s="186">
        <f t="shared" si="5"/>
        <v>-1.0000000000000001E-5</v>
      </c>
      <c r="W96" s="187"/>
      <c r="X96" s="187"/>
      <c r="Y96" s="187"/>
      <c r="Z96" s="187"/>
      <c r="AA96" s="187"/>
      <c r="AB96" s="187"/>
      <c r="AC96" s="187"/>
      <c r="AD96" s="187"/>
      <c r="AE96" s="187"/>
    </row>
    <row r="97" spans="1:31" x14ac:dyDescent="0.25">
      <c r="A97" s="187"/>
      <c r="B97" s="187" t="str">
        <f>IF($C97="","",MAX($B$4:$B96)+1)</f>
        <v/>
      </c>
      <c r="C97" s="183"/>
      <c r="D97" s="183" t="str">
        <f>IFERROR(VLOOKUP($C97,Rosters!$C$4:$M$239,INDEX(Lists!$N$5:$O$80,MATCH($C97,Lists!$N$5:$N$80,FALSE),2)),"")</f>
        <v/>
      </c>
      <c r="E97" s="185">
        <f>IF($C97="",-0.00001,COUNTIF(Database!E:E,$C97))</f>
        <v>-1.0000000000000001E-5</v>
      </c>
      <c r="F97" s="185">
        <f>IFERROR(IF($C97="",-0.00001,SUMIFS(Database!H:H,Database!$E:$E,$C97)),-0.00001)</f>
        <v>-1.0000000000000001E-5</v>
      </c>
      <c r="G97" s="185">
        <f>IFERROR(IF($C97="",-0.00001,SUMIFS(Database!I:I,Database!$E:$E,$C97)),-0.00001)</f>
        <v>-1.0000000000000001E-5</v>
      </c>
      <c r="H97" s="185">
        <f>IFERROR(IF($C97="",-0.00001,SUMIFS(Database!J:J,Database!$E:$E,$C97)),-0.00001)</f>
        <v>-1.0000000000000001E-5</v>
      </c>
      <c r="I97" s="185">
        <f>IFERROR(IF($C97="",-0.00001,SUMIFS(Database!K:K,Database!$E:$E,$C97)),-0.00001)</f>
        <v>-1.0000000000000001E-5</v>
      </c>
      <c r="J97" s="185">
        <f>IFERROR(IF($C97="",-0.00001,SUMIFS(Database!L:L,Database!$E:$E,$C97)),-0.00001)</f>
        <v>-1.0000000000000001E-5</v>
      </c>
      <c r="K97" s="185">
        <f>IFERROR(IF($C97="",-0.00001,SUMIFS(Database!M:M,Database!$E:$E,$C97)),-0.00001)</f>
        <v>-1.0000000000000001E-5</v>
      </c>
      <c r="L97" s="185">
        <f>IFERROR(IF($C97="",-0.00001,SUMIFS(Database!N:N,Database!$E:$E,$C97)),-0.00001)</f>
        <v>-1.0000000000000001E-5</v>
      </c>
      <c r="M97" s="185">
        <f>IFERROR(IF($C97="",-0.00001,SUMIFS(Database!O:O,Database!$E:$E,$C97)),-0.00001)</f>
        <v>-1.0000000000000001E-5</v>
      </c>
      <c r="N97" s="185">
        <f>IFERROR(IF($C97="",-0.00001,SUMIFS(Database!P:P,Database!$E:$E,$C97)),-0.00001)</f>
        <v>-1.0000000000000001E-5</v>
      </c>
      <c r="O97" s="185">
        <f>IFERROR(IF($C97="",-0.00001,SUMIFS(Database!Q:Q,Database!$E:$E,$C97)),-0.00001)</f>
        <v>-1.0000000000000001E-5</v>
      </c>
      <c r="P97" s="186">
        <f t="shared" si="3"/>
        <v>-1.0000000000000001E-5</v>
      </c>
      <c r="Q97" s="185">
        <f>IFERROR(IF($C97="",-0.00001,SUMIFS(Database!S:S,Database!$E:$E,$C97)),-0.00001)</f>
        <v>-1.0000000000000001E-5</v>
      </c>
      <c r="R97" s="185">
        <f>IFERROR(IF($C97="",-0.00001,SUMIFS(Database!T:T,Database!$E:$E,$C97)),-0.00001)</f>
        <v>-1.0000000000000001E-5</v>
      </c>
      <c r="S97" s="186">
        <f t="shared" si="4"/>
        <v>-1.0000000000000001E-5</v>
      </c>
      <c r="T97" s="185">
        <f>IFERROR(IF($C97="",-0.00001,SUMIFS(Database!V:V,Database!$E:$E,$C97)),-0.00001)</f>
        <v>-1.0000000000000001E-5</v>
      </c>
      <c r="U97" s="185">
        <f>IFERROR(IF($C97="",-0.00001,SUMIFS(Database!W:W,Database!$E:$E,$C97)),-0.00001)</f>
        <v>-1.0000000000000001E-5</v>
      </c>
      <c r="V97" s="186">
        <f t="shared" si="5"/>
        <v>-1.0000000000000001E-5</v>
      </c>
      <c r="W97" s="187"/>
      <c r="X97" s="187"/>
      <c r="Y97" s="187"/>
      <c r="Z97" s="187"/>
      <c r="AA97" s="187"/>
      <c r="AB97" s="187"/>
      <c r="AC97" s="187"/>
      <c r="AD97" s="187"/>
      <c r="AE97" s="187"/>
    </row>
    <row r="98" spans="1:31" x14ac:dyDescent="0.25">
      <c r="A98" s="187"/>
      <c r="B98" s="187" t="str">
        <f>IF($C98="","",MAX($B$4:$B97)+1)</f>
        <v/>
      </c>
      <c r="C98" s="183"/>
      <c r="D98" s="183" t="str">
        <f>IFERROR(VLOOKUP($C98,Rosters!$C$4:$M$239,INDEX(Lists!$N$5:$O$80,MATCH($C98,Lists!$N$5:$N$80,FALSE),2)),"")</f>
        <v/>
      </c>
      <c r="E98" s="185">
        <f>IF($C98="",-0.00001,COUNTIF(Database!E:E,$C98))</f>
        <v>-1.0000000000000001E-5</v>
      </c>
      <c r="F98" s="185">
        <f>IFERROR(IF($C98="",-0.00001,SUMIFS(Database!H:H,Database!$E:$E,$C98)),-0.00001)</f>
        <v>-1.0000000000000001E-5</v>
      </c>
      <c r="G98" s="185">
        <f>IFERROR(IF($C98="",-0.00001,SUMIFS(Database!I:I,Database!$E:$E,$C98)),-0.00001)</f>
        <v>-1.0000000000000001E-5</v>
      </c>
      <c r="H98" s="185">
        <f>IFERROR(IF($C98="",-0.00001,SUMIFS(Database!J:J,Database!$E:$E,$C98)),-0.00001)</f>
        <v>-1.0000000000000001E-5</v>
      </c>
      <c r="I98" s="185">
        <f>IFERROR(IF($C98="",-0.00001,SUMIFS(Database!K:K,Database!$E:$E,$C98)),-0.00001)</f>
        <v>-1.0000000000000001E-5</v>
      </c>
      <c r="J98" s="185">
        <f>IFERROR(IF($C98="",-0.00001,SUMIFS(Database!L:L,Database!$E:$E,$C98)),-0.00001)</f>
        <v>-1.0000000000000001E-5</v>
      </c>
      <c r="K98" s="185">
        <f>IFERROR(IF($C98="",-0.00001,SUMIFS(Database!M:M,Database!$E:$E,$C98)),-0.00001)</f>
        <v>-1.0000000000000001E-5</v>
      </c>
      <c r="L98" s="185">
        <f>IFERROR(IF($C98="",-0.00001,SUMIFS(Database!N:N,Database!$E:$E,$C98)),-0.00001)</f>
        <v>-1.0000000000000001E-5</v>
      </c>
      <c r="M98" s="185">
        <f>IFERROR(IF($C98="",-0.00001,SUMIFS(Database!O:O,Database!$E:$E,$C98)),-0.00001)</f>
        <v>-1.0000000000000001E-5</v>
      </c>
      <c r="N98" s="185">
        <f>IFERROR(IF($C98="",-0.00001,SUMIFS(Database!P:P,Database!$E:$E,$C98)),-0.00001)</f>
        <v>-1.0000000000000001E-5</v>
      </c>
      <c r="O98" s="185">
        <f>IFERROR(IF($C98="",-0.00001,SUMIFS(Database!Q:Q,Database!$E:$E,$C98)),-0.00001)</f>
        <v>-1.0000000000000001E-5</v>
      </c>
      <c r="P98" s="186">
        <f t="shared" si="3"/>
        <v>-1.0000000000000001E-5</v>
      </c>
      <c r="Q98" s="185">
        <f>IFERROR(IF($C98="",-0.00001,SUMIFS(Database!S:S,Database!$E:$E,$C98)),-0.00001)</f>
        <v>-1.0000000000000001E-5</v>
      </c>
      <c r="R98" s="185">
        <f>IFERROR(IF($C98="",-0.00001,SUMIFS(Database!T:T,Database!$E:$E,$C98)),-0.00001)</f>
        <v>-1.0000000000000001E-5</v>
      </c>
      <c r="S98" s="186">
        <f t="shared" si="4"/>
        <v>-1.0000000000000001E-5</v>
      </c>
      <c r="T98" s="185">
        <f>IFERROR(IF($C98="",-0.00001,SUMIFS(Database!V:V,Database!$E:$E,$C98)),-0.00001)</f>
        <v>-1.0000000000000001E-5</v>
      </c>
      <c r="U98" s="185">
        <f>IFERROR(IF($C98="",-0.00001,SUMIFS(Database!W:W,Database!$E:$E,$C98)),-0.00001)</f>
        <v>-1.0000000000000001E-5</v>
      </c>
      <c r="V98" s="186">
        <f t="shared" si="5"/>
        <v>-1.0000000000000001E-5</v>
      </c>
      <c r="W98" s="187"/>
      <c r="X98" s="187"/>
      <c r="Y98" s="187"/>
      <c r="Z98" s="187"/>
      <c r="AA98" s="187"/>
      <c r="AB98" s="187"/>
      <c r="AC98" s="187"/>
      <c r="AD98" s="187"/>
      <c r="AE98" s="187"/>
    </row>
    <row r="99" spans="1:31" x14ac:dyDescent="0.25">
      <c r="A99" s="187"/>
      <c r="B99" s="187" t="str">
        <f>IF($C99="","",MAX($B$4:$B98)+1)</f>
        <v/>
      </c>
      <c r="C99" s="183"/>
      <c r="D99" s="183" t="str">
        <f>IFERROR(VLOOKUP($C99,Rosters!$C$4:$M$239,INDEX(Lists!$N$5:$O$80,MATCH($C99,Lists!$N$5:$N$80,FALSE),2)),"")</f>
        <v/>
      </c>
      <c r="E99" s="185">
        <f>IF($C99="",-0.00001,COUNTIF(Database!E:E,$C99))</f>
        <v>-1.0000000000000001E-5</v>
      </c>
      <c r="F99" s="185">
        <f>IFERROR(IF($C99="",-0.00001,SUMIFS(Database!H:H,Database!$E:$E,$C99)),-0.00001)</f>
        <v>-1.0000000000000001E-5</v>
      </c>
      <c r="G99" s="185">
        <f>IFERROR(IF($C99="",-0.00001,SUMIFS(Database!I:I,Database!$E:$E,$C99)),-0.00001)</f>
        <v>-1.0000000000000001E-5</v>
      </c>
      <c r="H99" s="185">
        <f>IFERROR(IF($C99="",-0.00001,SUMIFS(Database!J:J,Database!$E:$E,$C99)),-0.00001)</f>
        <v>-1.0000000000000001E-5</v>
      </c>
      <c r="I99" s="185">
        <f>IFERROR(IF($C99="",-0.00001,SUMIFS(Database!K:K,Database!$E:$E,$C99)),-0.00001)</f>
        <v>-1.0000000000000001E-5</v>
      </c>
      <c r="J99" s="185">
        <f>IFERROR(IF($C99="",-0.00001,SUMIFS(Database!L:L,Database!$E:$E,$C99)),-0.00001)</f>
        <v>-1.0000000000000001E-5</v>
      </c>
      <c r="K99" s="185">
        <f>IFERROR(IF($C99="",-0.00001,SUMIFS(Database!M:M,Database!$E:$E,$C99)),-0.00001)</f>
        <v>-1.0000000000000001E-5</v>
      </c>
      <c r="L99" s="185">
        <f>IFERROR(IF($C99="",-0.00001,SUMIFS(Database!N:N,Database!$E:$E,$C99)),-0.00001)</f>
        <v>-1.0000000000000001E-5</v>
      </c>
      <c r="M99" s="185">
        <f>IFERROR(IF($C99="",-0.00001,SUMIFS(Database!O:O,Database!$E:$E,$C99)),-0.00001)</f>
        <v>-1.0000000000000001E-5</v>
      </c>
      <c r="N99" s="185">
        <f>IFERROR(IF($C99="",-0.00001,SUMIFS(Database!P:P,Database!$E:$E,$C99)),-0.00001)</f>
        <v>-1.0000000000000001E-5</v>
      </c>
      <c r="O99" s="185">
        <f>IFERROR(IF($C99="",-0.00001,SUMIFS(Database!Q:Q,Database!$E:$E,$C99)),-0.00001)</f>
        <v>-1.0000000000000001E-5</v>
      </c>
      <c r="P99" s="186">
        <f t="shared" si="3"/>
        <v>-1.0000000000000001E-5</v>
      </c>
      <c r="Q99" s="185">
        <f>IFERROR(IF($C99="",-0.00001,SUMIFS(Database!S:S,Database!$E:$E,$C99)),-0.00001)</f>
        <v>-1.0000000000000001E-5</v>
      </c>
      <c r="R99" s="185">
        <f>IFERROR(IF($C99="",-0.00001,SUMIFS(Database!T:T,Database!$E:$E,$C99)),-0.00001)</f>
        <v>-1.0000000000000001E-5</v>
      </c>
      <c r="S99" s="186">
        <f t="shared" si="4"/>
        <v>-1.0000000000000001E-5</v>
      </c>
      <c r="T99" s="185">
        <f>IFERROR(IF($C99="",-0.00001,SUMIFS(Database!V:V,Database!$E:$E,$C99)),-0.00001)</f>
        <v>-1.0000000000000001E-5</v>
      </c>
      <c r="U99" s="185">
        <f>IFERROR(IF($C99="",-0.00001,SUMIFS(Database!W:W,Database!$E:$E,$C99)),-0.00001)</f>
        <v>-1.0000000000000001E-5</v>
      </c>
      <c r="V99" s="186">
        <f t="shared" si="5"/>
        <v>-1.0000000000000001E-5</v>
      </c>
      <c r="W99" s="187"/>
      <c r="X99" s="187"/>
      <c r="Y99" s="187"/>
      <c r="Z99" s="187"/>
      <c r="AA99" s="187"/>
      <c r="AB99" s="187"/>
      <c r="AC99" s="187"/>
      <c r="AD99" s="187"/>
      <c r="AE99" s="187"/>
    </row>
    <row r="100" spans="1:31" x14ac:dyDescent="0.25">
      <c r="A100" s="187"/>
      <c r="B100" s="187" t="str">
        <f>IF($C100="","",MAX($B$4:$B99)+1)</f>
        <v/>
      </c>
      <c r="C100" s="183"/>
      <c r="D100" s="183" t="str">
        <f>IFERROR(VLOOKUP($C100,Rosters!$C$4:$M$239,INDEX(Lists!$N$5:$O$80,MATCH($C100,Lists!$N$5:$N$80,FALSE),2)),"")</f>
        <v/>
      </c>
      <c r="E100" s="185">
        <f>IF($C100="",-0.00001,COUNTIF(Database!E:E,$C100))</f>
        <v>-1.0000000000000001E-5</v>
      </c>
      <c r="F100" s="185">
        <f>IFERROR(IF($C100="",-0.00001,SUMIFS(Database!H:H,Database!$E:$E,$C100)),-0.00001)</f>
        <v>-1.0000000000000001E-5</v>
      </c>
      <c r="G100" s="185">
        <f>IFERROR(IF($C100="",-0.00001,SUMIFS(Database!I:I,Database!$E:$E,$C100)),-0.00001)</f>
        <v>-1.0000000000000001E-5</v>
      </c>
      <c r="H100" s="185">
        <f>IFERROR(IF($C100="",-0.00001,SUMIFS(Database!J:J,Database!$E:$E,$C100)),-0.00001)</f>
        <v>-1.0000000000000001E-5</v>
      </c>
      <c r="I100" s="185">
        <f>IFERROR(IF($C100="",-0.00001,SUMIFS(Database!K:K,Database!$E:$E,$C100)),-0.00001)</f>
        <v>-1.0000000000000001E-5</v>
      </c>
      <c r="J100" s="185">
        <f>IFERROR(IF($C100="",-0.00001,SUMIFS(Database!L:L,Database!$E:$E,$C100)),-0.00001)</f>
        <v>-1.0000000000000001E-5</v>
      </c>
      <c r="K100" s="185">
        <f>IFERROR(IF($C100="",-0.00001,SUMIFS(Database!M:M,Database!$E:$E,$C100)),-0.00001)</f>
        <v>-1.0000000000000001E-5</v>
      </c>
      <c r="L100" s="185">
        <f>IFERROR(IF($C100="",-0.00001,SUMIFS(Database!N:N,Database!$E:$E,$C100)),-0.00001)</f>
        <v>-1.0000000000000001E-5</v>
      </c>
      <c r="M100" s="185">
        <f>IFERROR(IF($C100="",-0.00001,SUMIFS(Database!O:O,Database!$E:$E,$C100)),-0.00001)</f>
        <v>-1.0000000000000001E-5</v>
      </c>
      <c r="N100" s="185">
        <f>IFERROR(IF($C100="",-0.00001,SUMIFS(Database!P:P,Database!$E:$E,$C100)),-0.00001)</f>
        <v>-1.0000000000000001E-5</v>
      </c>
      <c r="O100" s="185">
        <f>IFERROR(IF($C100="",-0.00001,SUMIFS(Database!Q:Q,Database!$E:$E,$C100)),-0.00001)</f>
        <v>-1.0000000000000001E-5</v>
      </c>
      <c r="P100" s="186">
        <f t="shared" si="3"/>
        <v>-1.0000000000000001E-5</v>
      </c>
      <c r="Q100" s="185">
        <f>IFERROR(IF($C100="",-0.00001,SUMIFS(Database!S:S,Database!$E:$E,$C100)),-0.00001)</f>
        <v>-1.0000000000000001E-5</v>
      </c>
      <c r="R100" s="185">
        <f>IFERROR(IF($C100="",-0.00001,SUMIFS(Database!T:T,Database!$E:$E,$C100)),-0.00001)</f>
        <v>-1.0000000000000001E-5</v>
      </c>
      <c r="S100" s="186">
        <f t="shared" si="4"/>
        <v>-1.0000000000000001E-5</v>
      </c>
      <c r="T100" s="185">
        <f>IFERROR(IF($C100="",-0.00001,SUMIFS(Database!V:V,Database!$E:$E,$C100)),-0.00001)</f>
        <v>-1.0000000000000001E-5</v>
      </c>
      <c r="U100" s="185">
        <f>IFERROR(IF($C100="",-0.00001,SUMIFS(Database!W:W,Database!$E:$E,$C100)),-0.00001)</f>
        <v>-1.0000000000000001E-5</v>
      </c>
      <c r="V100" s="186">
        <f t="shared" si="5"/>
        <v>-1.0000000000000001E-5</v>
      </c>
      <c r="W100" s="187"/>
      <c r="X100" s="187"/>
      <c r="Y100" s="187"/>
      <c r="Z100" s="187"/>
      <c r="AA100" s="187"/>
      <c r="AB100" s="187"/>
      <c r="AC100" s="187"/>
      <c r="AD100" s="187"/>
      <c r="AE100" s="187"/>
    </row>
    <row r="101" spans="1:31" x14ac:dyDescent="0.25">
      <c r="A101" s="187"/>
      <c r="B101" s="187" t="str">
        <f>IF($C101="","",MAX($B$4:$B100)+1)</f>
        <v/>
      </c>
      <c r="C101" s="183"/>
      <c r="D101" s="183" t="str">
        <f>IFERROR(VLOOKUP($C101,Rosters!$C$4:$M$239,INDEX(Lists!$N$5:$O$80,MATCH($C101,Lists!$N$5:$N$80,FALSE),2)),"")</f>
        <v/>
      </c>
      <c r="E101" s="185">
        <f>IF($C101="",-0.00001,COUNTIF(Database!E:E,$C101))</f>
        <v>-1.0000000000000001E-5</v>
      </c>
      <c r="F101" s="185">
        <f>IFERROR(IF($C101="",-0.00001,SUMIFS(Database!H:H,Database!$E:$E,$C101)),-0.00001)</f>
        <v>-1.0000000000000001E-5</v>
      </c>
      <c r="G101" s="185">
        <f>IFERROR(IF($C101="",-0.00001,SUMIFS(Database!I:I,Database!$E:$E,$C101)),-0.00001)</f>
        <v>-1.0000000000000001E-5</v>
      </c>
      <c r="H101" s="185">
        <f>IFERROR(IF($C101="",-0.00001,SUMIFS(Database!J:J,Database!$E:$E,$C101)),-0.00001)</f>
        <v>-1.0000000000000001E-5</v>
      </c>
      <c r="I101" s="185">
        <f>IFERROR(IF($C101="",-0.00001,SUMIFS(Database!K:K,Database!$E:$E,$C101)),-0.00001)</f>
        <v>-1.0000000000000001E-5</v>
      </c>
      <c r="J101" s="185">
        <f>IFERROR(IF($C101="",-0.00001,SUMIFS(Database!L:L,Database!$E:$E,$C101)),-0.00001)</f>
        <v>-1.0000000000000001E-5</v>
      </c>
      <c r="K101" s="185">
        <f>IFERROR(IF($C101="",-0.00001,SUMIFS(Database!M:M,Database!$E:$E,$C101)),-0.00001)</f>
        <v>-1.0000000000000001E-5</v>
      </c>
      <c r="L101" s="185">
        <f>IFERROR(IF($C101="",-0.00001,SUMIFS(Database!N:N,Database!$E:$E,$C101)),-0.00001)</f>
        <v>-1.0000000000000001E-5</v>
      </c>
      <c r="M101" s="185">
        <f>IFERROR(IF($C101="",-0.00001,SUMIFS(Database!O:O,Database!$E:$E,$C101)),-0.00001)</f>
        <v>-1.0000000000000001E-5</v>
      </c>
      <c r="N101" s="185">
        <f>IFERROR(IF($C101="",-0.00001,SUMIFS(Database!P:P,Database!$E:$E,$C101)),-0.00001)</f>
        <v>-1.0000000000000001E-5</v>
      </c>
      <c r="O101" s="185">
        <f>IFERROR(IF($C101="",-0.00001,SUMIFS(Database!Q:Q,Database!$E:$E,$C101)),-0.00001)</f>
        <v>-1.0000000000000001E-5</v>
      </c>
      <c r="P101" s="186">
        <f t="shared" si="3"/>
        <v>-1.0000000000000001E-5</v>
      </c>
      <c r="Q101" s="185">
        <f>IFERROR(IF($C101="",-0.00001,SUMIFS(Database!S:S,Database!$E:$E,$C101)),-0.00001)</f>
        <v>-1.0000000000000001E-5</v>
      </c>
      <c r="R101" s="185">
        <f>IFERROR(IF($C101="",-0.00001,SUMIFS(Database!T:T,Database!$E:$E,$C101)),-0.00001)</f>
        <v>-1.0000000000000001E-5</v>
      </c>
      <c r="S101" s="186">
        <f t="shared" si="4"/>
        <v>-1.0000000000000001E-5</v>
      </c>
      <c r="T101" s="185">
        <f>IFERROR(IF($C101="",-0.00001,SUMIFS(Database!V:V,Database!$E:$E,$C101)),-0.00001)</f>
        <v>-1.0000000000000001E-5</v>
      </c>
      <c r="U101" s="185">
        <f>IFERROR(IF($C101="",-0.00001,SUMIFS(Database!W:W,Database!$E:$E,$C101)),-0.00001)</f>
        <v>-1.0000000000000001E-5</v>
      </c>
      <c r="V101" s="186">
        <f t="shared" si="5"/>
        <v>-1.0000000000000001E-5</v>
      </c>
      <c r="W101" s="187"/>
      <c r="X101" s="187"/>
      <c r="Y101" s="187"/>
      <c r="Z101" s="187"/>
      <c r="AA101" s="187"/>
      <c r="AB101" s="187"/>
      <c r="AC101" s="187"/>
      <c r="AD101" s="187"/>
      <c r="AE101" s="187"/>
    </row>
    <row r="102" spans="1:31" x14ac:dyDescent="0.25">
      <c r="A102" s="187"/>
      <c r="B102" s="187" t="str">
        <f>IF($C102="","",MAX($B$4:$B101)+1)</f>
        <v/>
      </c>
      <c r="C102" s="183"/>
      <c r="D102" s="183" t="str">
        <f>IFERROR(VLOOKUP($C102,Rosters!$C$4:$M$239,INDEX(Lists!$N$5:$O$80,MATCH($C102,Lists!$N$5:$N$80,FALSE),2)),"")</f>
        <v/>
      </c>
      <c r="E102" s="185">
        <f>IF($C102="",-0.00001,COUNTIF(Database!E:E,$C102))</f>
        <v>-1.0000000000000001E-5</v>
      </c>
      <c r="F102" s="185">
        <f>IFERROR(IF($C102="",-0.00001,SUMIFS(Database!H:H,Database!$E:$E,$C102)),-0.00001)</f>
        <v>-1.0000000000000001E-5</v>
      </c>
      <c r="G102" s="185">
        <f>IFERROR(IF($C102="",-0.00001,SUMIFS(Database!I:I,Database!$E:$E,$C102)),-0.00001)</f>
        <v>-1.0000000000000001E-5</v>
      </c>
      <c r="H102" s="185">
        <f>IFERROR(IF($C102="",-0.00001,SUMIFS(Database!J:J,Database!$E:$E,$C102)),-0.00001)</f>
        <v>-1.0000000000000001E-5</v>
      </c>
      <c r="I102" s="185">
        <f>IFERROR(IF($C102="",-0.00001,SUMIFS(Database!K:K,Database!$E:$E,$C102)),-0.00001)</f>
        <v>-1.0000000000000001E-5</v>
      </c>
      <c r="J102" s="185">
        <f>IFERROR(IF($C102="",-0.00001,SUMIFS(Database!L:L,Database!$E:$E,$C102)),-0.00001)</f>
        <v>-1.0000000000000001E-5</v>
      </c>
      <c r="K102" s="185">
        <f>IFERROR(IF($C102="",-0.00001,SUMIFS(Database!M:M,Database!$E:$E,$C102)),-0.00001)</f>
        <v>-1.0000000000000001E-5</v>
      </c>
      <c r="L102" s="185">
        <f>IFERROR(IF($C102="",-0.00001,SUMIFS(Database!N:N,Database!$E:$E,$C102)),-0.00001)</f>
        <v>-1.0000000000000001E-5</v>
      </c>
      <c r="M102" s="185">
        <f>IFERROR(IF($C102="",-0.00001,SUMIFS(Database!O:O,Database!$E:$E,$C102)),-0.00001)</f>
        <v>-1.0000000000000001E-5</v>
      </c>
      <c r="N102" s="185">
        <f>IFERROR(IF($C102="",-0.00001,SUMIFS(Database!P:P,Database!$E:$E,$C102)),-0.00001)</f>
        <v>-1.0000000000000001E-5</v>
      </c>
      <c r="O102" s="185">
        <f>IFERROR(IF($C102="",-0.00001,SUMIFS(Database!Q:Q,Database!$E:$E,$C102)),-0.00001)</f>
        <v>-1.0000000000000001E-5</v>
      </c>
      <c r="P102" s="186">
        <f t="shared" si="3"/>
        <v>-1.0000000000000001E-5</v>
      </c>
      <c r="Q102" s="185">
        <f>IFERROR(IF($C102="",-0.00001,SUMIFS(Database!S:S,Database!$E:$E,$C102)),-0.00001)</f>
        <v>-1.0000000000000001E-5</v>
      </c>
      <c r="R102" s="185">
        <f>IFERROR(IF($C102="",-0.00001,SUMIFS(Database!T:T,Database!$E:$E,$C102)),-0.00001)</f>
        <v>-1.0000000000000001E-5</v>
      </c>
      <c r="S102" s="186">
        <f t="shared" si="4"/>
        <v>-1.0000000000000001E-5</v>
      </c>
      <c r="T102" s="185">
        <f>IFERROR(IF($C102="",-0.00001,SUMIFS(Database!V:V,Database!$E:$E,$C102)),-0.00001)</f>
        <v>-1.0000000000000001E-5</v>
      </c>
      <c r="U102" s="185">
        <f>IFERROR(IF($C102="",-0.00001,SUMIFS(Database!W:W,Database!$E:$E,$C102)),-0.00001)</f>
        <v>-1.0000000000000001E-5</v>
      </c>
      <c r="V102" s="186">
        <f t="shared" si="5"/>
        <v>-1.0000000000000001E-5</v>
      </c>
      <c r="W102" s="187"/>
      <c r="X102" s="187"/>
      <c r="Y102" s="187"/>
      <c r="Z102" s="187"/>
      <c r="AA102" s="187"/>
      <c r="AB102" s="187"/>
      <c r="AC102" s="187"/>
      <c r="AD102" s="187"/>
      <c r="AE102" s="187"/>
    </row>
    <row r="103" spans="1:31" x14ac:dyDescent="0.25">
      <c r="A103" s="187"/>
      <c r="B103" s="187" t="str">
        <f>IF($C103="","",MAX($B$4:$B102)+1)</f>
        <v/>
      </c>
      <c r="C103" s="183"/>
      <c r="D103" s="183" t="str">
        <f>IFERROR(VLOOKUP($C103,Rosters!$C$4:$M$239,INDEX(Lists!$N$5:$O$80,MATCH($C103,Lists!$N$5:$N$80,FALSE),2)),"")</f>
        <v/>
      </c>
      <c r="E103" s="185">
        <f>IF($C103="",-0.00001,COUNTIF(Database!E:E,$C103))</f>
        <v>-1.0000000000000001E-5</v>
      </c>
      <c r="F103" s="185">
        <f>IFERROR(IF($C103="",-0.00001,SUMIFS(Database!H:H,Database!$E:$E,$C103)),-0.00001)</f>
        <v>-1.0000000000000001E-5</v>
      </c>
      <c r="G103" s="185">
        <f>IFERROR(IF($C103="",-0.00001,SUMIFS(Database!I:I,Database!$E:$E,$C103)),-0.00001)</f>
        <v>-1.0000000000000001E-5</v>
      </c>
      <c r="H103" s="185">
        <f>IFERROR(IF($C103="",-0.00001,SUMIFS(Database!J:J,Database!$E:$E,$C103)),-0.00001)</f>
        <v>-1.0000000000000001E-5</v>
      </c>
      <c r="I103" s="185">
        <f>IFERROR(IF($C103="",-0.00001,SUMIFS(Database!K:K,Database!$E:$E,$C103)),-0.00001)</f>
        <v>-1.0000000000000001E-5</v>
      </c>
      <c r="J103" s="185">
        <f>IFERROR(IF($C103="",-0.00001,SUMIFS(Database!L:L,Database!$E:$E,$C103)),-0.00001)</f>
        <v>-1.0000000000000001E-5</v>
      </c>
      <c r="K103" s="185">
        <f>IFERROR(IF($C103="",-0.00001,SUMIFS(Database!M:M,Database!$E:$E,$C103)),-0.00001)</f>
        <v>-1.0000000000000001E-5</v>
      </c>
      <c r="L103" s="185">
        <f>IFERROR(IF($C103="",-0.00001,SUMIFS(Database!N:N,Database!$E:$E,$C103)),-0.00001)</f>
        <v>-1.0000000000000001E-5</v>
      </c>
      <c r="M103" s="185">
        <f>IFERROR(IF($C103="",-0.00001,SUMIFS(Database!O:O,Database!$E:$E,$C103)),-0.00001)</f>
        <v>-1.0000000000000001E-5</v>
      </c>
      <c r="N103" s="185">
        <f>IFERROR(IF($C103="",-0.00001,SUMIFS(Database!P:P,Database!$E:$E,$C103)),-0.00001)</f>
        <v>-1.0000000000000001E-5</v>
      </c>
      <c r="O103" s="185">
        <f>IFERROR(IF($C103="",-0.00001,SUMIFS(Database!Q:Q,Database!$E:$E,$C103)),-0.00001)</f>
        <v>-1.0000000000000001E-5</v>
      </c>
      <c r="P103" s="186">
        <f t="shared" si="3"/>
        <v>-1.0000000000000001E-5</v>
      </c>
      <c r="Q103" s="185">
        <f>IFERROR(IF($C103="",-0.00001,SUMIFS(Database!S:S,Database!$E:$E,$C103)),-0.00001)</f>
        <v>-1.0000000000000001E-5</v>
      </c>
      <c r="R103" s="185">
        <f>IFERROR(IF($C103="",-0.00001,SUMIFS(Database!T:T,Database!$E:$E,$C103)),-0.00001)</f>
        <v>-1.0000000000000001E-5</v>
      </c>
      <c r="S103" s="186">
        <f t="shared" si="4"/>
        <v>-1.0000000000000001E-5</v>
      </c>
      <c r="T103" s="185">
        <f>IFERROR(IF($C103="",-0.00001,SUMIFS(Database!V:V,Database!$E:$E,$C103)),-0.00001)</f>
        <v>-1.0000000000000001E-5</v>
      </c>
      <c r="U103" s="185">
        <f>IFERROR(IF($C103="",-0.00001,SUMIFS(Database!W:W,Database!$E:$E,$C103)),-0.00001)</f>
        <v>-1.0000000000000001E-5</v>
      </c>
      <c r="V103" s="186">
        <f t="shared" si="5"/>
        <v>-1.0000000000000001E-5</v>
      </c>
      <c r="W103" s="187"/>
      <c r="X103" s="187"/>
      <c r="Y103" s="187"/>
      <c r="Z103" s="187"/>
      <c r="AA103" s="187"/>
      <c r="AB103" s="187"/>
      <c r="AC103" s="187"/>
      <c r="AD103" s="187"/>
      <c r="AE103" s="187"/>
    </row>
    <row r="104" spans="1:31" x14ac:dyDescent="0.25">
      <c r="A104" s="187"/>
      <c r="B104" s="187" t="str">
        <f>IF($C104="","",MAX($B$4:$B103)+1)</f>
        <v/>
      </c>
      <c r="C104" s="183"/>
      <c r="D104" s="183" t="str">
        <f>IFERROR(VLOOKUP($C104,Rosters!$C$4:$M$239,INDEX(Lists!$N$5:$O$80,MATCH($C104,Lists!$N$5:$N$80,FALSE),2)),"")</f>
        <v/>
      </c>
      <c r="E104" s="185">
        <f>IF($C104="",-0.00001,COUNTIF(Database!E:E,$C104))</f>
        <v>-1.0000000000000001E-5</v>
      </c>
      <c r="F104" s="185">
        <f>IFERROR(IF($C104="",-0.00001,SUMIFS(Database!H:H,Database!$E:$E,$C104)),-0.00001)</f>
        <v>-1.0000000000000001E-5</v>
      </c>
      <c r="G104" s="185">
        <f>IFERROR(IF($C104="",-0.00001,SUMIFS(Database!I:I,Database!$E:$E,$C104)),-0.00001)</f>
        <v>-1.0000000000000001E-5</v>
      </c>
      <c r="H104" s="185">
        <f>IFERROR(IF($C104="",-0.00001,SUMIFS(Database!J:J,Database!$E:$E,$C104)),-0.00001)</f>
        <v>-1.0000000000000001E-5</v>
      </c>
      <c r="I104" s="185">
        <f>IFERROR(IF($C104="",-0.00001,SUMIFS(Database!K:K,Database!$E:$E,$C104)),-0.00001)</f>
        <v>-1.0000000000000001E-5</v>
      </c>
      <c r="J104" s="185">
        <f>IFERROR(IF($C104="",-0.00001,SUMIFS(Database!L:L,Database!$E:$E,$C104)),-0.00001)</f>
        <v>-1.0000000000000001E-5</v>
      </c>
      <c r="K104" s="185">
        <f>IFERROR(IF($C104="",-0.00001,SUMIFS(Database!M:M,Database!$E:$E,$C104)),-0.00001)</f>
        <v>-1.0000000000000001E-5</v>
      </c>
      <c r="L104" s="185">
        <f>IFERROR(IF($C104="",-0.00001,SUMIFS(Database!N:N,Database!$E:$E,$C104)),-0.00001)</f>
        <v>-1.0000000000000001E-5</v>
      </c>
      <c r="M104" s="185">
        <f>IFERROR(IF($C104="",-0.00001,SUMIFS(Database!O:O,Database!$E:$E,$C104)),-0.00001)</f>
        <v>-1.0000000000000001E-5</v>
      </c>
      <c r="N104" s="185">
        <f>IFERROR(IF($C104="",-0.00001,SUMIFS(Database!P:P,Database!$E:$E,$C104)),-0.00001)</f>
        <v>-1.0000000000000001E-5</v>
      </c>
      <c r="O104" s="185">
        <f>IFERROR(IF($C104="",-0.00001,SUMIFS(Database!Q:Q,Database!$E:$E,$C104)),-0.00001)</f>
        <v>-1.0000000000000001E-5</v>
      </c>
      <c r="P104" s="186">
        <f t="shared" si="3"/>
        <v>-1.0000000000000001E-5</v>
      </c>
      <c r="Q104" s="185">
        <f>IFERROR(IF($C104="",-0.00001,SUMIFS(Database!S:S,Database!$E:$E,$C104)),-0.00001)</f>
        <v>-1.0000000000000001E-5</v>
      </c>
      <c r="R104" s="185">
        <f>IFERROR(IF($C104="",-0.00001,SUMIFS(Database!T:T,Database!$E:$E,$C104)),-0.00001)</f>
        <v>-1.0000000000000001E-5</v>
      </c>
      <c r="S104" s="186">
        <f t="shared" si="4"/>
        <v>-1.0000000000000001E-5</v>
      </c>
      <c r="T104" s="185">
        <f>IFERROR(IF($C104="",-0.00001,SUMIFS(Database!V:V,Database!$E:$E,$C104)),-0.00001)</f>
        <v>-1.0000000000000001E-5</v>
      </c>
      <c r="U104" s="185">
        <f>IFERROR(IF($C104="",-0.00001,SUMIFS(Database!W:W,Database!$E:$E,$C104)),-0.00001)</f>
        <v>-1.0000000000000001E-5</v>
      </c>
      <c r="V104" s="186">
        <f t="shared" si="5"/>
        <v>-1.0000000000000001E-5</v>
      </c>
      <c r="W104" s="187"/>
      <c r="X104" s="187"/>
      <c r="Y104" s="187"/>
      <c r="Z104" s="187"/>
      <c r="AA104" s="187"/>
      <c r="AB104" s="187"/>
      <c r="AC104" s="187"/>
      <c r="AD104" s="187"/>
      <c r="AE104" s="187"/>
    </row>
    <row r="105" spans="1:31" x14ac:dyDescent="0.25">
      <c r="A105" s="187"/>
      <c r="B105" s="187" t="str">
        <f>IF($C105="","",MAX($B$4:$B104)+1)</f>
        <v/>
      </c>
      <c r="C105" s="183"/>
      <c r="D105" s="183" t="str">
        <f>IFERROR(VLOOKUP($C105,Rosters!$C$4:$M$239,INDEX(Lists!$N$5:$O$80,MATCH($C105,Lists!$N$5:$N$80,FALSE),2)),"")</f>
        <v/>
      </c>
      <c r="E105" s="185">
        <f>IF($C105="",-0.00001,COUNTIF(Database!E:E,$C105))</f>
        <v>-1.0000000000000001E-5</v>
      </c>
      <c r="F105" s="185">
        <f>IFERROR(IF($C105="",-0.00001,SUMIFS(Database!H:H,Database!$E:$E,$C105)),-0.00001)</f>
        <v>-1.0000000000000001E-5</v>
      </c>
      <c r="G105" s="185">
        <f>IFERROR(IF($C105="",-0.00001,SUMIFS(Database!I:I,Database!$E:$E,$C105)),-0.00001)</f>
        <v>-1.0000000000000001E-5</v>
      </c>
      <c r="H105" s="185">
        <f>IFERROR(IF($C105="",-0.00001,SUMIFS(Database!J:J,Database!$E:$E,$C105)),-0.00001)</f>
        <v>-1.0000000000000001E-5</v>
      </c>
      <c r="I105" s="185">
        <f>IFERROR(IF($C105="",-0.00001,SUMIFS(Database!K:K,Database!$E:$E,$C105)),-0.00001)</f>
        <v>-1.0000000000000001E-5</v>
      </c>
      <c r="J105" s="185">
        <f>IFERROR(IF($C105="",-0.00001,SUMIFS(Database!L:L,Database!$E:$E,$C105)),-0.00001)</f>
        <v>-1.0000000000000001E-5</v>
      </c>
      <c r="K105" s="185">
        <f>IFERROR(IF($C105="",-0.00001,SUMIFS(Database!M:M,Database!$E:$E,$C105)),-0.00001)</f>
        <v>-1.0000000000000001E-5</v>
      </c>
      <c r="L105" s="185">
        <f>IFERROR(IF($C105="",-0.00001,SUMIFS(Database!N:N,Database!$E:$E,$C105)),-0.00001)</f>
        <v>-1.0000000000000001E-5</v>
      </c>
      <c r="M105" s="185">
        <f>IFERROR(IF($C105="",-0.00001,SUMIFS(Database!O:O,Database!$E:$E,$C105)),-0.00001)</f>
        <v>-1.0000000000000001E-5</v>
      </c>
      <c r="N105" s="185">
        <f>IFERROR(IF($C105="",-0.00001,SUMIFS(Database!P:P,Database!$E:$E,$C105)),-0.00001)</f>
        <v>-1.0000000000000001E-5</v>
      </c>
      <c r="O105" s="185">
        <f>IFERROR(IF($C105="",-0.00001,SUMIFS(Database!Q:Q,Database!$E:$E,$C105)),-0.00001)</f>
        <v>-1.0000000000000001E-5</v>
      </c>
      <c r="P105" s="186">
        <f t="shared" si="3"/>
        <v>-1.0000000000000001E-5</v>
      </c>
      <c r="Q105" s="185">
        <f>IFERROR(IF($C105="",-0.00001,SUMIFS(Database!S:S,Database!$E:$E,$C105)),-0.00001)</f>
        <v>-1.0000000000000001E-5</v>
      </c>
      <c r="R105" s="185">
        <f>IFERROR(IF($C105="",-0.00001,SUMIFS(Database!T:T,Database!$E:$E,$C105)),-0.00001)</f>
        <v>-1.0000000000000001E-5</v>
      </c>
      <c r="S105" s="186">
        <f t="shared" si="4"/>
        <v>-1.0000000000000001E-5</v>
      </c>
      <c r="T105" s="185">
        <f>IFERROR(IF($C105="",-0.00001,SUMIFS(Database!V:V,Database!$E:$E,$C105)),-0.00001)</f>
        <v>-1.0000000000000001E-5</v>
      </c>
      <c r="U105" s="185">
        <f>IFERROR(IF($C105="",-0.00001,SUMIFS(Database!W:W,Database!$E:$E,$C105)),-0.00001)</f>
        <v>-1.0000000000000001E-5</v>
      </c>
      <c r="V105" s="186">
        <f t="shared" si="5"/>
        <v>-1.0000000000000001E-5</v>
      </c>
      <c r="W105" s="187"/>
      <c r="X105" s="187"/>
      <c r="Y105" s="187"/>
      <c r="Z105" s="187"/>
      <c r="AA105" s="187"/>
      <c r="AB105" s="187"/>
      <c r="AC105" s="187"/>
      <c r="AD105" s="187"/>
      <c r="AE105" s="187"/>
    </row>
    <row r="106" spans="1:31" x14ac:dyDescent="0.25">
      <c r="A106" s="187"/>
      <c r="B106" s="187" t="str">
        <f>IF($C106="","",MAX($B$4:$B105)+1)</f>
        <v/>
      </c>
      <c r="C106" s="183"/>
      <c r="D106" s="183" t="str">
        <f>IFERROR(VLOOKUP($C106,Rosters!$C$4:$M$239,INDEX(Lists!$N$5:$O$80,MATCH($C106,Lists!$N$5:$N$80,FALSE),2)),"")</f>
        <v/>
      </c>
      <c r="E106" s="185">
        <f>IF($C106="",-0.00001,COUNTIF(Database!E:E,$C106))</f>
        <v>-1.0000000000000001E-5</v>
      </c>
      <c r="F106" s="185">
        <f>IFERROR(IF($C106="",-0.00001,SUMIFS(Database!H:H,Database!$E:$E,$C106)),-0.00001)</f>
        <v>-1.0000000000000001E-5</v>
      </c>
      <c r="G106" s="185">
        <f>IFERROR(IF($C106="",-0.00001,SUMIFS(Database!I:I,Database!$E:$E,$C106)),-0.00001)</f>
        <v>-1.0000000000000001E-5</v>
      </c>
      <c r="H106" s="185">
        <f>IFERROR(IF($C106="",-0.00001,SUMIFS(Database!J:J,Database!$E:$E,$C106)),-0.00001)</f>
        <v>-1.0000000000000001E-5</v>
      </c>
      <c r="I106" s="185">
        <f>IFERROR(IF($C106="",-0.00001,SUMIFS(Database!K:K,Database!$E:$E,$C106)),-0.00001)</f>
        <v>-1.0000000000000001E-5</v>
      </c>
      <c r="J106" s="185">
        <f>IFERROR(IF($C106="",-0.00001,SUMIFS(Database!L:L,Database!$E:$E,$C106)),-0.00001)</f>
        <v>-1.0000000000000001E-5</v>
      </c>
      <c r="K106" s="185">
        <f>IFERROR(IF($C106="",-0.00001,SUMIFS(Database!M:M,Database!$E:$E,$C106)),-0.00001)</f>
        <v>-1.0000000000000001E-5</v>
      </c>
      <c r="L106" s="185">
        <f>IFERROR(IF($C106="",-0.00001,SUMIFS(Database!N:N,Database!$E:$E,$C106)),-0.00001)</f>
        <v>-1.0000000000000001E-5</v>
      </c>
      <c r="M106" s="185">
        <f>IFERROR(IF($C106="",-0.00001,SUMIFS(Database!O:O,Database!$E:$E,$C106)),-0.00001)</f>
        <v>-1.0000000000000001E-5</v>
      </c>
      <c r="N106" s="185">
        <f>IFERROR(IF($C106="",-0.00001,SUMIFS(Database!P:P,Database!$E:$E,$C106)),-0.00001)</f>
        <v>-1.0000000000000001E-5</v>
      </c>
      <c r="O106" s="185">
        <f>IFERROR(IF($C106="",-0.00001,SUMIFS(Database!Q:Q,Database!$E:$E,$C106)),-0.00001)</f>
        <v>-1.0000000000000001E-5</v>
      </c>
      <c r="P106" s="186">
        <f t="shared" si="3"/>
        <v>-1.0000000000000001E-5</v>
      </c>
      <c r="Q106" s="185">
        <f>IFERROR(IF($C106="",-0.00001,SUMIFS(Database!S:S,Database!$E:$E,$C106)),-0.00001)</f>
        <v>-1.0000000000000001E-5</v>
      </c>
      <c r="R106" s="185">
        <f>IFERROR(IF($C106="",-0.00001,SUMIFS(Database!T:T,Database!$E:$E,$C106)),-0.00001)</f>
        <v>-1.0000000000000001E-5</v>
      </c>
      <c r="S106" s="186">
        <f t="shared" si="4"/>
        <v>-1.0000000000000001E-5</v>
      </c>
      <c r="T106" s="185">
        <f>IFERROR(IF($C106="",-0.00001,SUMIFS(Database!V:V,Database!$E:$E,$C106)),-0.00001)</f>
        <v>-1.0000000000000001E-5</v>
      </c>
      <c r="U106" s="185">
        <f>IFERROR(IF($C106="",-0.00001,SUMIFS(Database!W:W,Database!$E:$E,$C106)),-0.00001)</f>
        <v>-1.0000000000000001E-5</v>
      </c>
      <c r="V106" s="186">
        <f t="shared" si="5"/>
        <v>-1.0000000000000001E-5</v>
      </c>
      <c r="W106" s="187"/>
      <c r="X106" s="187"/>
      <c r="Y106" s="187"/>
      <c r="Z106" s="187"/>
      <c r="AA106" s="187"/>
      <c r="AB106" s="187"/>
      <c r="AC106" s="187"/>
      <c r="AD106" s="187"/>
      <c r="AE106" s="187"/>
    </row>
    <row r="107" spans="1:31" x14ac:dyDescent="0.25">
      <c r="A107" s="187"/>
      <c r="B107" s="187" t="str">
        <f>IF($C107="","",MAX($B$4:$B106)+1)</f>
        <v/>
      </c>
      <c r="C107" s="183"/>
      <c r="D107" s="183" t="str">
        <f>IFERROR(VLOOKUP($C107,Rosters!$C$4:$M$239,INDEX(Lists!$N$5:$O$80,MATCH($C107,Lists!$N$5:$N$80,FALSE),2)),"")</f>
        <v/>
      </c>
      <c r="E107" s="185">
        <f>IF($C107="",-0.00001,COUNTIF(Database!E:E,$C107))</f>
        <v>-1.0000000000000001E-5</v>
      </c>
      <c r="F107" s="185">
        <f>IFERROR(IF($C107="",-0.00001,SUMIFS(Database!H:H,Database!$E:$E,$C107)),-0.00001)</f>
        <v>-1.0000000000000001E-5</v>
      </c>
      <c r="G107" s="185">
        <f>IFERROR(IF($C107="",-0.00001,SUMIFS(Database!I:I,Database!$E:$E,$C107)),-0.00001)</f>
        <v>-1.0000000000000001E-5</v>
      </c>
      <c r="H107" s="185">
        <f>IFERROR(IF($C107="",-0.00001,SUMIFS(Database!J:J,Database!$E:$E,$C107)),-0.00001)</f>
        <v>-1.0000000000000001E-5</v>
      </c>
      <c r="I107" s="185">
        <f>IFERROR(IF($C107="",-0.00001,SUMIFS(Database!K:K,Database!$E:$E,$C107)),-0.00001)</f>
        <v>-1.0000000000000001E-5</v>
      </c>
      <c r="J107" s="185">
        <f>IFERROR(IF($C107="",-0.00001,SUMIFS(Database!L:L,Database!$E:$E,$C107)),-0.00001)</f>
        <v>-1.0000000000000001E-5</v>
      </c>
      <c r="K107" s="185">
        <f>IFERROR(IF($C107="",-0.00001,SUMIFS(Database!M:M,Database!$E:$E,$C107)),-0.00001)</f>
        <v>-1.0000000000000001E-5</v>
      </c>
      <c r="L107" s="185">
        <f>IFERROR(IF($C107="",-0.00001,SUMIFS(Database!N:N,Database!$E:$E,$C107)),-0.00001)</f>
        <v>-1.0000000000000001E-5</v>
      </c>
      <c r="M107" s="185">
        <f>IFERROR(IF($C107="",-0.00001,SUMIFS(Database!O:O,Database!$E:$E,$C107)),-0.00001)</f>
        <v>-1.0000000000000001E-5</v>
      </c>
      <c r="N107" s="185">
        <f>IFERROR(IF($C107="",-0.00001,SUMIFS(Database!P:P,Database!$E:$E,$C107)),-0.00001)</f>
        <v>-1.0000000000000001E-5</v>
      </c>
      <c r="O107" s="185">
        <f>IFERROR(IF($C107="",-0.00001,SUMIFS(Database!Q:Q,Database!$E:$E,$C107)),-0.00001)</f>
        <v>-1.0000000000000001E-5</v>
      </c>
      <c r="P107" s="186">
        <f t="shared" si="3"/>
        <v>-1.0000000000000001E-5</v>
      </c>
      <c r="Q107" s="185">
        <f>IFERROR(IF($C107="",-0.00001,SUMIFS(Database!S:S,Database!$E:$E,$C107)),-0.00001)</f>
        <v>-1.0000000000000001E-5</v>
      </c>
      <c r="R107" s="185">
        <f>IFERROR(IF($C107="",-0.00001,SUMIFS(Database!T:T,Database!$E:$E,$C107)),-0.00001)</f>
        <v>-1.0000000000000001E-5</v>
      </c>
      <c r="S107" s="186">
        <f t="shared" si="4"/>
        <v>-1.0000000000000001E-5</v>
      </c>
      <c r="T107" s="185">
        <f>IFERROR(IF($C107="",-0.00001,SUMIFS(Database!V:V,Database!$E:$E,$C107)),-0.00001)</f>
        <v>-1.0000000000000001E-5</v>
      </c>
      <c r="U107" s="185">
        <f>IFERROR(IF($C107="",-0.00001,SUMIFS(Database!W:W,Database!$E:$E,$C107)),-0.00001)</f>
        <v>-1.0000000000000001E-5</v>
      </c>
      <c r="V107" s="186">
        <f t="shared" si="5"/>
        <v>-1.0000000000000001E-5</v>
      </c>
      <c r="W107" s="187"/>
      <c r="X107" s="187"/>
      <c r="Y107" s="187"/>
      <c r="Z107" s="187"/>
      <c r="AA107" s="187"/>
      <c r="AB107" s="187"/>
      <c r="AC107" s="187"/>
      <c r="AD107" s="187"/>
      <c r="AE107" s="187"/>
    </row>
    <row r="108" spans="1:31" x14ac:dyDescent="0.25">
      <c r="A108" s="187"/>
      <c r="B108" s="187" t="str">
        <f>IF($C108="","",MAX($B$4:$B107)+1)</f>
        <v/>
      </c>
      <c r="C108" s="183"/>
      <c r="D108" s="183" t="str">
        <f>IFERROR(VLOOKUP($C108,Rosters!$C$4:$M$239,INDEX(Lists!$N$5:$O$80,MATCH($C108,Lists!$N$5:$N$80,FALSE),2)),"")</f>
        <v/>
      </c>
      <c r="E108" s="185">
        <f>IF($C108="",-0.00001,COUNTIF(Database!E:E,$C108))</f>
        <v>-1.0000000000000001E-5</v>
      </c>
      <c r="F108" s="185">
        <f>IFERROR(IF($C108="",-0.00001,SUMIFS(Database!H:H,Database!$E:$E,$C108)),-0.00001)</f>
        <v>-1.0000000000000001E-5</v>
      </c>
      <c r="G108" s="185">
        <f>IFERROR(IF($C108="",-0.00001,SUMIFS(Database!I:I,Database!$E:$E,$C108)),-0.00001)</f>
        <v>-1.0000000000000001E-5</v>
      </c>
      <c r="H108" s="185">
        <f>IFERROR(IF($C108="",-0.00001,SUMIFS(Database!J:J,Database!$E:$E,$C108)),-0.00001)</f>
        <v>-1.0000000000000001E-5</v>
      </c>
      <c r="I108" s="185">
        <f>IFERROR(IF($C108="",-0.00001,SUMIFS(Database!K:K,Database!$E:$E,$C108)),-0.00001)</f>
        <v>-1.0000000000000001E-5</v>
      </c>
      <c r="J108" s="185">
        <f>IFERROR(IF($C108="",-0.00001,SUMIFS(Database!L:L,Database!$E:$E,$C108)),-0.00001)</f>
        <v>-1.0000000000000001E-5</v>
      </c>
      <c r="K108" s="185">
        <f>IFERROR(IF($C108="",-0.00001,SUMIFS(Database!M:M,Database!$E:$E,$C108)),-0.00001)</f>
        <v>-1.0000000000000001E-5</v>
      </c>
      <c r="L108" s="185">
        <f>IFERROR(IF($C108="",-0.00001,SUMIFS(Database!N:N,Database!$E:$E,$C108)),-0.00001)</f>
        <v>-1.0000000000000001E-5</v>
      </c>
      <c r="M108" s="185">
        <f>IFERROR(IF($C108="",-0.00001,SUMIFS(Database!O:O,Database!$E:$E,$C108)),-0.00001)</f>
        <v>-1.0000000000000001E-5</v>
      </c>
      <c r="N108" s="185">
        <f>IFERROR(IF($C108="",-0.00001,SUMIFS(Database!P:P,Database!$E:$E,$C108)),-0.00001)</f>
        <v>-1.0000000000000001E-5</v>
      </c>
      <c r="O108" s="185">
        <f>IFERROR(IF($C108="",-0.00001,SUMIFS(Database!Q:Q,Database!$E:$E,$C108)),-0.00001)</f>
        <v>-1.0000000000000001E-5</v>
      </c>
      <c r="P108" s="186">
        <f t="shared" si="3"/>
        <v>-1.0000000000000001E-5</v>
      </c>
      <c r="Q108" s="185">
        <f>IFERROR(IF($C108="",-0.00001,SUMIFS(Database!S:S,Database!$E:$E,$C108)),-0.00001)</f>
        <v>-1.0000000000000001E-5</v>
      </c>
      <c r="R108" s="185">
        <f>IFERROR(IF($C108="",-0.00001,SUMIFS(Database!T:T,Database!$E:$E,$C108)),-0.00001)</f>
        <v>-1.0000000000000001E-5</v>
      </c>
      <c r="S108" s="186">
        <f t="shared" si="4"/>
        <v>-1.0000000000000001E-5</v>
      </c>
      <c r="T108" s="185">
        <f>IFERROR(IF($C108="",-0.00001,SUMIFS(Database!V:V,Database!$E:$E,$C108)),-0.00001)</f>
        <v>-1.0000000000000001E-5</v>
      </c>
      <c r="U108" s="185">
        <f>IFERROR(IF($C108="",-0.00001,SUMIFS(Database!W:W,Database!$E:$E,$C108)),-0.00001)</f>
        <v>-1.0000000000000001E-5</v>
      </c>
      <c r="V108" s="186">
        <f t="shared" si="5"/>
        <v>-1.0000000000000001E-5</v>
      </c>
      <c r="W108" s="187"/>
      <c r="X108" s="187"/>
      <c r="Y108" s="187"/>
      <c r="Z108" s="187"/>
      <c r="AA108" s="187"/>
      <c r="AB108" s="187"/>
      <c r="AC108" s="187"/>
      <c r="AD108" s="187"/>
      <c r="AE108" s="187"/>
    </row>
    <row r="109" spans="1:31" x14ac:dyDescent="0.25">
      <c r="A109" s="187"/>
      <c r="B109" s="187" t="str">
        <f>IF($C109="","",MAX($B$4:$B108)+1)</f>
        <v/>
      </c>
      <c r="C109" s="183"/>
      <c r="D109" s="183" t="str">
        <f>IFERROR(VLOOKUP($C109,Rosters!$C$4:$M$239,INDEX(Lists!$N$5:$O$80,MATCH($C109,Lists!$N$5:$N$80,FALSE),2)),"")</f>
        <v/>
      </c>
      <c r="E109" s="185">
        <f>IF($C109="",-0.00001,COUNTIF(Database!E:E,$C109))</f>
        <v>-1.0000000000000001E-5</v>
      </c>
      <c r="F109" s="185">
        <f>IFERROR(IF($C109="",-0.00001,SUMIFS(Database!H:H,Database!$E:$E,$C109)),-0.00001)</f>
        <v>-1.0000000000000001E-5</v>
      </c>
      <c r="G109" s="185">
        <f>IFERROR(IF($C109="",-0.00001,SUMIFS(Database!I:I,Database!$E:$E,$C109)),-0.00001)</f>
        <v>-1.0000000000000001E-5</v>
      </c>
      <c r="H109" s="185">
        <f>IFERROR(IF($C109="",-0.00001,SUMIFS(Database!J:J,Database!$E:$E,$C109)),-0.00001)</f>
        <v>-1.0000000000000001E-5</v>
      </c>
      <c r="I109" s="185">
        <f>IFERROR(IF($C109="",-0.00001,SUMIFS(Database!K:K,Database!$E:$E,$C109)),-0.00001)</f>
        <v>-1.0000000000000001E-5</v>
      </c>
      <c r="J109" s="185">
        <f>IFERROR(IF($C109="",-0.00001,SUMIFS(Database!L:L,Database!$E:$E,$C109)),-0.00001)</f>
        <v>-1.0000000000000001E-5</v>
      </c>
      <c r="K109" s="185">
        <f>IFERROR(IF($C109="",-0.00001,SUMIFS(Database!M:M,Database!$E:$E,$C109)),-0.00001)</f>
        <v>-1.0000000000000001E-5</v>
      </c>
      <c r="L109" s="185">
        <f>IFERROR(IF($C109="",-0.00001,SUMIFS(Database!N:N,Database!$E:$E,$C109)),-0.00001)</f>
        <v>-1.0000000000000001E-5</v>
      </c>
      <c r="M109" s="185">
        <f>IFERROR(IF($C109="",-0.00001,SUMIFS(Database!O:O,Database!$E:$E,$C109)),-0.00001)</f>
        <v>-1.0000000000000001E-5</v>
      </c>
      <c r="N109" s="185">
        <f>IFERROR(IF($C109="",-0.00001,SUMIFS(Database!P:P,Database!$E:$E,$C109)),-0.00001)</f>
        <v>-1.0000000000000001E-5</v>
      </c>
      <c r="O109" s="185">
        <f>IFERROR(IF($C109="",-0.00001,SUMIFS(Database!Q:Q,Database!$E:$E,$C109)),-0.00001)</f>
        <v>-1.0000000000000001E-5</v>
      </c>
      <c r="P109" s="186">
        <f t="shared" si="3"/>
        <v>-1.0000000000000001E-5</v>
      </c>
      <c r="Q109" s="185">
        <f>IFERROR(IF($C109="",-0.00001,SUMIFS(Database!S:S,Database!$E:$E,$C109)),-0.00001)</f>
        <v>-1.0000000000000001E-5</v>
      </c>
      <c r="R109" s="185">
        <f>IFERROR(IF($C109="",-0.00001,SUMIFS(Database!T:T,Database!$E:$E,$C109)),-0.00001)</f>
        <v>-1.0000000000000001E-5</v>
      </c>
      <c r="S109" s="186">
        <f t="shared" si="4"/>
        <v>-1.0000000000000001E-5</v>
      </c>
      <c r="T109" s="185">
        <f>IFERROR(IF($C109="",-0.00001,SUMIFS(Database!V:V,Database!$E:$E,$C109)),-0.00001)</f>
        <v>-1.0000000000000001E-5</v>
      </c>
      <c r="U109" s="185">
        <f>IFERROR(IF($C109="",-0.00001,SUMIFS(Database!W:W,Database!$E:$E,$C109)),-0.00001)</f>
        <v>-1.0000000000000001E-5</v>
      </c>
      <c r="V109" s="186">
        <f t="shared" si="5"/>
        <v>-1.0000000000000001E-5</v>
      </c>
      <c r="W109" s="187"/>
      <c r="X109" s="187"/>
      <c r="Y109" s="187"/>
      <c r="Z109" s="187"/>
      <c r="AA109" s="187"/>
      <c r="AB109" s="187"/>
      <c r="AC109" s="187"/>
      <c r="AD109" s="187"/>
      <c r="AE109" s="187"/>
    </row>
    <row r="110" spans="1:31" x14ac:dyDescent="0.25">
      <c r="A110" s="187"/>
      <c r="B110" s="187" t="str">
        <f>IF($C110="","",MAX($B$4:$B109)+1)</f>
        <v/>
      </c>
      <c r="C110" s="183"/>
      <c r="D110" s="183" t="str">
        <f>IFERROR(VLOOKUP($C110,Rosters!$C$4:$M$239,INDEX(Lists!$N$5:$O$80,MATCH($C110,Lists!$N$5:$N$80,FALSE),2)),"")</f>
        <v/>
      </c>
      <c r="E110" s="185">
        <f>IF($C110="",-0.00001,COUNTIF(Database!E:E,$C110))</f>
        <v>-1.0000000000000001E-5</v>
      </c>
      <c r="F110" s="185">
        <f>IFERROR(IF($C110="",-0.00001,SUMIFS(Database!H:H,Database!$E:$E,$C110)),-0.00001)</f>
        <v>-1.0000000000000001E-5</v>
      </c>
      <c r="G110" s="185">
        <f>IFERROR(IF($C110="",-0.00001,SUMIFS(Database!I:I,Database!$E:$E,$C110)),-0.00001)</f>
        <v>-1.0000000000000001E-5</v>
      </c>
      <c r="H110" s="185">
        <f>IFERROR(IF($C110="",-0.00001,SUMIFS(Database!J:J,Database!$E:$E,$C110)),-0.00001)</f>
        <v>-1.0000000000000001E-5</v>
      </c>
      <c r="I110" s="185">
        <f>IFERROR(IF($C110="",-0.00001,SUMIFS(Database!K:K,Database!$E:$E,$C110)),-0.00001)</f>
        <v>-1.0000000000000001E-5</v>
      </c>
      <c r="J110" s="185">
        <f>IFERROR(IF($C110="",-0.00001,SUMIFS(Database!L:L,Database!$E:$E,$C110)),-0.00001)</f>
        <v>-1.0000000000000001E-5</v>
      </c>
      <c r="K110" s="185">
        <f>IFERROR(IF($C110="",-0.00001,SUMIFS(Database!M:M,Database!$E:$E,$C110)),-0.00001)</f>
        <v>-1.0000000000000001E-5</v>
      </c>
      <c r="L110" s="185">
        <f>IFERROR(IF($C110="",-0.00001,SUMIFS(Database!N:N,Database!$E:$E,$C110)),-0.00001)</f>
        <v>-1.0000000000000001E-5</v>
      </c>
      <c r="M110" s="185">
        <f>IFERROR(IF($C110="",-0.00001,SUMIFS(Database!O:O,Database!$E:$E,$C110)),-0.00001)</f>
        <v>-1.0000000000000001E-5</v>
      </c>
      <c r="N110" s="185">
        <f>IFERROR(IF($C110="",-0.00001,SUMIFS(Database!P:P,Database!$E:$E,$C110)),-0.00001)</f>
        <v>-1.0000000000000001E-5</v>
      </c>
      <c r="O110" s="185">
        <f>IFERROR(IF($C110="",-0.00001,SUMIFS(Database!Q:Q,Database!$E:$E,$C110)),-0.00001)</f>
        <v>-1.0000000000000001E-5</v>
      </c>
      <c r="P110" s="186">
        <f t="shared" si="3"/>
        <v>-1.0000000000000001E-5</v>
      </c>
      <c r="Q110" s="185">
        <f>IFERROR(IF($C110="",-0.00001,SUMIFS(Database!S:S,Database!$E:$E,$C110)),-0.00001)</f>
        <v>-1.0000000000000001E-5</v>
      </c>
      <c r="R110" s="185">
        <f>IFERROR(IF($C110="",-0.00001,SUMIFS(Database!T:T,Database!$E:$E,$C110)),-0.00001)</f>
        <v>-1.0000000000000001E-5</v>
      </c>
      <c r="S110" s="186">
        <f t="shared" si="4"/>
        <v>-1.0000000000000001E-5</v>
      </c>
      <c r="T110" s="185">
        <f>IFERROR(IF($C110="",-0.00001,SUMIFS(Database!V:V,Database!$E:$E,$C110)),-0.00001)</f>
        <v>-1.0000000000000001E-5</v>
      </c>
      <c r="U110" s="185">
        <f>IFERROR(IF($C110="",-0.00001,SUMIFS(Database!W:W,Database!$E:$E,$C110)),-0.00001)</f>
        <v>-1.0000000000000001E-5</v>
      </c>
      <c r="V110" s="186">
        <f t="shared" si="5"/>
        <v>-1.0000000000000001E-5</v>
      </c>
      <c r="W110" s="187"/>
      <c r="X110" s="187"/>
      <c r="Y110" s="187"/>
      <c r="Z110" s="187"/>
      <c r="AA110" s="187"/>
      <c r="AB110" s="187"/>
      <c r="AC110" s="187"/>
      <c r="AD110" s="187"/>
      <c r="AE110" s="187"/>
    </row>
    <row r="111" spans="1:31" x14ac:dyDescent="0.25">
      <c r="A111" s="187"/>
      <c r="B111" s="187" t="str">
        <f>IF($C111="","",MAX($B$4:$B110)+1)</f>
        <v/>
      </c>
      <c r="C111" s="183"/>
      <c r="D111" s="183" t="str">
        <f>IFERROR(VLOOKUP($C111,Rosters!$C$4:$M$239,INDEX(Lists!$N$5:$O$80,MATCH($C111,Lists!$N$5:$N$80,FALSE),2)),"")</f>
        <v/>
      </c>
      <c r="E111" s="185">
        <f>IF($C111="",-0.00001,COUNTIF(Database!E:E,$C111))</f>
        <v>-1.0000000000000001E-5</v>
      </c>
      <c r="F111" s="185">
        <f>IFERROR(IF($C111="",-0.00001,SUMIFS(Database!H:H,Database!$E:$E,$C111)),-0.00001)</f>
        <v>-1.0000000000000001E-5</v>
      </c>
      <c r="G111" s="185">
        <f>IFERROR(IF($C111="",-0.00001,SUMIFS(Database!I:I,Database!$E:$E,$C111)),-0.00001)</f>
        <v>-1.0000000000000001E-5</v>
      </c>
      <c r="H111" s="185">
        <f>IFERROR(IF($C111="",-0.00001,SUMIFS(Database!J:J,Database!$E:$E,$C111)),-0.00001)</f>
        <v>-1.0000000000000001E-5</v>
      </c>
      <c r="I111" s="185">
        <f>IFERROR(IF($C111="",-0.00001,SUMIFS(Database!K:K,Database!$E:$E,$C111)),-0.00001)</f>
        <v>-1.0000000000000001E-5</v>
      </c>
      <c r="J111" s="185">
        <f>IFERROR(IF($C111="",-0.00001,SUMIFS(Database!L:L,Database!$E:$E,$C111)),-0.00001)</f>
        <v>-1.0000000000000001E-5</v>
      </c>
      <c r="K111" s="185">
        <f>IFERROR(IF($C111="",-0.00001,SUMIFS(Database!M:M,Database!$E:$E,$C111)),-0.00001)</f>
        <v>-1.0000000000000001E-5</v>
      </c>
      <c r="L111" s="185">
        <f>IFERROR(IF($C111="",-0.00001,SUMIFS(Database!N:N,Database!$E:$E,$C111)),-0.00001)</f>
        <v>-1.0000000000000001E-5</v>
      </c>
      <c r="M111" s="185">
        <f>IFERROR(IF($C111="",-0.00001,SUMIFS(Database!O:O,Database!$E:$E,$C111)),-0.00001)</f>
        <v>-1.0000000000000001E-5</v>
      </c>
      <c r="N111" s="185">
        <f>IFERROR(IF($C111="",-0.00001,SUMIFS(Database!P:P,Database!$E:$E,$C111)),-0.00001)</f>
        <v>-1.0000000000000001E-5</v>
      </c>
      <c r="O111" s="185">
        <f>IFERROR(IF($C111="",-0.00001,SUMIFS(Database!Q:Q,Database!$E:$E,$C111)),-0.00001)</f>
        <v>-1.0000000000000001E-5</v>
      </c>
      <c r="P111" s="186">
        <f t="shared" si="3"/>
        <v>-1.0000000000000001E-5</v>
      </c>
      <c r="Q111" s="185">
        <f>IFERROR(IF($C111="",-0.00001,SUMIFS(Database!S:S,Database!$E:$E,$C111)),-0.00001)</f>
        <v>-1.0000000000000001E-5</v>
      </c>
      <c r="R111" s="185">
        <f>IFERROR(IF($C111="",-0.00001,SUMIFS(Database!T:T,Database!$E:$E,$C111)),-0.00001)</f>
        <v>-1.0000000000000001E-5</v>
      </c>
      <c r="S111" s="186">
        <f t="shared" si="4"/>
        <v>-1.0000000000000001E-5</v>
      </c>
      <c r="T111" s="185">
        <f>IFERROR(IF($C111="",-0.00001,SUMIFS(Database!V:V,Database!$E:$E,$C111)),-0.00001)</f>
        <v>-1.0000000000000001E-5</v>
      </c>
      <c r="U111" s="185">
        <f>IFERROR(IF($C111="",-0.00001,SUMIFS(Database!W:W,Database!$E:$E,$C111)),-0.00001)</f>
        <v>-1.0000000000000001E-5</v>
      </c>
      <c r="V111" s="186">
        <f t="shared" si="5"/>
        <v>-1.0000000000000001E-5</v>
      </c>
      <c r="W111" s="187"/>
      <c r="X111" s="187"/>
      <c r="Y111" s="187"/>
      <c r="Z111" s="187"/>
      <c r="AA111" s="187"/>
      <c r="AB111" s="187"/>
      <c r="AC111" s="187"/>
      <c r="AD111" s="187"/>
      <c r="AE111" s="187"/>
    </row>
    <row r="112" spans="1:31" x14ac:dyDescent="0.25">
      <c r="A112" s="187"/>
      <c r="B112" s="187" t="str">
        <f>IF($C112="","",MAX($B$4:$B111)+1)</f>
        <v/>
      </c>
      <c r="C112" s="183"/>
      <c r="D112" s="183" t="str">
        <f>IFERROR(VLOOKUP($C112,Rosters!$C$4:$M$239,INDEX(Lists!$N$5:$O$80,MATCH($C112,Lists!$N$5:$N$80,FALSE),2)),"")</f>
        <v/>
      </c>
      <c r="E112" s="185">
        <f>IF($C112="",-0.00001,COUNTIF(Database!E:E,$C112))</f>
        <v>-1.0000000000000001E-5</v>
      </c>
      <c r="F112" s="185">
        <f>IFERROR(IF($C112="",-0.00001,SUMIFS(Database!H:H,Database!$E:$E,$C112)),-0.00001)</f>
        <v>-1.0000000000000001E-5</v>
      </c>
      <c r="G112" s="185">
        <f>IFERROR(IF($C112="",-0.00001,SUMIFS(Database!I:I,Database!$E:$E,$C112)),-0.00001)</f>
        <v>-1.0000000000000001E-5</v>
      </c>
      <c r="H112" s="185">
        <f>IFERROR(IF($C112="",-0.00001,SUMIFS(Database!J:J,Database!$E:$E,$C112)),-0.00001)</f>
        <v>-1.0000000000000001E-5</v>
      </c>
      <c r="I112" s="185">
        <f>IFERROR(IF($C112="",-0.00001,SUMIFS(Database!K:K,Database!$E:$E,$C112)),-0.00001)</f>
        <v>-1.0000000000000001E-5</v>
      </c>
      <c r="J112" s="185">
        <f>IFERROR(IF($C112="",-0.00001,SUMIFS(Database!L:L,Database!$E:$E,$C112)),-0.00001)</f>
        <v>-1.0000000000000001E-5</v>
      </c>
      <c r="K112" s="185">
        <f>IFERROR(IF($C112="",-0.00001,SUMIFS(Database!M:M,Database!$E:$E,$C112)),-0.00001)</f>
        <v>-1.0000000000000001E-5</v>
      </c>
      <c r="L112" s="185">
        <f>IFERROR(IF($C112="",-0.00001,SUMIFS(Database!N:N,Database!$E:$E,$C112)),-0.00001)</f>
        <v>-1.0000000000000001E-5</v>
      </c>
      <c r="M112" s="185">
        <f>IFERROR(IF($C112="",-0.00001,SUMIFS(Database!O:O,Database!$E:$E,$C112)),-0.00001)</f>
        <v>-1.0000000000000001E-5</v>
      </c>
      <c r="N112" s="185">
        <f>IFERROR(IF($C112="",-0.00001,SUMIFS(Database!P:P,Database!$E:$E,$C112)),-0.00001)</f>
        <v>-1.0000000000000001E-5</v>
      </c>
      <c r="O112" s="185">
        <f>IFERROR(IF($C112="",-0.00001,SUMIFS(Database!Q:Q,Database!$E:$E,$C112)),-0.00001)</f>
        <v>-1.0000000000000001E-5</v>
      </c>
      <c r="P112" s="186">
        <f t="shared" si="3"/>
        <v>-1.0000000000000001E-5</v>
      </c>
      <c r="Q112" s="185">
        <f>IFERROR(IF($C112="",-0.00001,SUMIFS(Database!S:S,Database!$E:$E,$C112)),-0.00001)</f>
        <v>-1.0000000000000001E-5</v>
      </c>
      <c r="R112" s="185">
        <f>IFERROR(IF($C112="",-0.00001,SUMIFS(Database!T:T,Database!$E:$E,$C112)),-0.00001)</f>
        <v>-1.0000000000000001E-5</v>
      </c>
      <c r="S112" s="186">
        <f t="shared" si="4"/>
        <v>-1.0000000000000001E-5</v>
      </c>
      <c r="T112" s="185">
        <f>IFERROR(IF($C112="",-0.00001,SUMIFS(Database!V:V,Database!$E:$E,$C112)),-0.00001)</f>
        <v>-1.0000000000000001E-5</v>
      </c>
      <c r="U112" s="185">
        <f>IFERROR(IF($C112="",-0.00001,SUMIFS(Database!W:W,Database!$E:$E,$C112)),-0.00001)</f>
        <v>-1.0000000000000001E-5</v>
      </c>
      <c r="V112" s="186">
        <f t="shared" si="5"/>
        <v>-1.0000000000000001E-5</v>
      </c>
      <c r="W112" s="187"/>
      <c r="X112" s="187"/>
      <c r="Y112" s="187"/>
      <c r="Z112" s="187"/>
      <c r="AA112" s="187"/>
      <c r="AB112" s="187"/>
      <c r="AC112" s="187"/>
      <c r="AD112" s="187"/>
      <c r="AE112" s="187"/>
    </row>
    <row r="113" spans="1:31" x14ac:dyDescent="0.25">
      <c r="A113" s="187"/>
      <c r="B113" s="187" t="str">
        <f>IF($C113="","",MAX($B$4:$B112)+1)</f>
        <v/>
      </c>
      <c r="C113" s="183"/>
      <c r="D113" s="183" t="str">
        <f>IFERROR(VLOOKUP($C113,Rosters!$C$4:$M$239,INDEX(Lists!$N$5:$O$80,MATCH($C113,Lists!$N$5:$N$80,FALSE),2)),"")</f>
        <v/>
      </c>
      <c r="E113" s="185">
        <f>IF($C113="",-0.00001,COUNTIF(Database!E:E,$C113))</f>
        <v>-1.0000000000000001E-5</v>
      </c>
      <c r="F113" s="185">
        <f>IFERROR(IF($C113="",-0.00001,SUMIFS(Database!H:H,Database!$E:$E,$C113)),-0.00001)</f>
        <v>-1.0000000000000001E-5</v>
      </c>
      <c r="G113" s="185">
        <f>IFERROR(IF($C113="",-0.00001,SUMIFS(Database!I:I,Database!$E:$E,$C113)),-0.00001)</f>
        <v>-1.0000000000000001E-5</v>
      </c>
      <c r="H113" s="185">
        <f>IFERROR(IF($C113="",-0.00001,SUMIFS(Database!J:J,Database!$E:$E,$C113)),-0.00001)</f>
        <v>-1.0000000000000001E-5</v>
      </c>
      <c r="I113" s="185">
        <f>IFERROR(IF($C113="",-0.00001,SUMIFS(Database!K:K,Database!$E:$E,$C113)),-0.00001)</f>
        <v>-1.0000000000000001E-5</v>
      </c>
      <c r="J113" s="185">
        <f>IFERROR(IF($C113="",-0.00001,SUMIFS(Database!L:L,Database!$E:$E,$C113)),-0.00001)</f>
        <v>-1.0000000000000001E-5</v>
      </c>
      <c r="K113" s="185">
        <f>IFERROR(IF($C113="",-0.00001,SUMIFS(Database!M:M,Database!$E:$E,$C113)),-0.00001)</f>
        <v>-1.0000000000000001E-5</v>
      </c>
      <c r="L113" s="185">
        <f>IFERROR(IF($C113="",-0.00001,SUMIFS(Database!N:N,Database!$E:$E,$C113)),-0.00001)</f>
        <v>-1.0000000000000001E-5</v>
      </c>
      <c r="M113" s="185">
        <f>IFERROR(IF($C113="",-0.00001,SUMIFS(Database!O:O,Database!$E:$E,$C113)),-0.00001)</f>
        <v>-1.0000000000000001E-5</v>
      </c>
      <c r="N113" s="185">
        <f>IFERROR(IF($C113="",-0.00001,SUMIFS(Database!P:P,Database!$E:$E,$C113)),-0.00001)</f>
        <v>-1.0000000000000001E-5</v>
      </c>
      <c r="O113" s="185">
        <f>IFERROR(IF($C113="",-0.00001,SUMIFS(Database!Q:Q,Database!$E:$E,$C113)),-0.00001)</f>
        <v>-1.0000000000000001E-5</v>
      </c>
      <c r="P113" s="186">
        <f t="shared" si="3"/>
        <v>-1.0000000000000001E-5</v>
      </c>
      <c r="Q113" s="185">
        <f>IFERROR(IF($C113="",-0.00001,SUMIFS(Database!S:S,Database!$E:$E,$C113)),-0.00001)</f>
        <v>-1.0000000000000001E-5</v>
      </c>
      <c r="R113" s="185">
        <f>IFERROR(IF($C113="",-0.00001,SUMIFS(Database!T:T,Database!$E:$E,$C113)),-0.00001)</f>
        <v>-1.0000000000000001E-5</v>
      </c>
      <c r="S113" s="186">
        <f t="shared" si="4"/>
        <v>-1.0000000000000001E-5</v>
      </c>
      <c r="T113" s="185">
        <f>IFERROR(IF($C113="",-0.00001,SUMIFS(Database!V:V,Database!$E:$E,$C113)),-0.00001)</f>
        <v>-1.0000000000000001E-5</v>
      </c>
      <c r="U113" s="185">
        <f>IFERROR(IF($C113="",-0.00001,SUMIFS(Database!W:W,Database!$E:$E,$C113)),-0.00001)</f>
        <v>-1.0000000000000001E-5</v>
      </c>
      <c r="V113" s="186">
        <f t="shared" si="5"/>
        <v>-1.0000000000000001E-5</v>
      </c>
      <c r="W113" s="187"/>
      <c r="X113" s="187"/>
      <c r="Y113" s="187"/>
      <c r="Z113" s="187"/>
      <c r="AA113" s="187"/>
      <c r="AB113" s="187"/>
      <c r="AC113" s="187"/>
      <c r="AD113" s="187"/>
      <c r="AE113" s="187"/>
    </row>
    <row r="114" spans="1:31" x14ac:dyDescent="0.25">
      <c r="A114" s="187"/>
      <c r="B114" s="187" t="str">
        <f>IF($C114="","",MAX($B$4:$B113)+1)</f>
        <v/>
      </c>
      <c r="C114" s="183"/>
      <c r="D114" s="183" t="str">
        <f>IFERROR(VLOOKUP($C114,Rosters!$C$4:$M$239,INDEX(Lists!$N$5:$O$80,MATCH($C114,Lists!$N$5:$N$80,FALSE),2)),"")</f>
        <v/>
      </c>
      <c r="E114" s="185">
        <f>IF($C114="",-0.00001,COUNTIF(Database!E:E,$C114))</f>
        <v>-1.0000000000000001E-5</v>
      </c>
      <c r="F114" s="185">
        <f>IFERROR(IF($C114="",-0.00001,SUMIFS(Database!H:H,Database!$E:$E,$C114)),-0.00001)</f>
        <v>-1.0000000000000001E-5</v>
      </c>
      <c r="G114" s="185">
        <f>IFERROR(IF($C114="",-0.00001,SUMIFS(Database!I:I,Database!$E:$E,$C114)),-0.00001)</f>
        <v>-1.0000000000000001E-5</v>
      </c>
      <c r="H114" s="185">
        <f>IFERROR(IF($C114="",-0.00001,SUMIFS(Database!J:J,Database!$E:$E,$C114)),-0.00001)</f>
        <v>-1.0000000000000001E-5</v>
      </c>
      <c r="I114" s="185">
        <f>IFERROR(IF($C114="",-0.00001,SUMIFS(Database!K:K,Database!$E:$E,$C114)),-0.00001)</f>
        <v>-1.0000000000000001E-5</v>
      </c>
      <c r="J114" s="185">
        <f>IFERROR(IF($C114="",-0.00001,SUMIFS(Database!L:L,Database!$E:$E,$C114)),-0.00001)</f>
        <v>-1.0000000000000001E-5</v>
      </c>
      <c r="K114" s="185">
        <f>IFERROR(IF($C114="",-0.00001,SUMIFS(Database!M:M,Database!$E:$E,$C114)),-0.00001)</f>
        <v>-1.0000000000000001E-5</v>
      </c>
      <c r="L114" s="185">
        <f>IFERROR(IF($C114="",-0.00001,SUMIFS(Database!N:N,Database!$E:$E,$C114)),-0.00001)</f>
        <v>-1.0000000000000001E-5</v>
      </c>
      <c r="M114" s="185">
        <f>IFERROR(IF($C114="",-0.00001,SUMIFS(Database!O:O,Database!$E:$E,$C114)),-0.00001)</f>
        <v>-1.0000000000000001E-5</v>
      </c>
      <c r="N114" s="185">
        <f>IFERROR(IF($C114="",-0.00001,SUMIFS(Database!P:P,Database!$E:$E,$C114)),-0.00001)</f>
        <v>-1.0000000000000001E-5</v>
      </c>
      <c r="O114" s="185">
        <f>IFERROR(IF($C114="",-0.00001,SUMIFS(Database!Q:Q,Database!$E:$E,$C114)),-0.00001)</f>
        <v>-1.0000000000000001E-5</v>
      </c>
      <c r="P114" s="186">
        <f t="shared" si="3"/>
        <v>-1.0000000000000001E-5</v>
      </c>
      <c r="Q114" s="185">
        <f>IFERROR(IF($C114="",-0.00001,SUMIFS(Database!S:S,Database!$E:$E,$C114)),-0.00001)</f>
        <v>-1.0000000000000001E-5</v>
      </c>
      <c r="R114" s="185">
        <f>IFERROR(IF($C114="",-0.00001,SUMIFS(Database!T:T,Database!$E:$E,$C114)),-0.00001)</f>
        <v>-1.0000000000000001E-5</v>
      </c>
      <c r="S114" s="186">
        <f t="shared" si="4"/>
        <v>-1.0000000000000001E-5</v>
      </c>
      <c r="T114" s="185">
        <f>IFERROR(IF($C114="",-0.00001,SUMIFS(Database!V:V,Database!$E:$E,$C114)),-0.00001)</f>
        <v>-1.0000000000000001E-5</v>
      </c>
      <c r="U114" s="185">
        <f>IFERROR(IF($C114="",-0.00001,SUMIFS(Database!W:W,Database!$E:$E,$C114)),-0.00001)</f>
        <v>-1.0000000000000001E-5</v>
      </c>
      <c r="V114" s="186">
        <f t="shared" si="5"/>
        <v>-1.0000000000000001E-5</v>
      </c>
      <c r="W114" s="187"/>
      <c r="X114" s="187"/>
      <c r="Y114" s="187"/>
      <c r="Z114" s="187"/>
      <c r="AA114" s="187"/>
      <c r="AB114" s="187"/>
      <c r="AC114" s="187"/>
      <c r="AD114" s="187"/>
      <c r="AE114" s="187"/>
    </row>
    <row r="115" spans="1:31" x14ac:dyDescent="0.25">
      <c r="A115" s="187"/>
      <c r="B115" s="187" t="str">
        <f>IF($C115="","",MAX($B$4:$B114)+1)</f>
        <v/>
      </c>
      <c r="C115" s="183"/>
      <c r="D115" s="183" t="str">
        <f>IFERROR(VLOOKUP($C115,Rosters!$C$4:$M$239,INDEX(Lists!$N$5:$O$80,MATCH($C115,Lists!$N$5:$N$80,FALSE),2)),"")</f>
        <v/>
      </c>
      <c r="E115" s="185">
        <f>IF($C115="",-0.00001,COUNTIF(Database!E:E,$C115))</f>
        <v>-1.0000000000000001E-5</v>
      </c>
      <c r="F115" s="185">
        <f>IFERROR(IF($C115="",-0.00001,SUMIFS(Database!H:H,Database!$E:$E,$C115)),-0.00001)</f>
        <v>-1.0000000000000001E-5</v>
      </c>
      <c r="G115" s="185">
        <f>IFERROR(IF($C115="",-0.00001,SUMIFS(Database!I:I,Database!$E:$E,$C115)),-0.00001)</f>
        <v>-1.0000000000000001E-5</v>
      </c>
      <c r="H115" s="185">
        <f>IFERROR(IF($C115="",-0.00001,SUMIFS(Database!J:J,Database!$E:$E,$C115)),-0.00001)</f>
        <v>-1.0000000000000001E-5</v>
      </c>
      <c r="I115" s="185">
        <f>IFERROR(IF($C115="",-0.00001,SUMIFS(Database!K:K,Database!$E:$E,$C115)),-0.00001)</f>
        <v>-1.0000000000000001E-5</v>
      </c>
      <c r="J115" s="185">
        <f>IFERROR(IF($C115="",-0.00001,SUMIFS(Database!L:L,Database!$E:$E,$C115)),-0.00001)</f>
        <v>-1.0000000000000001E-5</v>
      </c>
      <c r="K115" s="185">
        <f>IFERROR(IF($C115="",-0.00001,SUMIFS(Database!M:M,Database!$E:$E,$C115)),-0.00001)</f>
        <v>-1.0000000000000001E-5</v>
      </c>
      <c r="L115" s="185">
        <f>IFERROR(IF($C115="",-0.00001,SUMIFS(Database!N:N,Database!$E:$E,$C115)),-0.00001)</f>
        <v>-1.0000000000000001E-5</v>
      </c>
      <c r="M115" s="185">
        <f>IFERROR(IF($C115="",-0.00001,SUMIFS(Database!O:O,Database!$E:$E,$C115)),-0.00001)</f>
        <v>-1.0000000000000001E-5</v>
      </c>
      <c r="N115" s="185">
        <f>IFERROR(IF($C115="",-0.00001,SUMIFS(Database!P:P,Database!$E:$E,$C115)),-0.00001)</f>
        <v>-1.0000000000000001E-5</v>
      </c>
      <c r="O115" s="185">
        <f>IFERROR(IF($C115="",-0.00001,SUMIFS(Database!Q:Q,Database!$E:$E,$C115)),-0.00001)</f>
        <v>-1.0000000000000001E-5</v>
      </c>
      <c r="P115" s="186">
        <f t="shared" si="3"/>
        <v>-1.0000000000000001E-5</v>
      </c>
      <c r="Q115" s="185">
        <f>IFERROR(IF($C115="",-0.00001,SUMIFS(Database!S:S,Database!$E:$E,$C115)),-0.00001)</f>
        <v>-1.0000000000000001E-5</v>
      </c>
      <c r="R115" s="185">
        <f>IFERROR(IF($C115="",-0.00001,SUMIFS(Database!T:T,Database!$E:$E,$C115)),-0.00001)</f>
        <v>-1.0000000000000001E-5</v>
      </c>
      <c r="S115" s="186">
        <f t="shared" si="4"/>
        <v>-1.0000000000000001E-5</v>
      </c>
      <c r="T115" s="185">
        <f>IFERROR(IF($C115="",-0.00001,SUMIFS(Database!V:V,Database!$E:$E,$C115)),-0.00001)</f>
        <v>-1.0000000000000001E-5</v>
      </c>
      <c r="U115" s="185">
        <f>IFERROR(IF($C115="",-0.00001,SUMIFS(Database!W:W,Database!$E:$E,$C115)),-0.00001)</f>
        <v>-1.0000000000000001E-5</v>
      </c>
      <c r="V115" s="186">
        <f t="shared" si="5"/>
        <v>-1.0000000000000001E-5</v>
      </c>
      <c r="W115" s="187"/>
      <c r="X115" s="187"/>
      <c r="Y115" s="187"/>
      <c r="Z115" s="187"/>
      <c r="AA115" s="187"/>
      <c r="AB115" s="187"/>
      <c r="AC115" s="187"/>
      <c r="AD115" s="187"/>
      <c r="AE115" s="187"/>
    </row>
    <row r="116" spans="1:31" x14ac:dyDescent="0.25">
      <c r="A116" s="187"/>
      <c r="B116" s="187" t="str">
        <f>IF($C116="","",MAX($B$4:$B115)+1)</f>
        <v/>
      </c>
      <c r="C116" s="183"/>
      <c r="D116" s="183" t="str">
        <f>IFERROR(VLOOKUP($C116,Rosters!$C$4:$M$239,INDEX(Lists!$N$5:$O$80,MATCH($C116,Lists!$N$5:$N$80,FALSE),2)),"")</f>
        <v/>
      </c>
      <c r="E116" s="185">
        <f>IF($C116="",-0.00001,COUNTIF(Database!E:E,$C116))</f>
        <v>-1.0000000000000001E-5</v>
      </c>
      <c r="F116" s="185">
        <f>IFERROR(IF($C116="",-0.00001,SUMIFS(Database!H:H,Database!$E:$E,$C116)),-0.00001)</f>
        <v>-1.0000000000000001E-5</v>
      </c>
      <c r="G116" s="185">
        <f>IFERROR(IF($C116="",-0.00001,SUMIFS(Database!I:I,Database!$E:$E,$C116)),-0.00001)</f>
        <v>-1.0000000000000001E-5</v>
      </c>
      <c r="H116" s="185">
        <f>IFERROR(IF($C116="",-0.00001,SUMIFS(Database!J:J,Database!$E:$E,$C116)),-0.00001)</f>
        <v>-1.0000000000000001E-5</v>
      </c>
      <c r="I116" s="185">
        <f>IFERROR(IF($C116="",-0.00001,SUMIFS(Database!K:K,Database!$E:$E,$C116)),-0.00001)</f>
        <v>-1.0000000000000001E-5</v>
      </c>
      <c r="J116" s="185">
        <f>IFERROR(IF($C116="",-0.00001,SUMIFS(Database!L:L,Database!$E:$E,$C116)),-0.00001)</f>
        <v>-1.0000000000000001E-5</v>
      </c>
      <c r="K116" s="185">
        <f>IFERROR(IF($C116="",-0.00001,SUMIFS(Database!M:M,Database!$E:$E,$C116)),-0.00001)</f>
        <v>-1.0000000000000001E-5</v>
      </c>
      <c r="L116" s="185">
        <f>IFERROR(IF($C116="",-0.00001,SUMIFS(Database!N:N,Database!$E:$E,$C116)),-0.00001)</f>
        <v>-1.0000000000000001E-5</v>
      </c>
      <c r="M116" s="185">
        <f>IFERROR(IF($C116="",-0.00001,SUMIFS(Database!O:O,Database!$E:$E,$C116)),-0.00001)</f>
        <v>-1.0000000000000001E-5</v>
      </c>
      <c r="N116" s="185">
        <f>IFERROR(IF($C116="",-0.00001,SUMIFS(Database!P:P,Database!$E:$E,$C116)),-0.00001)</f>
        <v>-1.0000000000000001E-5</v>
      </c>
      <c r="O116" s="185">
        <f>IFERROR(IF($C116="",-0.00001,SUMIFS(Database!Q:Q,Database!$E:$E,$C116)),-0.00001)</f>
        <v>-1.0000000000000001E-5</v>
      </c>
      <c r="P116" s="186">
        <f t="shared" si="3"/>
        <v>-1.0000000000000001E-5</v>
      </c>
      <c r="Q116" s="185">
        <f>IFERROR(IF($C116="",-0.00001,SUMIFS(Database!S:S,Database!$E:$E,$C116)),-0.00001)</f>
        <v>-1.0000000000000001E-5</v>
      </c>
      <c r="R116" s="185">
        <f>IFERROR(IF($C116="",-0.00001,SUMIFS(Database!T:T,Database!$E:$E,$C116)),-0.00001)</f>
        <v>-1.0000000000000001E-5</v>
      </c>
      <c r="S116" s="186">
        <f t="shared" si="4"/>
        <v>-1.0000000000000001E-5</v>
      </c>
      <c r="T116" s="185">
        <f>IFERROR(IF($C116="",-0.00001,SUMIFS(Database!V:V,Database!$E:$E,$C116)),-0.00001)</f>
        <v>-1.0000000000000001E-5</v>
      </c>
      <c r="U116" s="185">
        <f>IFERROR(IF($C116="",-0.00001,SUMIFS(Database!W:W,Database!$E:$E,$C116)),-0.00001)</f>
        <v>-1.0000000000000001E-5</v>
      </c>
      <c r="V116" s="186">
        <f t="shared" si="5"/>
        <v>-1.0000000000000001E-5</v>
      </c>
      <c r="W116" s="187"/>
      <c r="X116" s="187"/>
      <c r="Y116" s="187"/>
      <c r="Z116" s="187"/>
      <c r="AA116" s="187"/>
      <c r="AB116" s="187"/>
      <c r="AC116" s="187"/>
      <c r="AD116" s="187"/>
      <c r="AE116" s="187"/>
    </row>
    <row r="117" spans="1:31" x14ac:dyDescent="0.25">
      <c r="A117" s="187"/>
      <c r="B117" s="187" t="str">
        <f>IF($C117="","",MAX($B$4:$B116)+1)</f>
        <v/>
      </c>
      <c r="C117" s="183"/>
      <c r="D117" s="183" t="str">
        <f>IFERROR(VLOOKUP($C117,Rosters!$C$4:$M$239,INDEX(Lists!$N$5:$O$80,MATCH($C117,Lists!$N$5:$N$80,FALSE),2)),"")</f>
        <v/>
      </c>
      <c r="E117" s="185">
        <f>IF($C117="",-0.00001,COUNTIF(Database!E:E,$C117))</f>
        <v>-1.0000000000000001E-5</v>
      </c>
      <c r="F117" s="185">
        <f>IFERROR(IF($C117="",-0.00001,SUMIFS(Database!H:H,Database!$E:$E,$C117)),-0.00001)</f>
        <v>-1.0000000000000001E-5</v>
      </c>
      <c r="G117" s="185">
        <f>IFERROR(IF($C117="",-0.00001,SUMIFS(Database!I:I,Database!$E:$E,$C117)),-0.00001)</f>
        <v>-1.0000000000000001E-5</v>
      </c>
      <c r="H117" s="185">
        <f>IFERROR(IF($C117="",-0.00001,SUMIFS(Database!J:J,Database!$E:$E,$C117)),-0.00001)</f>
        <v>-1.0000000000000001E-5</v>
      </c>
      <c r="I117" s="185">
        <f>IFERROR(IF($C117="",-0.00001,SUMIFS(Database!K:K,Database!$E:$E,$C117)),-0.00001)</f>
        <v>-1.0000000000000001E-5</v>
      </c>
      <c r="J117" s="185">
        <f>IFERROR(IF($C117="",-0.00001,SUMIFS(Database!L:L,Database!$E:$E,$C117)),-0.00001)</f>
        <v>-1.0000000000000001E-5</v>
      </c>
      <c r="K117" s="185">
        <f>IFERROR(IF($C117="",-0.00001,SUMIFS(Database!M:M,Database!$E:$E,$C117)),-0.00001)</f>
        <v>-1.0000000000000001E-5</v>
      </c>
      <c r="L117" s="185">
        <f>IFERROR(IF($C117="",-0.00001,SUMIFS(Database!N:N,Database!$E:$E,$C117)),-0.00001)</f>
        <v>-1.0000000000000001E-5</v>
      </c>
      <c r="M117" s="185">
        <f>IFERROR(IF($C117="",-0.00001,SUMIFS(Database!O:O,Database!$E:$E,$C117)),-0.00001)</f>
        <v>-1.0000000000000001E-5</v>
      </c>
      <c r="N117" s="185">
        <f>IFERROR(IF($C117="",-0.00001,SUMIFS(Database!P:P,Database!$E:$E,$C117)),-0.00001)</f>
        <v>-1.0000000000000001E-5</v>
      </c>
      <c r="O117" s="185">
        <f>IFERROR(IF($C117="",-0.00001,SUMIFS(Database!Q:Q,Database!$E:$E,$C117)),-0.00001)</f>
        <v>-1.0000000000000001E-5</v>
      </c>
      <c r="P117" s="186">
        <f t="shared" si="3"/>
        <v>-1.0000000000000001E-5</v>
      </c>
      <c r="Q117" s="185">
        <f>IFERROR(IF($C117="",-0.00001,SUMIFS(Database!S:S,Database!$E:$E,$C117)),-0.00001)</f>
        <v>-1.0000000000000001E-5</v>
      </c>
      <c r="R117" s="185">
        <f>IFERROR(IF($C117="",-0.00001,SUMIFS(Database!T:T,Database!$E:$E,$C117)),-0.00001)</f>
        <v>-1.0000000000000001E-5</v>
      </c>
      <c r="S117" s="186">
        <f t="shared" si="4"/>
        <v>-1.0000000000000001E-5</v>
      </c>
      <c r="T117" s="185">
        <f>IFERROR(IF($C117="",-0.00001,SUMIFS(Database!V:V,Database!$E:$E,$C117)),-0.00001)</f>
        <v>-1.0000000000000001E-5</v>
      </c>
      <c r="U117" s="185">
        <f>IFERROR(IF($C117="",-0.00001,SUMIFS(Database!W:W,Database!$E:$E,$C117)),-0.00001)</f>
        <v>-1.0000000000000001E-5</v>
      </c>
      <c r="V117" s="186">
        <f t="shared" si="5"/>
        <v>-1.0000000000000001E-5</v>
      </c>
      <c r="W117" s="187"/>
      <c r="X117" s="187"/>
      <c r="Y117" s="187"/>
      <c r="Z117" s="187"/>
      <c r="AA117" s="187"/>
      <c r="AB117" s="187"/>
      <c r="AC117" s="187"/>
      <c r="AD117" s="187"/>
      <c r="AE117" s="187"/>
    </row>
    <row r="118" spans="1:31" x14ac:dyDescent="0.25">
      <c r="A118" s="187"/>
      <c r="B118" s="187" t="str">
        <f>IF($C118="","",MAX($B$4:$B117)+1)</f>
        <v/>
      </c>
      <c r="C118" s="183"/>
      <c r="D118" s="183" t="str">
        <f>IFERROR(VLOOKUP($C118,Rosters!$C$4:$M$239,INDEX(Lists!$N$5:$O$80,MATCH($C118,Lists!$N$5:$N$80,FALSE),2)),"")</f>
        <v/>
      </c>
      <c r="E118" s="185">
        <f>IF($C118="",-0.00001,COUNTIF(Database!E:E,$C118))</f>
        <v>-1.0000000000000001E-5</v>
      </c>
      <c r="F118" s="185">
        <f>IFERROR(IF($C118="",-0.00001,SUMIFS(Database!H:H,Database!$E:$E,$C118)),-0.00001)</f>
        <v>-1.0000000000000001E-5</v>
      </c>
      <c r="G118" s="185">
        <f>IFERROR(IF($C118="",-0.00001,SUMIFS(Database!I:I,Database!$E:$E,$C118)),-0.00001)</f>
        <v>-1.0000000000000001E-5</v>
      </c>
      <c r="H118" s="185">
        <f>IFERROR(IF($C118="",-0.00001,SUMIFS(Database!J:J,Database!$E:$E,$C118)),-0.00001)</f>
        <v>-1.0000000000000001E-5</v>
      </c>
      <c r="I118" s="185">
        <f>IFERROR(IF($C118="",-0.00001,SUMIFS(Database!K:K,Database!$E:$E,$C118)),-0.00001)</f>
        <v>-1.0000000000000001E-5</v>
      </c>
      <c r="J118" s="185">
        <f>IFERROR(IF($C118="",-0.00001,SUMIFS(Database!L:L,Database!$E:$E,$C118)),-0.00001)</f>
        <v>-1.0000000000000001E-5</v>
      </c>
      <c r="K118" s="185">
        <f>IFERROR(IF($C118="",-0.00001,SUMIFS(Database!M:M,Database!$E:$E,$C118)),-0.00001)</f>
        <v>-1.0000000000000001E-5</v>
      </c>
      <c r="L118" s="185">
        <f>IFERROR(IF($C118="",-0.00001,SUMIFS(Database!N:N,Database!$E:$E,$C118)),-0.00001)</f>
        <v>-1.0000000000000001E-5</v>
      </c>
      <c r="M118" s="185">
        <f>IFERROR(IF($C118="",-0.00001,SUMIFS(Database!O:O,Database!$E:$E,$C118)),-0.00001)</f>
        <v>-1.0000000000000001E-5</v>
      </c>
      <c r="N118" s="185">
        <f>IFERROR(IF($C118="",-0.00001,SUMIFS(Database!P:P,Database!$E:$E,$C118)),-0.00001)</f>
        <v>-1.0000000000000001E-5</v>
      </c>
      <c r="O118" s="185">
        <f>IFERROR(IF($C118="",-0.00001,SUMIFS(Database!Q:Q,Database!$E:$E,$C118)),-0.00001)</f>
        <v>-1.0000000000000001E-5</v>
      </c>
      <c r="P118" s="186">
        <f t="shared" si="3"/>
        <v>-1.0000000000000001E-5</v>
      </c>
      <c r="Q118" s="185">
        <f>IFERROR(IF($C118="",-0.00001,SUMIFS(Database!S:S,Database!$E:$E,$C118)),-0.00001)</f>
        <v>-1.0000000000000001E-5</v>
      </c>
      <c r="R118" s="185">
        <f>IFERROR(IF($C118="",-0.00001,SUMIFS(Database!T:T,Database!$E:$E,$C118)),-0.00001)</f>
        <v>-1.0000000000000001E-5</v>
      </c>
      <c r="S118" s="186">
        <f t="shared" si="4"/>
        <v>-1.0000000000000001E-5</v>
      </c>
      <c r="T118" s="185">
        <f>IFERROR(IF($C118="",-0.00001,SUMIFS(Database!V:V,Database!$E:$E,$C118)),-0.00001)</f>
        <v>-1.0000000000000001E-5</v>
      </c>
      <c r="U118" s="185">
        <f>IFERROR(IF($C118="",-0.00001,SUMIFS(Database!W:W,Database!$E:$E,$C118)),-0.00001)</f>
        <v>-1.0000000000000001E-5</v>
      </c>
      <c r="V118" s="186">
        <f t="shared" si="5"/>
        <v>-1.0000000000000001E-5</v>
      </c>
      <c r="W118" s="187"/>
      <c r="X118" s="187"/>
      <c r="Y118" s="187"/>
      <c r="Z118" s="187"/>
      <c r="AA118" s="187"/>
      <c r="AB118" s="187"/>
      <c r="AC118" s="187"/>
      <c r="AD118" s="187"/>
      <c r="AE118" s="187"/>
    </row>
    <row r="119" spans="1:31" x14ac:dyDescent="0.25">
      <c r="A119" s="187"/>
      <c r="B119" s="187" t="str">
        <f>IF($C119="","",MAX($B$4:$B118)+1)</f>
        <v/>
      </c>
      <c r="C119" s="183"/>
      <c r="D119" s="183" t="str">
        <f>IFERROR(VLOOKUP($C119,Rosters!$C$4:$M$239,INDEX(Lists!$N$5:$O$80,MATCH($C119,Lists!$N$5:$N$80,FALSE),2)),"")</f>
        <v/>
      </c>
      <c r="E119" s="185">
        <f>IF($C119="",-0.00001,COUNTIF(Database!E:E,$C119))</f>
        <v>-1.0000000000000001E-5</v>
      </c>
      <c r="F119" s="185">
        <f>IFERROR(IF($C119="",-0.00001,SUMIFS(Database!H:H,Database!$E:$E,$C119)),-0.00001)</f>
        <v>-1.0000000000000001E-5</v>
      </c>
      <c r="G119" s="185">
        <f>IFERROR(IF($C119="",-0.00001,SUMIFS(Database!I:I,Database!$E:$E,$C119)),-0.00001)</f>
        <v>-1.0000000000000001E-5</v>
      </c>
      <c r="H119" s="185">
        <f>IFERROR(IF($C119="",-0.00001,SUMIFS(Database!J:J,Database!$E:$E,$C119)),-0.00001)</f>
        <v>-1.0000000000000001E-5</v>
      </c>
      <c r="I119" s="185">
        <f>IFERROR(IF($C119="",-0.00001,SUMIFS(Database!K:K,Database!$E:$E,$C119)),-0.00001)</f>
        <v>-1.0000000000000001E-5</v>
      </c>
      <c r="J119" s="185">
        <f>IFERROR(IF($C119="",-0.00001,SUMIFS(Database!L:L,Database!$E:$E,$C119)),-0.00001)</f>
        <v>-1.0000000000000001E-5</v>
      </c>
      <c r="K119" s="185">
        <f>IFERROR(IF($C119="",-0.00001,SUMIFS(Database!M:M,Database!$E:$E,$C119)),-0.00001)</f>
        <v>-1.0000000000000001E-5</v>
      </c>
      <c r="L119" s="185">
        <f>IFERROR(IF($C119="",-0.00001,SUMIFS(Database!N:N,Database!$E:$E,$C119)),-0.00001)</f>
        <v>-1.0000000000000001E-5</v>
      </c>
      <c r="M119" s="185">
        <f>IFERROR(IF($C119="",-0.00001,SUMIFS(Database!O:O,Database!$E:$E,$C119)),-0.00001)</f>
        <v>-1.0000000000000001E-5</v>
      </c>
      <c r="N119" s="185">
        <f>IFERROR(IF($C119="",-0.00001,SUMIFS(Database!P:P,Database!$E:$E,$C119)),-0.00001)</f>
        <v>-1.0000000000000001E-5</v>
      </c>
      <c r="O119" s="185">
        <f>IFERROR(IF($C119="",-0.00001,SUMIFS(Database!Q:Q,Database!$E:$E,$C119)),-0.00001)</f>
        <v>-1.0000000000000001E-5</v>
      </c>
      <c r="P119" s="186">
        <f t="shared" si="3"/>
        <v>-1.0000000000000001E-5</v>
      </c>
      <c r="Q119" s="185">
        <f>IFERROR(IF($C119="",-0.00001,SUMIFS(Database!S:S,Database!$E:$E,$C119)),-0.00001)</f>
        <v>-1.0000000000000001E-5</v>
      </c>
      <c r="R119" s="185">
        <f>IFERROR(IF($C119="",-0.00001,SUMIFS(Database!T:T,Database!$E:$E,$C119)),-0.00001)</f>
        <v>-1.0000000000000001E-5</v>
      </c>
      <c r="S119" s="186">
        <f t="shared" si="4"/>
        <v>-1.0000000000000001E-5</v>
      </c>
      <c r="T119" s="185">
        <f>IFERROR(IF($C119="",-0.00001,SUMIFS(Database!V:V,Database!$E:$E,$C119)),-0.00001)</f>
        <v>-1.0000000000000001E-5</v>
      </c>
      <c r="U119" s="185">
        <f>IFERROR(IF($C119="",-0.00001,SUMIFS(Database!W:W,Database!$E:$E,$C119)),-0.00001)</f>
        <v>-1.0000000000000001E-5</v>
      </c>
      <c r="V119" s="186">
        <f t="shared" si="5"/>
        <v>-1.0000000000000001E-5</v>
      </c>
      <c r="W119" s="187"/>
      <c r="X119" s="187"/>
      <c r="Y119" s="187"/>
      <c r="Z119" s="187"/>
      <c r="AA119" s="187"/>
      <c r="AB119" s="187"/>
      <c r="AC119" s="187"/>
      <c r="AD119" s="187"/>
      <c r="AE119" s="187"/>
    </row>
    <row r="120" spans="1:31" x14ac:dyDescent="0.25">
      <c r="A120" s="187"/>
      <c r="B120" s="187" t="str">
        <f>IF($C120="","",MAX($B$4:$B119)+1)</f>
        <v/>
      </c>
      <c r="C120" s="183"/>
      <c r="D120" s="183" t="str">
        <f>IFERROR(VLOOKUP($C120,Rosters!$C$4:$M$239,INDEX(Lists!$N$5:$O$80,MATCH($C120,Lists!$N$5:$N$80,FALSE),2)),"")</f>
        <v/>
      </c>
      <c r="E120" s="185">
        <f>IF($C120="",-0.00001,COUNTIF(Database!E:E,$C120))</f>
        <v>-1.0000000000000001E-5</v>
      </c>
      <c r="F120" s="185">
        <f>IFERROR(IF($C120="",-0.00001,SUMIFS(Database!H:H,Database!$E:$E,$C120)),-0.00001)</f>
        <v>-1.0000000000000001E-5</v>
      </c>
      <c r="G120" s="185">
        <f>IFERROR(IF($C120="",-0.00001,SUMIFS(Database!I:I,Database!$E:$E,$C120)),-0.00001)</f>
        <v>-1.0000000000000001E-5</v>
      </c>
      <c r="H120" s="185">
        <f>IFERROR(IF($C120="",-0.00001,SUMIFS(Database!J:J,Database!$E:$E,$C120)),-0.00001)</f>
        <v>-1.0000000000000001E-5</v>
      </c>
      <c r="I120" s="185">
        <f>IFERROR(IF($C120="",-0.00001,SUMIFS(Database!K:K,Database!$E:$E,$C120)),-0.00001)</f>
        <v>-1.0000000000000001E-5</v>
      </c>
      <c r="J120" s="185">
        <f>IFERROR(IF($C120="",-0.00001,SUMIFS(Database!L:L,Database!$E:$E,$C120)),-0.00001)</f>
        <v>-1.0000000000000001E-5</v>
      </c>
      <c r="K120" s="185">
        <f>IFERROR(IF($C120="",-0.00001,SUMIFS(Database!M:M,Database!$E:$E,$C120)),-0.00001)</f>
        <v>-1.0000000000000001E-5</v>
      </c>
      <c r="L120" s="185">
        <f>IFERROR(IF($C120="",-0.00001,SUMIFS(Database!N:N,Database!$E:$E,$C120)),-0.00001)</f>
        <v>-1.0000000000000001E-5</v>
      </c>
      <c r="M120" s="185">
        <f>IFERROR(IF($C120="",-0.00001,SUMIFS(Database!O:O,Database!$E:$E,$C120)),-0.00001)</f>
        <v>-1.0000000000000001E-5</v>
      </c>
      <c r="N120" s="185">
        <f>IFERROR(IF($C120="",-0.00001,SUMIFS(Database!P:P,Database!$E:$E,$C120)),-0.00001)</f>
        <v>-1.0000000000000001E-5</v>
      </c>
      <c r="O120" s="185">
        <f>IFERROR(IF($C120="",-0.00001,SUMIFS(Database!Q:Q,Database!$E:$E,$C120)),-0.00001)</f>
        <v>-1.0000000000000001E-5</v>
      </c>
      <c r="P120" s="186">
        <f t="shared" si="3"/>
        <v>-1.0000000000000001E-5</v>
      </c>
      <c r="Q120" s="185">
        <f>IFERROR(IF($C120="",-0.00001,SUMIFS(Database!S:S,Database!$E:$E,$C120)),-0.00001)</f>
        <v>-1.0000000000000001E-5</v>
      </c>
      <c r="R120" s="185">
        <f>IFERROR(IF($C120="",-0.00001,SUMIFS(Database!T:T,Database!$E:$E,$C120)),-0.00001)</f>
        <v>-1.0000000000000001E-5</v>
      </c>
      <c r="S120" s="186">
        <f t="shared" si="4"/>
        <v>-1.0000000000000001E-5</v>
      </c>
      <c r="T120" s="185">
        <f>IFERROR(IF($C120="",-0.00001,SUMIFS(Database!V:V,Database!$E:$E,$C120)),-0.00001)</f>
        <v>-1.0000000000000001E-5</v>
      </c>
      <c r="U120" s="185">
        <f>IFERROR(IF($C120="",-0.00001,SUMIFS(Database!W:W,Database!$E:$E,$C120)),-0.00001)</f>
        <v>-1.0000000000000001E-5</v>
      </c>
      <c r="V120" s="186">
        <f t="shared" si="5"/>
        <v>-1.0000000000000001E-5</v>
      </c>
      <c r="W120" s="187"/>
      <c r="X120" s="187"/>
      <c r="Y120" s="187"/>
      <c r="Z120" s="187"/>
      <c r="AA120" s="187"/>
      <c r="AB120" s="187"/>
      <c r="AC120" s="187"/>
      <c r="AD120" s="187"/>
      <c r="AE120" s="187"/>
    </row>
    <row r="121" spans="1:31" x14ac:dyDescent="0.25">
      <c r="A121" s="187"/>
      <c r="B121" s="187" t="str">
        <f>IF($C121="","",MAX($B$4:$B120)+1)</f>
        <v/>
      </c>
      <c r="C121" s="183"/>
      <c r="D121" s="183" t="str">
        <f>IFERROR(VLOOKUP($C121,Rosters!$C$4:$M$239,INDEX(Lists!$N$5:$O$80,MATCH($C121,Lists!$N$5:$N$80,FALSE),2)),"")</f>
        <v/>
      </c>
      <c r="E121" s="185">
        <f>IF($C121="",-0.00001,COUNTIF(Database!E:E,$C121))</f>
        <v>-1.0000000000000001E-5</v>
      </c>
      <c r="F121" s="185">
        <f>IFERROR(IF($C121="",-0.00001,SUMIFS(Database!H:H,Database!$E:$E,$C121)),-0.00001)</f>
        <v>-1.0000000000000001E-5</v>
      </c>
      <c r="G121" s="185">
        <f>IFERROR(IF($C121="",-0.00001,SUMIFS(Database!I:I,Database!$E:$E,$C121)),-0.00001)</f>
        <v>-1.0000000000000001E-5</v>
      </c>
      <c r="H121" s="185">
        <f>IFERROR(IF($C121="",-0.00001,SUMIFS(Database!J:J,Database!$E:$E,$C121)),-0.00001)</f>
        <v>-1.0000000000000001E-5</v>
      </c>
      <c r="I121" s="185">
        <f>IFERROR(IF($C121="",-0.00001,SUMIFS(Database!K:K,Database!$E:$E,$C121)),-0.00001)</f>
        <v>-1.0000000000000001E-5</v>
      </c>
      <c r="J121" s="185">
        <f>IFERROR(IF($C121="",-0.00001,SUMIFS(Database!L:L,Database!$E:$E,$C121)),-0.00001)</f>
        <v>-1.0000000000000001E-5</v>
      </c>
      <c r="K121" s="185">
        <f>IFERROR(IF($C121="",-0.00001,SUMIFS(Database!M:M,Database!$E:$E,$C121)),-0.00001)</f>
        <v>-1.0000000000000001E-5</v>
      </c>
      <c r="L121" s="185">
        <f>IFERROR(IF($C121="",-0.00001,SUMIFS(Database!N:N,Database!$E:$E,$C121)),-0.00001)</f>
        <v>-1.0000000000000001E-5</v>
      </c>
      <c r="M121" s="185">
        <f>IFERROR(IF($C121="",-0.00001,SUMIFS(Database!O:O,Database!$E:$E,$C121)),-0.00001)</f>
        <v>-1.0000000000000001E-5</v>
      </c>
      <c r="N121" s="185">
        <f>IFERROR(IF($C121="",-0.00001,SUMIFS(Database!P:P,Database!$E:$E,$C121)),-0.00001)</f>
        <v>-1.0000000000000001E-5</v>
      </c>
      <c r="O121" s="185">
        <f>IFERROR(IF($C121="",-0.00001,SUMIFS(Database!Q:Q,Database!$E:$E,$C121)),-0.00001)</f>
        <v>-1.0000000000000001E-5</v>
      </c>
      <c r="P121" s="186">
        <f t="shared" si="3"/>
        <v>-1.0000000000000001E-5</v>
      </c>
      <c r="Q121" s="185">
        <f>IFERROR(IF($C121="",-0.00001,SUMIFS(Database!S:S,Database!$E:$E,$C121)),-0.00001)</f>
        <v>-1.0000000000000001E-5</v>
      </c>
      <c r="R121" s="185">
        <f>IFERROR(IF($C121="",-0.00001,SUMIFS(Database!T:T,Database!$E:$E,$C121)),-0.00001)</f>
        <v>-1.0000000000000001E-5</v>
      </c>
      <c r="S121" s="186">
        <f t="shared" si="4"/>
        <v>-1.0000000000000001E-5</v>
      </c>
      <c r="T121" s="185">
        <f>IFERROR(IF($C121="",-0.00001,SUMIFS(Database!V:V,Database!$E:$E,$C121)),-0.00001)</f>
        <v>-1.0000000000000001E-5</v>
      </c>
      <c r="U121" s="185">
        <f>IFERROR(IF($C121="",-0.00001,SUMIFS(Database!W:W,Database!$E:$E,$C121)),-0.00001)</f>
        <v>-1.0000000000000001E-5</v>
      </c>
      <c r="V121" s="186">
        <f t="shared" si="5"/>
        <v>-1.0000000000000001E-5</v>
      </c>
      <c r="W121" s="187"/>
      <c r="X121" s="187"/>
      <c r="Y121" s="187"/>
      <c r="Z121" s="187"/>
      <c r="AA121" s="187"/>
      <c r="AB121" s="187"/>
      <c r="AC121" s="187"/>
      <c r="AD121" s="187"/>
      <c r="AE121" s="187"/>
    </row>
    <row r="122" spans="1:31" x14ac:dyDescent="0.25">
      <c r="A122" s="187"/>
      <c r="B122" s="187" t="str">
        <f>IF($C122="","",MAX($B$4:$B121)+1)</f>
        <v/>
      </c>
      <c r="C122" s="183"/>
      <c r="D122" s="183" t="str">
        <f>IFERROR(VLOOKUP($C122,Rosters!$C$4:$M$239,INDEX(Lists!$N$5:$O$80,MATCH($C122,Lists!$N$5:$N$80,FALSE),2)),"")</f>
        <v/>
      </c>
      <c r="E122" s="185">
        <f>IF($C122="",-0.00001,COUNTIF(Database!E:E,$C122))</f>
        <v>-1.0000000000000001E-5</v>
      </c>
      <c r="F122" s="185">
        <f>IFERROR(IF($C122="",-0.00001,SUMIFS(Database!H:H,Database!$E:$E,$C122)),-0.00001)</f>
        <v>-1.0000000000000001E-5</v>
      </c>
      <c r="G122" s="185">
        <f>IFERROR(IF($C122="",-0.00001,SUMIFS(Database!I:I,Database!$E:$E,$C122)),-0.00001)</f>
        <v>-1.0000000000000001E-5</v>
      </c>
      <c r="H122" s="185">
        <f>IFERROR(IF($C122="",-0.00001,SUMIFS(Database!J:J,Database!$E:$E,$C122)),-0.00001)</f>
        <v>-1.0000000000000001E-5</v>
      </c>
      <c r="I122" s="185">
        <f>IFERROR(IF($C122="",-0.00001,SUMIFS(Database!K:K,Database!$E:$E,$C122)),-0.00001)</f>
        <v>-1.0000000000000001E-5</v>
      </c>
      <c r="J122" s="185">
        <f>IFERROR(IF($C122="",-0.00001,SUMIFS(Database!L:L,Database!$E:$E,$C122)),-0.00001)</f>
        <v>-1.0000000000000001E-5</v>
      </c>
      <c r="K122" s="185">
        <f>IFERROR(IF($C122="",-0.00001,SUMIFS(Database!M:M,Database!$E:$E,$C122)),-0.00001)</f>
        <v>-1.0000000000000001E-5</v>
      </c>
      <c r="L122" s="185">
        <f>IFERROR(IF($C122="",-0.00001,SUMIFS(Database!N:N,Database!$E:$E,$C122)),-0.00001)</f>
        <v>-1.0000000000000001E-5</v>
      </c>
      <c r="M122" s="185">
        <f>IFERROR(IF($C122="",-0.00001,SUMIFS(Database!O:O,Database!$E:$E,$C122)),-0.00001)</f>
        <v>-1.0000000000000001E-5</v>
      </c>
      <c r="N122" s="185">
        <f>IFERROR(IF($C122="",-0.00001,SUMIFS(Database!P:P,Database!$E:$E,$C122)),-0.00001)</f>
        <v>-1.0000000000000001E-5</v>
      </c>
      <c r="O122" s="185">
        <f>IFERROR(IF($C122="",-0.00001,SUMIFS(Database!Q:Q,Database!$E:$E,$C122)),-0.00001)</f>
        <v>-1.0000000000000001E-5</v>
      </c>
      <c r="P122" s="186">
        <f t="shared" si="3"/>
        <v>-1.0000000000000001E-5</v>
      </c>
      <c r="Q122" s="185">
        <f>IFERROR(IF($C122="",-0.00001,SUMIFS(Database!S:S,Database!$E:$E,$C122)),-0.00001)</f>
        <v>-1.0000000000000001E-5</v>
      </c>
      <c r="R122" s="185">
        <f>IFERROR(IF($C122="",-0.00001,SUMIFS(Database!T:T,Database!$E:$E,$C122)),-0.00001)</f>
        <v>-1.0000000000000001E-5</v>
      </c>
      <c r="S122" s="186">
        <f t="shared" si="4"/>
        <v>-1.0000000000000001E-5</v>
      </c>
      <c r="T122" s="185">
        <f>IFERROR(IF($C122="",-0.00001,SUMIFS(Database!V:V,Database!$E:$E,$C122)),-0.00001)</f>
        <v>-1.0000000000000001E-5</v>
      </c>
      <c r="U122" s="185">
        <f>IFERROR(IF($C122="",-0.00001,SUMIFS(Database!W:W,Database!$E:$E,$C122)),-0.00001)</f>
        <v>-1.0000000000000001E-5</v>
      </c>
      <c r="V122" s="186">
        <f t="shared" si="5"/>
        <v>-1.0000000000000001E-5</v>
      </c>
      <c r="W122" s="187"/>
      <c r="X122" s="187"/>
      <c r="Y122" s="187"/>
      <c r="Z122" s="187"/>
      <c r="AA122" s="187"/>
      <c r="AB122" s="187"/>
      <c r="AC122" s="187"/>
      <c r="AD122" s="187"/>
      <c r="AE122" s="187"/>
    </row>
    <row r="123" spans="1:31" x14ac:dyDescent="0.25">
      <c r="A123" s="187"/>
      <c r="B123" s="187" t="str">
        <f>IF($C123="","",MAX($B$4:$B122)+1)</f>
        <v/>
      </c>
      <c r="C123" s="183"/>
      <c r="D123" s="183" t="str">
        <f>IFERROR(VLOOKUP($C123,Rosters!$C$4:$M$239,INDEX(Lists!$N$5:$O$80,MATCH($C123,Lists!$N$5:$N$80,FALSE),2)),"")</f>
        <v/>
      </c>
      <c r="E123" s="185">
        <f>IF($C123="",-0.00001,COUNTIF(Database!E:E,$C123))</f>
        <v>-1.0000000000000001E-5</v>
      </c>
      <c r="F123" s="185">
        <f>IFERROR(IF($C123="",-0.00001,SUMIFS(Database!H:H,Database!$E:$E,$C123)),-0.00001)</f>
        <v>-1.0000000000000001E-5</v>
      </c>
      <c r="G123" s="185">
        <f>IFERROR(IF($C123="",-0.00001,SUMIFS(Database!I:I,Database!$E:$E,$C123)),-0.00001)</f>
        <v>-1.0000000000000001E-5</v>
      </c>
      <c r="H123" s="185">
        <f>IFERROR(IF($C123="",-0.00001,SUMIFS(Database!J:J,Database!$E:$E,$C123)),-0.00001)</f>
        <v>-1.0000000000000001E-5</v>
      </c>
      <c r="I123" s="185">
        <f>IFERROR(IF($C123="",-0.00001,SUMIFS(Database!K:K,Database!$E:$E,$C123)),-0.00001)</f>
        <v>-1.0000000000000001E-5</v>
      </c>
      <c r="J123" s="185">
        <f>IFERROR(IF($C123="",-0.00001,SUMIFS(Database!L:L,Database!$E:$E,$C123)),-0.00001)</f>
        <v>-1.0000000000000001E-5</v>
      </c>
      <c r="K123" s="185">
        <f>IFERROR(IF($C123="",-0.00001,SUMIFS(Database!M:M,Database!$E:$E,$C123)),-0.00001)</f>
        <v>-1.0000000000000001E-5</v>
      </c>
      <c r="L123" s="185">
        <f>IFERROR(IF($C123="",-0.00001,SUMIFS(Database!N:N,Database!$E:$E,$C123)),-0.00001)</f>
        <v>-1.0000000000000001E-5</v>
      </c>
      <c r="M123" s="185">
        <f>IFERROR(IF($C123="",-0.00001,SUMIFS(Database!O:O,Database!$E:$E,$C123)),-0.00001)</f>
        <v>-1.0000000000000001E-5</v>
      </c>
      <c r="N123" s="185">
        <f>IFERROR(IF($C123="",-0.00001,SUMIFS(Database!P:P,Database!$E:$E,$C123)),-0.00001)</f>
        <v>-1.0000000000000001E-5</v>
      </c>
      <c r="O123" s="185">
        <f>IFERROR(IF($C123="",-0.00001,SUMIFS(Database!Q:Q,Database!$E:$E,$C123)),-0.00001)</f>
        <v>-1.0000000000000001E-5</v>
      </c>
      <c r="P123" s="186">
        <f t="shared" si="3"/>
        <v>-1.0000000000000001E-5</v>
      </c>
      <c r="Q123" s="185">
        <f>IFERROR(IF($C123="",-0.00001,SUMIFS(Database!S:S,Database!$E:$E,$C123)),-0.00001)</f>
        <v>-1.0000000000000001E-5</v>
      </c>
      <c r="R123" s="185">
        <f>IFERROR(IF($C123="",-0.00001,SUMIFS(Database!T:T,Database!$E:$E,$C123)),-0.00001)</f>
        <v>-1.0000000000000001E-5</v>
      </c>
      <c r="S123" s="186">
        <f t="shared" si="4"/>
        <v>-1.0000000000000001E-5</v>
      </c>
      <c r="T123" s="185">
        <f>IFERROR(IF($C123="",-0.00001,SUMIFS(Database!V:V,Database!$E:$E,$C123)),-0.00001)</f>
        <v>-1.0000000000000001E-5</v>
      </c>
      <c r="U123" s="185">
        <f>IFERROR(IF($C123="",-0.00001,SUMIFS(Database!W:W,Database!$E:$E,$C123)),-0.00001)</f>
        <v>-1.0000000000000001E-5</v>
      </c>
      <c r="V123" s="186">
        <f t="shared" si="5"/>
        <v>-1.0000000000000001E-5</v>
      </c>
      <c r="W123" s="187"/>
      <c r="X123" s="187"/>
      <c r="Y123" s="187"/>
      <c r="Z123" s="187"/>
      <c r="AA123" s="187"/>
      <c r="AB123" s="187"/>
      <c r="AC123" s="187"/>
      <c r="AD123" s="187"/>
      <c r="AE123" s="187"/>
    </row>
    <row r="124" spans="1:31" x14ac:dyDescent="0.25">
      <c r="A124" s="187"/>
      <c r="B124" s="187" t="str">
        <f>IF($C124="","",MAX($B$4:$B123)+1)</f>
        <v/>
      </c>
      <c r="C124" s="183"/>
      <c r="D124" s="183" t="str">
        <f>IFERROR(VLOOKUP($C124,Rosters!$C$4:$M$239,INDEX(Lists!$N$5:$O$80,MATCH($C124,Lists!$N$5:$N$80,FALSE),2)),"")</f>
        <v/>
      </c>
      <c r="E124" s="185">
        <f>IF($C124="",-0.00001,COUNTIF(Database!E:E,$C124))</f>
        <v>-1.0000000000000001E-5</v>
      </c>
      <c r="F124" s="185">
        <f>IFERROR(IF($C124="",-0.00001,SUMIFS(Database!H:H,Database!$E:$E,$C124)),-0.00001)</f>
        <v>-1.0000000000000001E-5</v>
      </c>
      <c r="G124" s="185">
        <f>IFERROR(IF($C124="",-0.00001,SUMIFS(Database!I:I,Database!$E:$E,$C124)),-0.00001)</f>
        <v>-1.0000000000000001E-5</v>
      </c>
      <c r="H124" s="185">
        <f>IFERROR(IF($C124="",-0.00001,SUMIFS(Database!J:J,Database!$E:$E,$C124)),-0.00001)</f>
        <v>-1.0000000000000001E-5</v>
      </c>
      <c r="I124" s="185">
        <f>IFERROR(IF($C124="",-0.00001,SUMIFS(Database!K:K,Database!$E:$E,$C124)),-0.00001)</f>
        <v>-1.0000000000000001E-5</v>
      </c>
      <c r="J124" s="185">
        <f>IFERROR(IF($C124="",-0.00001,SUMIFS(Database!L:L,Database!$E:$E,$C124)),-0.00001)</f>
        <v>-1.0000000000000001E-5</v>
      </c>
      <c r="K124" s="185">
        <f>IFERROR(IF($C124="",-0.00001,SUMIFS(Database!M:M,Database!$E:$E,$C124)),-0.00001)</f>
        <v>-1.0000000000000001E-5</v>
      </c>
      <c r="L124" s="185">
        <f>IFERROR(IF($C124="",-0.00001,SUMIFS(Database!N:N,Database!$E:$E,$C124)),-0.00001)</f>
        <v>-1.0000000000000001E-5</v>
      </c>
      <c r="M124" s="185">
        <f>IFERROR(IF($C124="",-0.00001,SUMIFS(Database!O:O,Database!$E:$E,$C124)),-0.00001)</f>
        <v>-1.0000000000000001E-5</v>
      </c>
      <c r="N124" s="185">
        <f>IFERROR(IF($C124="",-0.00001,SUMIFS(Database!P:P,Database!$E:$E,$C124)),-0.00001)</f>
        <v>-1.0000000000000001E-5</v>
      </c>
      <c r="O124" s="185">
        <f>IFERROR(IF($C124="",-0.00001,SUMIFS(Database!Q:Q,Database!$E:$E,$C124)),-0.00001)</f>
        <v>-1.0000000000000001E-5</v>
      </c>
      <c r="P124" s="186">
        <f t="shared" si="3"/>
        <v>-1.0000000000000001E-5</v>
      </c>
      <c r="Q124" s="185">
        <f>IFERROR(IF($C124="",-0.00001,SUMIFS(Database!S:S,Database!$E:$E,$C124)),-0.00001)</f>
        <v>-1.0000000000000001E-5</v>
      </c>
      <c r="R124" s="185">
        <f>IFERROR(IF($C124="",-0.00001,SUMIFS(Database!T:T,Database!$E:$E,$C124)),-0.00001)</f>
        <v>-1.0000000000000001E-5</v>
      </c>
      <c r="S124" s="186">
        <f t="shared" si="4"/>
        <v>-1.0000000000000001E-5</v>
      </c>
      <c r="T124" s="185">
        <f>IFERROR(IF($C124="",-0.00001,SUMIFS(Database!V:V,Database!$E:$E,$C124)),-0.00001)</f>
        <v>-1.0000000000000001E-5</v>
      </c>
      <c r="U124" s="185">
        <f>IFERROR(IF($C124="",-0.00001,SUMIFS(Database!W:W,Database!$E:$E,$C124)),-0.00001)</f>
        <v>-1.0000000000000001E-5</v>
      </c>
      <c r="V124" s="186">
        <f t="shared" si="5"/>
        <v>-1.0000000000000001E-5</v>
      </c>
      <c r="W124" s="187"/>
      <c r="X124" s="187"/>
      <c r="Y124" s="187"/>
      <c r="Z124" s="187"/>
      <c r="AA124" s="187"/>
      <c r="AB124" s="187"/>
      <c r="AC124" s="187"/>
      <c r="AD124" s="187"/>
      <c r="AE124" s="187"/>
    </row>
    <row r="125" spans="1:31" x14ac:dyDescent="0.25">
      <c r="A125" s="187"/>
      <c r="B125" s="187" t="str">
        <f>IF($C125="","",MAX($B$4:$B124)+1)</f>
        <v/>
      </c>
      <c r="C125" s="183"/>
      <c r="D125" s="183" t="str">
        <f>IFERROR(VLOOKUP($C125,Rosters!$C$4:$M$239,INDEX(Lists!$N$5:$O$80,MATCH($C125,Lists!$N$5:$N$80,FALSE),2)),"")</f>
        <v/>
      </c>
      <c r="E125" s="185">
        <f>IF($C125="",-0.00001,COUNTIF(Database!E:E,$C125))</f>
        <v>-1.0000000000000001E-5</v>
      </c>
      <c r="F125" s="185">
        <f>IFERROR(IF($C125="",-0.00001,SUMIFS(Database!H:H,Database!$E:$E,$C125)),-0.00001)</f>
        <v>-1.0000000000000001E-5</v>
      </c>
      <c r="G125" s="185">
        <f>IFERROR(IF($C125="",-0.00001,SUMIFS(Database!I:I,Database!$E:$E,$C125)),-0.00001)</f>
        <v>-1.0000000000000001E-5</v>
      </c>
      <c r="H125" s="185">
        <f>IFERROR(IF($C125="",-0.00001,SUMIFS(Database!J:J,Database!$E:$E,$C125)),-0.00001)</f>
        <v>-1.0000000000000001E-5</v>
      </c>
      <c r="I125" s="185">
        <f>IFERROR(IF($C125="",-0.00001,SUMIFS(Database!K:K,Database!$E:$E,$C125)),-0.00001)</f>
        <v>-1.0000000000000001E-5</v>
      </c>
      <c r="J125" s="185">
        <f>IFERROR(IF($C125="",-0.00001,SUMIFS(Database!L:L,Database!$E:$E,$C125)),-0.00001)</f>
        <v>-1.0000000000000001E-5</v>
      </c>
      <c r="K125" s="185">
        <f>IFERROR(IF($C125="",-0.00001,SUMIFS(Database!M:M,Database!$E:$E,$C125)),-0.00001)</f>
        <v>-1.0000000000000001E-5</v>
      </c>
      <c r="L125" s="185">
        <f>IFERROR(IF($C125="",-0.00001,SUMIFS(Database!N:N,Database!$E:$E,$C125)),-0.00001)</f>
        <v>-1.0000000000000001E-5</v>
      </c>
      <c r="M125" s="185">
        <f>IFERROR(IF($C125="",-0.00001,SUMIFS(Database!O:O,Database!$E:$E,$C125)),-0.00001)</f>
        <v>-1.0000000000000001E-5</v>
      </c>
      <c r="N125" s="185">
        <f>IFERROR(IF($C125="",-0.00001,SUMIFS(Database!P:P,Database!$E:$E,$C125)),-0.00001)</f>
        <v>-1.0000000000000001E-5</v>
      </c>
      <c r="O125" s="185">
        <f>IFERROR(IF($C125="",-0.00001,SUMIFS(Database!Q:Q,Database!$E:$E,$C125)),-0.00001)</f>
        <v>-1.0000000000000001E-5</v>
      </c>
      <c r="P125" s="186">
        <f t="shared" si="3"/>
        <v>-1.0000000000000001E-5</v>
      </c>
      <c r="Q125" s="185">
        <f>IFERROR(IF($C125="",-0.00001,SUMIFS(Database!S:S,Database!$E:$E,$C125)),-0.00001)</f>
        <v>-1.0000000000000001E-5</v>
      </c>
      <c r="R125" s="185">
        <f>IFERROR(IF($C125="",-0.00001,SUMIFS(Database!T:T,Database!$E:$E,$C125)),-0.00001)</f>
        <v>-1.0000000000000001E-5</v>
      </c>
      <c r="S125" s="186">
        <f t="shared" si="4"/>
        <v>-1.0000000000000001E-5</v>
      </c>
      <c r="T125" s="185">
        <f>IFERROR(IF($C125="",-0.00001,SUMIFS(Database!V:V,Database!$E:$E,$C125)),-0.00001)</f>
        <v>-1.0000000000000001E-5</v>
      </c>
      <c r="U125" s="185">
        <f>IFERROR(IF($C125="",-0.00001,SUMIFS(Database!W:W,Database!$E:$E,$C125)),-0.00001)</f>
        <v>-1.0000000000000001E-5</v>
      </c>
      <c r="V125" s="186">
        <f t="shared" si="5"/>
        <v>-1.0000000000000001E-5</v>
      </c>
      <c r="W125" s="187"/>
      <c r="X125" s="187"/>
      <c r="Y125" s="187"/>
      <c r="Z125" s="187"/>
      <c r="AA125" s="187"/>
      <c r="AB125" s="187"/>
      <c r="AC125" s="187"/>
      <c r="AD125" s="187"/>
      <c r="AE125" s="187"/>
    </row>
    <row r="126" spans="1:31" x14ac:dyDescent="0.25">
      <c r="A126" s="187"/>
      <c r="B126" s="187" t="str">
        <f>IF($C126="","",MAX($B$4:$B125)+1)</f>
        <v/>
      </c>
      <c r="C126" s="183"/>
      <c r="D126" s="183" t="str">
        <f>IFERROR(VLOOKUP($C126,Rosters!$C$4:$M$239,INDEX(Lists!$N$5:$O$80,MATCH($C126,Lists!$N$5:$N$80,FALSE),2)),"")</f>
        <v/>
      </c>
      <c r="E126" s="185">
        <f>IF($C126="",-0.00001,COUNTIF(Database!E:E,$C126))</f>
        <v>-1.0000000000000001E-5</v>
      </c>
      <c r="F126" s="185">
        <f>IFERROR(IF($C126="",-0.00001,SUMIFS(Database!H:H,Database!$E:$E,$C126)),-0.00001)</f>
        <v>-1.0000000000000001E-5</v>
      </c>
      <c r="G126" s="185">
        <f>IFERROR(IF($C126="",-0.00001,SUMIFS(Database!I:I,Database!$E:$E,$C126)),-0.00001)</f>
        <v>-1.0000000000000001E-5</v>
      </c>
      <c r="H126" s="185">
        <f>IFERROR(IF($C126="",-0.00001,SUMIFS(Database!J:J,Database!$E:$E,$C126)),-0.00001)</f>
        <v>-1.0000000000000001E-5</v>
      </c>
      <c r="I126" s="185">
        <f>IFERROR(IF($C126="",-0.00001,SUMIFS(Database!K:K,Database!$E:$E,$C126)),-0.00001)</f>
        <v>-1.0000000000000001E-5</v>
      </c>
      <c r="J126" s="185">
        <f>IFERROR(IF($C126="",-0.00001,SUMIFS(Database!L:L,Database!$E:$E,$C126)),-0.00001)</f>
        <v>-1.0000000000000001E-5</v>
      </c>
      <c r="K126" s="185">
        <f>IFERROR(IF($C126="",-0.00001,SUMIFS(Database!M:M,Database!$E:$E,$C126)),-0.00001)</f>
        <v>-1.0000000000000001E-5</v>
      </c>
      <c r="L126" s="185">
        <f>IFERROR(IF($C126="",-0.00001,SUMIFS(Database!N:N,Database!$E:$E,$C126)),-0.00001)</f>
        <v>-1.0000000000000001E-5</v>
      </c>
      <c r="M126" s="185">
        <f>IFERROR(IF($C126="",-0.00001,SUMIFS(Database!O:O,Database!$E:$E,$C126)),-0.00001)</f>
        <v>-1.0000000000000001E-5</v>
      </c>
      <c r="N126" s="185">
        <f>IFERROR(IF($C126="",-0.00001,SUMIFS(Database!P:P,Database!$E:$E,$C126)),-0.00001)</f>
        <v>-1.0000000000000001E-5</v>
      </c>
      <c r="O126" s="185">
        <f>IFERROR(IF($C126="",-0.00001,SUMIFS(Database!Q:Q,Database!$E:$E,$C126)),-0.00001)</f>
        <v>-1.0000000000000001E-5</v>
      </c>
      <c r="P126" s="186">
        <f t="shared" si="3"/>
        <v>-1.0000000000000001E-5</v>
      </c>
      <c r="Q126" s="185">
        <f>IFERROR(IF($C126="",-0.00001,SUMIFS(Database!S:S,Database!$E:$E,$C126)),-0.00001)</f>
        <v>-1.0000000000000001E-5</v>
      </c>
      <c r="R126" s="185">
        <f>IFERROR(IF($C126="",-0.00001,SUMIFS(Database!T:T,Database!$E:$E,$C126)),-0.00001)</f>
        <v>-1.0000000000000001E-5</v>
      </c>
      <c r="S126" s="186">
        <f t="shared" si="4"/>
        <v>-1.0000000000000001E-5</v>
      </c>
      <c r="T126" s="185">
        <f>IFERROR(IF($C126="",-0.00001,SUMIFS(Database!V:V,Database!$E:$E,$C126)),-0.00001)</f>
        <v>-1.0000000000000001E-5</v>
      </c>
      <c r="U126" s="185">
        <f>IFERROR(IF($C126="",-0.00001,SUMIFS(Database!W:W,Database!$E:$E,$C126)),-0.00001)</f>
        <v>-1.0000000000000001E-5</v>
      </c>
      <c r="V126" s="186">
        <f t="shared" si="5"/>
        <v>-1.0000000000000001E-5</v>
      </c>
      <c r="W126" s="187"/>
      <c r="X126" s="187"/>
      <c r="Y126" s="187"/>
      <c r="Z126" s="187"/>
      <c r="AA126" s="187"/>
      <c r="AB126" s="187"/>
      <c r="AC126" s="187"/>
      <c r="AD126" s="187"/>
      <c r="AE126" s="187"/>
    </row>
    <row r="127" spans="1:31" x14ac:dyDescent="0.25">
      <c r="A127" s="187"/>
      <c r="B127" s="187" t="str">
        <f>IF($C127="","",MAX($B$4:$B126)+1)</f>
        <v/>
      </c>
      <c r="C127" s="183"/>
      <c r="D127" s="183" t="str">
        <f>IFERROR(VLOOKUP($C127,Rosters!$C$4:$M$239,INDEX(Lists!$N$5:$O$80,MATCH($C127,Lists!$N$5:$N$80,FALSE),2)),"")</f>
        <v/>
      </c>
      <c r="E127" s="185">
        <f>IF($C127="",-0.00001,COUNTIF(Database!E:E,$C127))</f>
        <v>-1.0000000000000001E-5</v>
      </c>
      <c r="F127" s="185">
        <f>IFERROR(IF($C127="",-0.00001,SUMIFS(Database!H:H,Database!$E:$E,$C127)),-0.00001)</f>
        <v>-1.0000000000000001E-5</v>
      </c>
      <c r="G127" s="185">
        <f>IFERROR(IF($C127="",-0.00001,SUMIFS(Database!I:I,Database!$E:$E,$C127)),-0.00001)</f>
        <v>-1.0000000000000001E-5</v>
      </c>
      <c r="H127" s="185">
        <f>IFERROR(IF($C127="",-0.00001,SUMIFS(Database!J:J,Database!$E:$E,$C127)),-0.00001)</f>
        <v>-1.0000000000000001E-5</v>
      </c>
      <c r="I127" s="185">
        <f>IFERROR(IF($C127="",-0.00001,SUMIFS(Database!K:K,Database!$E:$E,$C127)),-0.00001)</f>
        <v>-1.0000000000000001E-5</v>
      </c>
      <c r="J127" s="185">
        <f>IFERROR(IF($C127="",-0.00001,SUMIFS(Database!L:L,Database!$E:$E,$C127)),-0.00001)</f>
        <v>-1.0000000000000001E-5</v>
      </c>
      <c r="K127" s="185">
        <f>IFERROR(IF($C127="",-0.00001,SUMIFS(Database!M:M,Database!$E:$E,$C127)),-0.00001)</f>
        <v>-1.0000000000000001E-5</v>
      </c>
      <c r="L127" s="185">
        <f>IFERROR(IF($C127="",-0.00001,SUMIFS(Database!N:N,Database!$E:$E,$C127)),-0.00001)</f>
        <v>-1.0000000000000001E-5</v>
      </c>
      <c r="M127" s="185">
        <f>IFERROR(IF($C127="",-0.00001,SUMIFS(Database!O:O,Database!$E:$E,$C127)),-0.00001)</f>
        <v>-1.0000000000000001E-5</v>
      </c>
      <c r="N127" s="185">
        <f>IFERROR(IF($C127="",-0.00001,SUMIFS(Database!P:P,Database!$E:$E,$C127)),-0.00001)</f>
        <v>-1.0000000000000001E-5</v>
      </c>
      <c r="O127" s="185">
        <f>IFERROR(IF($C127="",-0.00001,SUMIFS(Database!Q:Q,Database!$E:$E,$C127)),-0.00001)</f>
        <v>-1.0000000000000001E-5</v>
      </c>
      <c r="P127" s="186">
        <f t="shared" si="3"/>
        <v>-1.0000000000000001E-5</v>
      </c>
      <c r="Q127" s="185">
        <f>IFERROR(IF($C127="",-0.00001,SUMIFS(Database!S:S,Database!$E:$E,$C127)),-0.00001)</f>
        <v>-1.0000000000000001E-5</v>
      </c>
      <c r="R127" s="185">
        <f>IFERROR(IF($C127="",-0.00001,SUMIFS(Database!T:T,Database!$E:$E,$C127)),-0.00001)</f>
        <v>-1.0000000000000001E-5</v>
      </c>
      <c r="S127" s="186">
        <f t="shared" si="4"/>
        <v>-1.0000000000000001E-5</v>
      </c>
      <c r="T127" s="185">
        <f>IFERROR(IF($C127="",-0.00001,SUMIFS(Database!V:V,Database!$E:$E,$C127)),-0.00001)</f>
        <v>-1.0000000000000001E-5</v>
      </c>
      <c r="U127" s="185">
        <f>IFERROR(IF($C127="",-0.00001,SUMIFS(Database!W:W,Database!$E:$E,$C127)),-0.00001)</f>
        <v>-1.0000000000000001E-5</v>
      </c>
      <c r="V127" s="186">
        <f t="shared" si="5"/>
        <v>-1.0000000000000001E-5</v>
      </c>
      <c r="W127" s="187"/>
      <c r="X127" s="187"/>
      <c r="Y127" s="187"/>
      <c r="Z127" s="187"/>
      <c r="AA127" s="187"/>
      <c r="AB127" s="187"/>
      <c r="AC127" s="187"/>
      <c r="AD127" s="187"/>
      <c r="AE127" s="187"/>
    </row>
    <row r="128" spans="1:31" x14ac:dyDescent="0.25">
      <c r="A128" s="187"/>
      <c r="B128" s="187" t="str">
        <f>IF($C128="","",MAX($B$4:$B127)+1)</f>
        <v/>
      </c>
      <c r="C128" s="183"/>
      <c r="D128" s="183" t="str">
        <f>IFERROR(VLOOKUP($C128,Rosters!$C$4:$M$239,INDEX(Lists!$N$5:$O$80,MATCH($C128,Lists!$N$5:$N$80,FALSE),2)),"")</f>
        <v/>
      </c>
      <c r="E128" s="185">
        <f>IF($C128="",-0.00001,COUNTIF(Database!E:E,$C128))</f>
        <v>-1.0000000000000001E-5</v>
      </c>
      <c r="F128" s="185">
        <f>IFERROR(IF($C128="",-0.00001,SUMIFS(Database!H:H,Database!$E:$E,$C128)),-0.00001)</f>
        <v>-1.0000000000000001E-5</v>
      </c>
      <c r="G128" s="185">
        <f>IFERROR(IF($C128="",-0.00001,SUMIFS(Database!I:I,Database!$E:$E,$C128)),-0.00001)</f>
        <v>-1.0000000000000001E-5</v>
      </c>
      <c r="H128" s="185">
        <f>IFERROR(IF($C128="",-0.00001,SUMIFS(Database!J:J,Database!$E:$E,$C128)),-0.00001)</f>
        <v>-1.0000000000000001E-5</v>
      </c>
      <c r="I128" s="185">
        <f>IFERROR(IF($C128="",-0.00001,SUMIFS(Database!K:K,Database!$E:$E,$C128)),-0.00001)</f>
        <v>-1.0000000000000001E-5</v>
      </c>
      <c r="J128" s="185">
        <f>IFERROR(IF($C128="",-0.00001,SUMIFS(Database!L:L,Database!$E:$E,$C128)),-0.00001)</f>
        <v>-1.0000000000000001E-5</v>
      </c>
      <c r="K128" s="185">
        <f>IFERROR(IF($C128="",-0.00001,SUMIFS(Database!M:M,Database!$E:$E,$C128)),-0.00001)</f>
        <v>-1.0000000000000001E-5</v>
      </c>
      <c r="L128" s="185">
        <f>IFERROR(IF($C128="",-0.00001,SUMIFS(Database!N:N,Database!$E:$E,$C128)),-0.00001)</f>
        <v>-1.0000000000000001E-5</v>
      </c>
      <c r="M128" s="185">
        <f>IFERROR(IF($C128="",-0.00001,SUMIFS(Database!O:O,Database!$E:$E,$C128)),-0.00001)</f>
        <v>-1.0000000000000001E-5</v>
      </c>
      <c r="N128" s="185">
        <f>IFERROR(IF($C128="",-0.00001,SUMIFS(Database!P:P,Database!$E:$E,$C128)),-0.00001)</f>
        <v>-1.0000000000000001E-5</v>
      </c>
      <c r="O128" s="185">
        <f>IFERROR(IF($C128="",-0.00001,SUMIFS(Database!Q:Q,Database!$E:$E,$C128)),-0.00001)</f>
        <v>-1.0000000000000001E-5</v>
      </c>
      <c r="P128" s="186">
        <f t="shared" si="3"/>
        <v>-1.0000000000000001E-5</v>
      </c>
      <c r="Q128" s="185">
        <f>IFERROR(IF($C128="",-0.00001,SUMIFS(Database!S:S,Database!$E:$E,$C128)),-0.00001)</f>
        <v>-1.0000000000000001E-5</v>
      </c>
      <c r="R128" s="185">
        <f>IFERROR(IF($C128="",-0.00001,SUMIFS(Database!T:T,Database!$E:$E,$C128)),-0.00001)</f>
        <v>-1.0000000000000001E-5</v>
      </c>
      <c r="S128" s="186">
        <f t="shared" si="4"/>
        <v>-1.0000000000000001E-5</v>
      </c>
      <c r="T128" s="185">
        <f>IFERROR(IF($C128="",-0.00001,SUMIFS(Database!V:V,Database!$E:$E,$C128)),-0.00001)</f>
        <v>-1.0000000000000001E-5</v>
      </c>
      <c r="U128" s="185">
        <f>IFERROR(IF($C128="",-0.00001,SUMIFS(Database!W:W,Database!$E:$E,$C128)),-0.00001)</f>
        <v>-1.0000000000000001E-5</v>
      </c>
      <c r="V128" s="186">
        <f t="shared" si="5"/>
        <v>-1.0000000000000001E-5</v>
      </c>
      <c r="W128" s="187"/>
      <c r="X128" s="187"/>
      <c r="Y128" s="187"/>
      <c r="Z128" s="187"/>
      <c r="AA128" s="187"/>
      <c r="AB128" s="187"/>
      <c r="AC128" s="187"/>
      <c r="AD128" s="187"/>
      <c r="AE128" s="187"/>
    </row>
    <row r="129" spans="1:31" x14ac:dyDescent="0.25">
      <c r="A129" s="187"/>
      <c r="B129" s="187" t="str">
        <f>IF($C129="","",MAX($B$4:$B128)+1)</f>
        <v/>
      </c>
      <c r="C129" s="183"/>
      <c r="D129" s="183" t="str">
        <f>IFERROR(VLOOKUP($C129,Rosters!$C$4:$M$239,INDEX(Lists!$N$5:$O$80,MATCH($C129,Lists!$N$5:$N$80,FALSE),2)),"")</f>
        <v/>
      </c>
      <c r="E129" s="185">
        <f>IF($C129="",-0.00001,COUNTIF(Database!E:E,$C129))</f>
        <v>-1.0000000000000001E-5</v>
      </c>
      <c r="F129" s="185">
        <f>IFERROR(IF($C129="",-0.00001,SUMIFS(Database!H:H,Database!$E:$E,$C129)),-0.00001)</f>
        <v>-1.0000000000000001E-5</v>
      </c>
      <c r="G129" s="185">
        <f>IFERROR(IF($C129="",-0.00001,SUMIFS(Database!I:I,Database!$E:$E,$C129)),-0.00001)</f>
        <v>-1.0000000000000001E-5</v>
      </c>
      <c r="H129" s="185">
        <f>IFERROR(IF($C129="",-0.00001,SUMIFS(Database!J:J,Database!$E:$E,$C129)),-0.00001)</f>
        <v>-1.0000000000000001E-5</v>
      </c>
      <c r="I129" s="185">
        <f>IFERROR(IF($C129="",-0.00001,SUMIFS(Database!K:K,Database!$E:$E,$C129)),-0.00001)</f>
        <v>-1.0000000000000001E-5</v>
      </c>
      <c r="J129" s="185">
        <f>IFERROR(IF($C129="",-0.00001,SUMIFS(Database!L:L,Database!$E:$E,$C129)),-0.00001)</f>
        <v>-1.0000000000000001E-5</v>
      </c>
      <c r="K129" s="185">
        <f>IFERROR(IF($C129="",-0.00001,SUMIFS(Database!M:M,Database!$E:$E,$C129)),-0.00001)</f>
        <v>-1.0000000000000001E-5</v>
      </c>
      <c r="L129" s="185">
        <f>IFERROR(IF($C129="",-0.00001,SUMIFS(Database!N:N,Database!$E:$E,$C129)),-0.00001)</f>
        <v>-1.0000000000000001E-5</v>
      </c>
      <c r="M129" s="185">
        <f>IFERROR(IF($C129="",-0.00001,SUMIFS(Database!O:O,Database!$E:$E,$C129)),-0.00001)</f>
        <v>-1.0000000000000001E-5</v>
      </c>
      <c r="N129" s="185">
        <f>IFERROR(IF($C129="",-0.00001,SUMIFS(Database!P:P,Database!$E:$E,$C129)),-0.00001)</f>
        <v>-1.0000000000000001E-5</v>
      </c>
      <c r="O129" s="185">
        <f>IFERROR(IF($C129="",-0.00001,SUMIFS(Database!Q:Q,Database!$E:$E,$C129)),-0.00001)</f>
        <v>-1.0000000000000001E-5</v>
      </c>
      <c r="P129" s="186">
        <f t="shared" si="3"/>
        <v>-1.0000000000000001E-5</v>
      </c>
      <c r="Q129" s="185">
        <f>IFERROR(IF($C129="",-0.00001,SUMIFS(Database!S:S,Database!$E:$E,$C129)),-0.00001)</f>
        <v>-1.0000000000000001E-5</v>
      </c>
      <c r="R129" s="185">
        <f>IFERROR(IF($C129="",-0.00001,SUMIFS(Database!T:T,Database!$E:$E,$C129)),-0.00001)</f>
        <v>-1.0000000000000001E-5</v>
      </c>
      <c r="S129" s="186">
        <f t="shared" si="4"/>
        <v>-1.0000000000000001E-5</v>
      </c>
      <c r="T129" s="185">
        <f>IFERROR(IF($C129="",-0.00001,SUMIFS(Database!V:V,Database!$E:$E,$C129)),-0.00001)</f>
        <v>-1.0000000000000001E-5</v>
      </c>
      <c r="U129" s="185">
        <f>IFERROR(IF($C129="",-0.00001,SUMIFS(Database!W:W,Database!$E:$E,$C129)),-0.00001)</f>
        <v>-1.0000000000000001E-5</v>
      </c>
      <c r="V129" s="186">
        <f t="shared" si="5"/>
        <v>-1.0000000000000001E-5</v>
      </c>
      <c r="W129" s="187"/>
      <c r="X129" s="187"/>
      <c r="Y129" s="187"/>
      <c r="Z129" s="187"/>
      <c r="AA129" s="187"/>
      <c r="AB129" s="187"/>
      <c r="AC129" s="187"/>
      <c r="AD129" s="187"/>
      <c r="AE129" s="187"/>
    </row>
    <row r="130" spans="1:31" x14ac:dyDescent="0.25">
      <c r="A130" s="187"/>
      <c r="B130" s="187" t="str">
        <f>IF($C130="","",MAX($B$4:$B129)+1)</f>
        <v/>
      </c>
      <c r="C130" s="183"/>
      <c r="D130" s="183" t="str">
        <f>IFERROR(VLOOKUP($C130,Rosters!$C$4:$M$239,INDEX(Lists!$N$5:$O$80,MATCH($C130,Lists!$N$5:$N$80,FALSE),2)),"")</f>
        <v/>
      </c>
      <c r="E130" s="185">
        <f>IF($C130="",-0.00001,COUNTIF(Database!E:E,$C130))</f>
        <v>-1.0000000000000001E-5</v>
      </c>
      <c r="F130" s="185">
        <f>IFERROR(IF($C130="",-0.00001,SUMIFS(Database!H:H,Database!$E:$E,$C130)),-0.00001)</f>
        <v>-1.0000000000000001E-5</v>
      </c>
      <c r="G130" s="185">
        <f>IFERROR(IF($C130="",-0.00001,SUMIFS(Database!I:I,Database!$E:$E,$C130)),-0.00001)</f>
        <v>-1.0000000000000001E-5</v>
      </c>
      <c r="H130" s="185">
        <f>IFERROR(IF($C130="",-0.00001,SUMIFS(Database!J:J,Database!$E:$E,$C130)),-0.00001)</f>
        <v>-1.0000000000000001E-5</v>
      </c>
      <c r="I130" s="185">
        <f>IFERROR(IF($C130="",-0.00001,SUMIFS(Database!K:K,Database!$E:$E,$C130)),-0.00001)</f>
        <v>-1.0000000000000001E-5</v>
      </c>
      <c r="J130" s="185">
        <f>IFERROR(IF($C130="",-0.00001,SUMIFS(Database!L:L,Database!$E:$E,$C130)),-0.00001)</f>
        <v>-1.0000000000000001E-5</v>
      </c>
      <c r="K130" s="185">
        <f>IFERROR(IF($C130="",-0.00001,SUMIFS(Database!M:M,Database!$E:$E,$C130)),-0.00001)</f>
        <v>-1.0000000000000001E-5</v>
      </c>
      <c r="L130" s="185">
        <f>IFERROR(IF($C130="",-0.00001,SUMIFS(Database!N:N,Database!$E:$E,$C130)),-0.00001)</f>
        <v>-1.0000000000000001E-5</v>
      </c>
      <c r="M130" s="185">
        <f>IFERROR(IF($C130="",-0.00001,SUMIFS(Database!O:O,Database!$E:$E,$C130)),-0.00001)</f>
        <v>-1.0000000000000001E-5</v>
      </c>
      <c r="N130" s="185">
        <f>IFERROR(IF($C130="",-0.00001,SUMIFS(Database!P:P,Database!$E:$E,$C130)),-0.00001)</f>
        <v>-1.0000000000000001E-5</v>
      </c>
      <c r="O130" s="185">
        <f>IFERROR(IF($C130="",-0.00001,SUMIFS(Database!Q:Q,Database!$E:$E,$C130)),-0.00001)</f>
        <v>-1.0000000000000001E-5</v>
      </c>
      <c r="P130" s="186">
        <f t="shared" si="3"/>
        <v>-1.0000000000000001E-5</v>
      </c>
      <c r="Q130" s="185">
        <f>IFERROR(IF($C130="",-0.00001,SUMIFS(Database!S:S,Database!$E:$E,$C130)),-0.00001)</f>
        <v>-1.0000000000000001E-5</v>
      </c>
      <c r="R130" s="185">
        <f>IFERROR(IF($C130="",-0.00001,SUMIFS(Database!T:T,Database!$E:$E,$C130)),-0.00001)</f>
        <v>-1.0000000000000001E-5</v>
      </c>
      <c r="S130" s="186">
        <f t="shared" si="4"/>
        <v>-1.0000000000000001E-5</v>
      </c>
      <c r="T130" s="185">
        <f>IFERROR(IF($C130="",-0.00001,SUMIFS(Database!V:V,Database!$E:$E,$C130)),-0.00001)</f>
        <v>-1.0000000000000001E-5</v>
      </c>
      <c r="U130" s="185">
        <f>IFERROR(IF($C130="",-0.00001,SUMIFS(Database!W:W,Database!$E:$E,$C130)),-0.00001)</f>
        <v>-1.0000000000000001E-5</v>
      </c>
      <c r="V130" s="186">
        <f t="shared" si="5"/>
        <v>-1.0000000000000001E-5</v>
      </c>
      <c r="W130" s="187"/>
      <c r="X130" s="187"/>
      <c r="Y130" s="187"/>
      <c r="Z130" s="187"/>
      <c r="AA130" s="187"/>
      <c r="AB130" s="187"/>
      <c r="AC130" s="187"/>
      <c r="AD130" s="187"/>
      <c r="AE130" s="187"/>
    </row>
    <row r="131" spans="1:31" x14ac:dyDescent="0.25">
      <c r="A131" s="187"/>
      <c r="B131" s="187" t="str">
        <f>IF($C131="","",MAX($B$4:$B130)+1)</f>
        <v/>
      </c>
      <c r="C131" s="183"/>
      <c r="D131" s="183" t="str">
        <f>IFERROR(VLOOKUP($C131,Rosters!$C$4:$M$239,INDEX(Lists!$N$5:$O$80,MATCH($C131,Lists!$N$5:$N$80,FALSE),2)),"")</f>
        <v/>
      </c>
      <c r="E131" s="185">
        <f>IF($C131="",-0.00001,COUNTIF(Database!E:E,$C131))</f>
        <v>-1.0000000000000001E-5</v>
      </c>
      <c r="F131" s="185">
        <f>IFERROR(IF($C131="",-0.00001,SUMIFS(Database!H:H,Database!$E:$E,$C131)),-0.00001)</f>
        <v>-1.0000000000000001E-5</v>
      </c>
      <c r="G131" s="185">
        <f>IFERROR(IF($C131="",-0.00001,SUMIFS(Database!I:I,Database!$E:$E,$C131)),-0.00001)</f>
        <v>-1.0000000000000001E-5</v>
      </c>
      <c r="H131" s="185">
        <f>IFERROR(IF($C131="",-0.00001,SUMIFS(Database!J:J,Database!$E:$E,$C131)),-0.00001)</f>
        <v>-1.0000000000000001E-5</v>
      </c>
      <c r="I131" s="185">
        <f>IFERROR(IF($C131="",-0.00001,SUMIFS(Database!K:K,Database!$E:$E,$C131)),-0.00001)</f>
        <v>-1.0000000000000001E-5</v>
      </c>
      <c r="J131" s="185">
        <f>IFERROR(IF($C131="",-0.00001,SUMIFS(Database!L:L,Database!$E:$E,$C131)),-0.00001)</f>
        <v>-1.0000000000000001E-5</v>
      </c>
      <c r="K131" s="185">
        <f>IFERROR(IF($C131="",-0.00001,SUMIFS(Database!M:M,Database!$E:$E,$C131)),-0.00001)</f>
        <v>-1.0000000000000001E-5</v>
      </c>
      <c r="L131" s="185">
        <f>IFERROR(IF($C131="",-0.00001,SUMIFS(Database!N:N,Database!$E:$E,$C131)),-0.00001)</f>
        <v>-1.0000000000000001E-5</v>
      </c>
      <c r="M131" s="185">
        <f>IFERROR(IF($C131="",-0.00001,SUMIFS(Database!O:O,Database!$E:$E,$C131)),-0.00001)</f>
        <v>-1.0000000000000001E-5</v>
      </c>
      <c r="N131" s="185">
        <f>IFERROR(IF($C131="",-0.00001,SUMIFS(Database!P:P,Database!$E:$E,$C131)),-0.00001)</f>
        <v>-1.0000000000000001E-5</v>
      </c>
      <c r="O131" s="185">
        <f>IFERROR(IF($C131="",-0.00001,SUMIFS(Database!Q:Q,Database!$E:$E,$C131)),-0.00001)</f>
        <v>-1.0000000000000001E-5</v>
      </c>
      <c r="P131" s="186">
        <f t="shared" si="3"/>
        <v>-1.0000000000000001E-5</v>
      </c>
      <c r="Q131" s="185">
        <f>IFERROR(IF($C131="",-0.00001,SUMIFS(Database!S:S,Database!$E:$E,$C131)),-0.00001)</f>
        <v>-1.0000000000000001E-5</v>
      </c>
      <c r="R131" s="185">
        <f>IFERROR(IF($C131="",-0.00001,SUMIFS(Database!T:T,Database!$E:$E,$C131)),-0.00001)</f>
        <v>-1.0000000000000001E-5</v>
      </c>
      <c r="S131" s="186">
        <f t="shared" si="4"/>
        <v>-1.0000000000000001E-5</v>
      </c>
      <c r="T131" s="185">
        <f>IFERROR(IF($C131="",-0.00001,SUMIFS(Database!V:V,Database!$E:$E,$C131)),-0.00001)</f>
        <v>-1.0000000000000001E-5</v>
      </c>
      <c r="U131" s="185">
        <f>IFERROR(IF($C131="",-0.00001,SUMIFS(Database!W:W,Database!$E:$E,$C131)),-0.00001)</f>
        <v>-1.0000000000000001E-5</v>
      </c>
      <c r="V131" s="186">
        <f t="shared" si="5"/>
        <v>-1.0000000000000001E-5</v>
      </c>
      <c r="W131" s="187"/>
      <c r="X131" s="187"/>
      <c r="Y131" s="187"/>
      <c r="Z131" s="187"/>
      <c r="AA131" s="187"/>
      <c r="AB131" s="187"/>
      <c r="AC131" s="187"/>
      <c r="AD131" s="187"/>
      <c r="AE131" s="187"/>
    </row>
    <row r="132" spans="1:31" x14ac:dyDescent="0.25">
      <c r="A132" s="187"/>
      <c r="B132" s="187" t="str">
        <f>IF($C132="","",MAX($B$4:$B131)+1)</f>
        <v/>
      </c>
      <c r="C132" s="183"/>
      <c r="D132" s="183" t="str">
        <f>IFERROR(VLOOKUP($C132,Rosters!$C$4:$M$239,INDEX(Lists!$N$5:$O$80,MATCH($C132,Lists!$N$5:$N$80,FALSE),2)),"")</f>
        <v/>
      </c>
      <c r="E132" s="185">
        <f>IF($C132="",-0.00001,COUNTIF(Database!E:E,$C132))</f>
        <v>-1.0000000000000001E-5</v>
      </c>
      <c r="F132" s="185">
        <f>IFERROR(IF($C132="",-0.00001,SUMIFS(Database!H:H,Database!$E:$E,$C132)),-0.00001)</f>
        <v>-1.0000000000000001E-5</v>
      </c>
      <c r="G132" s="185">
        <f>IFERROR(IF($C132="",-0.00001,SUMIFS(Database!I:I,Database!$E:$E,$C132)),-0.00001)</f>
        <v>-1.0000000000000001E-5</v>
      </c>
      <c r="H132" s="185">
        <f>IFERROR(IF($C132="",-0.00001,SUMIFS(Database!J:J,Database!$E:$E,$C132)),-0.00001)</f>
        <v>-1.0000000000000001E-5</v>
      </c>
      <c r="I132" s="185">
        <f>IFERROR(IF($C132="",-0.00001,SUMIFS(Database!K:K,Database!$E:$E,$C132)),-0.00001)</f>
        <v>-1.0000000000000001E-5</v>
      </c>
      <c r="J132" s="185">
        <f>IFERROR(IF($C132="",-0.00001,SUMIFS(Database!L:L,Database!$E:$E,$C132)),-0.00001)</f>
        <v>-1.0000000000000001E-5</v>
      </c>
      <c r="K132" s="185">
        <f>IFERROR(IF($C132="",-0.00001,SUMIFS(Database!M:M,Database!$E:$E,$C132)),-0.00001)</f>
        <v>-1.0000000000000001E-5</v>
      </c>
      <c r="L132" s="185">
        <f>IFERROR(IF($C132="",-0.00001,SUMIFS(Database!N:N,Database!$E:$E,$C132)),-0.00001)</f>
        <v>-1.0000000000000001E-5</v>
      </c>
      <c r="M132" s="185">
        <f>IFERROR(IF($C132="",-0.00001,SUMIFS(Database!O:O,Database!$E:$E,$C132)),-0.00001)</f>
        <v>-1.0000000000000001E-5</v>
      </c>
      <c r="N132" s="185">
        <f>IFERROR(IF($C132="",-0.00001,SUMIFS(Database!P:P,Database!$E:$E,$C132)),-0.00001)</f>
        <v>-1.0000000000000001E-5</v>
      </c>
      <c r="O132" s="185">
        <f>IFERROR(IF($C132="",-0.00001,SUMIFS(Database!Q:Q,Database!$E:$E,$C132)),-0.00001)</f>
        <v>-1.0000000000000001E-5</v>
      </c>
      <c r="P132" s="186">
        <f t="shared" ref="P132:P195" si="6">IFERROR(IF($C132="",-0.00001,$N132/$O132),-0.00001)</f>
        <v>-1.0000000000000001E-5</v>
      </c>
      <c r="Q132" s="185">
        <f>IFERROR(IF($C132="",-0.00001,SUMIFS(Database!S:S,Database!$E:$E,$C132)),-0.00001)</f>
        <v>-1.0000000000000001E-5</v>
      </c>
      <c r="R132" s="185">
        <f>IFERROR(IF($C132="",-0.00001,SUMIFS(Database!T:T,Database!$E:$E,$C132)),-0.00001)</f>
        <v>-1.0000000000000001E-5</v>
      </c>
      <c r="S132" s="186">
        <f t="shared" ref="S132:S195" si="7">IFERROR(IF($C132="",-0.00001,$Q132/$R132),-0.00001)</f>
        <v>-1.0000000000000001E-5</v>
      </c>
      <c r="T132" s="185">
        <f>IFERROR(IF($C132="",-0.00001,SUMIFS(Database!V:V,Database!$E:$E,$C132)),-0.00001)</f>
        <v>-1.0000000000000001E-5</v>
      </c>
      <c r="U132" s="185">
        <f>IFERROR(IF($C132="",-0.00001,SUMIFS(Database!W:W,Database!$E:$E,$C132)),-0.00001)</f>
        <v>-1.0000000000000001E-5</v>
      </c>
      <c r="V132" s="186">
        <f t="shared" ref="V132:V195" si="8">IFERROR(IF($C132="",-0.00001,$T132/$U132),-0.00001)</f>
        <v>-1.0000000000000001E-5</v>
      </c>
      <c r="W132" s="187"/>
      <c r="X132" s="187"/>
      <c r="Y132" s="187"/>
      <c r="Z132" s="187"/>
      <c r="AA132" s="187"/>
      <c r="AB132" s="187"/>
      <c r="AC132" s="187"/>
      <c r="AD132" s="187"/>
      <c r="AE132" s="187"/>
    </row>
    <row r="133" spans="1:31" x14ac:dyDescent="0.25">
      <c r="A133" s="187"/>
      <c r="B133" s="187" t="str">
        <f>IF($C133="","",MAX($B$4:$B132)+1)</f>
        <v/>
      </c>
      <c r="C133" s="183"/>
      <c r="D133" s="183" t="str">
        <f>IFERROR(VLOOKUP($C133,Rosters!$C$4:$M$239,INDEX(Lists!$N$5:$O$80,MATCH($C133,Lists!$N$5:$N$80,FALSE),2)),"")</f>
        <v/>
      </c>
      <c r="E133" s="185">
        <f>IF($C133="",-0.00001,COUNTIF(Database!E:E,$C133))</f>
        <v>-1.0000000000000001E-5</v>
      </c>
      <c r="F133" s="185">
        <f>IFERROR(IF($C133="",-0.00001,SUMIFS(Database!H:H,Database!$E:$E,$C133)),-0.00001)</f>
        <v>-1.0000000000000001E-5</v>
      </c>
      <c r="G133" s="185">
        <f>IFERROR(IF($C133="",-0.00001,SUMIFS(Database!I:I,Database!$E:$E,$C133)),-0.00001)</f>
        <v>-1.0000000000000001E-5</v>
      </c>
      <c r="H133" s="185">
        <f>IFERROR(IF($C133="",-0.00001,SUMIFS(Database!J:J,Database!$E:$E,$C133)),-0.00001)</f>
        <v>-1.0000000000000001E-5</v>
      </c>
      <c r="I133" s="185">
        <f>IFERROR(IF($C133="",-0.00001,SUMIFS(Database!K:K,Database!$E:$E,$C133)),-0.00001)</f>
        <v>-1.0000000000000001E-5</v>
      </c>
      <c r="J133" s="185">
        <f>IFERROR(IF($C133="",-0.00001,SUMIFS(Database!L:L,Database!$E:$E,$C133)),-0.00001)</f>
        <v>-1.0000000000000001E-5</v>
      </c>
      <c r="K133" s="185">
        <f>IFERROR(IF($C133="",-0.00001,SUMIFS(Database!M:M,Database!$E:$E,$C133)),-0.00001)</f>
        <v>-1.0000000000000001E-5</v>
      </c>
      <c r="L133" s="185">
        <f>IFERROR(IF($C133="",-0.00001,SUMIFS(Database!N:N,Database!$E:$E,$C133)),-0.00001)</f>
        <v>-1.0000000000000001E-5</v>
      </c>
      <c r="M133" s="185">
        <f>IFERROR(IF($C133="",-0.00001,SUMIFS(Database!O:O,Database!$E:$E,$C133)),-0.00001)</f>
        <v>-1.0000000000000001E-5</v>
      </c>
      <c r="N133" s="185">
        <f>IFERROR(IF($C133="",-0.00001,SUMIFS(Database!P:P,Database!$E:$E,$C133)),-0.00001)</f>
        <v>-1.0000000000000001E-5</v>
      </c>
      <c r="O133" s="185">
        <f>IFERROR(IF($C133="",-0.00001,SUMIFS(Database!Q:Q,Database!$E:$E,$C133)),-0.00001)</f>
        <v>-1.0000000000000001E-5</v>
      </c>
      <c r="P133" s="186">
        <f t="shared" si="6"/>
        <v>-1.0000000000000001E-5</v>
      </c>
      <c r="Q133" s="185">
        <f>IFERROR(IF($C133="",-0.00001,SUMIFS(Database!S:S,Database!$E:$E,$C133)),-0.00001)</f>
        <v>-1.0000000000000001E-5</v>
      </c>
      <c r="R133" s="185">
        <f>IFERROR(IF($C133="",-0.00001,SUMIFS(Database!T:T,Database!$E:$E,$C133)),-0.00001)</f>
        <v>-1.0000000000000001E-5</v>
      </c>
      <c r="S133" s="186">
        <f t="shared" si="7"/>
        <v>-1.0000000000000001E-5</v>
      </c>
      <c r="T133" s="185">
        <f>IFERROR(IF($C133="",-0.00001,SUMIFS(Database!V:V,Database!$E:$E,$C133)),-0.00001)</f>
        <v>-1.0000000000000001E-5</v>
      </c>
      <c r="U133" s="185">
        <f>IFERROR(IF($C133="",-0.00001,SUMIFS(Database!W:W,Database!$E:$E,$C133)),-0.00001)</f>
        <v>-1.0000000000000001E-5</v>
      </c>
      <c r="V133" s="186">
        <f t="shared" si="8"/>
        <v>-1.0000000000000001E-5</v>
      </c>
      <c r="W133" s="187"/>
      <c r="X133" s="187"/>
      <c r="Y133" s="187"/>
      <c r="Z133" s="187"/>
      <c r="AA133" s="187"/>
      <c r="AB133" s="187"/>
      <c r="AC133" s="187"/>
      <c r="AD133" s="187"/>
      <c r="AE133" s="187"/>
    </row>
    <row r="134" spans="1:31" x14ac:dyDescent="0.25">
      <c r="A134" s="187"/>
      <c r="B134" s="187" t="str">
        <f>IF($C134="","",MAX($B$4:$B133)+1)</f>
        <v/>
      </c>
      <c r="C134" s="183"/>
      <c r="D134" s="183" t="str">
        <f>IFERROR(VLOOKUP($C134,Rosters!$C$4:$M$239,INDEX(Lists!$N$5:$O$80,MATCH($C134,Lists!$N$5:$N$80,FALSE),2)),"")</f>
        <v/>
      </c>
      <c r="E134" s="185">
        <f>IF($C134="",-0.00001,COUNTIF(Database!E:E,$C134))</f>
        <v>-1.0000000000000001E-5</v>
      </c>
      <c r="F134" s="185">
        <f>IFERROR(IF($C134="",-0.00001,SUMIFS(Database!H:H,Database!$E:$E,$C134)),-0.00001)</f>
        <v>-1.0000000000000001E-5</v>
      </c>
      <c r="G134" s="185">
        <f>IFERROR(IF($C134="",-0.00001,SUMIFS(Database!I:I,Database!$E:$E,$C134)),-0.00001)</f>
        <v>-1.0000000000000001E-5</v>
      </c>
      <c r="H134" s="185">
        <f>IFERROR(IF($C134="",-0.00001,SUMIFS(Database!J:J,Database!$E:$E,$C134)),-0.00001)</f>
        <v>-1.0000000000000001E-5</v>
      </c>
      <c r="I134" s="185">
        <f>IFERROR(IF($C134="",-0.00001,SUMIFS(Database!K:K,Database!$E:$E,$C134)),-0.00001)</f>
        <v>-1.0000000000000001E-5</v>
      </c>
      <c r="J134" s="185">
        <f>IFERROR(IF($C134="",-0.00001,SUMIFS(Database!L:L,Database!$E:$E,$C134)),-0.00001)</f>
        <v>-1.0000000000000001E-5</v>
      </c>
      <c r="K134" s="185">
        <f>IFERROR(IF($C134="",-0.00001,SUMIFS(Database!M:M,Database!$E:$E,$C134)),-0.00001)</f>
        <v>-1.0000000000000001E-5</v>
      </c>
      <c r="L134" s="185">
        <f>IFERROR(IF($C134="",-0.00001,SUMIFS(Database!N:N,Database!$E:$E,$C134)),-0.00001)</f>
        <v>-1.0000000000000001E-5</v>
      </c>
      <c r="M134" s="185">
        <f>IFERROR(IF($C134="",-0.00001,SUMIFS(Database!O:O,Database!$E:$E,$C134)),-0.00001)</f>
        <v>-1.0000000000000001E-5</v>
      </c>
      <c r="N134" s="185">
        <f>IFERROR(IF($C134="",-0.00001,SUMIFS(Database!P:P,Database!$E:$E,$C134)),-0.00001)</f>
        <v>-1.0000000000000001E-5</v>
      </c>
      <c r="O134" s="185">
        <f>IFERROR(IF($C134="",-0.00001,SUMIFS(Database!Q:Q,Database!$E:$E,$C134)),-0.00001)</f>
        <v>-1.0000000000000001E-5</v>
      </c>
      <c r="P134" s="186">
        <f t="shared" si="6"/>
        <v>-1.0000000000000001E-5</v>
      </c>
      <c r="Q134" s="185">
        <f>IFERROR(IF($C134="",-0.00001,SUMIFS(Database!S:S,Database!$E:$E,$C134)),-0.00001)</f>
        <v>-1.0000000000000001E-5</v>
      </c>
      <c r="R134" s="185">
        <f>IFERROR(IF($C134="",-0.00001,SUMIFS(Database!T:T,Database!$E:$E,$C134)),-0.00001)</f>
        <v>-1.0000000000000001E-5</v>
      </c>
      <c r="S134" s="186">
        <f t="shared" si="7"/>
        <v>-1.0000000000000001E-5</v>
      </c>
      <c r="T134" s="185">
        <f>IFERROR(IF($C134="",-0.00001,SUMIFS(Database!V:V,Database!$E:$E,$C134)),-0.00001)</f>
        <v>-1.0000000000000001E-5</v>
      </c>
      <c r="U134" s="185">
        <f>IFERROR(IF($C134="",-0.00001,SUMIFS(Database!W:W,Database!$E:$E,$C134)),-0.00001)</f>
        <v>-1.0000000000000001E-5</v>
      </c>
      <c r="V134" s="186">
        <f t="shared" si="8"/>
        <v>-1.0000000000000001E-5</v>
      </c>
      <c r="W134" s="187"/>
      <c r="X134" s="187"/>
      <c r="Y134" s="187"/>
      <c r="Z134" s="187"/>
      <c r="AA134" s="187"/>
      <c r="AB134" s="187"/>
      <c r="AC134" s="187"/>
      <c r="AD134" s="187"/>
      <c r="AE134" s="187"/>
    </row>
    <row r="135" spans="1:31" x14ac:dyDescent="0.25">
      <c r="A135" s="187"/>
      <c r="B135" s="187" t="str">
        <f>IF($C135="","",MAX($B$4:$B134)+1)</f>
        <v/>
      </c>
      <c r="C135" s="183"/>
      <c r="D135" s="183" t="str">
        <f>IFERROR(VLOOKUP($C135,Rosters!$C$4:$M$239,INDEX(Lists!$N$5:$O$80,MATCH($C135,Lists!$N$5:$N$80,FALSE),2)),"")</f>
        <v/>
      </c>
      <c r="E135" s="185">
        <f>IF($C135="",-0.00001,COUNTIF(Database!E:E,$C135))</f>
        <v>-1.0000000000000001E-5</v>
      </c>
      <c r="F135" s="185">
        <f>IFERROR(IF($C135="",-0.00001,SUMIFS(Database!H:H,Database!$E:$E,$C135)),-0.00001)</f>
        <v>-1.0000000000000001E-5</v>
      </c>
      <c r="G135" s="185">
        <f>IFERROR(IF($C135="",-0.00001,SUMIFS(Database!I:I,Database!$E:$E,$C135)),-0.00001)</f>
        <v>-1.0000000000000001E-5</v>
      </c>
      <c r="H135" s="185">
        <f>IFERROR(IF($C135="",-0.00001,SUMIFS(Database!J:J,Database!$E:$E,$C135)),-0.00001)</f>
        <v>-1.0000000000000001E-5</v>
      </c>
      <c r="I135" s="185">
        <f>IFERROR(IF($C135="",-0.00001,SUMIFS(Database!K:K,Database!$E:$E,$C135)),-0.00001)</f>
        <v>-1.0000000000000001E-5</v>
      </c>
      <c r="J135" s="185">
        <f>IFERROR(IF($C135="",-0.00001,SUMIFS(Database!L:L,Database!$E:$E,$C135)),-0.00001)</f>
        <v>-1.0000000000000001E-5</v>
      </c>
      <c r="K135" s="185">
        <f>IFERROR(IF($C135="",-0.00001,SUMIFS(Database!M:M,Database!$E:$E,$C135)),-0.00001)</f>
        <v>-1.0000000000000001E-5</v>
      </c>
      <c r="L135" s="185">
        <f>IFERROR(IF($C135="",-0.00001,SUMIFS(Database!N:N,Database!$E:$E,$C135)),-0.00001)</f>
        <v>-1.0000000000000001E-5</v>
      </c>
      <c r="M135" s="185">
        <f>IFERROR(IF($C135="",-0.00001,SUMIFS(Database!O:O,Database!$E:$E,$C135)),-0.00001)</f>
        <v>-1.0000000000000001E-5</v>
      </c>
      <c r="N135" s="185">
        <f>IFERROR(IF($C135="",-0.00001,SUMIFS(Database!P:P,Database!$E:$E,$C135)),-0.00001)</f>
        <v>-1.0000000000000001E-5</v>
      </c>
      <c r="O135" s="185">
        <f>IFERROR(IF($C135="",-0.00001,SUMIFS(Database!Q:Q,Database!$E:$E,$C135)),-0.00001)</f>
        <v>-1.0000000000000001E-5</v>
      </c>
      <c r="P135" s="186">
        <f t="shared" si="6"/>
        <v>-1.0000000000000001E-5</v>
      </c>
      <c r="Q135" s="185">
        <f>IFERROR(IF($C135="",-0.00001,SUMIFS(Database!S:S,Database!$E:$E,$C135)),-0.00001)</f>
        <v>-1.0000000000000001E-5</v>
      </c>
      <c r="R135" s="185">
        <f>IFERROR(IF($C135="",-0.00001,SUMIFS(Database!T:T,Database!$E:$E,$C135)),-0.00001)</f>
        <v>-1.0000000000000001E-5</v>
      </c>
      <c r="S135" s="186">
        <f t="shared" si="7"/>
        <v>-1.0000000000000001E-5</v>
      </c>
      <c r="T135" s="185">
        <f>IFERROR(IF($C135="",-0.00001,SUMIFS(Database!V:V,Database!$E:$E,$C135)),-0.00001)</f>
        <v>-1.0000000000000001E-5</v>
      </c>
      <c r="U135" s="185">
        <f>IFERROR(IF($C135="",-0.00001,SUMIFS(Database!W:W,Database!$E:$E,$C135)),-0.00001)</f>
        <v>-1.0000000000000001E-5</v>
      </c>
      <c r="V135" s="186">
        <f t="shared" si="8"/>
        <v>-1.0000000000000001E-5</v>
      </c>
      <c r="W135" s="187"/>
      <c r="X135" s="187"/>
      <c r="Y135" s="187"/>
      <c r="Z135" s="187"/>
      <c r="AA135" s="187"/>
      <c r="AB135" s="187"/>
      <c r="AC135" s="187"/>
      <c r="AD135" s="187"/>
      <c r="AE135" s="187"/>
    </row>
    <row r="136" spans="1:31" x14ac:dyDescent="0.25">
      <c r="A136" s="187"/>
      <c r="B136" s="187" t="str">
        <f>IF($C136="","",MAX($B$4:$B135)+1)</f>
        <v/>
      </c>
      <c r="C136" s="183"/>
      <c r="D136" s="183" t="str">
        <f>IFERROR(VLOOKUP($C136,Rosters!$C$4:$M$239,INDEX(Lists!$N$5:$O$80,MATCH($C136,Lists!$N$5:$N$80,FALSE),2)),"")</f>
        <v/>
      </c>
      <c r="E136" s="185">
        <f>IF($C136="",-0.00001,COUNTIF(Database!E:E,$C136))</f>
        <v>-1.0000000000000001E-5</v>
      </c>
      <c r="F136" s="185">
        <f>IFERROR(IF($C136="",-0.00001,SUMIFS(Database!H:H,Database!$E:$E,$C136)),-0.00001)</f>
        <v>-1.0000000000000001E-5</v>
      </c>
      <c r="G136" s="185">
        <f>IFERROR(IF($C136="",-0.00001,SUMIFS(Database!I:I,Database!$E:$E,$C136)),-0.00001)</f>
        <v>-1.0000000000000001E-5</v>
      </c>
      <c r="H136" s="185">
        <f>IFERROR(IF($C136="",-0.00001,SUMIFS(Database!J:J,Database!$E:$E,$C136)),-0.00001)</f>
        <v>-1.0000000000000001E-5</v>
      </c>
      <c r="I136" s="185">
        <f>IFERROR(IF($C136="",-0.00001,SUMIFS(Database!K:K,Database!$E:$E,$C136)),-0.00001)</f>
        <v>-1.0000000000000001E-5</v>
      </c>
      <c r="J136" s="185">
        <f>IFERROR(IF($C136="",-0.00001,SUMIFS(Database!L:L,Database!$E:$E,$C136)),-0.00001)</f>
        <v>-1.0000000000000001E-5</v>
      </c>
      <c r="K136" s="185">
        <f>IFERROR(IF($C136="",-0.00001,SUMIFS(Database!M:M,Database!$E:$E,$C136)),-0.00001)</f>
        <v>-1.0000000000000001E-5</v>
      </c>
      <c r="L136" s="185">
        <f>IFERROR(IF($C136="",-0.00001,SUMIFS(Database!N:N,Database!$E:$E,$C136)),-0.00001)</f>
        <v>-1.0000000000000001E-5</v>
      </c>
      <c r="M136" s="185">
        <f>IFERROR(IF($C136="",-0.00001,SUMIFS(Database!O:O,Database!$E:$E,$C136)),-0.00001)</f>
        <v>-1.0000000000000001E-5</v>
      </c>
      <c r="N136" s="185">
        <f>IFERROR(IF($C136="",-0.00001,SUMIFS(Database!P:P,Database!$E:$E,$C136)),-0.00001)</f>
        <v>-1.0000000000000001E-5</v>
      </c>
      <c r="O136" s="185">
        <f>IFERROR(IF($C136="",-0.00001,SUMIFS(Database!Q:Q,Database!$E:$E,$C136)),-0.00001)</f>
        <v>-1.0000000000000001E-5</v>
      </c>
      <c r="P136" s="186">
        <f t="shared" si="6"/>
        <v>-1.0000000000000001E-5</v>
      </c>
      <c r="Q136" s="185">
        <f>IFERROR(IF($C136="",-0.00001,SUMIFS(Database!S:S,Database!$E:$E,$C136)),-0.00001)</f>
        <v>-1.0000000000000001E-5</v>
      </c>
      <c r="R136" s="185">
        <f>IFERROR(IF($C136="",-0.00001,SUMIFS(Database!T:T,Database!$E:$E,$C136)),-0.00001)</f>
        <v>-1.0000000000000001E-5</v>
      </c>
      <c r="S136" s="186">
        <f t="shared" si="7"/>
        <v>-1.0000000000000001E-5</v>
      </c>
      <c r="T136" s="185">
        <f>IFERROR(IF($C136="",-0.00001,SUMIFS(Database!V:V,Database!$E:$E,$C136)),-0.00001)</f>
        <v>-1.0000000000000001E-5</v>
      </c>
      <c r="U136" s="185">
        <f>IFERROR(IF($C136="",-0.00001,SUMIFS(Database!W:W,Database!$E:$E,$C136)),-0.00001)</f>
        <v>-1.0000000000000001E-5</v>
      </c>
      <c r="V136" s="186">
        <f t="shared" si="8"/>
        <v>-1.0000000000000001E-5</v>
      </c>
      <c r="W136" s="187"/>
      <c r="X136" s="187"/>
      <c r="Y136" s="187"/>
      <c r="Z136" s="187"/>
      <c r="AA136" s="187"/>
      <c r="AB136" s="187"/>
      <c r="AC136" s="187"/>
      <c r="AD136" s="187"/>
      <c r="AE136" s="187"/>
    </row>
    <row r="137" spans="1:31" x14ac:dyDescent="0.25">
      <c r="A137" s="187"/>
      <c r="B137" s="187" t="str">
        <f>IF($C137="","",MAX($B$4:$B136)+1)</f>
        <v/>
      </c>
      <c r="C137" s="183"/>
      <c r="D137" s="183" t="str">
        <f>IFERROR(VLOOKUP($C137,Rosters!$C$4:$M$239,INDEX(Lists!$N$5:$O$80,MATCH($C137,Lists!$N$5:$N$80,FALSE),2)),"")</f>
        <v/>
      </c>
      <c r="E137" s="185">
        <f>IF($C137="",-0.00001,COUNTIF(Database!E:E,$C137))</f>
        <v>-1.0000000000000001E-5</v>
      </c>
      <c r="F137" s="185">
        <f>IFERROR(IF($C137="",-0.00001,SUMIFS(Database!H:H,Database!$E:$E,$C137)),-0.00001)</f>
        <v>-1.0000000000000001E-5</v>
      </c>
      <c r="G137" s="185">
        <f>IFERROR(IF($C137="",-0.00001,SUMIFS(Database!I:I,Database!$E:$E,$C137)),-0.00001)</f>
        <v>-1.0000000000000001E-5</v>
      </c>
      <c r="H137" s="185">
        <f>IFERROR(IF($C137="",-0.00001,SUMIFS(Database!J:J,Database!$E:$E,$C137)),-0.00001)</f>
        <v>-1.0000000000000001E-5</v>
      </c>
      <c r="I137" s="185">
        <f>IFERROR(IF($C137="",-0.00001,SUMIFS(Database!K:K,Database!$E:$E,$C137)),-0.00001)</f>
        <v>-1.0000000000000001E-5</v>
      </c>
      <c r="J137" s="185">
        <f>IFERROR(IF($C137="",-0.00001,SUMIFS(Database!L:L,Database!$E:$E,$C137)),-0.00001)</f>
        <v>-1.0000000000000001E-5</v>
      </c>
      <c r="K137" s="185">
        <f>IFERROR(IF($C137="",-0.00001,SUMIFS(Database!M:M,Database!$E:$E,$C137)),-0.00001)</f>
        <v>-1.0000000000000001E-5</v>
      </c>
      <c r="L137" s="185">
        <f>IFERROR(IF($C137="",-0.00001,SUMIFS(Database!N:N,Database!$E:$E,$C137)),-0.00001)</f>
        <v>-1.0000000000000001E-5</v>
      </c>
      <c r="M137" s="185">
        <f>IFERROR(IF($C137="",-0.00001,SUMIFS(Database!O:O,Database!$E:$E,$C137)),-0.00001)</f>
        <v>-1.0000000000000001E-5</v>
      </c>
      <c r="N137" s="185">
        <f>IFERROR(IF($C137="",-0.00001,SUMIFS(Database!P:P,Database!$E:$E,$C137)),-0.00001)</f>
        <v>-1.0000000000000001E-5</v>
      </c>
      <c r="O137" s="185">
        <f>IFERROR(IF($C137="",-0.00001,SUMIFS(Database!Q:Q,Database!$E:$E,$C137)),-0.00001)</f>
        <v>-1.0000000000000001E-5</v>
      </c>
      <c r="P137" s="186">
        <f t="shared" si="6"/>
        <v>-1.0000000000000001E-5</v>
      </c>
      <c r="Q137" s="185">
        <f>IFERROR(IF($C137="",-0.00001,SUMIFS(Database!S:S,Database!$E:$E,$C137)),-0.00001)</f>
        <v>-1.0000000000000001E-5</v>
      </c>
      <c r="R137" s="185">
        <f>IFERROR(IF($C137="",-0.00001,SUMIFS(Database!T:T,Database!$E:$E,$C137)),-0.00001)</f>
        <v>-1.0000000000000001E-5</v>
      </c>
      <c r="S137" s="186">
        <f t="shared" si="7"/>
        <v>-1.0000000000000001E-5</v>
      </c>
      <c r="T137" s="185">
        <f>IFERROR(IF($C137="",-0.00001,SUMIFS(Database!V:V,Database!$E:$E,$C137)),-0.00001)</f>
        <v>-1.0000000000000001E-5</v>
      </c>
      <c r="U137" s="185">
        <f>IFERROR(IF($C137="",-0.00001,SUMIFS(Database!W:W,Database!$E:$E,$C137)),-0.00001)</f>
        <v>-1.0000000000000001E-5</v>
      </c>
      <c r="V137" s="186">
        <f t="shared" si="8"/>
        <v>-1.0000000000000001E-5</v>
      </c>
      <c r="W137" s="187"/>
      <c r="X137" s="187"/>
      <c r="Y137" s="187"/>
      <c r="Z137" s="187"/>
      <c r="AA137" s="187"/>
      <c r="AB137" s="187"/>
      <c r="AC137" s="187"/>
      <c r="AD137" s="187"/>
      <c r="AE137" s="187"/>
    </row>
    <row r="138" spans="1:31" x14ac:dyDescent="0.25">
      <c r="A138" s="187"/>
      <c r="B138" s="187" t="str">
        <f>IF($C138="","",MAX($B$4:$B137)+1)</f>
        <v/>
      </c>
      <c r="C138" s="183"/>
      <c r="D138" s="183" t="str">
        <f>IFERROR(VLOOKUP($C138,Rosters!$C$4:$M$239,INDEX(Lists!$N$5:$O$80,MATCH($C138,Lists!$N$5:$N$80,FALSE),2)),"")</f>
        <v/>
      </c>
      <c r="E138" s="185">
        <f>IF($C138="",-0.00001,COUNTIF(Database!E:E,$C138))</f>
        <v>-1.0000000000000001E-5</v>
      </c>
      <c r="F138" s="185">
        <f>IFERROR(IF($C138="",-0.00001,SUMIFS(Database!H:H,Database!$E:$E,$C138)),-0.00001)</f>
        <v>-1.0000000000000001E-5</v>
      </c>
      <c r="G138" s="185">
        <f>IFERROR(IF($C138="",-0.00001,SUMIFS(Database!I:I,Database!$E:$E,$C138)),-0.00001)</f>
        <v>-1.0000000000000001E-5</v>
      </c>
      <c r="H138" s="185">
        <f>IFERROR(IF($C138="",-0.00001,SUMIFS(Database!J:J,Database!$E:$E,$C138)),-0.00001)</f>
        <v>-1.0000000000000001E-5</v>
      </c>
      <c r="I138" s="185">
        <f>IFERROR(IF($C138="",-0.00001,SUMIFS(Database!K:K,Database!$E:$E,$C138)),-0.00001)</f>
        <v>-1.0000000000000001E-5</v>
      </c>
      <c r="J138" s="185">
        <f>IFERROR(IF($C138="",-0.00001,SUMIFS(Database!L:L,Database!$E:$E,$C138)),-0.00001)</f>
        <v>-1.0000000000000001E-5</v>
      </c>
      <c r="K138" s="185">
        <f>IFERROR(IF($C138="",-0.00001,SUMIFS(Database!M:M,Database!$E:$E,$C138)),-0.00001)</f>
        <v>-1.0000000000000001E-5</v>
      </c>
      <c r="L138" s="185">
        <f>IFERROR(IF($C138="",-0.00001,SUMIFS(Database!N:N,Database!$E:$E,$C138)),-0.00001)</f>
        <v>-1.0000000000000001E-5</v>
      </c>
      <c r="M138" s="185">
        <f>IFERROR(IF($C138="",-0.00001,SUMIFS(Database!O:O,Database!$E:$E,$C138)),-0.00001)</f>
        <v>-1.0000000000000001E-5</v>
      </c>
      <c r="N138" s="185">
        <f>IFERROR(IF($C138="",-0.00001,SUMIFS(Database!P:P,Database!$E:$E,$C138)),-0.00001)</f>
        <v>-1.0000000000000001E-5</v>
      </c>
      <c r="O138" s="185">
        <f>IFERROR(IF($C138="",-0.00001,SUMIFS(Database!Q:Q,Database!$E:$E,$C138)),-0.00001)</f>
        <v>-1.0000000000000001E-5</v>
      </c>
      <c r="P138" s="186">
        <f t="shared" si="6"/>
        <v>-1.0000000000000001E-5</v>
      </c>
      <c r="Q138" s="185">
        <f>IFERROR(IF($C138="",-0.00001,SUMIFS(Database!S:S,Database!$E:$E,$C138)),-0.00001)</f>
        <v>-1.0000000000000001E-5</v>
      </c>
      <c r="R138" s="185">
        <f>IFERROR(IF($C138="",-0.00001,SUMIFS(Database!T:T,Database!$E:$E,$C138)),-0.00001)</f>
        <v>-1.0000000000000001E-5</v>
      </c>
      <c r="S138" s="186">
        <f t="shared" si="7"/>
        <v>-1.0000000000000001E-5</v>
      </c>
      <c r="T138" s="185">
        <f>IFERROR(IF($C138="",-0.00001,SUMIFS(Database!V:V,Database!$E:$E,$C138)),-0.00001)</f>
        <v>-1.0000000000000001E-5</v>
      </c>
      <c r="U138" s="185">
        <f>IFERROR(IF($C138="",-0.00001,SUMIFS(Database!W:W,Database!$E:$E,$C138)),-0.00001)</f>
        <v>-1.0000000000000001E-5</v>
      </c>
      <c r="V138" s="186">
        <f t="shared" si="8"/>
        <v>-1.0000000000000001E-5</v>
      </c>
      <c r="W138" s="187"/>
      <c r="X138" s="187"/>
      <c r="Y138" s="187"/>
      <c r="Z138" s="187"/>
      <c r="AA138" s="187"/>
      <c r="AB138" s="187"/>
      <c r="AC138" s="187"/>
      <c r="AD138" s="187"/>
      <c r="AE138" s="187"/>
    </row>
    <row r="139" spans="1:31" x14ac:dyDescent="0.25">
      <c r="A139" s="187"/>
      <c r="B139" s="187" t="str">
        <f>IF($C139="","",MAX($B$4:$B138)+1)</f>
        <v/>
      </c>
      <c r="C139" s="183"/>
      <c r="D139" s="183" t="str">
        <f>IFERROR(VLOOKUP($C139,Rosters!$C$4:$M$239,INDEX(Lists!$N$5:$O$80,MATCH($C139,Lists!$N$5:$N$80,FALSE),2)),"")</f>
        <v/>
      </c>
      <c r="E139" s="185">
        <f>IF($C139="",-0.00001,COUNTIF(Database!E:E,$C139))</f>
        <v>-1.0000000000000001E-5</v>
      </c>
      <c r="F139" s="185">
        <f>IFERROR(IF($C139="",-0.00001,SUMIFS(Database!H:H,Database!$E:$E,$C139)),-0.00001)</f>
        <v>-1.0000000000000001E-5</v>
      </c>
      <c r="G139" s="185">
        <f>IFERROR(IF($C139="",-0.00001,SUMIFS(Database!I:I,Database!$E:$E,$C139)),-0.00001)</f>
        <v>-1.0000000000000001E-5</v>
      </c>
      <c r="H139" s="185">
        <f>IFERROR(IF($C139="",-0.00001,SUMIFS(Database!J:J,Database!$E:$E,$C139)),-0.00001)</f>
        <v>-1.0000000000000001E-5</v>
      </c>
      <c r="I139" s="185">
        <f>IFERROR(IF($C139="",-0.00001,SUMIFS(Database!K:K,Database!$E:$E,$C139)),-0.00001)</f>
        <v>-1.0000000000000001E-5</v>
      </c>
      <c r="J139" s="185">
        <f>IFERROR(IF($C139="",-0.00001,SUMIFS(Database!L:L,Database!$E:$E,$C139)),-0.00001)</f>
        <v>-1.0000000000000001E-5</v>
      </c>
      <c r="K139" s="185">
        <f>IFERROR(IF($C139="",-0.00001,SUMIFS(Database!M:M,Database!$E:$E,$C139)),-0.00001)</f>
        <v>-1.0000000000000001E-5</v>
      </c>
      <c r="L139" s="185">
        <f>IFERROR(IF($C139="",-0.00001,SUMIFS(Database!N:N,Database!$E:$E,$C139)),-0.00001)</f>
        <v>-1.0000000000000001E-5</v>
      </c>
      <c r="M139" s="185">
        <f>IFERROR(IF($C139="",-0.00001,SUMIFS(Database!O:O,Database!$E:$E,$C139)),-0.00001)</f>
        <v>-1.0000000000000001E-5</v>
      </c>
      <c r="N139" s="185">
        <f>IFERROR(IF($C139="",-0.00001,SUMIFS(Database!P:P,Database!$E:$E,$C139)),-0.00001)</f>
        <v>-1.0000000000000001E-5</v>
      </c>
      <c r="O139" s="185">
        <f>IFERROR(IF($C139="",-0.00001,SUMIFS(Database!Q:Q,Database!$E:$E,$C139)),-0.00001)</f>
        <v>-1.0000000000000001E-5</v>
      </c>
      <c r="P139" s="186">
        <f t="shared" si="6"/>
        <v>-1.0000000000000001E-5</v>
      </c>
      <c r="Q139" s="185">
        <f>IFERROR(IF($C139="",-0.00001,SUMIFS(Database!S:S,Database!$E:$E,$C139)),-0.00001)</f>
        <v>-1.0000000000000001E-5</v>
      </c>
      <c r="R139" s="185">
        <f>IFERROR(IF($C139="",-0.00001,SUMIFS(Database!T:T,Database!$E:$E,$C139)),-0.00001)</f>
        <v>-1.0000000000000001E-5</v>
      </c>
      <c r="S139" s="186">
        <f t="shared" si="7"/>
        <v>-1.0000000000000001E-5</v>
      </c>
      <c r="T139" s="185">
        <f>IFERROR(IF($C139="",-0.00001,SUMIFS(Database!V:V,Database!$E:$E,$C139)),-0.00001)</f>
        <v>-1.0000000000000001E-5</v>
      </c>
      <c r="U139" s="185">
        <f>IFERROR(IF($C139="",-0.00001,SUMIFS(Database!W:W,Database!$E:$E,$C139)),-0.00001)</f>
        <v>-1.0000000000000001E-5</v>
      </c>
      <c r="V139" s="186">
        <f t="shared" si="8"/>
        <v>-1.0000000000000001E-5</v>
      </c>
      <c r="W139" s="187"/>
      <c r="X139" s="187"/>
      <c r="Y139" s="187"/>
      <c r="Z139" s="187"/>
      <c r="AA139" s="187"/>
      <c r="AB139" s="187"/>
      <c r="AC139" s="187"/>
      <c r="AD139" s="187"/>
      <c r="AE139" s="187"/>
    </row>
    <row r="140" spans="1:31" x14ac:dyDescent="0.25">
      <c r="A140" s="187"/>
      <c r="B140" s="187" t="str">
        <f>IF($C140="","",MAX($B$4:$B139)+1)</f>
        <v/>
      </c>
      <c r="C140" s="183"/>
      <c r="D140" s="183" t="str">
        <f>IFERROR(VLOOKUP($C140,Rosters!$C$4:$M$239,INDEX(Lists!$N$5:$O$80,MATCH($C140,Lists!$N$5:$N$80,FALSE),2)),"")</f>
        <v/>
      </c>
      <c r="E140" s="185">
        <f>IF($C140="",-0.00001,COUNTIF(Database!E:E,$C140))</f>
        <v>-1.0000000000000001E-5</v>
      </c>
      <c r="F140" s="185">
        <f>IFERROR(IF($C140="",-0.00001,SUMIFS(Database!H:H,Database!$E:$E,$C140)),-0.00001)</f>
        <v>-1.0000000000000001E-5</v>
      </c>
      <c r="G140" s="185">
        <f>IFERROR(IF($C140="",-0.00001,SUMIFS(Database!I:I,Database!$E:$E,$C140)),-0.00001)</f>
        <v>-1.0000000000000001E-5</v>
      </c>
      <c r="H140" s="185">
        <f>IFERROR(IF($C140="",-0.00001,SUMIFS(Database!J:J,Database!$E:$E,$C140)),-0.00001)</f>
        <v>-1.0000000000000001E-5</v>
      </c>
      <c r="I140" s="185">
        <f>IFERROR(IF($C140="",-0.00001,SUMIFS(Database!K:K,Database!$E:$E,$C140)),-0.00001)</f>
        <v>-1.0000000000000001E-5</v>
      </c>
      <c r="J140" s="185">
        <f>IFERROR(IF($C140="",-0.00001,SUMIFS(Database!L:L,Database!$E:$E,$C140)),-0.00001)</f>
        <v>-1.0000000000000001E-5</v>
      </c>
      <c r="K140" s="185">
        <f>IFERROR(IF($C140="",-0.00001,SUMIFS(Database!M:M,Database!$E:$E,$C140)),-0.00001)</f>
        <v>-1.0000000000000001E-5</v>
      </c>
      <c r="L140" s="185">
        <f>IFERROR(IF($C140="",-0.00001,SUMIFS(Database!N:N,Database!$E:$E,$C140)),-0.00001)</f>
        <v>-1.0000000000000001E-5</v>
      </c>
      <c r="M140" s="185">
        <f>IFERROR(IF($C140="",-0.00001,SUMIFS(Database!O:O,Database!$E:$E,$C140)),-0.00001)</f>
        <v>-1.0000000000000001E-5</v>
      </c>
      <c r="N140" s="185">
        <f>IFERROR(IF($C140="",-0.00001,SUMIFS(Database!P:P,Database!$E:$E,$C140)),-0.00001)</f>
        <v>-1.0000000000000001E-5</v>
      </c>
      <c r="O140" s="185">
        <f>IFERROR(IF($C140="",-0.00001,SUMIFS(Database!Q:Q,Database!$E:$E,$C140)),-0.00001)</f>
        <v>-1.0000000000000001E-5</v>
      </c>
      <c r="P140" s="186">
        <f t="shared" si="6"/>
        <v>-1.0000000000000001E-5</v>
      </c>
      <c r="Q140" s="185">
        <f>IFERROR(IF($C140="",-0.00001,SUMIFS(Database!S:S,Database!$E:$E,$C140)),-0.00001)</f>
        <v>-1.0000000000000001E-5</v>
      </c>
      <c r="R140" s="185">
        <f>IFERROR(IF($C140="",-0.00001,SUMIFS(Database!T:T,Database!$E:$E,$C140)),-0.00001)</f>
        <v>-1.0000000000000001E-5</v>
      </c>
      <c r="S140" s="186">
        <f t="shared" si="7"/>
        <v>-1.0000000000000001E-5</v>
      </c>
      <c r="T140" s="185">
        <f>IFERROR(IF($C140="",-0.00001,SUMIFS(Database!V:V,Database!$E:$E,$C140)),-0.00001)</f>
        <v>-1.0000000000000001E-5</v>
      </c>
      <c r="U140" s="185">
        <f>IFERROR(IF($C140="",-0.00001,SUMIFS(Database!W:W,Database!$E:$E,$C140)),-0.00001)</f>
        <v>-1.0000000000000001E-5</v>
      </c>
      <c r="V140" s="186">
        <f t="shared" si="8"/>
        <v>-1.0000000000000001E-5</v>
      </c>
      <c r="W140" s="187"/>
      <c r="X140" s="187"/>
      <c r="Y140" s="187"/>
      <c r="Z140" s="187"/>
      <c r="AA140" s="187"/>
      <c r="AB140" s="187"/>
      <c r="AC140" s="187"/>
      <c r="AD140" s="187"/>
      <c r="AE140" s="187"/>
    </row>
    <row r="141" spans="1:31" x14ac:dyDescent="0.25">
      <c r="A141" s="187"/>
      <c r="B141" s="187" t="str">
        <f>IF($C141="","",MAX($B$4:$B140)+1)</f>
        <v/>
      </c>
      <c r="C141" s="183"/>
      <c r="D141" s="183" t="str">
        <f>IFERROR(VLOOKUP($C141,Rosters!$C$4:$M$239,INDEX(Lists!$N$5:$O$80,MATCH($C141,Lists!$N$5:$N$80,FALSE),2)),"")</f>
        <v/>
      </c>
      <c r="E141" s="185">
        <f>IF($C141="",-0.00001,COUNTIF(Database!E:E,$C141))</f>
        <v>-1.0000000000000001E-5</v>
      </c>
      <c r="F141" s="185">
        <f>IFERROR(IF($C141="",-0.00001,SUMIFS(Database!H:H,Database!$E:$E,$C141)),-0.00001)</f>
        <v>-1.0000000000000001E-5</v>
      </c>
      <c r="G141" s="185">
        <f>IFERROR(IF($C141="",-0.00001,SUMIFS(Database!I:I,Database!$E:$E,$C141)),-0.00001)</f>
        <v>-1.0000000000000001E-5</v>
      </c>
      <c r="H141" s="185">
        <f>IFERROR(IF($C141="",-0.00001,SUMIFS(Database!J:J,Database!$E:$E,$C141)),-0.00001)</f>
        <v>-1.0000000000000001E-5</v>
      </c>
      <c r="I141" s="185">
        <f>IFERROR(IF($C141="",-0.00001,SUMIFS(Database!K:K,Database!$E:$E,$C141)),-0.00001)</f>
        <v>-1.0000000000000001E-5</v>
      </c>
      <c r="J141" s="185">
        <f>IFERROR(IF($C141="",-0.00001,SUMIFS(Database!L:L,Database!$E:$E,$C141)),-0.00001)</f>
        <v>-1.0000000000000001E-5</v>
      </c>
      <c r="K141" s="185">
        <f>IFERROR(IF($C141="",-0.00001,SUMIFS(Database!M:M,Database!$E:$E,$C141)),-0.00001)</f>
        <v>-1.0000000000000001E-5</v>
      </c>
      <c r="L141" s="185">
        <f>IFERROR(IF($C141="",-0.00001,SUMIFS(Database!N:N,Database!$E:$E,$C141)),-0.00001)</f>
        <v>-1.0000000000000001E-5</v>
      </c>
      <c r="M141" s="185">
        <f>IFERROR(IF($C141="",-0.00001,SUMIFS(Database!O:O,Database!$E:$E,$C141)),-0.00001)</f>
        <v>-1.0000000000000001E-5</v>
      </c>
      <c r="N141" s="185">
        <f>IFERROR(IF($C141="",-0.00001,SUMIFS(Database!P:P,Database!$E:$E,$C141)),-0.00001)</f>
        <v>-1.0000000000000001E-5</v>
      </c>
      <c r="O141" s="185">
        <f>IFERROR(IF($C141="",-0.00001,SUMIFS(Database!Q:Q,Database!$E:$E,$C141)),-0.00001)</f>
        <v>-1.0000000000000001E-5</v>
      </c>
      <c r="P141" s="186">
        <f t="shared" si="6"/>
        <v>-1.0000000000000001E-5</v>
      </c>
      <c r="Q141" s="185">
        <f>IFERROR(IF($C141="",-0.00001,SUMIFS(Database!S:S,Database!$E:$E,$C141)),-0.00001)</f>
        <v>-1.0000000000000001E-5</v>
      </c>
      <c r="R141" s="185">
        <f>IFERROR(IF($C141="",-0.00001,SUMIFS(Database!T:T,Database!$E:$E,$C141)),-0.00001)</f>
        <v>-1.0000000000000001E-5</v>
      </c>
      <c r="S141" s="186">
        <f t="shared" si="7"/>
        <v>-1.0000000000000001E-5</v>
      </c>
      <c r="T141" s="185">
        <f>IFERROR(IF($C141="",-0.00001,SUMIFS(Database!V:V,Database!$E:$E,$C141)),-0.00001)</f>
        <v>-1.0000000000000001E-5</v>
      </c>
      <c r="U141" s="185">
        <f>IFERROR(IF($C141="",-0.00001,SUMIFS(Database!W:W,Database!$E:$E,$C141)),-0.00001)</f>
        <v>-1.0000000000000001E-5</v>
      </c>
      <c r="V141" s="186">
        <f t="shared" si="8"/>
        <v>-1.0000000000000001E-5</v>
      </c>
      <c r="W141" s="187"/>
      <c r="X141" s="187"/>
      <c r="Y141" s="187"/>
      <c r="Z141" s="187"/>
      <c r="AA141" s="187"/>
      <c r="AB141" s="187"/>
      <c r="AC141" s="187"/>
      <c r="AD141" s="187"/>
      <c r="AE141" s="187"/>
    </row>
    <row r="142" spans="1:31" x14ac:dyDescent="0.25">
      <c r="A142" s="187"/>
      <c r="B142" s="187" t="str">
        <f>IF($C142="","",MAX($B$4:$B141)+1)</f>
        <v/>
      </c>
      <c r="C142" s="183"/>
      <c r="D142" s="183" t="str">
        <f>IFERROR(VLOOKUP($C142,Rosters!$C$4:$M$239,INDEX(Lists!$N$5:$O$80,MATCH($C142,Lists!$N$5:$N$80,FALSE),2)),"")</f>
        <v/>
      </c>
      <c r="E142" s="185">
        <f>IF($C142="",-0.00001,COUNTIF(Database!E:E,$C142))</f>
        <v>-1.0000000000000001E-5</v>
      </c>
      <c r="F142" s="185">
        <f>IFERROR(IF($C142="",-0.00001,SUMIFS(Database!H:H,Database!$E:$E,$C142)),-0.00001)</f>
        <v>-1.0000000000000001E-5</v>
      </c>
      <c r="G142" s="185">
        <f>IFERROR(IF($C142="",-0.00001,SUMIFS(Database!I:I,Database!$E:$E,$C142)),-0.00001)</f>
        <v>-1.0000000000000001E-5</v>
      </c>
      <c r="H142" s="185">
        <f>IFERROR(IF($C142="",-0.00001,SUMIFS(Database!J:J,Database!$E:$E,$C142)),-0.00001)</f>
        <v>-1.0000000000000001E-5</v>
      </c>
      <c r="I142" s="185">
        <f>IFERROR(IF($C142="",-0.00001,SUMIFS(Database!K:K,Database!$E:$E,$C142)),-0.00001)</f>
        <v>-1.0000000000000001E-5</v>
      </c>
      <c r="J142" s="185">
        <f>IFERROR(IF($C142="",-0.00001,SUMIFS(Database!L:L,Database!$E:$E,$C142)),-0.00001)</f>
        <v>-1.0000000000000001E-5</v>
      </c>
      <c r="K142" s="185">
        <f>IFERROR(IF($C142="",-0.00001,SUMIFS(Database!M:M,Database!$E:$E,$C142)),-0.00001)</f>
        <v>-1.0000000000000001E-5</v>
      </c>
      <c r="L142" s="185">
        <f>IFERROR(IF($C142="",-0.00001,SUMIFS(Database!N:N,Database!$E:$E,$C142)),-0.00001)</f>
        <v>-1.0000000000000001E-5</v>
      </c>
      <c r="M142" s="185">
        <f>IFERROR(IF($C142="",-0.00001,SUMIFS(Database!O:O,Database!$E:$E,$C142)),-0.00001)</f>
        <v>-1.0000000000000001E-5</v>
      </c>
      <c r="N142" s="185">
        <f>IFERROR(IF($C142="",-0.00001,SUMIFS(Database!P:P,Database!$E:$E,$C142)),-0.00001)</f>
        <v>-1.0000000000000001E-5</v>
      </c>
      <c r="O142" s="185">
        <f>IFERROR(IF($C142="",-0.00001,SUMIFS(Database!Q:Q,Database!$E:$E,$C142)),-0.00001)</f>
        <v>-1.0000000000000001E-5</v>
      </c>
      <c r="P142" s="186">
        <f t="shared" si="6"/>
        <v>-1.0000000000000001E-5</v>
      </c>
      <c r="Q142" s="185">
        <f>IFERROR(IF($C142="",-0.00001,SUMIFS(Database!S:S,Database!$E:$E,$C142)),-0.00001)</f>
        <v>-1.0000000000000001E-5</v>
      </c>
      <c r="R142" s="185">
        <f>IFERROR(IF($C142="",-0.00001,SUMIFS(Database!T:T,Database!$E:$E,$C142)),-0.00001)</f>
        <v>-1.0000000000000001E-5</v>
      </c>
      <c r="S142" s="186">
        <f t="shared" si="7"/>
        <v>-1.0000000000000001E-5</v>
      </c>
      <c r="T142" s="185">
        <f>IFERROR(IF($C142="",-0.00001,SUMIFS(Database!V:V,Database!$E:$E,$C142)),-0.00001)</f>
        <v>-1.0000000000000001E-5</v>
      </c>
      <c r="U142" s="185">
        <f>IFERROR(IF($C142="",-0.00001,SUMIFS(Database!W:W,Database!$E:$E,$C142)),-0.00001)</f>
        <v>-1.0000000000000001E-5</v>
      </c>
      <c r="V142" s="186">
        <f t="shared" si="8"/>
        <v>-1.0000000000000001E-5</v>
      </c>
      <c r="W142" s="187"/>
      <c r="X142" s="187"/>
      <c r="Y142" s="187"/>
      <c r="Z142" s="187"/>
      <c r="AA142" s="187"/>
      <c r="AB142" s="187"/>
      <c r="AC142" s="187"/>
      <c r="AD142" s="187"/>
      <c r="AE142" s="187"/>
    </row>
    <row r="143" spans="1:31" x14ac:dyDescent="0.25">
      <c r="A143" s="187"/>
      <c r="B143" s="187" t="str">
        <f>IF($C143="","",MAX($B$4:$B142)+1)</f>
        <v/>
      </c>
      <c r="C143" s="183"/>
      <c r="D143" s="183" t="str">
        <f>IFERROR(VLOOKUP($C143,Rosters!$C$4:$M$239,INDEX(Lists!$N$5:$O$80,MATCH($C143,Lists!$N$5:$N$80,FALSE),2)),"")</f>
        <v/>
      </c>
      <c r="E143" s="185">
        <f>IF($C143="",-0.00001,COUNTIF(Database!E:E,$C143))</f>
        <v>-1.0000000000000001E-5</v>
      </c>
      <c r="F143" s="185">
        <f>IFERROR(IF($C143="",-0.00001,SUMIFS(Database!H:H,Database!$E:$E,$C143)),-0.00001)</f>
        <v>-1.0000000000000001E-5</v>
      </c>
      <c r="G143" s="185">
        <f>IFERROR(IF($C143="",-0.00001,SUMIFS(Database!I:I,Database!$E:$E,$C143)),-0.00001)</f>
        <v>-1.0000000000000001E-5</v>
      </c>
      <c r="H143" s="185">
        <f>IFERROR(IF($C143="",-0.00001,SUMIFS(Database!J:J,Database!$E:$E,$C143)),-0.00001)</f>
        <v>-1.0000000000000001E-5</v>
      </c>
      <c r="I143" s="185">
        <f>IFERROR(IF($C143="",-0.00001,SUMIFS(Database!K:K,Database!$E:$E,$C143)),-0.00001)</f>
        <v>-1.0000000000000001E-5</v>
      </c>
      <c r="J143" s="185">
        <f>IFERROR(IF($C143="",-0.00001,SUMIFS(Database!L:L,Database!$E:$E,$C143)),-0.00001)</f>
        <v>-1.0000000000000001E-5</v>
      </c>
      <c r="K143" s="185">
        <f>IFERROR(IF($C143="",-0.00001,SUMIFS(Database!M:M,Database!$E:$E,$C143)),-0.00001)</f>
        <v>-1.0000000000000001E-5</v>
      </c>
      <c r="L143" s="185">
        <f>IFERROR(IF($C143="",-0.00001,SUMIFS(Database!N:N,Database!$E:$E,$C143)),-0.00001)</f>
        <v>-1.0000000000000001E-5</v>
      </c>
      <c r="M143" s="185">
        <f>IFERROR(IF($C143="",-0.00001,SUMIFS(Database!O:O,Database!$E:$E,$C143)),-0.00001)</f>
        <v>-1.0000000000000001E-5</v>
      </c>
      <c r="N143" s="185">
        <f>IFERROR(IF($C143="",-0.00001,SUMIFS(Database!P:P,Database!$E:$E,$C143)),-0.00001)</f>
        <v>-1.0000000000000001E-5</v>
      </c>
      <c r="O143" s="185">
        <f>IFERROR(IF($C143="",-0.00001,SUMIFS(Database!Q:Q,Database!$E:$E,$C143)),-0.00001)</f>
        <v>-1.0000000000000001E-5</v>
      </c>
      <c r="P143" s="186">
        <f t="shared" si="6"/>
        <v>-1.0000000000000001E-5</v>
      </c>
      <c r="Q143" s="185">
        <f>IFERROR(IF($C143="",-0.00001,SUMIFS(Database!S:S,Database!$E:$E,$C143)),-0.00001)</f>
        <v>-1.0000000000000001E-5</v>
      </c>
      <c r="R143" s="185">
        <f>IFERROR(IF($C143="",-0.00001,SUMIFS(Database!T:T,Database!$E:$E,$C143)),-0.00001)</f>
        <v>-1.0000000000000001E-5</v>
      </c>
      <c r="S143" s="186">
        <f t="shared" si="7"/>
        <v>-1.0000000000000001E-5</v>
      </c>
      <c r="T143" s="185">
        <f>IFERROR(IF($C143="",-0.00001,SUMIFS(Database!V:V,Database!$E:$E,$C143)),-0.00001)</f>
        <v>-1.0000000000000001E-5</v>
      </c>
      <c r="U143" s="185">
        <f>IFERROR(IF($C143="",-0.00001,SUMIFS(Database!W:W,Database!$E:$E,$C143)),-0.00001)</f>
        <v>-1.0000000000000001E-5</v>
      </c>
      <c r="V143" s="186">
        <f t="shared" si="8"/>
        <v>-1.0000000000000001E-5</v>
      </c>
      <c r="W143" s="187"/>
      <c r="X143" s="187"/>
      <c r="Y143" s="187"/>
      <c r="Z143" s="187"/>
      <c r="AA143" s="187"/>
      <c r="AB143" s="187"/>
      <c r="AC143" s="187"/>
      <c r="AD143" s="187"/>
      <c r="AE143" s="187"/>
    </row>
    <row r="144" spans="1:31" x14ac:dyDescent="0.25">
      <c r="A144" s="187"/>
      <c r="B144" s="187" t="str">
        <f>IF($C144="","",MAX($B$4:$B143)+1)</f>
        <v/>
      </c>
      <c r="C144" s="183"/>
      <c r="D144" s="183" t="str">
        <f>IFERROR(VLOOKUP($C144,Rosters!$C$4:$M$239,INDEX(Lists!$N$5:$O$80,MATCH($C144,Lists!$N$5:$N$80,FALSE),2)),"")</f>
        <v/>
      </c>
      <c r="E144" s="185">
        <f>IF($C144="",-0.00001,COUNTIF(Database!E:E,$C144))</f>
        <v>-1.0000000000000001E-5</v>
      </c>
      <c r="F144" s="185">
        <f>IFERROR(IF($C144="",-0.00001,SUMIFS(Database!H:H,Database!$E:$E,$C144)),-0.00001)</f>
        <v>-1.0000000000000001E-5</v>
      </c>
      <c r="G144" s="185">
        <f>IFERROR(IF($C144="",-0.00001,SUMIFS(Database!I:I,Database!$E:$E,$C144)),-0.00001)</f>
        <v>-1.0000000000000001E-5</v>
      </c>
      <c r="H144" s="185">
        <f>IFERROR(IF($C144="",-0.00001,SUMIFS(Database!J:J,Database!$E:$E,$C144)),-0.00001)</f>
        <v>-1.0000000000000001E-5</v>
      </c>
      <c r="I144" s="185">
        <f>IFERROR(IF($C144="",-0.00001,SUMIFS(Database!K:K,Database!$E:$E,$C144)),-0.00001)</f>
        <v>-1.0000000000000001E-5</v>
      </c>
      <c r="J144" s="185">
        <f>IFERROR(IF($C144="",-0.00001,SUMIFS(Database!L:L,Database!$E:$E,$C144)),-0.00001)</f>
        <v>-1.0000000000000001E-5</v>
      </c>
      <c r="K144" s="185">
        <f>IFERROR(IF($C144="",-0.00001,SUMIFS(Database!M:M,Database!$E:$E,$C144)),-0.00001)</f>
        <v>-1.0000000000000001E-5</v>
      </c>
      <c r="L144" s="185">
        <f>IFERROR(IF($C144="",-0.00001,SUMIFS(Database!N:N,Database!$E:$E,$C144)),-0.00001)</f>
        <v>-1.0000000000000001E-5</v>
      </c>
      <c r="M144" s="185">
        <f>IFERROR(IF($C144="",-0.00001,SUMIFS(Database!O:O,Database!$E:$E,$C144)),-0.00001)</f>
        <v>-1.0000000000000001E-5</v>
      </c>
      <c r="N144" s="185">
        <f>IFERROR(IF($C144="",-0.00001,SUMIFS(Database!P:P,Database!$E:$E,$C144)),-0.00001)</f>
        <v>-1.0000000000000001E-5</v>
      </c>
      <c r="O144" s="185">
        <f>IFERROR(IF($C144="",-0.00001,SUMIFS(Database!Q:Q,Database!$E:$E,$C144)),-0.00001)</f>
        <v>-1.0000000000000001E-5</v>
      </c>
      <c r="P144" s="186">
        <f t="shared" si="6"/>
        <v>-1.0000000000000001E-5</v>
      </c>
      <c r="Q144" s="185">
        <f>IFERROR(IF($C144="",-0.00001,SUMIFS(Database!S:S,Database!$E:$E,$C144)),-0.00001)</f>
        <v>-1.0000000000000001E-5</v>
      </c>
      <c r="R144" s="185">
        <f>IFERROR(IF($C144="",-0.00001,SUMIFS(Database!T:T,Database!$E:$E,$C144)),-0.00001)</f>
        <v>-1.0000000000000001E-5</v>
      </c>
      <c r="S144" s="186">
        <f t="shared" si="7"/>
        <v>-1.0000000000000001E-5</v>
      </c>
      <c r="T144" s="185">
        <f>IFERROR(IF($C144="",-0.00001,SUMIFS(Database!V:V,Database!$E:$E,$C144)),-0.00001)</f>
        <v>-1.0000000000000001E-5</v>
      </c>
      <c r="U144" s="185">
        <f>IFERROR(IF($C144="",-0.00001,SUMIFS(Database!W:W,Database!$E:$E,$C144)),-0.00001)</f>
        <v>-1.0000000000000001E-5</v>
      </c>
      <c r="V144" s="186">
        <f t="shared" si="8"/>
        <v>-1.0000000000000001E-5</v>
      </c>
      <c r="W144" s="187"/>
      <c r="X144" s="187"/>
      <c r="Y144" s="187"/>
      <c r="Z144" s="187"/>
      <c r="AA144" s="187"/>
      <c r="AB144" s="187"/>
      <c r="AC144" s="187"/>
      <c r="AD144" s="187"/>
      <c r="AE144" s="187"/>
    </row>
    <row r="145" spans="1:31" x14ac:dyDescent="0.25">
      <c r="A145" s="187"/>
      <c r="B145" s="187" t="str">
        <f>IF($C145="","",MAX($B$4:$B144)+1)</f>
        <v/>
      </c>
      <c r="C145" s="183"/>
      <c r="D145" s="183" t="str">
        <f>IFERROR(VLOOKUP($C145,Rosters!$C$4:$M$239,INDEX(Lists!$N$5:$O$80,MATCH($C145,Lists!$N$5:$N$80,FALSE),2)),"")</f>
        <v/>
      </c>
      <c r="E145" s="185">
        <f>IF($C145="",-0.00001,COUNTIF(Database!E:E,$C145))</f>
        <v>-1.0000000000000001E-5</v>
      </c>
      <c r="F145" s="185">
        <f>IFERROR(IF($C145="",-0.00001,SUMIFS(Database!H:H,Database!$E:$E,$C145)),-0.00001)</f>
        <v>-1.0000000000000001E-5</v>
      </c>
      <c r="G145" s="185">
        <f>IFERROR(IF($C145="",-0.00001,SUMIFS(Database!I:I,Database!$E:$E,$C145)),-0.00001)</f>
        <v>-1.0000000000000001E-5</v>
      </c>
      <c r="H145" s="185">
        <f>IFERROR(IF($C145="",-0.00001,SUMIFS(Database!J:J,Database!$E:$E,$C145)),-0.00001)</f>
        <v>-1.0000000000000001E-5</v>
      </c>
      <c r="I145" s="185">
        <f>IFERROR(IF($C145="",-0.00001,SUMIFS(Database!K:K,Database!$E:$E,$C145)),-0.00001)</f>
        <v>-1.0000000000000001E-5</v>
      </c>
      <c r="J145" s="185">
        <f>IFERROR(IF($C145="",-0.00001,SUMIFS(Database!L:L,Database!$E:$E,$C145)),-0.00001)</f>
        <v>-1.0000000000000001E-5</v>
      </c>
      <c r="K145" s="185">
        <f>IFERROR(IF($C145="",-0.00001,SUMIFS(Database!M:M,Database!$E:$E,$C145)),-0.00001)</f>
        <v>-1.0000000000000001E-5</v>
      </c>
      <c r="L145" s="185">
        <f>IFERROR(IF($C145="",-0.00001,SUMIFS(Database!N:N,Database!$E:$E,$C145)),-0.00001)</f>
        <v>-1.0000000000000001E-5</v>
      </c>
      <c r="M145" s="185">
        <f>IFERROR(IF($C145="",-0.00001,SUMIFS(Database!O:O,Database!$E:$E,$C145)),-0.00001)</f>
        <v>-1.0000000000000001E-5</v>
      </c>
      <c r="N145" s="185">
        <f>IFERROR(IF($C145="",-0.00001,SUMIFS(Database!P:P,Database!$E:$E,$C145)),-0.00001)</f>
        <v>-1.0000000000000001E-5</v>
      </c>
      <c r="O145" s="185">
        <f>IFERROR(IF($C145="",-0.00001,SUMIFS(Database!Q:Q,Database!$E:$E,$C145)),-0.00001)</f>
        <v>-1.0000000000000001E-5</v>
      </c>
      <c r="P145" s="186">
        <f t="shared" si="6"/>
        <v>-1.0000000000000001E-5</v>
      </c>
      <c r="Q145" s="185">
        <f>IFERROR(IF($C145="",-0.00001,SUMIFS(Database!S:S,Database!$E:$E,$C145)),-0.00001)</f>
        <v>-1.0000000000000001E-5</v>
      </c>
      <c r="R145" s="185">
        <f>IFERROR(IF($C145="",-0.00001,SUMIFS(Database!T:T,Database!$E:$E,$C145)),-0.00001)</f>
        <v>-1.0000000000000001E-5</v>
      </c>
      <c r="S145" s="186">
        <f t="shared" si="7"/>
        <v>-1.0000000000000001E-5</v>
      </c>
      <c r="T145" s="185">
        <f>IFERROR(IF($C145="",-0.00001,SUMIFS(Database!V:V,Database!$E:$E,$C145)),-0.00001)</f>
        <v>-1.0000000000000001E-5</v>
      </c>
      <c r="U145" s="185">
        <f>IFERROR(IF($C145="",-0.00001,SUMIFS(Database!W:W,Database!$E:$E,$C145)),-0.00001)</f>
        <v>-1.0000000000000001E-5</v>
      </c>
      <c r="V145" s="186">
        <f t="shared" si="8"/>
        <v>-1.0000000000000001E-5</v>
      </c>
      <c r="W145" s="187"/>
      <c r="X145" s="187"/>
      <c r="Y145" s="187"/>
      <c r="Z145" s="187"/>
      <c r="AA145" s="187"/>
      <c r="AB145" s="187"/>
      <c r="AC145" s="187"/>
      <c r="AD145" s="187"/>
      <c r="AE145" s="187"/>
    </row>
    <row r="146" spans="1:31" x14ac:dyDescent="0.25">
      <c r="A146" s="187"/>
      <c r="B146" s="187" t="str">
        <f>IF($C146="","",MAX($B$4:$B145)+1)</f>
        <v/>
      </c>
      <c r="C146" s="183"/>
      <c r="D146" s="183" t="str">
        <f>IFERROR(VLOOKUP($C146,Rosters!$C$4:$M$239,INDEX(Lists!$N$5:$O$80,MATCH($C146,Lists!$N$5:$N$80,FALSE),2)),"")</f>
        <v/>
      </c>
      <c r="E146" s="185">
        <f>IF($C146="",-0.00001,COUNTIF(Database!E:E,$C146))</f>
        <v>-1.0000000000000001E-5</v>
      </c>
      <c r="F146" s="185">
        <f>IFERROR(IF($C146="",-0.00001,SUMIFS(Database!H:H,Database!$E:$E,$C146)),-0.00001)</f>
        <v>-1.0000000000000001E-5</v>
      </c>
      <c r="G146" s="185">
        <f>IFERROR(IF($C146="",-0.00001,SUMIFS(Database!I:I,Database!$E:$E,$C146)),-0.00001)</f>
        <v>-1.0000000000000001E-5</v>
      </c>
      <c r="H146" s="185">
        <f>IFERROR(IF($C146="",-0.00001,SUMIFS(Database!J:J,Database!$E:$E,$C146)),-0.00001)</f>
        <v>-1.0000000000000001E-5</v>
      </c>
      <c r="I146" s="185">
        <f>IFERROR(IF($C146="",-0.00001,SUMIFS(Database!K:K,Database!$E:$E,$C146)),-0.00001)</f>
        <v>-1.0000000000000001E-5</v>
      </c>
      <c r="J146" s="185">
        <f>IFERROR(IF($C146="",-0.00001,SUMIFS(Database!L:L,Database!$E:$E,$C146)),-0.00001)</f>
        <v>-1.0000000000000001E-5</v>
      </c>
      <c r="K146" s="185">
        <f>IFERROR(IF($C146="",-0.00001,SUMIFS(Database!M:M,Database!$E:$E,$C146)),-0.00001)</f>
        <v>-1.0000000000000001E-5</v>
      </c>
      <c r="L146" s="185">
        <f>IFERROR(IF($C146="",-0.00001,SUMIFS(Database!N:N,Database!$E:$E,$C146)),-0.00001)</f>
        <v>-1.0000000000000001E-5</v>
      </c>
      <c r="M146" s="185">
        <f>IFERROR(IF($C146="",-0.00001,SUMIFS(Database!O:O,Database!$E:$E,$C146)),-0.00001)</f>
        <v>-1.0000000000000001E-5</v>
      </c>
      <c r="N146" s="185">
        <f>IFERROR(IF($C146="",-0.00001,SUMIFS(Database!P:P,Database!$E:$E,$C146)),-0.00001)</f>
        <v>-1.0000000000000001E-5</v>
      </c>
      <c r="O146" s="185">
        <f>IFERROR(IF($C146="",-0.00001,SUMIFS(Database!Q:Q,Database!$E:$E,$C146)),-0.00001)</f>
        <v>-1.0000000000000001E-5</v>
      </c>
      <c r="P146" s="186">
        <f t="shared" si="6"/>
        <v>-1.0000000000000001E-5</v>
      </c>
      <c r="Q146" s="185">
        <f>IFERROR(IF($C146="",-0.00001,SUMIFS(Database!S:S,Database!$E:$E,$C146)),-0.00001)</f>
        <v>-1.0000000000000001E-5</v>
      </c>
      <c r="R146" s="185">
        <f>IFERROR(IF($C146="",-0.00001,SUMIFS(Database!T:T,Database!$E:$E,$C146)),-0.00001)</f>
        <v>-1.0000000000000001E-5</v>
      </c>
      <c r="S146" s="186">
        <f t="shared" si="7"/>
        <v>-1.0000000000000001E-5</v>
      </c>
      <c r="T146" s="185">
        <f>IFERROR(IF($C146="",-0.00001,SUMIFS(Database!V:V,Database!$E:$E,$C146)),-0.00001)</f>
        <v>-1.0000000000000001E-5</v>
      </c>
      <c r="U146" s="185">
        <f>IFERROR(IF($C146="",-0.00001,SUMIFS(Database!W:W,Database!$E:$E,$C146)),-0.00001)</f>
        <v>-1.0000000000000001E-5</v>
      </c>
      <c r="V146" s="186">
        <f t="shared" si="8"/>
        <v>-1.0000000000000001E-5</v>
      </c>
      <c r="W146" s="187"/>
      <c r="X146" s="187"/>
      <c r="Y146" s="187"/>
      <c r="Z146" s="187"/>
      <c r="AA146" s="187"/>
      <c r="AB146" s="187"/>
      <c r="AC146" s="187"/>
      <c r="AD146" s="187"/>
      <c r="AE146" s="187"/>
    </row>
    <row r="147" spans="1:31" x14ac:dyDescent="0.25">
      <c r="A147" s="187"/>
      <c r="B147" s="187" t="str">
        <f>IF($C147="","",MAX($B$4:$B146)+1)</f>
        <v/>
      </c>
      <c r="C147" s="183"/>
      <c r="D147" s="183" t="str">
        <f>IFERROR(VLOOKUP($C147,Rosters!$C$4:$M$239,INDEX(Lists!$N$5:$O$80,MATCH($C147,Lists!$N$5:$N$80,FALSE),2)),"")</f>
        <v/>
      </c>
      <c r="E147" s="185">
        <f>IF($C147="",-0.00001,COUNTIF(Database!E:E,$C147))</f>
        <v>-1.0000000000000001E-5</v>
      </c>
      <c r="F147" s="185">
        <f>IFERROR(IF($C147="",-0.00001,SUMIFS(Database!H:H,Database!$E:$E,$C147)),-0.00001)</f>
        <v>-1.0000000000000001E-5</v>
      </c>
      <c r="G147" s="185">
        <f>IFERROR(IF($C147="",-0.00001,SUMIFS(Database!I:I,Database!$E:$E,$C147)),-0.00001)</f>
        <v>-1.0000000000000001E-5</v>
      </c>
      <c r="H147" s="185">
        <f>IFERROR(IF($C147="",-0.00001,SUMIFS(Database!J:J,Database!$E:$E,$C147)),-0.00001)</f>
        <v>-1.0000000000000001E-5</v>
      </c>
      <c r="I147" s="185">
        <f>IFERROR(IF($C147="",-0.00001,SUMIFS(Database!K:K,Database!$E:$E,$C147)),-0.00001)</f>
        <v>-1.0000000000000001E-5</v>
      </c>
      <c r="J147" s="185">
        <f>IFERROR(IF($C147="",-0.00001,SUMIFS(Database!L:L,Database!$E:$E,$C147)),-0.00001)</f>
        <v>-1.0000000000000001E-5</v>
      </c>
      <c r="K147" s="185">
        <f>IFERROR(IF($C147="",-0.00001,SUMIFS(Database!M:M,Database!$E:$E,$C147)),-0.00001)</f>
        <v>-1.0000000000000001E-5</v>
      </c>
      <c r="L147" s="185">
        <f>IFERROR(IF($C147="",-0.00001,SUMIFS(Database!N:N,Database!$E:$E,$C147)),-0.00001)</f>
        <v>-1.0000000000000001E-5</v>
      </c>
      <c r="M147" s="185">
        <f>IFERROR(IF($C147="",-0.00001,SUMIFS(Database!O:O,Database!$E:$E,$C147)),-0.00001)</f>
        <v>-1.0000000000000001E-5</v>
      </c>
      <c r="N147" s="185">
        <f>IFERROR(IF($C147="",-0.00001,SUMIFS(Database!P:P,Database!$E:$E,$C147)),-0.00001)</f>
        <v>-1.0000000000000001E-5</v>
      </c>
      <c r="O147" s="185">
        <f>IFERROR(IF($C147="",-0.00001,SUMIFS(Database!Q:Q,Database!$E:$E,$C147)),-0.00001)</f>
        <v>-1.0000000000000001E-5</v>
      </c>
      <c r="P147" s="186">
        <f t="shared" si="6"/>
        <v>-1.0000000000000001E-5</v>
      </c>
      <c r="Q147" s="185">
        <f>IFERROR(IF($C147="",-0.00001,SUMIFS(Database!S:S,Database!$E:$E,$C147)),-0.00001)</f>
        <v>-1.0000000000000001E-5</v>
      </c>
      <c r="R147" s="185">
        <f>IFERROR(IF($C147="",-0.00001,SUMIFS(Database!T:T,Database!$E:$E,$C147)),-0.00001)</f>
        <v>-1.0000000000000001E-5</v>
      </c>
      <c r="S147" s="186">
        <f t="shared" si="7"/>
        <v>-1.0000000000000001E-5</v>
      </c>
      <c r="T147" s="185">
        <f>IFERROR(IF($C147="",-0.00001,SUMIFS(Database!V:V,Database!$E:$E,$C147)),-0.00001)</f>
        <v>-1.0000000000000001E-5</v>
      </c>
      <c r="U147" s="185">
        <f>IFERROR(IF($C147="",-0.00001,SUMIFS(Database!W:W,Database!$E:$E,$C147)),-0.00001)</f>
        <v>-1.0000000000000001E-5</v>
      </c>
      <c r="V147" s="186">
        <f t="shared" si="8"/>
        <v>-1.0000000000000001E-5</v>
      </c>
      <c r="W147" s="187"/>
      <c r="X147" s="187"/>
      <c r="Y147" s="187"/>
      <c r="Z147" s="187"/>
      <c r="AA147" s="187"/>
      <c r="AB147" s="187"/>
      <c r="AC147" s="187"/>
      <c r="AD147" s="187"/>
      <c r="AE147" s="187"/>
    </row>
    <row r="148" spans="1:31" x14ac:dyDescent="0.25">
      <c r="A148" s="187"/>
      <c r="B148" s="187" t="str">
        <f>IF($C148="","",MAX($B$4:$B147)+1)</f>
        <v/>
      </c>
      <c r="C148" s="183"/>
      <c r="D148" s="183" t="str">
        <f>IFERROR(VLOOKUP($C148,Rosters!$C$4:$M$239,INDEX(Lists!$N$5:$O$80,MATCH($C148,Lists!$N$5:$N$80,FALSE),2)),"")</f>
        <v/>
      </c>
      <c r="E148" s="185">
        <f>IF($C148="",-0.00001,COUNTIF(Database!E:E,$C148))</f>
        <v>-1.0000000000000001E-5</v>
      </c>
      <c r="F148" s="185">
        <f>IFERROR(IF($C148="",-0.00001,SUMIFS(Database!H:H,Database!$E:$E,$C148)),-0.00001)</f>
        <v>-1.0000000000000001E-5</v>
      </c>
      <c r="G148" s="185">
        <f>IFERROR(IF($C148="",-0.00001,SUMIFS(Database!I:I,Database!$E:$E,$C148)),-0.00001)</f>
        <v>-1.0000000000000001E-5</v>
      </c>
      <c r="H148" s="185">
        <f>IFERROR(IF($C148="",-0.00001,SUMIFS(Database!J:J,Database!$E:$E,$C148)),-0.00001)</f>
        <v>-1.0000000000000001E-5</v>
      </c>
      <c r="I148" s="185">
        <f>IFERROR(IF($C148="",-0.00001,SUMIFS(Database!K:K,Database!$E:$E,$C148)),-0.00001)</f>
        <v>-1.0000000000000001E-5</v>
      </c>
      <c r="J148" s="185">
        <f>IFERROR(IF($C148="",-0.00001,SUMIFS(Database!L:L,Database!$E:$E,$C148)),-0.00001)</f>
        <v>-1.0000000000000001E-5</v>
      </c>
      <c r="K148" s="185">
        <f>IFERROR(IF($C148="",-0.00001,SUMIFS(Database!M:M,Database!$E:$E,$C148)),-0.00001)</f>
        <v>-1.0000000000000001E-5</v>
      </c>
      <c r="L148" s="185">
        <f>IFERROR(IF($C148="",-0.00001,SUMIFS(Database!N:N,Database!$E:$E,$C148)),-0.00001)</f>
        <v>-1.0000000000000001E-5</v>
      </c>
      <c r="M148" s="185">
        <f>IFERROR(IF($C148="",-0.00001,SUMIFS(Database!O:O,Database!$E:$E,$C148)),-0.00001)</f>
        <v>-1.0000000000000001E-5</v>
      </c>
      <c r="N148" s="185">
        <f>IFERROR(IF($C148="",-0.00001,SUMIFS(Database!P:P,Database!$E:$E,$C148)),-0.00001)</f>
        <v>-1.0000000000000001E-5</v>
      </c>
      <c r="O148" s="185">
        <f>IFERROR(IF($C148="",-0.00001,SUMIFS(Database!Q:Q,Database!$E:$E,$C148)),-0.00001)</f>
        <v>-1.0000000000000001E-5</v>
      </c>
      <c r="P148" s="186">
        <f t="shared" si="6"/>
        <v>-1.0000000000000001E-5</v>
      </c>
      <c r="Q148" s="185">
        <f>IFERROR(IF($C148="",-0.00001,SUMIFS(Database!S:S,Database!$E:$E,$C148)),-0.00001)</f>
        <v>-1.0000000000000001E-5</v>
      </c>
      <c r="R148" s="185">
        <f>IFERROR(IF($C148="",-0.00001,SUMIFS(Database!T:T,Database!$E:$E,$C148)),-0.00001)</f>
        <v>-1.0000000000000001E-5</v>
      </c>
      <c r="S148" s="186">
        <f t="shared" si="7"/>
        <v>-1.0000000000000001E-5</v>
      </c>
      <c r="T148" s="185">
        <f>IFERROR(IF($C148="",-0.00001,SUMIFS(Database!V:V,Database!$E:$E,$C148)),-0.00001)</f>
        <v>-1.0000000000000001E-5</v>
      </c>
      <c r="U148" s="185">
        <f>IFERROR(IF($C148="",-0.00001,SUMIFS(Database!W:W,Database!$E:$E,$C148)),-0.00001)</f>
        <v>-1.0000000000000001E-5</v>
      </c>
      <c r="V148" s="186">
        <f t="shared" si="8"/>
        <v>-1.0000000000000001E-5</v>
      </c>
      <c r="W148" s="187"/>
      <c r="X148" s="187"/>
      <c r="Y148" s="187"/>
      <c r="Z148" s="187"/>
      <c r="AA148" s="187"/>
      <c r="AB148" s="187"/>
      <c r="AC148" s="187"/>
      <c r="AD148" s="187"/>
      <c r="AE148" s="187"/>
    </row>
    <row r="149" spans="1:31" x14ac:dyDescent="0.25">
      <c r="A149" s="187"/>
      <c r="B149" s="187" t="str">
        <f>IF($C149="","",MAX($B$4:$B148)+1)</f>
        <v/>
      </c>
      <c r="C149" s="183"/>
      <c r="D149" s="183" t="str">
        <f>IFERROR(VLOOKUP($C149,Rosters!$C$4:$M$239,INDEX(Lists!$N$5:$O$80,MATCH($C149,Lists!$N$5:$N$80,FALSE),2)),"")</f>
        <v/>
      </c>
      <c r="E149" s="185">
        <f>IF($C149="",-0.00001,COUNTIF(Database!E:E,$C149))</f>
        <v>-1.0000000000000001E-5</v>
      </c>
      <c r="F149" s="185">
        <f>IFERROR(IF($C149="",-0.00001,SUMIFS(Database!H:H,Database!$E:$E,$C149)),-0.00001)</f>
        <v>-1.0000000000000001E-5</v>
      </c>
      <c r="G149" s="185">
        <f>IFERROR(IF($C149="",-0.00001,SUMIFS(Database!I:I,Database!$E:$E,$C149)),-0.00001)</f>
        <v>-1.0000000000000001E-5</v>
      </c>
      <c r="H149" s="185">
        <f>IFERROR(IF($C149="",-0.00001,SUMIFS(Database!J:J,Database!$E:$E,$C149)),-0.00001)</f>
        <v>-1.0000000000000001E-5</v>
      </c>
      <c r="I149" s="185">
        <f>IFERROR(IF($C149="",-0.00001,SUMIFS(Database!K:K,Database!$E:$E,$C149)),-0.00001)</f>
        <v>-1.0000000000000001E-5</v>
      </c>
      <c r="J149" s="185">
        <f>IFERROR(IF($C149="",-0.00001,SUMIFS(Database!L:L,Database!$E:$E,$C149)),-0.00001)</f>
        <v>-1.0000000000000001E-5</v>
      </c>
      <c r="K149" s="185">
        <f>IFERROR(IF($C149="",-0.00001,SUMIFS(Database!M:M,Database!$E:$E,$C149)),-0.00001)</f>
        <v>-1.0000000000000001E-5</v>
      </c>
      <c r="L149" s="185">
        <f>IFERROR(IF($C149="",-0.00001,SUMIFS(Database!N:N,Database!$E:$E,$C149)),-0.00001)</f>
        <v>-1.0000000000000001E-5</v>
      </c>
      <c r="M149" s="185">
        <f>IFERROR(IF($C149="",-0.00001,SUMIFS(Database!O:O,Database!$E:$E,$C149)),-0.00001)</f>
        <v>-1.0000000000000001E-5</v>
      </c>
      <c r="N149" s="185">
        <f>IFERROR(IF($C149="",-0.00001,SUMIFS(Database!P:P,Database!$E:$E,$C149)),-0.00001)</f>
        <v>-1.0000000000000001E-5</v>
      </c>
      <c r="O149" s="185">
        <f>IFERROR(IF($C149="",-0.00001,SUMIFS(Database!Q:Q,Database!$E:$E,$C149)),-0.00001)</f>
        <v>-1.0000000000000001E-5</v>
      </c>
      <c r="P149" s="186">
        <f t="shared" si="6"/>
        <v>-1.0000000000000001E-5</v>
      </c>
      <c r="Q149" s="185">
        <f>IFERROR(IF($C149="",-0.00001,SUMIFS(Database!S:S,Database!$E:$E,$C149)),-0.00001)</f>
        <v>-1.0000000000000001E-5</v>
      </c>
      <c r="R149" s="185">
        <f>IFERROR(IF($C149="",-0.00001,SUMIFS(Database!T:T,Database!$E:$E,$C149)),-0.00001)</f>
        <v>-1.0000000000000001E-5</v>
      </c>
      <c r="S149" s="186">
        <f t="shared" si="7"/>
        <v>-1.0000000000000001E-5</v>
      </c>
      <c r="T149" s="185">
        <f>IFERROR(IF($C149="",-0.00001,SUMIFS(Database!V:V,Database!$E:$E,$C149)),-0.00001)</f>
        <v>-1.0000000000000001E-5</v>
      </c>
      <c r="U149" s="185">
        <f>IFERROR(IF($C149="",-0.00001,SUMIFS(Database!W:W,Database!$E:$E,$C149)),-0.00001)</f>
        <v>-1.0000000000000001E-5</v>
      </c>
      <c r="V149" s="186">
        <f t="shared" si="8"/>
        <v>-1.0000000000000001E-5</v>
      </c>
      <c r="W149" s="187"/>
      <c r="X149" s="187"/>
      <c r="Y149" s="187"/>
      <c r="Z149" s="187"/>
      <c r="AA149" s="187"/>
      <c r="AB149" s="187"/>
      <c r="AC149" s="187"/>
      <c r="AD149" s="187"/>
      <c r="AE149" s="187"/>
    </row>
    <row r="150" spans="1:31" x14ac:dyDescent="0.25">
      <c r="A150" s="187"/>
      <c r="B150" s="187" t="str">
        <f>IF($C150="","",MAX($B$4:$B149)+1)</f>
        <v/>
      </c>
      <c r="C150" s="183"/>
      <c r="D150" s="183" t="str">
        <f>IFERROR(VLOOKUP($C150,Rosters!$C$4:$M$239,INDEX(Lists!$N$5:$O$80,MATCH($C150,Lists!$N$5:$N$80,FALSE),2)),"")</f>
        <v/>
      </c>
      <c r="E150" s="185">
        <f>IF($C150="",-0.00001,COUNTIF(Database!E:E,$C150))</f>
        <v>-1.0000000000000001E-5</v>
      </c>
      <c r="F150" s="185">
        <f>IFERROR(IF($C150="",-0.00001,SUMIFS(Database!H:H,Database!$E:$E,$C150)),-0.00001)</f>
        <v>-1.0000000000000001E-5</v>
      </c>
      <c r="G150" s="185">
        <f>IFERROR(IF($C150="",-0.00001,SUMIFS(Database!I:I,Database!$E:$E,$C150)),-0.00001)</f>
        <v>-1.0000000000000001E-5</v>
      </c>
      <c r="H150" s="185">
        <f>IFERROR(IF($C150="",-0.00001,SUMIFS(Database!J:J,Database!$E:$E,$C150)),-0.00001)</f>
        <v>-1.0000000000000001E-5</v>
      </c>
      <c r="I150" s="185">
        <f>IFERROR(IF($C150="",-0.00001,SUMIFS(Database!K:K,Database!$E:$E,$C150)),-0.00001)</f>
        <v>-1.0000000000000001E-5</v>
      </c>
      <c r="J150" s="185">
        <f>IFERROR(IF($C150="",-0.00001,SUMIFS(Database!L:L,Database!$E:$E,$C150)),-0.00001)</f>
        <v>-1.0000000000000001E-5</v>
      </c>
      <c r="K150" s="185">
        <f>IFERROR(IF($C150="",-0.00001,SUMIFS(Database!M:M,Database!$E:$E,$C150)),-0.00001)</f>
        <v>-1.0000000000000001E-5</v>
      </c>
      <c r="L150" s="185">
        <f>IFERROR(IF($C150="",-0.00001,SUMIFS(Database!N:N,Database!$E:$E,$C150)),-0.00001)</f>
        <v>-1.0000000000000001E-5</v>
      </c>
      <c r="M150" s="185">
        <f>IFERROR(IF($C150="",-0.00001,SUMIFS(Database!O:O,Database!$E:$E,$C150)),-0.00001)</f>
        <v>-1.0000000000000001E-5</v>
      </c>
      <c r="N150" s="185">
        <f>IFERROR(IF($C150="",-0.00001,SUMIFS(Database!P:P,Database!$E:$E,$C150)),-0.00001)</f>
        <v>-1.0000000000000001E-5</v>
      </c>
      <c r="O150" s="185">
        <f>IFERROR(IF($C150="",-0.00001,SUMIFS(Database!Q:Q,Database!$E:$E,$C150)),-0.00001)</f>
        <v>-1.0000000000000001E-5</v>
      </c>
      <c r="P150" s="186">
        <f t="shared" si="6"/>
        <v>-1.0000000000000001E-5</v>
      </c>
      <c r="Q150" s="185">
        <f>IFERROR(IF($C150="",-0.00001,SUMIFS(Database!S:S,Database!$E:$E,$C150)),-0.00001)</f>
        <v>-1.0000000000000001E-5</v>
      </c>
      <c r="R150" s="185">
        <f>IFERROR(IF($C150="",-0.00001,SUMIFS(Database!T:T,Database!$E:$E,$C150)),-0.00001)</f>
        <v>-1.0000000000000001E-5</v>
      </c>
      <c r="S150" s="186">
        <f t="shared" si="7"/>
        <v>-1.0000000000000001E-5</v>
      </c>
      <c r="T150" s="185">
        <f>IFERROR(IF($C150="",-0.00001,SUMIFS(Database!V:V,Database!$E:$E,$C150)),-0.00001)</f>
        <v>-1.0000000000000001E-5</v>
      </c>
      <c r="U150" s="185">
        <f>IFERROR(IF($C150="",-0.00001,SUMIFS(Database!W:W,Database!$E:$E,$C150)),-0.00001)</f>
        <v>-1.0000000000000001E-5</v>
      </c>
      <c r="V150" s="186">
        <f t="shared" si="8"/>
        <v>-1.0000000000000001E-5</v>
      </c>
      <c r="W150" s="187"/>
      <c r="X150" s="187"/>
      <c r="Y150" s="187"/>
      <c r="Z150" s="187"/>
      <c r="AA150" s="187"/>
      <c r="AB150" s="187"/>
      <c r="AC150" s="187"/>
      <c r="AD150" s="187"/>
      <c r="AE150" s="187"/>
    </row>
    <row r="151" spans="1:31" x14ac:dyDescent="0.25">
      <c r="A151" s="187"/>
      <c r="B151" s="187" t="str">
        <f>IF($C151="","",MAX($B$4:$B150)+1)</f>
        <v/>
      </c>
      <c r="C151" s="183"/>
      <c r="D151" s="183" t="str">
        <f>IFERROR(VLOOKUP($C151,Rosters!$C$4:$M$239,INDEX(Lists!$N$5:$O$80,MATCH($C151,Lists!$N$5:$N$80,FALSE),2)),"")</f>
        <v/>
      </c>
      <c r="E151" s="185">
        <f>IF($C151="",-0.00001,COUNTIF(Database!E:E,$C151))</f>
        <v>-1.0000000000000001E-5</v>
      </c>
      <c r="F151" s="185">
        <f>IFERROR(IF($C151="",-0.00001,SUMIFS(Database!H:H,Database!$E:$E,$C151)),-0.00001)</f>
        <v>-1.0000000000000001E-5</v>
      </c>
      <c r="G151" s="185">
        <f>IFERROR(IF($C151="",-0.00001,SUMIFS(Database!I:I,Database!$E:$E,$C151)),-0.00001)</f>
        <v>-1.0000000000000001E-5</v>
      </c>
      <c r="H151" s="185">
        <f>IFERROR(IF($C151="",-0.00001,SUMIFS(Database!J:J,Database!$E:$E,$C151)),-0.00001)</f>
        <v>-1.0000000000000001E-5</v>
      </c>
      <c r="I151" s="185">
        <f>IFERROR(IF($C151="",-0.00001,SUMIFS(Database!K:K,Database!$E:$E,$C151)),-0.00001)</f>
        <v>-1.0000000000000001E-5</v>
      </c>
      <c r="J151" s="185">
        <f>IFERROR(IF($C151="",-0.00001,SUMIFS(Database!L:L,Database!$E:$E,$C151)),-0.00001)</f>
        <v>-1.0000000000000001E-5</v>
      </c>
      <c r="K151" s="185">
        <f>IFERROR(IF($C151="",-0.00001,SUMIFS(Database!M:M,Database!$E:$E,$C151)),-0.00001)</f>
        <v>-1.0000000000000001E-5</v>
      </c>
      <c r="L151" s="185">
        <f>IFERROR(IF($C151="",-0.00001,SUMIFS(Database!N:N,Database!$E:$E,$C151)),-0.00001)</f>
        <v>-1.0000000000000001E-5</v>
      </c>
      <c r="M151" s="185">
        <f>IFERROR(IF($C151="",-0.00001,SUMIFS(Database!O:O,Database!$E:$E,$C151)),-0.00001)</f>
        <v>-1.0000000000000001E-5</v>
      </c>
      <c r="N151" s="185">
        <f>IFERROR(IF($C151="",-0.00001,SUMIFS(Database!P:P,Database!$E:$E,$C151)),-0.00001)</f>
        <v>-1.0000000000000001E-5</v>
      </c>
      <c r="O151" s="185">
        <f>IFERROR(IF($C151="",-0.00001,SUMIFS(Database!Q:Q,Database!$E:$E,$C151)),-0.00001)</f>
        <v>-1.0000000000000001E-5</v>
      </c>
      <c r="P151" s="186">
        <f t="shared" si="6"/>
        <v>-1.0000000000000001E-5</v>
      </c>
      <c r="Q151" s="185">
        <f>IFERROR(IF($C151="",-0.00001,SUMIFS(Database!S:S,Database!$E:$E,$C151)),-0.00001)</f>
        <v>-1.0000000000000001E-5</v>
      </c>
      <c r="R151" s="185">
        <f>IFERROR(IF($C151="",-0.00001,SUMIFS(Database!T:T,Database!$E:$E,$C151)),-0.00001)</f>
        <v>-1.0000000000000001E-5</v>
      </c>
      <c r="S151" s="186">
        <f t="shared" si="7"/>
        <v>-1.0000000000000001E-5</v>
      </c>
      <c r="T151" s="185">
        <f>IFERROR(IF($C151="",-0.00001,SUMIFS(Database!V:V,Database!$E:$E,$C151)),-0.00001)</f>
        <v>-1.0000000000000001E-5</v>
      </c>
      <c r="U151" s="185">
        <f>IFERROR(IF($C151="",-0.00001,SUMIFS(Database!W:W,Database!$E:$E,$C151)),-0.00001)</f>
        <v>-1.0000000000000001E-5</v>
      </c>
      <c r="V151" s="186">
        <f t="shared" si="8"/>
        <v>-1.0000000000000001E-5</v>
      </c>
      <c r="W151" s="187"/>
      <c r="X151" s="187"/>
      <c r="Y151" s="187"/>
      <c r="Z151" s="187"/>
      <c r="AA151" s="187"/>
      <c r="AB151" s="187"/>
      <c r="AC151" s="187"/>
      <c r="AD151" s="187"/>
      <c r="AE151" s="187"/>
    </row>
    <row r="152" spans="1:31" x14ac:dyDescent="0.25">
      <c r="A152" s="187"/>
      <c r="B152" s="187" t="str">
        <f>IF($C152="","",MAX($B$4:$B151)+1)</f>
        <v/>
      </c>
      <c r="C152" s="183"/>
      <c r="D152" s="183" t="str">
        <f>IFERROR(VLOOKUP($C152,Rosters!$C$4:$M$239,INDEX(Lists!$N$5:$O$80,MATCH($C152,Lists!$N$5:$N$80,FALSE),2)),"")</f>
        <v/>
      </c>
      <c r="E152" s="185">
        <f>IF($C152="",-0.00001,COUNTIF(Database!E:E,$C152))</f>
        <v>-1.0000000000000001E-5</v>
      </c>
      <c r="F152" s="185">
        <f>IFERROR(IF($C152="",-0.00001,SUMIFS(Database!H:H,Database!$E:$E,$C152)),-0.00001)</f>
        <v>-1.0000000000000001E-5</v>
      </c>
      <c r="G152" s="185">
        <f>IFERROR(IF($C152="",-0.00001,SUMIFS(Database!I:I,Database!$E:$E,$C152)),-0.00001)</f>
        <v>-1.0000000000000001E-5</v>
      </c>
      <c r="H152" s="185">
        <f>IFERROR(IF($C152="",-0.00001,SUMIFS(Database!J:J,Database!$E:$E,$C152)),-0.00001)</f>
        <v>-1.0000000000000001E-5</v>
      </c>
      <c r="I152" s="185">
        <f>IFERROR(IF($C152="",-0.00001,SUMIFS(Database!K:K,Database!$E:$E,$C152)),-0.00001)</f>
        <v>-1.0000000000000001E-5</v>
      </c>
      <c r="J152" s="185">
        <f>IFERROR(IF($C152="",-0.00001,SUMIFS(Database!L:L,Database!$E:$E,$C152)),-0.00001)</f>
        <v>-1.0000000000000001E-5</v>
      </c>
      <c r="K152" s="185">
        <f>IFERROR(IF($C152="",-0.00001,SUMIFS(Database!M:M,Database!$E:$E,$C152)),-0.00001)</f>
        <v>-1.0000000000000001E-5</v>
      </c>
      <c r="L152" s="185">
        <f>IFERROR(IF($C152="",-0.00001,SUMIFS(Database!N:N,Database!$E:$E,$C152)),-0.00001)</f>
        <v>-1.0000000000000001E-5</v>
      </c>
      <c r="M152" s="185">
        <f>IFERROR(IF($C152="",-0.00001,SUMIFS(Database!O:O,Database!$E:$E,$C152)),-0.00001)</f>
        <v>-1.0000000000000001E-5</v>
      </c>
      <c r="N152" s="185">
        <f>IFERROR(IF($C152="",-0.00001,SUMIFS(Database!P:P,Database!$E:$E,$C152)),-0.00001)</f>
        <v>-1.0000000000000001E-5</v>
      </c>
      <c r="O152" s="185">
        <f>IFERROR(IF($C152="",-0.00001,SUMIFS(Database!Q:Q,Database!$E:$E,$C152)),-0.00001)</f>
        <v>-1.0000000000000001E-5</v>
      </c>
      <c r="P152" s="186">
        <f t="shared" si="6"/>
        <v>-1.0000000000000001E-5</v>
      </c>
      <c r="Q152" s="185">
        <f>IFERROR(IF($C152="",-0.00001,SUMIFS(Database!S:S,Database!$E:$E,$C152)),-0.00001)</f>
        <v>-1.0000000000000001E-5</v>
      </c>
      <c r="R152" s="185">
        <f>IFERROR(IF($C152="",-0.00001,SUMIFS(Database!T:T,Database!$E:$E,$C152)),-0.00001)</f>
        <v>-1.0000000000000001E-5</v>
      </c>
      <c r="S152" s="186">
        <f t="shared" si="7"/>
        <v>-1.0000000000000001E-5</v>
      </c>
      <c r="T152" s="185">
        <f>IFERROR(IF($C152="",-0.00001,SUMIFS(Database!V:V,Database!$E:$E,$C152)),-0.00001)</f>
        <v>-1.0000000000000001E-5</v>
      </c>
      <c r="U152" s="185">
        <f>IFERROR(IF($C152="",-0.00001,SUMIFS(Database!W:W,Database!$E:$E,$C152)),-0.00001)</f>
        <v>-1.0000000000000001E-5</v>
      </c>
      <c r="V152" s="186">
        <f t="shared" si="8"/>
        <v>-1.0000000000000001E-5</v>
      </c>
      <c r="W152" s="187"/>
      <c r="X152" s="187"/>
      <c r="Y152" s="187"/>
      <c r="Z152" s="187"/>
      <c r="AA152" s="187"/>
      <c r="AB152" s="187"/>
      <c r="AC152" s="187"/>
      <c r="AD152" s="187"/>
      <c r="AE152" s="187"/>
    </row>
    <row r="153" spans="1:31" x14ac:dyDescent="0.25">
      <c r="A153" s="187"/>
      <c r="B153" s="187" t="str">
        <f>IF($C153="","",MAX($B$4:$B152)+1)</f>
        <v/>
      </c>
      <c r="C153" s="183"/>
      <c r="D153" s="183" t="str">
        <f>IFERROR(VLOOKUP($C153,Rosters!$C$4:$M$239,INDEX(Lists!$N$5:$O$80,MATCH($C153,Lists!$N$5:$N$80,FALSE),2)),"")</f>
        <v/>
      </c>
      <c r="E153" s="185">
        <f>IF($C153="",-0.00001,COUNTIF(Database!E:E,$C153))</f>
        <v>-1.0000000000000001E-5</v>
      </c>
      <c r="F153" s="185">
        <f>IFERROR(IF($C153="",-0.00001,SUMIFS(Database!H:H,Database!$E:$E,$C153)),-0.00001)</f>
        <v>-1.0000000000000001E-5</v>
      </c>
      <c r="G153" s="185">
        <f>IFERROR(IF($C153="",-0.00001,SUMIFS(Database!I:I,Database!$E:$E,$C153)),-0.00001)</f>
        <v>-1.0000000000000001E-5</v>
      </c>
      <c r="H153" s="185">
        <f>IFERROR(IF($C153="",-0.00001,SUMIFS(Database!J:J,Database!$E:$E,$C153)),-0.00001)</f>
        <v>-1.0000000000000001E-5</v>
      </c>
      <c r="I153" s="185">
        <f>IFERROR(IF($C153="",-0.00001,SUMIFS(Database!K:K,Database!$E:$E,$C153)),-0.00001)</f>
        <v>-1.0000000000000001E-5</v>
      </c>
      <c r="J153" s="185">
        <f>IFERROR(IF($C153="",-0.00001,SUMIFS(Database!L:L,Database!$E:$E,$C153)),-0.00001)</f>
        <v>-1.0000000000000001E-5</v>
      </c>
      <c r="K153" s="185">
        <f>IFERROR(IF($C153="",-0.00001,SUMIFS(Database!M:M,Database!$E:$E,$C153)),-0.00001)</f>
        <v>-1.0000000000000001E-5</v>
      </c>
      <c r="L153" s="185">
        <f>IFERROR(IF($C153="",-0.00001,SUMIFS(Database!N:N,Database!$E:$E,$C153)),-0.00001)</f>
        <v>-1.0000000000000001E-5</v>
      </c>
      <c r="M153" s="185">
        <f>IFERROR(IF($C153="",-0.00001,SUMIFS(Database!O:O,Database!$E:$E,$C153)),-0.00001)</f>
        <v>-1.0000000000000001E-5</v>
      </c>
      <c r="N153" s="185">
        <f>IFERROR(IF($C153="",-0.00001,SUMIFS(Database!P:P,Database!$E:$E,$C153)),-0.00001)</f>
        <v>-1.0000000000000001E-5</v>
      </c>
      <c r="O153" s="185">
        <f>IFERROR(IF($C153="",-0.00001,SUMIFS(Database!Q:Q,Database!$E:$E,$C153)),-0.00001)</f>
        <v>-1.0000000000000001E-5</v>
      </c>
      <c r="P153" s="186">
        <f t="shared" si="6"/>
        <v>-1.0000000000000001E-5</v>
      </c>
      <c r="Q153" s="185">
        <f>IFERROR(IF($C153="",-0.00001,SUMIFS(Database!S:S,Database!$E:$E,$C153)),-0.00001)</f>
        <v>-1.0000000000000001E-5</v>
      </c>
      <c r="R153" s="185">
        <f>IFERROR(IF($C153="",-0.00001,SUMIFS(Database!T:T,Database!$E:$E,$C153)),-0.00001)</f>
        <v>-1.0000000000000001E-5</v>
      </c>
      <c r="S153" s="186">
        <f t="shared" si="7"/>
        <v>-1.0000000000000001E-5</v>
      </c>
      <c r="T153" s="185">
        <f>IFERROR(IF($C153="",-0.00001,SUMIFS(Database!V:V,Database!$E:$E,$C153)),-0.00001)</f>
        <v>-1.0000000000000001E-5</v>
      </c>
      <c r="U153" s="185">
        <f>IFERROR(IF($C153="",-0.00001,SUMIFS(Database!W:W,Database!$E:$E,$C153)),-0.00001)</f>
        <v>-1.0000000000000001E-5</v>
      </c>
      <c r="V153" s="186">
        <f t="shared" si="8"/>
        <v>-1.0000000000000001E-5</v>
      </c>
      <c r="W153" s="187"/>
      <c r="X153" s="187"/>
      <c r="Y153" s="187"/>
      <c r="Z153" s="187"/>
      <c r="AA153" s="187"/>
      <c r="AB153" s="187"/>
      <c r="AC153" s="187"/>
      <c r="AD153" s="187"/>
      <c r="AE153" s="187"/>
    </row>
    <row r="154" spans="1:31" x14ac:dyDescent="0.25">
      <c r="A154" s="187"/>
      <c r="B154" s="187" t="str">
        <f>IF($C154="","",MAX($B$4:$B153)+1)</f>
        <v/>
      </c>
      <c r="C154" s="183"/>
      <c r="D154" s="183" t="str">
        <f>IFERROR(VLOOKUP($C154,Rosters!$C$4:$M$239,INDEX(Lists!$N$5:$O$80,MATCH($C154,Lists!$N$5:$N$80,FALSE),2)),"")</f>
        <v/>
      </c>
      <c r="E154" s="185">
        <f>IF($C154="",-0.00001,COUNTIF(Database!E:E,$C154))</f>
        <v>-1.0000000000000001E-5</v>
      </c>
      <c r="F154" s="185">
        <f>IFERROR(IF($C154="",-0.00001,SUMIFS(Database!H:H,Database!$E:$E,$C154)),-0.00001)</f>
        <v>-1.0000000000000001E-5</v>
      </c>
      <c r="G154" s="185">
        <f>IFERROR(IF($C154="",-0.00001,SUMIFS(Database!I:I,Database!$E:$E,$C154)),-0.00001)</f>
        <v>-1.0000000000000001E-5</v>
      </c>
      <c r="H154" s="185">
        <f>IFERROR(IF($C154="",-0.00001,SUMIFS(Database!J:J,Database!$E:$E,$C154)),-0.00001)</f>
        <v>-1.0000000000000001E-5</v>
      </c>
      <c r="I154" s="185">
        <f>IFERROR(IF($C154="",-0.00001,SUMIFS(Database!K:K,Database!$E:$E,$C154)),-0.00001)</f>
        <v>-1.0000000000000001E-5</v>
      </c>
      <c r="J154" s="185">
        <f>IFERROR(IF($C154="",-0.00001,SUMIFS(Database!L:L,Database!$E:$E,$C154)),-0.00001)</f>
        <v>-1.0000000000000001E-5</v>
      </c>
      <c r="K154" s="185">
        <f>IFERROR(IF($C154="",-0.00001,SUMIFS(Database!M:M,Database!$E:$E,$C154)),-0.00001)</f>
        <v>-1.0000000000000001E-5</v>
      </c>
      <c r="L154" s="185">
        <f>IFERROR(IF($C154="",-0.00001,SUMIFS(Database!N:N,Database!$E:$E,$C154)),-0.00001)</f>
        <v>-1.0000000000000001E-5</v>
      </c>
      <c r="M154" s="185">
        <f>IFERROR(IF($C154="",-0.00001,SUMIFS(Database!O:O,Database!$E:$E,$C154)),-0.00001)</f>
        <v>-1.0000000000000001E-5</v>
      </c>
      <c r="N154" s="185">
        <f>IFERROR(IF($C154="",-0.00001,SUMIFS(Database!P:P,Database!$E:$E,$C154)),-0.00001)</f>
        <v>-1.0000000000000001E-5</v>
      </c>
      <c r="O154" s="185">
        <f>IFERROR(IF($C154="",-0.00001,SUMIFS(Database!Q:Q,Database!$E:$E,$C154)),-0.00001)</f>
        <v>-1.0000000000000001E-5</v>
      </c>
      <c r="P154" s="186">
        <f t="shared" si="6"/>
        <v>-1.0000000000000001E-5</v>
      </c>
      <c r="Q154" s="185">
        <f>IFERROR(IF($C154="",-0.00001,SUMIFS(Database!S:S,Database!$E:$E,$C154)),-0.00001)</f>
        <v>-1.0000000000000001E-5</v>
      </c>
      <c r="R154" s="185">
        <f>IFERROR(IF($C154="",-0.00001,SUMIFS(Database!T:T,Database!$E:$E,$C154)),-0.00001)</f>
        <v>-1.0000000000000001E-5</v>
      </c>
      <c r="S154" s="186">
        <f t="shared" si="7"/>
        <v>-1.0000000000000001E-5</v>
      </c>
      <c r="T154" s="185">
        <f>IFERROR(IF($C154="",-0.00001,SUMIFS(Database!V:V,Database!$E:$E,$C154)),-0.00001)</f>
        <v>-1.0000000000000001E-5</v>
      </c>
      <c r="U154" s="185">
        <f>IFERROR(IF($C154="",-0.00001,SUMIFS(Database!W:W,Database!$E:$E,$C154)),-0.00001)</f>
        <v>-1.0000000000000001E-5</v>
      </c>
      <c r="V154" s="186">
        <f t="shared" si="8"/>
        <v>-1.0000000000000001E-5</v>
      </c>
      <c r="W154" s="187"/>
      <c r="X154" s="187"/>
      <c r="Y154" s="187"/>
      <c r="Z154" s="187"/>
      <c r="AA154" s="187"/>
      <c r="AB154" s="187"/>
      <c r="AC154" s="187"/>
      <c r="AD154" s="187"/>
      <c r="AE154" s="187"/>
    </row>
    <row r="155" spans="1:31" x14ac:dyDescent="0.25">
      <c r="A155" s="187"/>
      <c r="B155" s="187" t="str">
        <f>IF($C155="","",MAX($B$4:$B154)+1)</f>
        <v/>
      </c>
      <c r="C155" s="183"/>
      <c r="D155" s="183" t="str">
        <f>IFERROR(VLOOKUP($C155,Rosters!$C$4:$M$239,INDEX(Lists!$N$5:$O$80,MATCH($C155,Lists!$N$5:$N$80,FALSE),2)),"")</f>
        <v/>
      </c>
      <c r="E155" s="185">
        <f>IF($C155="",-0.00001,COUNTIF(Database!E:E,$C155))</f>
        <v>-1.0000000000000001E-5</v>
      </c>
      <c r="F155" s="185">
        <f>IFERROR(IF($C155="",-0.00001,SUMIFS(Database!H:H,Database!$E:$E,$C155)),-0.00001)</f>
        <v>-1.0000000000000001E-5</v>
      </c>
      <c r="G155" s="185">
        <f>IFERROR(IF($C155="",-0.00001,SUMIFS(Database!I:I,Database!$E:$E,$C155)),-0.00001)</f>
        <v>-1.0000000000000001E-5</v>
      </c>
      <c r="H155" s="185">
        <f>IFERROR(IF($C155="",-0.00001,SUMIFS(Database!J:J,Database!$E:$E,$C155)),-0.00001)</f>
        <v>-1.0000000000000001E-5</v>
      </c>
      <c r="I155" s="185">
        <f>IFERROR(IF($C155="",-0.00001,SUMIFS(Database!K:K,Database!$E:$E,$C155)),-0.00001)</f>
        <v>-1.0000000000000001E-5</v>
      </c>
      <c r="J155" s="185">
        <f>IFERROR(IF($C155="",-0.00001,SUMIFS(Database!L:L,Database!$E:$E,$C155)),-0.00001)</f>
        <v>-1.0000000000000001E-5</v>
      </c>
      <c r="K155" s="185">
        <f>IFERROR(IF($C155="",-0.00001,SUMIFS(Database!M:M,Database!$E:$E,$C155)),-0.00001)</f>
        <v>-1.0000000000000001E-5</v>
      </c>
      <c r="L155" s="185">
        <f>IFERROR(IF($C155="",-0.00001,SUMIFS(Database!N:N,Database!$E:$E,$C155)),-0.00001)</f>
        <v>-1.0000000000000001E-5</v>
      </c>
      <c r="M155" s="185">
        <f>IFERROR(IF($C155="",-0.00001,SUMIFS(Database!O:O,Database!$E:$E,$C155)),-0.00001)</f>
        <v>-1.0000000000000001E-5</v>
      </c>
      <c r="N155" s="185">
        <f>IFERROR(IF($C155="",-0.00001,SUMIFS(Database!P:P,Database!$E:$E,$C155)),-0.00001)</f>
        <v>-1.0000000000000001E-5</v>
      </c>
      <c r="O155" s="185">
        <f>IFERROR(IF($C155="",-0.00001,SUMIFS(Database!Q:Q,Database!$E:$E,$C155)),-0.00001)</f>
        <v>-1.0000000000000001E-5</v>
      </c>
      <c r="P155" s="186">
        <f t="shared" si="6"/>
        <v>-1.0000000000000001E-5</v>
      </c>
      <c r="Q155" s="185">
        <f>IFERROR(IF($C155="",-0.00001,SUMIFS(Database!S:S,Database!$E:$E,$C155)),-0.00001)</f>
        <v>-1.0000000000000001E-5</v>
      </c>
      <c r="R155" s="185">
        <f>IFERROR(IF($C155="",-0.00001,SUMIFS(Database!T:T,Database!$E:$E,$C155)),-0.00001)</f>
        <v>-1.0000000000000001E-5</v>
      </c>
      <c r="S155" s="186">
        <f t="shared" si="7"/>
        <v>-1.0000000000000001E-5</v>
      </c>
      <c r="T155" s="185">
        <f>IFERROR(IF($C155="",-0.00001,SUMIFS(Database!V:V,Database!$E:$E,$C155)),-0.00001)</f>
        <v>-1.0000000000000001E-5</v>
      </c>
      <c r="U155" s="185">
        <f>IFERROR(IF($C155="",-0.00001,SUMIFS(Database!W:W,Database!$E:$E,$C155)),-0.00001)</f>
        <v>-1.0000000000000001E-5</v>
      </c>
      <c r="V155" s="186">
        <f t="shared" si="8"/>
        <v>-1.0000000000000001E-5</v>
      </c>
      <c r="W155" s="187"/>
      <c r="X155" s="187"/>
      <c r="Y155" s="187"/>
      <c r="Z155" s="187"/>
      <c r="AA155" s="187"/>
      <c r="AB155" s="187"/>
      <c r="AC155" s="187"/>
      <c r="AD155" s="187"/>
      <c r="AE155" s="187"/>
    </row>
    <row r="156" spans="1:31" x14ac:dyDescent="0.25">
      <c r="A156" s="187"/>
      <c r="B156" s="187" t="str">
        <f>IF($C156="","",MAX($B$4:$B155)+1)</f>
        <v/>
      </c>
      <c r="C156" s="183"/>
      <c r="D156" s="183" t="str">
        <f>IFERROR(VLOOKUP($C156,Rosters!$C$4:$M$239,INDEX(Lists!$N$5:$O$80,MATCH($C156,Lists!$N$5:$N$80,FALSE),2)),"")</f>
        <v/>
      </c>
      <c r="E156" s="185">
        <f>IF($C156="",-0.00001,COUNTIF(Database!E:E,$C156))</f>
        <v>-1.0000000000000001E-5</v>
      </c>
      <c r="F156" s="185">
        <f>IFERROR(IF($C156="",-0.00001,SUMIFS(Database!H:H,Database!$E:$E,$C156)),-0.00001)</f>
        <v>-1.0000000000000001E-5</v>
      </c>
      <c r="G156" s="185">
        <f>IFERROR(IF($C156="",-0.00001,SUMIFS(Database!I:I,Database!$E:$E,$C156)),-0.00001)</f>
        <v>-1.0000000000000001E-5</v>
      </c>
      <c r="H156" s="185">
        <f>IFERROR(IF($C156="",-0.00001,SUMIFS(Database!J:J,Database!$E:$E,$C156)),-0.00001)</f>
        <v>-1.0000000000000001E-5</v>
      </c>
      <c r="I156" s="185">
        <f>IFERROR(IF($C156="",-0.00001,SUMIFS(Database!K:K,Database!$E:$E,$C156)),-0.00001)</f>
        <v>-1.0000000000000001E-5</v>
      </c>
      <c r="J156" s="185">
        <f>IFERROR(IF($C156="",-0.00001,SUMIFS(Database!L:L,Database!$E:$E,$C156)),-0.00001)</f>
        <v>-1.0000000000000001E-5</v>
      </c>
      <c r="K156" s="185">
        <f>IFERROR(IF($C156="",-0.00001,SUMIFS(Database!M:M,Database!$E:$E,$C156)),-0.00001)</f>
        <v>-1.0000000000000001E-5</v>
      </c>
      <c r="L156" s="185">
        <f>IFERROR(IF($C156="",-0.00001,SUMIFS(Database!N:N,Database!$E:$E,$C156)),-0.00001)</f>
        <v>-1.0000000000000001E-5</v>
      </c>
      <c r="M156" s="185">
        <f>IFERROR(IF($C156="",-0.00001,SUMIFS(Database!O:O,Database!$E:$E,$C156)),-0.00001)</f>
        <v>-1.0000000000000001E-5</v>
      </c>
      <c r="N156" s="185">
        <f>IFERROR(IF($C156="",-0.00001,SUMIFS(Database!P:P,Database!$E:$E,$C156)),-0.00001)</f>
        <v>-1.0000000000000001E-5</v>
      </c>
      <c r="O156" s="185">
        <f>IFERROR(IF($C156="",-0.00001,SUMIFS(Database!Q:Q,Database!$E:$E,$C156)),-0.00001)</f>
        <v>-1.0000000000000001E-5</v>
      </c>
      <c r="P156" s="186">
        <f t="shared" si="6"/>
        <v>-1.0000000000000001E-5</v>
      </c>
      <c r="Q156" s="185">
        <f>IFERROR(IF($C156="",-0.00001,SUMIFS(Database!S:S,Database!$E:$E,$C156)),-0.00001)</f>
        <v>-1.0000000000000001E-5</v>
      </c>
      <c r="R156" s="185">
        <f>IFERROR(IF($C156="",-0.00001,SUMIFS(Database!T:T,Database!$E:$E,$C156)),-0.00001)</f>
        <v>-1.0000000000000001E-5</v>
      </c>
      <c r="S156" s="186">
        <f t="shared" si="7"/>
        <v>-1.0000000000000001E-5</v>
      </c>
      <c r="T156" s="185">
        <f>IFERROR(IF($C156="",-0.00001,SUMIFS(Database!V:V,Database!$E:$E,$C156)),-0.00001)</f>
        <v>-1.0000000000000001E-5</v>
      </c>
      <c r="U156" s="185">
        <f>IFERROR(IF($C156="",-0.00001,SUMIFS(Database!W:W,Database!$E:$E,$C156)),-0.00001)</f>
        <v>-1.0000000000000001E-5</v>
      </c>
      <c r="V156" s="186">
        <f t="shared" si="8"/>
        <v>-1.0000000000000001E-5</v>
      </c>
      <c r="W156" s="187"/>
      <c r="X156" s="187"/>
      <c r="Y156" s="187"/>
      <c r="Z156" s="187"/>
      <c r="AA156" s="187"/>
      <c r="AB156" s="187"/>
      <c r="AC156" s="187"/>
      <c r="AD156" s="187"/>
      <c r="AE156" s="187"/>
    </row>
    <row r="157" spans="1:31" x14ac:dyDescent="0.25">
      <c r="A157" s="187"/>
      <c r="B157" s="187" t="str">
        <f>IF($C157="","",MAX($B$4:$B156)+1)</f>
        <v/>
      </c>
      <c r="C157" s="183"/>
      <c r="D157" s="183" t="str">
        <f>IFERROR(VLOOKUP($C157,Rosters!$C$4:$M$239,INDEX(Lists!$N$5:$O$80,MATCH($C157,Lists!$N$5:$N$80,FALSE),2)),"")</f>
        <v/>
      </c>
      <c r="E157" s="185">
        <f>IF($C157="",-0.00001,COUNTIF(Database!E:E,$C157))</f>
        <v>-1.0000000000000001E-5</v>
      </c>
      <c r="F157" s="185">
        <f>IFERROR(IF($C157="",-0.00001,SUMIFS(Database!H:H,Database!$E:$E,$C157)),-0.00001)</f>
        <v>-1.0000000000000001E-5</v>
      </c>
      <c r="G157" s="185">
        <f>IFERROR(IF($C157="",-0.00001,SUMIFS(Database!I:I,Database!$E:$E,$C157)),-0.00001)</f>
        <v>-1.0000000000000001E-5</v>
      </c>
      <c r="H157" s="185">
        <f>IFERROR(IF($C157="",-0.00001,SUMIFS(Database!J:J,Database!$E:$E,$C157)),-0.00001)</f>
        <v>-1.0000000000000001E-5</v>
      </c>
      <c r="I157" s="185">
        <f>IFERROR(IF($C157="",-0.00001,SUMIFS(Database!K:K,Database!$E:$E,$C157)),-0.00001)</f>
        <v>-1.0000000000000001E-5</v>
      </c>
      <c r="J157" s="185">
        <f>IFERROR(IF($C157="",-0.00001,SUMIFS(Database!L:L,Database!$E:$E,$C157)),-0.00001)</f>
        <v>-1.0000000000000001E-5</v>
      </c>
      <c r="K157" s="185">
        <f>IFERROR(IF($C157="",-0.00001,SUMIFS(Database!M:M,Database!$E:$E,$C157)),-0.00001)</f>
        <v>-1.0000000000000001E-5</v>
      </c>
      <c r="L157" s="185">
        <f>IFERROR(IF($C157="",-0.00001,SUMIFS(Database!N:N,Database!$E:$E,$C157)),-0.00001)</f>
        <v>-1.0000000000000001E-5</v>
      </c>
      <c r="M157" s="185">
        <f>IFERROR(IF($C157="",-0.00001,SUMIFS(Database!O:O,Database!$E:$E,$C157)),-0.00001)</f>
        <v>-1.0000000000000001E-5</v>
      </c>
      <c r="N157" s="185">
        <f>IFERROR(IF($C157="",-0.00001,SUMIFS(Database!P:P,Database!$E:$E,$C157)),-0.00001)</f>
        <v>-1.0000000000000001E-5</v>
      </c>
      <c r="O157" s="185">
        <f>IFERROR(IF($C157="",-0.00001,SUMIFS(Database!Q:Q,Database!$E:$E,$C157)),-0.00001)</f>
        <v>-1.0000000000000001E-5</v>
      </c>
      <c r="P157" s="186">
        <f t="shared" si="6"/>
        <v>-1.0000000000000001E-5</v>
      </c>
      <c r="Q157" s="185">
        <f>IFERROR(IF($C157="",-0.00001,SUMIFS(Database!S:S,Database!$E:$E,$C157)),-0.00001)</f>
        <v>-1.0000000000000001E-5</v>
      </c>
      <c r="R157" s="185">
        <f>IFERROR(IF($C157="",-0.00001,SUMIFS(Database!T:T,Database!$E:$E,$C157)),-0.00001)</f>
        <v>-1.0000000000000001E-5</v>
      </c>
      <c r="S157" s="186">
        <f t="shared" si="7"/>
        <v>-1.0000000000000001E-5</v>
      </c>
      <c r="T157" s="185">
        <f>IFERROR(IF($C157="",-0.00001,SUMIFS(Database!V:V,Database!$E:$E,$C157)),-0.00001)</f>
        <v>-1.0000000000000001E-5</v>
      </c>
      <c r="U157" s="185">
        <f>IFERROR(IF($C157="",-0.00001,SUMIFS(Database!W:W,Database!$E:$E,$C157)),-0.00001)</f>
        <v>-1.0000000000000001E-5</v>
      </c>
      <c r="V157" s="186">
        <f t="shared" si="8"/>
        <v>-1.0000000000000001E-5</v>
      </c>
      <c r="W157" s="187"/>
      <c r="X157" s="187"/>
      <c r="Y157" s="187"/>
      <c r="Z157" s="187"/>
      <c r="AA157" s="187"/>
      <c r="AB157" s="187"/>
      <c r="AC157" s="187"/>
      <c r="AD157" s="187"/>
      <c r="AE157" s="187"/>
    </row>
    <row r="158" spans="1:31" x14ac:dyDescent="0.25">
      <c r="A158" s="187"/>
      <c r="B158" s="187" t="str">
        <f>IF($C158="","",MAX($B$4:$B157)+1)</f>
        <v/>
      </c>
      <c r="C158" s="183"/>
      <c r="D158" s="183" t="str">
        <f>IFERROR(VLOOKUP($C158,Rosters!$C$4:$M$239,INDEX(Lists!$N$5:$O$80,MATCH($C158,Lists!$N$5:$N$80,FALSE),2)),"")</f>
        <v/>
      </c>
      <c r="E158" s="185">
        <f>IF($C158="",-0.00001,COUNTIF(Database!E:E,$C158))</f>
        <v>-1.0000000000000001E-5</v>
      </c>
      <c r="F158" s="185">
        <f>IFERROR(IF($C158="",-0.00001,SUMIFS(Database!H:H,Database!$E:$E,$C158)),-0.00001)</f>
        <v>-1.0000000000000001E-5</v>
      </c>
      <c r="G158" s="185">
        <f>IFERROR(IF($C158="",-0.00001,SUMIFS(Database!I:I,Database!$E:$E,$C158)),-0.00001)</f>
        <v>-1.0000000000000001E-5</v>
      </c>
      <c r="H158" s="185">
        <f>IFERROR(IF($C158="",-0.00001,SUMIFS(Database!J:J,Database!$E:$E,$C158)),-0.00001)</f>
        <v>-1.0000000000000001E-5</v>
      </c>
      <c r="I158" s="185">
        <f>IFERROR(IF($C158="",-0.00001,SUMIFS(Database!K:K,Database!$E:$E,$C158)),-0.00001)</f>
        <v>-1.0000000000000001E-5</v>
      </c>
      <c r="J158" s="185">
        <f>IFERROR(IF($C158="",-0.00001,SUMIFS(Database!L:L,Database!$E:$E,$C158)),-0.00001)</f>
        <v>-1.0000000000000001E-5</v>
      </c>
      <c r="K158" s="185">
        <f>IFERROR(IF($C158="",-0.00001,SUMIFS(Database!M:M,Database!$E:$E,$C158)),-0.00001)</f>
        <v>-1.0000000000000001E-5</v>
      </c>
      <c r="L158" s="185">
        <f>IFERROR(IF($C158="",-0.00001,SUMIFS(Database!N:N,Database!$E:$E,$C158)),-0.00001)</f>
        <v>-1.0000000000000001E-5</v>
      </c>
      <c r="M158" s="185">
        <f>IFERROR(IF($C158="",-0.00001,SUMIFS(Database!O:O,Database!$E:$E,$C158)),-0.00001)</f>
        <v>-1.0000000000000001E-5</v>
      </c>
      <c r="N158" s="185">
        <f>IFERROR(IF($C158="",-0.00001,SUMIFS(Database!P:P,Database!$E:$E,$C158)),-0.00001)</f>
        <v>-1.0000000000000001E-5</v>
      </c>
      <c r="O158" s="185">
        <f>IFERROR(IF($C158="",-0.00001,SUMIFS(Database!Q:Q,Database!$E:$E,$C158)),-0.00001)</f>
        <v>-1.0000000000000001E-5</v>
      </c>
      <c r="P158" s="186">
        <f t="shared" si="6"/>
        <v>-1.0000000000000001E-5</v>
      </c>
      <c r="Q158" s="185">
        <f>IFERROR(IF($C158="",-0.00001,SUMIFS(Database!S:S,Database!$E:$E,$C158)),-0.00001)</f>
        <v>-1.0000000000000001E-5</v>
      </c>
      <c r="R158" s="185">
        <f>IFERROR(IF($C158="",-0.00001,SUMIFS(Database!T:T,Database!$E:$E,$C158)),-0.00001)</f>
        <v>-1.0000000000000001E-5</v>
      </c>
      <c r="S158" s="186">
        <f t="shared" si="7"/>
        <v>-1.0000000000000001E-5</v>
      </c>
      <c r="T158" s="185">
        <f>IFERROR(IF($C158="",-0.00001,SUMIFS(Database!V:V,Database!$E:$E,$C158)),-0.00001)</f>
        <v>-1.0000000000000001E-5</v>
      </c>
      <c r="U158" s="185">
        <f>IFERROR(IF($C158="",-0.00001,SUMIFS(Database!W:W,Database!$E:$E,$C158)),-0.00001)</f>
        <v>-1.0000000000000001E-5</v>
      </c>
      <c r="V158" s="186">
        <f t="shared" si="8"/>
        <v>-1.0000000000000001E-5</v>
      </c>
      <c r="W158" s="187"/>
      <c r="X158" s="187"/>
      <c r="Y158" s="187"/>
      <c r="Z158" s="187"/>
      <c r="AA158" s="187"/>
      <c r="AB158" s="187"/>
      <c r="AC158" s="187"/>
      <c r="AD158" s="187"/>
      <c r="AE158" s="187"/>
    </row>
    <row r="159" spans="1:31" x14ac:dyDescent="0.25">
      <c r="A159" s="187"/>
      <c r="B159" s="187" t="str">
        <f>IF($C159="","",MAX($B$4:$B158)+1)</f>
        <v/>
      </c>
      <c r="C159" s="183"/>
      <c r="D159" s="183" t="str">
        <f>IFERROR(VLOOKUP($C159,Rosters!$C$4:$M$239,INDEX(Lists!$N$5:$O$80,MATCH($C159,Lists!$N$5:$N$80,FALSE),2)),"")</f>
        <v/>
      </c>
      <c r="E159" s="185">
        <f>IF($C159="",-0.00001,COUNTIF(Database!E:E,$C159))</f>
        <v>-1.0000000000000001E-5</v>
      </c>
      <c r="F159" s="185">
        <f>IFERROR(IF($C159="",-0.00001,SUMIFS(Database!H:H,Database!$E:$E,$C159)),-0.00001)</f>
        <v>-1.0000000000000001E-5</v>
      </c>
      <c r="G159" s="185">
        <f>IFERROR(IF($C159="",-0.00001,SUMIFS(Database!I:I,Database!$E:$E,$C159)),-0.00001)</f>
        <v>-1.0000000000000001E-5</v>
      </c>
      <c r="H159" s="185">
        <f>IFERROR(IF($C159="",-0.00001,SUMIFS(Database!J:J,Database!$E:$E,$C159)),-0.00001)</f>
        <v>-1.0000000000000001E-5</v>
      </c>
      <c r="I159" s="185">
        <f>IFERROR(IF($C159="",-0.00001,SUMIFS(Database!K:K,Database!$E:$E,$C159)),-0.00001)</f>
        <v>-1.0000000000000001E-5</v>
      </c>
      <c r="J159" s="185">
        <f>IFERROR(IF($C159="",-0.00001,SUMIFS(Database!L:L,Database!$E:$E,$C159)),-0.00001)</f>
        <v>-1.0000000000000001E-5</v>
      </c>
      <c r="K159" s="185">
        <f>IFERROR(IF($C159="",-0.00001,SUMIFS(Database!M:M,Database!$E:$E,$C159)),-0.00001)</f>
        <v>-1.0000000000000001E-5</v>
      </c>
      <c r="L159" s="185">
        <f>IFERROR(IF($C159="",-0.00001,SUMIFS(Database!N:N,Database!$E:$E,$C159)),-0.00001)</f>
        <v>-1.0000000000000001E-5</v>
      </c>
      <c r="M159" s="185">
        <f>IFERROR(IF($C159="",-0.00001,SUMIFS(Database!O:O,Database!$E:$E,$C159)),-0.00001)</f>
        <v>-1.0000000000000001E-5</v>
      </c>
      <c r="N159" s="185">
        <f>IFERROR(IF($C159="",-0.00001,SUMIFS(Database!P:P,Database!$E:$E,$C159)),-0.00001)</f>
        <v>-1.0000000000000001E-5</v>
      </c>
      <c r="O159" s="185">
        <f>IFERROR(IF($C159="",-0.00001,SUMIFS(Database!Q:Q,Database!$E:$E,$C159)),-0.00001)</f>
        <v>-1.0000000000000001E-5</v>
      </c>
      <c r="P159" s="186">
        <f t="shared" si="6"/>
        <v>-1.0000000000000001E-5</v>
      </c>
      <c r="Q159" s="185">
        <f>IFERROR(IF($C159="",-0.00001,SUMIFS(Database!S:S,Database!$E:$E,$C159)),-0.00001)</f>
        <v>-1.0000000000000001E-5</v>
      </c>
      <c r="R159" s="185">
        <f>IFERROR(IF($C159="",-0.00001,SUMIFS(Database!T:T,Database!$E:$E,$C159)),-0.00001)</f>
        <v>-1.0000000000000001E-5</v>
      </c>
      <c r="S159" s="186">
        <f t="shared" si="7"/>
        <v>-1.0000000000000001E-5</v>
      </c>
      <c r="T159" s="185">
        <f>IFERROR(IF($C159="",-0.00001,SUMIFS(Database!V:V,Database!$E:$E,$C159)),-0.00001)</f>
        <v>-1.0000000000000001E-5</v>
      </c>
      <c r="U159" s="185">
        <f>IFERROR(IF($C159="",-0.00001,SUMIFS(Database!W:W,Database!$E:$E,$C159)),-0.00001)</f>
        <v>-1.0000000000000001E-5</v>
      </c>
      <c r="V159" s="186">
        <f t="shared" si="8"/>
        <v>-1.0000000000000001E-5</v>
      </c>
      <c r="W159" s="187"/>
      <c r="X159" s="187"/>
      <c r="Y159" s="187"/>
      <c r="Z159" s="187"/>
      <c r="AA159" s="187"/>
      <c r="AB159" s="187"/>
      <c r="AC159" s="187"/>
      <c r="AD159" s="187"/>
      <c r="AE159" s="187"/>
    </row>
    <row r="160" spans="1:31" x14ac:dyDescent="0.25">
      <c r="A160" s="187"/>
      <c r="B160" s="187" t="str">
        <f>IF($C160="","",MAX($B$4:$B159)+1)</f>
        <v/>
      </c>
      <c r="C160" s="183"/>
      <c r="D160" s="183" t="str">
        <f>IFERROR(VLOOKUP($C160,Rosters!$C$4:$M$239,INDEX(Lists!$N$5:$O$80,MATCH($C160,Lists!$N$5:$N$80,FALSE),2)),"")</f>
        <v/>
      </c>
      <c r="E160" s="185">
        <f>IF($C160="",-0.00001,COUNTIF(Database!E:E,$C160))</f>
        <v>-1.0000000000000001E-5</v>
      </c>
      <c r="F160" s="185">
        <f>IFERROR(IF($C160="",-0.00001,SUMIFS(Database!H:H,Database!$E:$E,$C160)),-0.00001)</f>
        <v>-1.0000000000000001E-5</v>
      </c>
      <c r="G160" s="185">
        <f>IFERROR(IF($C160="",-0.00001,SUMIFS(Database!I:I,Database!$E:$E,$C160)),-0.00001)</f>
        <v>-1.0000000000000001E-5</v>
      </c>
      <c r="H160" s="185">
        <f>IFERROR(IF($C160="",-0.00001,SUMIFS(Database!J:J,Database!$E:$E,$C160)),-0.00001)</f>
        <v>-1.0000000000000001E-5</v>
      </c>
      <c r="I160" s="185">
        <f>IFERROR(IF($C160="",-0.00001,SUMIFS(Database!K:K,Database!$E:$E,$C160)),-0.00001)</f>
        <v>-1.0000000000000001E-5</v>
      </c>
      <c r="J160" s="185">
        <f>IFERROR(IF($C160="",-0.00001,SUMIFS(Database!L:L,Database!$E:$E,$C160)),-0.00001)</f>
        <v>-1.0000000000000001E-5</v>
      </c>
      <c r="K160" s="185">
        <f>IFERROR(IF($C160="",-0.00001,SUMIFS(Database!M:M,Database!$E:$E,$C160)),-0.00001)</f>
        <v>-1.0000000000000001E-5</v>
      </c>
      <c r="L160" s="185">
        <f>IFERROR(IF($C160="",-0.00001,SUMIFS(Database!N:N,Database!$E:$E,$C160)),-0.00001)</f>
        <v>-1.0000000000000001E-5</v>
      </c>
      <c r="M160" s="185">
        <f>IFERROR(IF($C160="",-0.00001,SUMIFS(Database!O:O,Database!$E:$E,$C160)),-0.00001)</f>
        <v>-1.0000000000000001E-5</v>
      </c>
      <c r="N160" s="185">
        <f>IFERROR(IF($C160="",-0.00001,SUMIFS(Database!P:P,Database!$E:$E,$C160)),-0.00001)</f>
        <v>-1.0000000000000001E-5</v>
      </c>
      <c r="O160" s="185">
        <f>IFERROR(IF($C160="",-0.00001,SUMIFS(Database!Q:Q,Database!$E:$E,$C160)),-0.00001)</f>
        <v>-1.0000000000000001E-5</v>
      </c>
      <c r="P160" s="186">
        <f t="shared" si="6"/>
        <v>-1.0000000000000001E-5</v>
      </c>
      <c r="Q160" s="185">
        <f>IFERROR(IF($C160="",-0.00001,SUMIFS(Database!S:S,Database!$E:$E,$C160)),-0.00001)</f>
        <v>-1.0000000000000001E-5</v>
      </c>
      <c r="R160" s="185">
        <f>IFERROR(IF($C160="",-0.00001,SUMIFS(Database!T:T,Database!$E:$E,$C160)),-0.00001)</f>
        <v>-1.0000000000000001E-5</v>
      </c>
      <c r="S160" s="186">
        <f t="shared" si="7"/>
        <v>-1.0000000000000001E-5</v>
      </c>
      <c r="T160" s="185">
        <f>IFERROR(IF($C160="",-0.00001,SUMIFS(Database!V:V,Database!$E:$E,$C160)),-0.00001)</f>
        <v>-1.0000000000000001E-5</v>
      </c>
      <c r="U160" s="185">
        <f>IFERROR(IF($C160="",-0.00001,SUMIFS(Database!W:W,Database!$E:$E,$C160)),-0.00001)</f>
        <v>-1.0000000000000001E-5</v>
      </c>
      <c r="V160" s="186">
        <f t="shared" si="8"/>
        <v>-1.0000000000000001E-5</v>
      </c>
      <c r="W160" s="187"/>
      <c r="X160" s="187"/>
      <c r="Y160" s="187"/>
      <c r="Z160" s="187"/>
      <c r="AA160" s="187"/>
      <c r="AB160" s="187"/>
      <c r="AC160" s="187"/>
      <c r="AD160" s="187"/>
      <c r="AE160" s="187"/>
    </row>
    <row r="161" spans="1:31" x14ac:dyDescent="0.25">
      <c r="A161" s="187"/>
      <c r="B161" s="187" t="str">
        <f>IF($C161="","",MAX($B$4:$B160)+1)</f>
        <v/>
      </c>
      <c r="C161" s="183"/>
      <c r="D161" s="183" t="str">
        <f>IFERROR(VLOOKUP($C161,Rosters!$C$4:$M$239,INDEX(Lists!$N$5:$O$80,MATCH($C161,Lists!$N$5:$N$80,FALSE),2)),"")</f>
        <v/>
      </c>
      <c r="E161" s="185">
        <f>IF($C161="",-0.00001,COUNTIF(Database!E:E,$C161))</f>
        <v>-1.0000000000000001E-5</v>
      </c>
      <c r="F161" s="185">
        <f>IFERROR(IF($C161="",-0.00001,SUMIFS(Database!H:H,Database!$E:$E,$C161)),-0.00001)</f>
        <v>-1.0000000000000001E-5</v>
      </c>
      <c r="G161" s="185">
        <f>IFERROR(IF($C161="",-0.00001,SUMIFS(Database!I:I,Database!$E:$E,$C161)),-0.00001)</f>
        <v>-1.0000000000000001E-5</v>
      </c>
      <c r="H161" s="185">
        <f>IFERROR(IF($C161="",-0.00001,SUMIFS(Database!J:J,Database!$E:$E,$C161)),-0.00001)</f>
        <v>-1.0000000000000001E-5</v>
      </c>
      <c r="I161" s="185">
        <f>IFERROR(IF($C161="",-0.00001,SUMIFS(Database!K:K,Database!$E:$E,$C161)),-0.00001)</f>
        <v>-1.0000000000000001E-5</v>
      </c>
      <c r="J161" s="185">
        <f>IFERROR(IF($C161="",-0.00001,SUMIFS(Database!L:L,Database!$E:$E,$C161)),-0.00001)</f>
        <v>-1.0000000000000001E-5</v>
      </c>
      <c r="K161" s="185">
        <f>IFERROR(IF($C161="",-0.00001,SUMIFS(Database!M:M,Database!$E:$E,$C161)),-0.00001)</f>
        <v>-1.0000000000000001E-5</v>
      </c>
      <c r="L161" s="185">
        <f>IFERROR(IF($C161="",-0.00001,SUMIFS(Database!N:N,Database!$E:$E,$C161)),-0.00001)</f>
        <v>-1.0000000000000001E-5</v>
      </c>
      <c r="M161" s="185">
        <f>IFERROR(IF($C161="",-0.00001,SUMIFS(Database!O:O,Database!$E:$E,$C161)),-0.00001)</f>
        <v>-1.0000000000000001E-5</v>
      </c>
      <c r="N161" s="185">
        <f>IFERROR(IF($C161="",-0.00001,SUMIFS(Database!P:P,Database!$E:$E,$C161)),-0.00001)</f>
        <v>-1.0000000000000001E-5</v>
      </c>
      <c r="O161" s="185">
        <f>IFERROR(IF($C161="",-0.00001,SUMIFS(Database!Q:Q,Database!$E:$E,$C161)),-0.00001)</f>
        <v>-1.0000000000000001E-5</v>
      </c>
      <c r="P161" s="186">
        <f t="shared" si="6"/>
        <v>-1.0000000000000001E-5</v>
      </c>
      <c r="Q161" s="185">
        <f>IFERROR(IF($C161="",-0.00001,SUMIFS(Database!S:S,Database!$E:$E,$C161)),-0.00001)</f>
        <v>-1.0000000000000001E-5</v>
      </c>
      <c r="R161" s="185">
        <f>IFERROR(IF($C161="",-0.00001,SUMIFS(Database!T:T,Database!$E:$E,$C161)),-0.00001)</f>
        <v>-1.0000000000000001E-5</v>
      </c>
      <c r="S161" s="186">
        <f t="shared" si="7"/>
        <v>-1.0000000000000001E-5</v>
      </c>
      <c r="T161" s="185">
        <f>IFERROR(IF($C161="",-0.00001,SUMIFS(Database!V:V,Database!$E:$E,$C161)),-0.00001)</f>
        <v>-1.0000000000000001E-5</v>
      </c>
      <c r="U161" s="185">
        <f>IFERROR(IF($C161="",-0.00001,SUMIFS(Database!W:W,Database!$E:$E,$C161)),-0.00001)</f>
        <v>-1.0000000000000001E-5</v>
      </c>
      <c r="V161" s="186">
        <f t="shared" si="8"/>
        <v>-1.0000000000000001E-5</v>
      </c>
      <c r="W161" s="187"/>
      <c r="X161" s="187"/>
      <c r="Y161" s="187"/>
      <c r="Z161" s="187"/>
      <c r="AA161" s="187"/>
      <c r="AB161" s="187"/>
      <c r="AC161" s="187"/>
      <c r="AD161" s="187"/>
      <c r="AE161" s="187"/>
    </row>
    <row r="162" spans="1:31" x14ac:dyDescent="0.25">
      <c r="A162" s="187"/>
      <c r="B162" s="187" t="str">
        <f>IF($C162="","",MAX($B$4:$B161)+1)</f>
        <v/>
      </c>
      <c r="C162" s="183"/>
      <c r="D162" s="183" t="str">
        <f>IFERROR(VLOOKUP($C162,Rosters!$C$4:$M$239,INDEX(Lists!$N$5:$O$80,MATCH($C162,Lists!$N$5:$N$80,FALSE),2)),"")</f>
        <v/>
      </c>
      <c r="E162" s="185">
        <f>IF($C162="",-0.00001,COUNTIF(Database!E:E,$C162))</f>
        <v>-1.0000000000000001E-5</v>
      </c>
      <c r="F162" s="185">
        <f>IFERROR(IF($C162="",-0.00001,SUMIFS(Database!H:H,Database!$E:$E,$C162)),-0.00001)</f>
        <v>-1.0000000000000001E-5</v>
      </c>
      <c r="G162" s="185">
        <f>IFERROR(IF($C162="",-0.00001,SUMIFS(Database!I:I,Database!$E:$E,$C162)),-0.00001)</f>
        <v>-1.0000000000000001E-5</v>
      </c>
      <c r="H162" s="185">
        <f>IFERROR(IF($C162="",-0.00001,SUMIFS(Database!J:J,Database!$E:$E,$C162)),-0.00001)</f>
        <v>-1.0000000000000001E-5</v>
      </c>
      <c r="I162" s="185">
        <f>IFERROR(IF($C162="",-0.00001,SUMIFS(Database!K:K,Database!$E:$E,$C162)),-0.00001)</f>
        <v>-1.0000000000000001E-5</v>
      </c>
      <c r="J162" s="185">
        <f>IFERROR(IF($C162="",-0.00001,SUMIFS(Database!L:L,Database!$E:$E,$C162)),-0.00001)</f>
        <v>-1.0000000000000001E-5</v>
      </c>
      <c r="K162" s="185">
        <f>IFERROR(IF($C162="",-0.00001,SUMIFS(Database!M:M,Database!$E:$E,$C162)),-0.00001)</f>
        <v>-1.0000000000000001E-5</v>
      </c>
      <c r="L162" s="185">
        <f>IFERROR(IF($C162="",-0.00001,SUMIFS(Database!N:N,Database!$E:$E,$C162)),-0.00001)</f>
        <v>-1.0000000000000001E-5</v>
      </c>
      <c r="M162" s="185">
        <f>IFERROR(IF($C162="",-0.00001,SUMIFS(Database!O:O,Database!$E:$E,$C162)),-0.00001)</f>
        <v>-1.0000000000000001E-5</v>
      </c>
      <c r="N162" s="185">
        <f>IFERROR(IF($C162="",-0.00001,SUMIFS(Database!P:P,Database!$E:$E,$C162)),-0.00001)</f>
        <v>-1.0000000000000001E-5</v>
      </c>
      <c r="O162" s="185">
        <f>IFERROR(IF($C162="",-0.00001,SUMIFS(Database!Q:Q,Database!$E:$E,$C162)),-0.00001)</f>
        <v>-1.0000000000000001E-5</v>
      </c>
      <c r="P162" s="186">
        <f t="shared" si="6"/>
        <v>-1.0000000000000001E-5</v>
      </c>
      <c r="Q162" s="185">
        <f>IFERROR(IF($C162="",-0.00001,SUMIFS(Database!S:S,Database!$E:$E,$C162)),-0.00001)</f>
        <v>-1.0000000000000001E-5</v>
      </c>
      <c r="R162" s="185">
        <f>IFERROR(IF($C162="",-0.00001,SUMIFS(Database!T:T,Database!$E:$E,$C162)),-0.00001)</f>
        <v>-1.0000000000000001E-5</v>
      </c>
      <c r="S162" s="186">
        <f t="shared" si="7"/>
        <v>-1.0000000000000001E-5</v>
      </c>
      <c r="T162" s="185">
        <f>IFERROR(IF($C162="",-0.00001,SUMIFS(Database!V:V,Database!$E:$E,$C162)),-0.00001)</f>
        <v>-1.0000000000000001E-5</v>
      </c>
      <c r="U162" s="185">
        <f>IFERROR(IF($C162="",-0.00001,SUMIFS(Database!W:W,Database!$E:$E,$C162)),-0.00001)</f>
        <v>-1.0000000000000001E-5</v>
      </c>
      <c r="V162" s="186">
        <f t="shared" si="8"/>
        <v>-1.0000000000000001E-5</v>
      </c>
      <c r="W162" s="187"/>
      <c r="X162" s="187"/>
      <c r="Y162" s="187"/>
      <c r="Z162" s="187"/>
      <c r="AA162" s="187"/>
      <c r="AB162" s="187"/>
      <c r="AC162" s="187"/>
      <c r="AD162" s="187"/>
      <c r="AE162" s="187"/>
    </row>
    <row r="163" spans="1:31" x14ac:dyDescent="0.25">
      <c r="A163" s="187"/>
      <c r="B163" s="187" t="str">
        <f>IF($C163="","",MAX($B$4:$B162)+1)</f>
        <v/>
      </c>
      <c r="C163" s="183"/>
      <c r="D163" s="183" t="str">
        <f>IFERROR(VLOOKUP($C163,Rosters!$C$4:$M$239,INDEX(Lists!$N$5:$O$80,MATCH($C163,Lists!$N$5:$N$80,FALSE),2)),"")</f>
        <v/>
      </c>
      <c r="E163" s="185">
        <f>IF($C163="",-0.00001,COUNTIF(Database!E:E,$C163))</f>
        <v>-1.0000000000000001E-5</v>
      </c>
      <c r="F163" s="185">
        <f>IFERROR(IF($C163="",-0.00001,SUMIFS(Database!H:H,Database!$E:$E,$C163)),-0.00001)</f>
        <v>-1.0000000000000001E-5</v>
      </c>
      <c r="G163" s="185">
        <f>IFERROR(IF($C163="",-0.00001,SUMIFS(Database!I:I,Database!$E:$E,$C163)),-0.00001)</f>
        <v>-1.0000000000000001E-5</v>
      </c>
      <c r="H163" s="185">
        <f>IFERROR(IF($C163="",-0.00001,SUMIFS(Database!J:J,Database!$E:$E,$C163)),-0.00001)</f>
        <v>-1.0000000000000001E-5</v>
      </c>
      <c r="I163" s="185">
        <f>IFERROR(IF($C163="",-0.00001,SUMIFS(Database!K:K,Database!$E:$E,$C163)),-0.00001)</f>
        <v>-1.0000000000000001E-5</v>
      </c>
      <c r="J163" s="185">
        <f>IFERROR(IF($C163="",-0.00001,SUMIFS(Database!L:L,Database!$E:$E,$C163)),-0.00001)</f>
        <v>-1.0000000000000001E-5</v>
      </c>
      <c r="K163" s="185">
        <f>IFERROR(IF($C163="",-0.00001,SUMIFS(Database!M:M,Database!$E:$E,$C163)),-0.00001)</f>
        <v>-1.0000000000000001E-5</v>
      </c>
      <c r="L163" s="185">
        <f>IFERROR(IF($C163="",-0.00001,SUMIFS(Database!N:N,Database!$E:$E,$C163)),-0.00001)</f>
        <v>-1.0000000000000001E-5</v>
      </c>
      <c r="M163" s="185">
        <f>IFERROR(IF($C163="",-0.00001,SUMIFS(Database!O:O,Database!$E:$E,$C163)),-0.00001)</f>
        <v>-1.0000000000000001E-5</v>
      </c>
      <c r="N163" s="185">
        <f>IFERROR(IF($C163="",-0.00001,SUMIFS(Database!P:P,Database!$E:$E,$C163)),-0.00001)</f>
        <v>-1.0000000000000001E-5</v>
      </c>
      <c r="O163" s="185">
        <f>IFERROR(IF($C163="",-0.00001,SUMIFS(Database!Q:Q,Database!$E:$E,$C163)),-0.00001)</f>
        <v>-1.0000000000000001E-5</v>
      </c>
      <c r="P163" s="186">
        <f t="shared" si="6"/>
        <v>-1.0000000000000001E-5</v>
      </c>
      <c r="Q163" s="185">
        <f>IFERROR(IF($C163="",-0.00001,SUMIFS(Database!S:S,Database!$E:$E,$C163)),-0.00001)</f>
        <v>-1.0000000000000001E-5</v>
      </c>
      <c r="R163" s="185">
        <f>IFERROR(IF($C163="",-0.00001,SUMIFS(Database!T:T,Database!$E:$E,$C163)),-0.00001)</f>
        <v>-1.0000000000000001E-5</v>
      </c>
      <c r="S163" s="186">
        <f t="shared" si="7"/>
        <v>-1.0000000000000001E-5</v>
      </c>
      <c r="T163" s="185">
        <f>IFERROR(IF($C163="",-0.00001,SUMIFS(Database!V:V,Database!$E:$E,$C163)),-0.00001)</f>
        <v>-1.0000000000000001E-5</v>
      </c>
      <c r="U163" s="185">
        <f>IFERROR(IF($C163="",-0.00001,SUMIFS(Database!W:W,Database!$E:$E,$C163)),-0.00001)</f>
        <v>-1.0000000000000001E-5</v>
      </c>
      <c r="V163" s="186">
        <f t="shared" si="8"/>
        <v>-1.0000000000000001E-5</v>
      </c>
      <c r="W163" s="187"/>
      <c r="X163" s="187"/>
      <c r="Y163" s="187"/>
      <c r="Z163" s="187"/>
      <c r="AA163" s="187"/>
      <c r="AB163" s="187"/>
      <c r="AC163" s="187"/>
      <c r="AD163" s="187"/>
      <c r="AE163" s="187"/>
    </row>
    <row r="164" spans="1:31" x14ac:dyDescent="0.25">
      <c r="A164" s="187"/>
      <c r="B164" s="187" t="str">
        <f>IF($C164="","",MAX($B$4:$B163)+1)</f>
        <v/>
      </c>
      <c r="C164" s="183"/>
      <c r="D164" s="183" t="str">
        <f>IFERROR(VLOOKUP($C164,Rosters!$C$4:$M$239,INDEX(Lists!$N$5:$O$80,MATCH($C164,Lists!$N$5:$N$80,FALSE),2)),"")</f>
        <v/>
      </c>
      <c r="E164" s="185">
        <f>IF($C164="",-0.00001,COUNTIF(Database!E:E,$C164))</f>
        <v>-1.0000000000000001E-5</v>
      </c>
      <c r="F164" s="185">
        <f>IFERROR(IF($C164="",-0.00001,SUMIFS(Database!H:H,Database!$E:$E,$C164)),-0.00001)</f>
        <v>-1.0000000000000001E-5</v>
      </c>
      <c r="G164" s="185">
        <f>IFERROR(IF($C164="",-0.00001,SUMIFS(Database!I:I,Database!$E:$E,$C164)),-0.00001)</f>
        <v>-1.0000000000000001E-5</v>
      </c>
      <c r="H164" s="185">
        <f>IFERROR(IF($C164="",-0.00001,SUMIFS(Database!J:J,Database!$E:$E,$C164)),-0.00001)</f>
        <v>-1.0000000000000001E-5</v>
      </c>
      <c r="I164" s="185">
        <f>IFERROR(IF($C164="",-0.00001,SUMIFS(Database!K:K,Database!$E:$E,$C164)),-0.00001)</f>
        <v>-1.0000000000000001E-5</v>
      </c>
      <c r="J164" s="185">
        <f>IFERROR(IF($C164="",-0.00001,SUMIFS(Database!L:L,Database!$E:$E,$C164)),-0.00001)</f>
        <v>-1.0000000000000001E-5</v>
      </c>
      <c r="K164" s="185">
        <f>IFERROR(IF($C164="",-0.00001,SUMIFS(Database!M:M,Database!$E:$E,$C164)),-0.00001)</f>
        <v>-1.0000000000000001E-5</v>
      </c>
      <c r="L164" s="185">
        <f>IFERROR(IF($C164="",-0.00001,SUMIFS(Database!N:N,Database!$E:$E,$C164)),-0.00001)</f>
        <v>-1.0000000000000001E-5</v>
      </c>
      <c r="M164" s="185">
        <f>IFERROR(IF($C164="",-0.00001,SUMIFS(Database!O:O,Database!$E:$E,$C164)),-0.00001)</f>
        <v>-1.0000000000000001E-5</v>
      </c>
      <c r="N164" s="185">
        <f>IFERROR(IF($C164="",-0.00001,SUMIFS(Database!P:P,Database!$E:$E,$C164)),-0.00001)</f>
        <v>-1.0000000000000001E-5</v>
      </c>
      <c r="O164" s="185">
        <f>IFERROR(IF($C164="",-0.00001,SUMIFS(Database!Q:Q,Database!$E:$E,$C164)),-0.00001)</f>
        <v>-1.0000000000000001E-5</v>
      </c>
      <c r="P164" s="186">
        <f t="shared" si="6"/>
        <v>-1.0000000000000001E-5</v>
      </c>
      <c r="Q164" s="185">
        <f>IFERROR(IF($C164="",-0.00001,SUMIFS(Database!S:S,Database!$E:$E,$C164)),-0.00001)</f>
        <v>-1.0000000000000001E-5</v>
      </c>
      <c r="R164" s="185">
        <f>IFERROR(IF($C164="",-0.00001,SUMIFS(Database!T:T,Database!$E:$E,$C164)),-0.00001)</f>
        <v>-1.0000000000000001E-5</v>
      </c>
      <c r="S164" s="186">
        <f t="shared" si="7"/>
        <v>-1.0000000000000001E-5</v>
      </c>
      <c r="T164" s="185">
        <f>IFERROR(IF($C164="",-0.00001,SUMIFS(Database!V:V,Database!$E:$E,$C164)),-0.00001)</f>
        <v>-1.0000000000000001E-5</v>
      </c>
      <c r="U164" s="185">
        <f>IFERROR(IF($C164="",-0.00001,SUMIFS(Database!W:W,Database!$E:$E,$C164)),-0.00001)</f>
        <v>-1.0000000000000001E-5</v>
      </c>
      <c r="V164" s="186">
        <f t="shared" si="8"/>
        <v>-1.0000000000000001E-5</v>
      </c>
      <c r="W164" s="187"/>
      <c r="X164" s="187"/>
      <c r="Y164" s="187"/>
      <c r="Z164" s="187"/>
      <c r="AA164" s="187"/>
      <c r="AB164" s="187"/>
      <c r="AC164" s="187"/>
      <c r="AD164" s="187"/>
      <c r="AE164" s="187"/>
    </row>
    <row r="165" spans="1:31" x14ac:dyDescent="0.25">
      <c r="A165" s="187"/>
      <c r="B165" s="187" t="str">
        <f>IF($C165="","",MAX($B$4:$B164)+1)</f>
        <v/>
      </c>
      <c r="C165" s="183"/>
      <c r="D165" s="183" t="str">
        <f>IFERROR(VLOOKUP($C165,Rosters!$C$4:$M$239,INDEX(Lists!$N$5:$O$80,MATCH($C165,Lists!$N$5:$N$80,FALSE),2)),"")</f>
        <v/>
      </c>
      <c r="E165" s="185">
        <f>IF($C165="",-0.00001,COUNTIF(Database!E:E,$C165))</f>
        <v>-1.0000000000000001E-5</v>
      </c>
      <c r="F165" s="185">
        <f>IFERROR(IF($C165="",-0.00001,SUMIFS(Database!H:H,Database!$E:$E,$C165)),-0.00001)</f>
        <v>-1.0000000000000001E-5</v>
      </c>
      <c r="G165" s="185">
        <f>IFERROR(IF($C165="",-0.00001,SUMIFS(Database!I:I,Database!$E:$E,$C165)),-0.00001)</f>
        <v>-1.0000000000000001E-5</v>
      </c>
      <c r="H165" s="185">
        <f>IFERROR(IF($C165="",-0.00001,SUMIFS(Database!J:J,Database!$E:$E,$C165)),-0.00001)</f>
        <v>-1.0000000000000001E-5</v>
      </c>
      <c r="I165" s="185">
        <f>IFERROR(IF($C165="",-0.00001,SUMIFS(Database!K:K,Database!$E:$E,$C165)),-0.00001)</f>
        <v>-1.0000000000000001E-5</v>
      </c>
      <c r="J165" s="185">
        <f>IFERROR(IF($C165="",-0.00001,SUMIFS(Database!L:L,Database!$E:$E,$C165)),-0.00001)</f>
        <v>-1.0000000000000001E-5</v>
      </c>
      <c r="K165" s="185">
        <f>IFERROR(IF($C165="",-0.00001,SUMIFS(Database!M:M,Database!$E:$E,$C165)),-0.00001)</f>
        <v>-1.0000000000000001E-5</v>
      </c>
      <c r="L165" s="185">
        <f>IFERROR(IF($C165="",-0.00001,SUMIFS(Database!N:N,Database!$E:$E,$C165)),-0.00001)</f>
        <v>-1.0000000000000001E-5</v>
      </c>
      <c r="M165" s="185">
        <f>IFERROR(IF($C165="",-0.00001,SUMIFS(Database!O:O,Database!$E:$E,$C165)),-0.00001)</f>
        <v>-1.0000000000000001E-5</v>
      </c>
      <c r="N165" s="185">
        <f>IFERROR(IF($C165="",-0.00001,SUMIFS(Database!P:P,Database!$E:$E,$C165)),-0.00001)</f>
        <v>-1.0000000000000001E-5</v>
      </c>
      <c r="O165" s="185">
        <f>IFERROR(IF($C165="",-0.00001,SUMIFS(Database!Q:Q,Database!$E:$E,$C165)),-0.00001)</f>
        <v>-1.0000000000000001E-5</v>
      </c>
      <c r="P165" s="186">
        <f t="shared" si="6"/>
        <v>-1.0000000000000001E-5</v>
      </c>
      <c r="Q165" s="185">
        <f>IFERROR(IF($C165="",-0.00001,SUMIFS(Database!S:S,Database!$E:$E,$C165)),-0.00001)</f>
        <v>-1.0000000000000001E-5</v>
      </c>
      <c r="R165" s="185">
        <f>IFERROR(IF($C165="",-0.00001,SUMIFS(Database!T:T,Database!$E:$E,$C165)),-0.00001)</f>
        <v>-1.0000000000000001E-5</v>
      </c>
      <c r="S165" s="186">
        <f t="shared" si="7"/>
        <v>-1.0000000000000001E-5</v>
      </c>
      <c r="T165" s="185">
        <f>IFERROR(IF($C165="",-0.00001,SUMIFS(Database!V:V,Database!$E:$E,$C165)),-0.00001)</f>
        <v>-1.0000000000000001E-5</v>
      </c>
      <c r="U165" s="185">
        <f>IFERROR(IF($C165="",-0.00001,SUMIFS(Database!W:W,Database!$E:$E,$C165)),-0.00001)</f>
        <v>-1.0000000000000001E-5</v>
      </c>
      <c r="V165" s="186">
        <f t="shared" si="8"/>
        <v>-1.0000000000000001E-5</v>
      </c>
      <c r="W165" s="187"/>
      <c r="X165" s="187"/>
      <c r="Y165" s="187"/>
      <c r="Z165" s="187"/>
      <c r="AA165" s="187"/>
      <c r="AB165" s="187"/>
      <c r="AC165" s="187"/>
      <c r="AD165" s="187"/>
      <c r="AE165" s="187"/>
    </row>
    <row r="166" spans="1:31" x14ac:dyDescent="0.25">
      <c r="A166" s="187"/>
      <c r="B166" s="187" t="str">
        <f>IF($C166="","",MAX($B$4:$B165)+1)</f>
        <v/>
      </c>
      <c r="C166" s="183"/>
      <c r="D166" s="183" t="str">
        <f>IFERROR(VLOOKUP($C166,Rosters!$C$4:$M$239,INDEX(Lists!$N$5:$O$80,MATCH($C166,Lists!$N$5:$N$80,FALSE),2)),"")</f>
        <v/>
      </c>
      <c r="E166" s="185">
        <f>IF($C166="",-0.00001,COUNTIF(Database!E:E,$C166))</f>
        <v>-1.0000000000000001E-5</v>
      </c>
      <c r="F166" s="185">
        <f>IFERROR(IF($C166="",-0.00001,SUMIFS(Database!H:H,Database!$E:$E,$C166)),-0.00001)</f>
        <v>-1.0000000000000001E-5</v>
      </c>
      <c r="G166" s="185">
        <f>IFERROR(IF($C166="",-0.00001,SUMIFS(Database!I:I,Database!$E:$E,$C166)),-0.00001)</f>
        <v>-1.0000000000000001E-5</v>
      </c>
      <c r="H166" s="185">
        <f>IFERROR(IF($C166="",-0.00001,SUMIFS(Database!J:J,Database!$E:$E,$C166)),-0.00001)</f>
        <v>-1.0000000000000001E-5</v>
      </c>
      <c r="I166" s="185">
        <f>IFERROR(IF($C166="",-0.00001,SUMIFS(Database!K:K,Database!$E:$E,$C166)),-0.00001)</f>
        <v>-1.0000000000000001E-5</v>
      </c>
      <c r="J166" s="185">
        <f>IFERROR(IF($C166="",-0.00001,SUMIFS(Database!L:L,Database!$E:$E,$C166)),-0.00001)</f>
        <v>-1.0000000000000001E-5</v>
      </c>
      <c r="K166" s="185">
        <f>IFERROR(IF($C166="",-0.00001,SUMIFS(Database!M:M,Database!$E:$E,$C166)),-0.00001)</f>
        <v>-1.0000000000000001E-5</v>
      </c>
      <c r="L166" s="185">
        <f>IFERROR(IF($C166="",-0.00001,SUMIFS(Database!N:N,Database!$E:$E,$C166)),-0.00001)</f>
        <v>-1.0000000000000001E-5</v>
      </c>
      <c r="M166" s="185">
        <f>IFERROR(IF($C166="",-0.00001,SUMIFS(Database!O:O,Database!$E:$E,$C166)),-0.00001)</f>
        <v>-1.0000000000000001E-5</v>
      </c>
      <c r="N166" s="185">
        <f>IFERROR(IF($C166="",-0.00001,SUMIFS(Database!P:P,Database!$E:$E,$C166)),-0.00001)</f>
        <v>-1.0000000000000001E-5</v>
      </c>
      <c r="O166" s="185">
        <f>IFERROR(IF($C166="",-0.00001,SUMIFS(Database!Q:Q,Database!$E:$E,$C166)),-0.00001)</f>
        <v>-1.0000000000000001E-5</v>
      </c>
      <c r="P166" s="186">
        <f t="shared" si="6"/>
        <v>-1.0000000000000001E-5</v>
      </c>
      <c r="Q166" s="185">
        <f>IFERROR(IF($C166="",-0.00001,SUMIFS(Database!S:S,Database!$E:$E,$C166)),-0.00001)</f>
        <v>-1.0000000000000001E-5</v>
      </c>
      <c r="R166" s="185">
        <f>IFERROR(IF($C166="",-0.00001,SUMIFS(Database!T:T,Database!$E:$E,$C166)),-0.00001)</f>
        <v>-1.0000000000000001E-5</v>
      </c>
      <c r="S166" s="186">
        <f t="shared" si="7"/>
        <v>-1.0000000000000001E-5</v>
      </c>
      <c r="T166" s="185">
        <f>IFERROR(IF($C166="",-0.00001,SUMIFS(Database!V:V,Database!$E:$E,$C166)),-0.00001)</f>
        <v>-1.0000000000000001E-5</v>
      </c>
      <c r="U166" s="185">
        <f>IFERROR(IF($C166="",-0.00001,SUMIFS(Database!W:W,Database!$E:$E,$C166)),-0.00001)</f>
        <v>-1.0000000000000001E-5</v>
      </c>
      <c r="V166" s="186">
        <f t="shared" si="8"/>
        <v>-1.0000000000000001E-5</v>
      </c>
      <c r="W166" s="187"/>
      <c r="X166" s="187"/>
      <c r="Y166" s="187"/>
      <c r="Z166" s="187"/>
      <c r="AA166" s="187"/>
      <c r="AB166" s="187"/>
      <c r="AC166" s="187"/>
      <c r="AD166" s="187"/>
      <c r="AE166" s="187"/>
    </row>
    <row r="167" spans="1:31" x14ac:dyDescent="0.25">
      <c r="A167" s="187"/>
      <c r="B167" s="187" t="str">
        <f>IF($C167="","",MAX($B$4:$B166)+1)</f>
        <v/>
      </c>
      <c r="C167" s="183"/>
      <c r="D167" s="183" t="str">
        <f>IFERROR(VLOOKUP($C167,Rosters!$C$4:$M$239,INDEX(Lists!$N$5:$O$80,MATCH($C167,Lists!$N$5:$N$80,FALSE),2)),"")</f>
        <v/>
      </c>
      <c r="E167" s="185">
        <f>IF($C167="",-0.00001,COUNTIF(Database!E:E,$C167))</f>
        <v>-1.0000000000000001E-5</v>
      </c>
      <c r="F167" s="185">
        <f>IFERROR(IF($C167="",-0.00001,SUMIFS(Database!H:H,Database!$E:$E,$C167)),-0.00001)</f>
        <v>-1.0000000000000001E-5</v>
      </c>
      <c r="G167" s="185">
        <f>IFERROR(IF($C167="",-0.00001,SUMIFS(Database!I:I,Database!$E:$E,$C167)),-0.00001)</f>
        <v>-1.0000000000000001E-5</v>
      </c>
      <c r="H167" s="185">
        <f>IFERROR(IF($C167="",-0.00001,SUMIFS(Database!J:J,Database!$E:$E,$C167)),-0.00001)</f>
        <v>-1.0000000000000001E-5</v>
      </c>
      <c r="I167" s="185">
        <f>IFERROR(IF($C167="",-0.00001,SUMIFS(Database!K:K,Database!$E:$E,$C167)),-0.00001)</f>
        <v>-1.0000000000000001E-5</v>
      </c>
      <c r="J167" s="185">
        <f>IFERROR(IF($C167="",-0.00001,SUMIFS(Database!L:L,Database!$E:$E,$C167)),-0.00001)</f>
        <v>-1.0000000000000001E-5</v>
      </c>
      <c r="K167" s="185">
        <f>IFERROR(IF($C167="",-0.00001,SUMIFS(Database!M:M,Database!$E:$E,$C167)),-0.00001)</f>
        <v>-1.0000000000000001E-5</v>
      </c>
      <c r="L167" s="185">
        <f>IFERROR(IF($C167="",-0.00001,SUMIFS(Database!N:N,Database!$E:$E,$C167)),-0.00001)</f>
        <v>-1.0000000000000001E-5</v>
      </c>
      <c r="M167" s="185">
        <f>IFERROR(IF($C167="",-0.00001,SUMIFS(Database!O:O,Database!$E:$E,$C167)),-0.00001)</f>
        <v>-1.0000000000000001E-5</v>
      </c>
      <c r="N167" s="185">
        <f>IFERROR(IF($C167="",-0.00001,SUMIFS(Database!P:P,Database!$E:$E,$C167)),-0.00001)</f>
        <v>-1.0000000000000001E-5</v>
      </c>
      <c r="O167" s="185">
        <f>IFERROR(IF($C167="",-0.00001,SUMIFS(Database!Q:Q,Database!$E:$E,$C167)),-0.00001)</f>
        <v>-1.0000000000000001E-5</v>
      </c>
      <c r="P167" s="186">
        <f t="shared" si="6"/>
        <v>-1.0000000000000001E-5</v>
      </c>
      <c r="Q167" s="185">
        <f>IFERROR(IF($C167="",-0.00001,SUMIFS(Database!S:S,Database!$E:$E,$C167)),-0.00001)</f>
        <v>-1.0000000000000001E-5</v>
      </c>
      <c r="R167" s="185">
        <f>IFERROR(IF($C167="",-0.00001,SUMIFS(Database!T:T,Database!$E:$E,$C167)),-0.00001)</f>
        <v>-1.0000000000000001E-5</v>
      </c>
      <c r="S167" s="186">
        <f t="shared" si="7"/>
        <v>-1.0000000000000001E-5</v>
      </c>
      <c r="T167" s="185">
        <f>IFERROR(IF($C167="",-0.00001,SUMIFS(Database!V:V,Database!$E:$E,$C167)),-0.00001)</f>
        <v>-1.0000000000000001E-5</v>
      </c>
      <c r="U167" s="185">
        <f>IFERROR(IF($C167="",-0.00001,SUMIFS(Database!W:W,Database!$E:$E,$C167)),-0.00001)</f>
        <v>-1.0000000000000001E-5</v>
      </c>
      <c r="V167" s="186">
        <f t="shared" si="8"/>
        <v>-1.0000000000000001E-5</v>
      </c>
      <c r="W167" s="187"/>
      <c r="X167" s="187"/>
      <c r="Y167" s="187"/>
      <c r="Z167" s="187"/>
      <c r="AA167" s="187"/>
      <c r="AB167" s="187"/>
      <c r="AC167" s="187"/>
      <c r="AD167" s="187"/>
      <c r="AE167" s="187"/>
    </row>
    <row r="168" spans="1:31" x14ac:dyDescent="0.25">
      <c r="A168" s="187"/>
      <c r="B168" s="187" t="str">
        <f>IF($C168="","",MAX($B$4:$B167)+1)</f>
        <v/>
      </c>
      <c r="C168" s="183"/>
      <c r="D168" s="183" t="str">
        <f>IFERROR(VLOOKUP($C168,Rosters!$C$4:$M$239,INDEX(Lists!$N$5:$O$80,MATCH($C168,Lists!$N$5:$N$80,FALSE),2)),"")</f>
        <v/>
      </c>
      <c r="E168" s="185">
        <f>IF($C168="",-0.00001,COUNTIF(Database!E:E,$C168))</f>
        <v>-1.0000000000000001E-5</v>
      </c>
      <c r="F168" s="185">
        <f>IFERROR(IF($C168="",-0.00001,SUMIFS(Database!H:H,Database!$E:$E,$C168)),-0.00001)</f>
        <v>-1.0000000000000001E-5</v>
      </c>
      <c r="G168" s="185">
        <f>IFERROR(IF($C168="",-0.00001,SUMIFS(Database!I:I,Database!$E:$E,$C168)),-0.00001)</f>
        <v>-1.0000000000000001E-5</v>
      </c>
      <c r="H168" s="185">
        <f>IFERROR(IF($C168="",-0.00001,SUMIFS(Database!J:J,Database!$E:$E,$C168)),-0.00001)</f>
        <v>-1.0000000000000001E-5</v>
      </c>
      <c r="I168" s="185">
        <f>IFERROR(IF($C168="",-0.00001,SUMIFS(Database!K:K,Database!$E:$E,$C168)),-0.00001)</f>
        <v>-1.0000000000000001E-5</v>
      </c>
      <c r="J168" s="185">
        <f>IFERROR(IF($C168="",-0.00001,SUMIFS(Database!L:L,Database!$E:$E,$C168)),-0.00001)</f>
        <v>-1.0000000000000001E-5</v>
      </c>
      <c r="K168" s="185">
        <f>IFERROR(IF($C168="",-0.00001,SUMIFS(Database!M:M,Database!$E:$E,$C168)),-0.00001)</f>
        <v>-1.0000000000000001E-5</v>
      </c>
      <c r="L168" s="185">
        <f>IFERROR(IF($C168="",-0.00001,SUMIFS(Database!N:N,Database!$E:$E,$C168)),-0.00001)</f>
        <v>-1.0000000000000001E-5</v>
      </c>
      <c r="M168" s="185">
        <f>IFERROR(IF($C168="",-0.00001,SUMIFS(Database!O:O,Database!$E:$E,$C168)),-0.00001)</f>
        <v>-1.0000000000000001E-5</v>
      </c>
      <c r="N168" s="185">
        <f>IFERROR(IF($C168="",-0.00001,SUMIFS(Database!P:P,Database!$E:$E,$C168)),-0.00001)</f>
        <v>-1.0000000000000001E-5</v>
      </c>
      <c r="O168" s="185">
        <f>IFERROR(IF($C168="",-0.00001,SUMIFS(Database!Q:Q,Database!$E:$E,$C168)),-0.00001)</f>
        <v>-1.0000000000000001E-5</v>
      </c>
      <c r="P168" s="186">
        <f t="shared" si="6"/>
        <v>-1.0000000000000001E-5</v>
      </c>
      <c r="Q168" s="185">
        <f>IFERROR(IF($C168="",-0.00001,SUMIFS(Database!S:S,Database!$E:$E,$C168)),-0.00001)</f>
        <v>-1.0000000000000001E-5</v>
      </c>
      <c r="R168" s="185">
        <f>IFERROR(IF($C168="",-0.00001,SUMIFS(Database!T:T,Database!$E:$E,$C168)),-0.00001)</f>
        <v>-1.0000000000000001E-5</v>
      </c>
      <c r="S168" s="186">
        <f t="shared" si="7"/>
        <v>-1.0000000000000001E-5</v>
      </c>
      <c r="T168" s="185">
        <f>IFERROR(IF($C168="",-0.00001,SUMIFS(Database!V:V,Database!$E:$E,$C168)),-0.00001)</f>
        <v>-1.0000000000000001E-5</v>
      </c>
      <c r="U168" s="185">
        <f>IFERROR(IF($C168="",-0.00001,SUMIFS(Database!W:W,Database!$E:$E,$C168)),-0.00001)</f>
        <v>-1.0000000000000001E-5</v>
      </c>
      <c r="V168" s="186">
        <f t="shared" si="8"/>
        <v>-1.0000000000000001E-5</v>
      </c>
      <c r="W168" s="187"/>
      <c r="X168" s="187"/>
      <c r="Y168" s="187"/>
      <c r="Z168" s="187"/>
      <c r="AA168" s="187"/>
      <c r="AB168" s="187"/>
      <c r="AC168" s="187"/>
      <c r="AD168" s="187"/>
      <c r="AE168" s="187"/>
    </row>
    <row r="169" spans="1:31" x14ac:dyDescent="0.25">
      <c r="A169" s="187"/>
      <c r="B169" s="187" t="str">
        <f>IF($C169="","",MAX($B$4:$B168)+1)</f>
        <v/>
      </c>
      <c r="C169" s="183"/>
      <c r="D169" s="183" t="str">
        <f>IFERROR(VLOOKUP($C169,Rosters!$C$4:$M$239,INDEX(Lists!$N$5:$O$80,MATCH($C169,Lists!$N$5:$N$80,FALSE),2)),"")</f>
        <v/>
      </c>
      <c r="E169" s="185">
        <f>IF($C169="",-0.00001,COUNTIF(Database!E:E,$C169))</f>
        <v>-1.0000000000000001E-5</v>
      </c>
      <c r="F169" s="185">
        <f>IFERROR(IF($C169="",-0.00001,SUMIFS(Database!H:H,Database!$E:$E,$C169)),-0.00001)</f>
        <v>-1.0000000000000001E-5</v>
      </c>
      <c r="G169" s="185">
        <f>IFERROR(IF($C169="",-0.00001,SUMIFS(Database!I:I,Database!$E:$E,$C169)),-0.00001)</f>
        <v>-1.0000000000000001E-5</v>
      </c>
      <c r="H169" s="185">
        <f>IFERROR(IF($C169="",-0.00001,SUMIFS(Database!J:J,Database!$E:$E,$C169)),-0.00001)</f>
        <v>-1.0000000000000001E-5</v>
      </c>
      <c r="I169" s="185">
        <f>IFERROR(IF($C169="",-0.00001,SUMIFS(Database!K:K,Database!$E:$E,$C169)),-0.00001)</f>
        <v>-1.0000000000000001E-5</v>
      </c>
      <c r="J169" s="185">
        <f>IFERROR(IF($C169="",-0.00001,SUMIFS(Database!L:L,Database!$E:$E,$C169)),-0.00001)</f>
        <v>-1.0000000000000001E-5</v>
      </c>
      <c r="K169" s="185">
        <f>IFERROR(IF($C169="",-0.00001,SUMIFS(Database!M:M,Database!$E:$E,$C169)),-0.00001)</f>
        <v>-1.0000000000000001E-5</v>
      </c>
      <c r="L169" s="185">
        <f>IFERROR(IF($C169="",-0.00001,SUMIFS(Database!N:N,Database!$E:$E,$C169)),-0.00001)</f>
        <v>-1.0000000000000001E-5</v>
      </c>
      <c r="M169" s="185">
        <f>IFERROR(IF($C169="",-0.00001,SUMIFS(Database!O:O,Database!$E:$E,$C169)),-0.00001)</f>
        <v>-1.0000000000000001E-5</v>
      </c>
      <c r="N169" s="185">
        <f>IFERROR(IF($C169="",-0.00001,SUMIFS(Database!P:P,Database!$E:$E,$C169)),-0.00001)</f>
        <v>-1.0000000000000001E-5</v>
      </c>
      <c r="O169" s="185">
        <f>IFERROR(IF($C169="",-0.00001,SUMIFS(Database!Q:Q,Database!$E:$E,$C169)),-0.00001)</f>
        <v>-1.0000000000000001E-5</v>
      </c>
      <c r="P169" s="186">
        <f t="shared" si="6"/>
        <v>-1.0000000000000001E-5</v>
      </c>
      <c r="Q169" s="185">
        <f>IFERROR(IF($C169="",-0.00001,SUMIFS(Database!S:S,Database!$E:$E,$C169)),-0.00001)</f>
        <v>-1.0000000000000001E-5</v>
      </c>
      <c r="R169" s="185">
        <f>IFERROR(IF($C169="",-0.00001,SUMIFS(Database!T:T,Database!$E:$E,$C169)),-0.00001)</f>
        <v>-1.0000000000000001E-5</v>
      </c>
      <c r="S169" s="186">
        <f t="shared" si="7"/>
        <v>-1.0000000000000001E-5</v>
      </c>
      <c r="T169" s="185">
        <f>IFERROR(IF($C169="",-0.00001,SUMIFS(Database!V:V,Database!$E:$E,$C169)),-0.00001)</f>
        <v>-1.0000000000000001E-5</v>
      </c>
      <c r="U169" s="185">
        <f>IFERROR(IF($C169="",-0.00001,SUMIFS(Database!W:W,Database!$E:$E,$C169)),-0.00001)</f>
        <v>-1.0000000000000001E-5</v>
      </c>
      <c r="V169" s="186">
        <f t="shared" si="8"/>
        <v>-1.0000000000000001E-5</v>
      </c>
      <c r="W169" s="187"/>
      <c r="X169" s="187"/>
      <c r="Y169" s="187"/>
      <c r="Z169" s="187"/>
      <c r="AA169" s="187"/>
      <c r="AB169" s="187"/>
      <c r="AC169" s="187"/>
      <c r="AD169" s="187"/>
      <c r="AE169" s="187"/>
    </row>
    <row r="170" spans="1:31" x14ac:dyDescent="0.25">
      <c r="A170" s="187"/>
      <c r="B170" s="187" t="str">
        <f>IF($C170="","",MAX($B$4:$B169)+1)</f>
        <v/>
      </c>
      <c r="C170" s="183"/>
      <c r="D170" s="183" t="str">
        <f>IFERROR(VLOOKUP($C170,Rosters!$C$4:$M$239,INDEX(Lists!$N$5:$O$80,MATCH($C170,Lists!$N$5:$N$80,FALSE),2)),"")</f>
        <v/>
      </c>
      <c r="E170" s="185">
        <f>IF($C170="",-0.00001,COUNTIF(Database!E:E,$C170))</f>
        <v>-1.0000000000000001E-5</v>
      </c>
      <c r="F170" s="185">
        <f>IFERROR(IF($C170="",-0.00001,SUMIFS(Database!H:H,Database!$E:$E,$C170)),-0.00001)</f>
        <v>-1.0000000000000001E-5</v>
      </c>
      <c r="G170" s="185">
        <f>IFERROR(IF($C170="",-0.00001,SUMIFS(Database!I:I,Database!$E:$E,$C170)),-0.00001)</f>
        <v>-1.0000000000000001E-5</v>
      </c>
      <c r="H170" s="185">
        <f>IFERROR(IF($C170="",-0.00001,SUMIFS(Database!J:J,Database!$E:$E,$C170)),-0.00001)</f>
        <v>-1.0000000000000001E-5</v>
      </c>
      <c r="I170" s="185">
        <f>IFERROR(IF($C170="",-0.00001,SUMIFS(Database!K:K,Database!$E:$E,$C170)),-0.00001)</f>
        <v>-1.0000000000000001E-5</v>
      </c>
      <c r="J170" s="185">
        <f>IFERROR(IF($C170="",-0.00001,SUMIFS(Database!L:L,Database!$E:$E,$C170)),-0.00001)</f>
        <v>-1.0000000000000001E-5</v>
      </c>
      <c r="K170" s="185">
        <f>IFERROR(IF($C170="",-0.00001,SUMIFS(Database!M:M,Database!$E:$E,$C170)),-0.00001)</f>
        <v>-1.0000000000000001E-5</v>
      </c>
      <c r="L170" s="185">
        <f>IFERROR(IF($C170="",-0.00001,SUMIFS(Database!N:N,Database!$E:$E,$C170)),-0.00001)</f>
        <v>-1.0000000000000001E-5</v>
      </c>
      <c r="M170" s="185">
        <f>IFERROR(IF($C170="",-0.00001,SUMIFS(Database!O:O,Database!$E:$E,$C170)),-0.00001)</f>
        <v>-1.0000000000000001E-5</v>
      </c>
      <c r="N170" s="185">
        <f>IFERROR(IF($C170="",-0.00001,SUMIFS(Database!P:P,Database!$E:$E,$C170)),-0.00001)</f>
        <v>-1.0000000000000001E-5</v>
      </c>
      <c r="O170" s="185">
        <f>IFERROR(IF($C170="",-0.00001,SUMIFS(Database!Q:Q,Database!$E:$E,$C170)),-0.00001)</f>
        <v>-1.0000000000000001E-5</v>
      </c>
      <c r="P170" s="186">
        <f t="shared" si="6"/>
        <v>-1.0000000000000001E-5</v>
      </c>
      <c r="Q170" s="185">
        <f>IFERROR(IF($C170="",-0.00001,SUMIFS(Database!S:S,Database!$E:$E,$C170)),-0.00001)</f>
        <v>-1.0000000000000001E-5</v>
      </c>
      <c r="R170" s="185">
        <f>IFERROR(IF($C170="",-0.00001,SUMIFS(Database!T:T,Database!$E:$E,$C170)),-0.00001)</f>
        <v>-1.0000000000000001E-5</v>
      </c>
      <c r="S170" s="186">
        <f t="shared" si="7"/>
        <v>-1.0000000000000001E-5</v>
      </c>
      <c r="T170" s="185">
        <f>IFERROR(IF($C170="",-0.00001,SUMIFS(Database!V:V,Database!$E:$E,$C170)),-0.00001)</f>
        <v>-1.0000000000000001E-5</v>
      </c>
      <c r="U170" s="185">
        <f>IFERROR(IF($C170="",-0.00001,SUMIFS(Database!W:W,Database!$E:$E,$C170)),-0.00001)</f>
        <v>-1.0000000000000001E-5</v>
      </c>
      <c r="V170" s="186">
        <f t="shared" si="8"/>
        <v>-1.0000000000000001E-5</v>
      </c>
      <c r="W170" s="187"/>
      <c r="X170" s="187"/>
      <c r="Y170" s="187"/>
      <c r="Z170" s="187"/>
      <c r="AA170" s="187"/>
      <c r="AB170" s="187"/>
      <c r="AC170" s="187"/>
      <c r="AD170" s="187"/>
      <c r="AE170" s="187"/>
    </row>
    <row r="171" spans="1:31" x14ac:dyDescent="0.25">
      <c r="A171" s="187"/>
      <c r="B171" s="187" t="str">
        <f>IF($C171="","",MAX($B$4:$B170)+1)</f>
        <v/>
      </c>
      <c r="C171" s="183"/>
      <c r="D171" s="183" t="str">
        <f>IFERROR(VLOOKUP($C171,Rosters!$C$4:$M$239,INDEX(Lists!$N$5:$O$80,MATCH($C171,Lists!$N$5:$N$80,FALSE),2)),"")</f>
        <v/>
      </c>
      <c r="E171" s="185">
        <f>IF($C171="",-0.00001,COUNTIF(Database!E:E,$C171))</f>
        <v>-1.0000000000000001E-5</v>
      </c>
      <c r="F171" s="185">
        <f>IFERROR(IF($C171="",-0.00001,SUMIFS(Database!H:H,Database!$E:$E,$C171)),-0.00001)</f>
        <v>-1.0000000000000001E-5</v>
      </c>
      <c r="G171" s="185">
        <f>IFERROR(IF($C171="",-0.00001,SUMIFS(Database!I:I,Database!$E:$E,$C171)),-0.00001)</f>
        <v>-1.0000000000000001E-5</v>
      </c>
      <c r="H171" s="185">
        <f>IFERROR(IF($C171="",-0.00001,SUMIFS(Database!J:J,Database!$E:$E,$C171)),-0.00001)</f>
        <v>-1.0000000000000001E-5</v>
      </c>
      <c r="I171" s="185">
        <f>IFERROR(IF($C171="",-0.00001,SUMIFS(Database!K:K,Database!$E:$E,$C171)),-0.00001)</f>
        <v>-1.0000000000000001E-5</v>
      </c>
      <c r="J171" s="185">
        <f>IFERROR(IF($C171="",-0.00001,SUMIFS(Database!L:L,Database!$E:$E,$C171)),-0.00001)</f>
        <v>-1.0000000000000001E-5</v>
      </c>
      <c r="K171" s="185">
        <f>IFERROR(IF($C171="",-0.00001,SUMIFS(Database!M:M,Database!$E:$E,$C171)),-0.00001)</f>
        <v>-1.0000000000000001E-5</v>
      </c>
      <c r="L171" s="185">
        <f>IFERROR(IF($C171="",-0.00001,SUMIFS(Database!N:N,Database!$E:$E,$C171)),-0.00001)</f>
        <v>-1.0000000000000001E-5</v>
      </c>
      <c r="M171" s="185">
        <f>IFERROR(IF($C171="",-0.00001,SUMIFS(Database!O:O,Database!$E:$E,$C171)),-0.00001)</f>
        <v>-1.0000000000000001E-5</v>
      </c>
      <c r="N171" s="185">
        <f>IFERROR(IF($C171="",-0.00001,SUMIFS(Database!P:P,Database!$E:$E,$C171)),-0.00001)</f>
        <v>-1.0000000000000001E-5</v>
      </c>
      <c r="O171" s="185">
        <f>IFERROR(IF($C171="",-0.00001,SUMIFS(Database!Q:Q,Database!$E:$E,$C171)),-0.00001)</f>
        <v>-1.0000000000000001E-5</v>
      </c>
      <c r="P171" s="186">
        <f t="shared" si="6"/>
        <v>-1.0000000000000001E-5</v>
      </c>
      <c r="Q171" s="185">
        <f>IFERROR(IF($C171="",-0.00001,SUMIFS(Database!S:S,Database!$E:$E,$C171)),-0.00001)</f>
        <v>-1.0000000000000001E-5</v>
      </c>
      <c r="R171" s="185">
        <f>IFERROR(IF($C171="",-0.00001,SUMIFS(Database!T:T,Database!$E:$E,$C171)),-0.00001)</f>
        <v>-1.0000000000000001E-5</v>
      </c>
      <c r="S171" s="186">
        <f t="shared" si="7"/>
        <v>-1.0000000000000001E-5</v>
      </c>
      <c r="T171" s="185">
        <f>IFERROR(IF($C171="",-0.00001,SUMIFS(Database!V:V,Database!$E:$E,$C171)),-0.00001)</f>
        <v>-1.0000000000000001E-5</v>
      </c>
      <c r="U171" s="185">
        <f>IFERROR(IF($C171="",-0.00001,SUMIFS(Database!W:W,Database!$E:$E,$C171)),-0.00001)</f>
        <v>-1.0000000000000001E-5</v>
      </c>
      <c r="V171" s="186">
        <f t="shared" si="8"/>
        <v>-1.0000000000000001E-5</v>
      </c>
      <c r="W171" s="187"/>
      <c r="X171" s="187"/>
      <c r="Y171" s="187"/>
      <c r="Z171" s="187"/>
      <c r="AA171" s="187"/>
      <c r="AB171" s="187"/>
      <c r="AC171" s="187"/>
      <c r="AD171" s="187"/>
      <c r="AE171" s="187"/>
    </row>
    <row r="172" spans="1:31" x14ac:dyDescent="0.25">
      <c r="A172" s="187"/>
      <c r="B172" s="187" t="str">
        <f>IF($C172="","",MAX($B$4:$B171)+1)</f>
        <v/>
      </c>
      <c r="C172" s="183"/>
      <c r="D172" s="183" t="str">
        <f>IFERROR(VLOOKUP($C172,Rosters!$C$4:$M$239,INDEX(Lists!$N$5:$O$80,MATCH($C172,Lists!$N$5:$N$80,FALSE),2)),"")</f>
        <v/>
      </c>
      <c r="E172" s="185">
        <f>IF($C172="",-0.00001,COUNTIF(Database!E:E,$C172))</f>
        <v>-1.0000000000000001E-5</v>
      </c>
      <c r="F172" s="185">
        <f>IFERROR(IF($C172="",-0.00001,SUMIFS(Database!H:H,Database!$E:$E,$C172)),-0.00001)</f>
        <v>-1.0000000000000001E-5</v>
      </c>
      <c r="G172" s="185">
        <f>IFERROR(IF($C172="",-0.00001,SUMIFS(Database!I:I,Database!$E:$E,$C172)),-0.00001)</f>
        <v>-1.0000000000000001E-5</v>
      </c>
      <c r="H172" s="185">
        <f>IFERROR(IF($C172="",-0.00001,SUMIFS(Database!J:J,Database!$E:$E,$C172)),-0.00001)</f>
        <v>-1.0000000000000001E-5</v>
      </c>
      <c r="I172" s="185">
        <f>IFERROR(IF($C172="",-0.00001,SUMIFS(Database!K:K,Database!$E:$E,$C172)),-0.00001)</f>
        <v>-1.0000000000000001E-5</v>
      </c>
      <c r="J172" s="185">
        <f>IFERROR(IF($C172="",-0.00001,SUMIFS(Database!L:L,Database!$E:$E,$C172)),-0.00001)</f>
        <v>-1.0000000000000001E-5</v>
      </c>
      <c r="K172" s="185">
        <f>IFERROR(IF($C172="",-0.00001,SUMIFS(Database!M:M,Database!$E:$E,$C172)),-0.00001)</f>
        <v>-1.0000000000000001E-5</v>
      </c>
      <c r="L172" s="185">
        <f>IFERROR(IF($C172="",-0.00001,SUMIFS(Database!N:N,Database!$E:$E,$C172)),-0.00001)</f>
        <v>-1.0000000000000001E-5</v>
      </c>
      <c r="M172" s="185">
        <f>IFERROR(IF($C172="",-0.00001,SUMIFS(Database!O:O,Database!$E:$E,$C172)),-0.00001)</f>
        <v>-1.0000000000000001E-5</v>
      </c>
      <c r="N172" s="185">
        <f>IFERROR(IF($C172="",-0.00001,SUMIFS(Database!P:P,Database!$E:$E,$C172)),-0.00001)</f>
        <v>-1.0000000000000001E-5</v>
      </c>
      <c r="O172" s="185">
        <f>IFERROR(IF($C172="",-0.00001,SUMIFS(Database!Q:Q,Database!$E:$E,$C172)),-0.00001)</f>
        <v>-1.0000000000000001E-5</v>
      </c>
      <c r="P172" s="186">
        <f t="shared" si="6"/>
        <v>-1.0000000000000001E-5</v>
      </c>
      <c r="Q172" s="185">
        <f>IFERROR(IF($C172="",-0.00001,SUMIFS(Database!S:S,Database!$E:$E,$C172)),-0.00001)</f>
        <v>-1.0000000000000001E-5</v>
      </c>
      <c r="R172" s="185">
        <f>IFERROR(IF($C172="",-0.00001,SUMIFS(Database!T:T,Database!$E:$E,$C172)),-0.00001)</f>
        <v>-1.0000000000000001E-5</v>
      </c>
      <c r="S172" s="186">
        <f t="shared" si="7"/>
        <v>-1.0000000000000001E-5</v>
      </c>
      <c r="T172" s="185">
        <f>IFERROR(IF($C172="",-0.00001,SUMIFS(Database!V:V,Database!$E:$E,$C172)),-0.00001)</f>
        <v>-1.0000000000000001E-5</v>
      </c>
      <c r="U172" s="185">
        <f>IFERROR(IF($C172="",-0.00001,SUMIFS(Database!W:W,Database!$E:$E,$C172)),-0.00001)</f>
        <v>-1.0000000000000001E-5</v>
      </c>
      <c r="V172" s="186">
        <f t="shared" si="8"/>
        <v>-1.0000000000000001E-5</v>
      </c>
      <c r="W172" s="187"/>
      <c r="X172" s="187"/>
      <c r="Y172" s="187"/>
      <c r="Z172" s="187"/>
      <c r="AA172" s="187"/>
      <c r="AB172" s="187"/>
      <c r="AC172" s="187"/>
      <c r="AD172" s="187"/>
      <c r="AE172" s="187"/>
    </row>
    <row r="173" spans="1:31" x14ac:dyDescent="0.25">
      <c r="A173" s="187"/>
      <c r="B173" s="187" t="str">
        <f>IF($C173="","",MAX($B$4:$B172)+1)</f>
        <v/>
      </c>
      <c r="C173" s="183"/>
      <c r="D173" s="183" t="str">
        <f>IFERROR(VLOOKUP($C173,Rosters!$C$4:$M$239,INDEX(Lists!$N$5:$O$80,MATCH($C173,Lists!$N$5:$N$80,FALSE),2)),"")</f>
        <v/>
      </c>
      <c r="E173" s="185">
        <f>IF($C173="",-0.00001,COUNTIF(Database!E:E,$C173))</f>
        <v>-1.0000000000000001E-5</v>
      </c>
      <c r="F173" s="185">
        <f>IFERROR(IF($C173="",-0.00001,SUMIFS(Database!H:H,Database!$E:$E,$C173)),-0.00001)</f>
        <v>-1.0000000000000001E-5</v>
      </c>
      <c r="G173" s="185">
        <f>IFERROR(IF($C173="",-0.00001,SUMIFS(Database!I:I,Database!$E:$E,$C173)),-0.00001)</f>
        <v>-1.0000000000000001E-5</v>
      </c>
      <c r="H173" s="185">
        <f>IFERROR(IF($C173="",-0.00001,SUMIFS(Database!J:J,Database!$E:$E,$C173)),-0.00001)</f>
        <v>-1.0000000000000001E-5</v>
      </c>
      <c r="I173" s="185">
        <f>IFERROR(IF($C173="",-0.00001,SUMIFS(Database!K:K,Database!$E:$E,$C173)),-0.00001)</f>
        <v>-1.0000000000000001E-5</v>
      </c>
      <c r="J173" s="185">
        <f>IFERROR(IF($C173="",-0.00001,SUMIFS(Database!L:L,Database!$E:$E,$C173)),-0.00001)</f>
        <v>-1.0000000000000001E-5</v>
      </c>
      <c r="K173" s="185">
        <f>IFERROR(IF($C173="",-0.00001,SUMIFS(Database!M:M,Database!$E:$E,$C173)),-0.00001)</f>
        <v>-1.0000000000000001E-5</v>
      </c>
      <c r="L173" s="185">
        <f>IFERROR(IF($C173="",-0.00001,SUMIFS(Database!N:N,Database!$E:$E,$C173)),-0.00001)</f>
        <v>-1.0000000000000001E-5</v>
      </c>
      <c r="M173" s="185">
        <f>IFERROR(IF($C173="",-0.00001,SUMIFS(Database!O:O,Database!$E:$E,$C173)),-0.00001)</f>
        <v>-1.0000000000000001E-5</v>
      </c>
      <c r="N173" s="185">
        <f>IFERROR(IF($C173="",-0.00001,SUMIFS(Database!P:P,Database!$E:$E,$C173)),-0.00001)</f>
        <v>-1.0000000000000001E-5</v>
      </c>
      <c r="O173" s="185">
        <f>IFERROR(IF($C173="",-0.00001,SUMIFS(Database!Q:Q,Database!$E:$E,$C173)),-0.00001)</f>
        <v>-1.0000000000000001E-5</v>
      </c>
      <c r="P173" s="186">
        <f t="shared" si="6"/>
        <v>-1.0000000000000001E-5</v>
      </c>
      <c r="Q173" s="185">
        <f>IFERROR(IF($C173="",-0.00001,SUMIFS(Database!S:S,Database!$E:$E,$C173)),-0.00001)</f>
        <v>-1.0000000000000001E-5</v>
      </c>
      <c r="R173" s="185">
        <f>IFERROR(IF($C173="",-0.00001,SUMIFS(Database!T:T,Database!$E:$E,$C173)),-0.00001)</f>
        <v>-1.0000000000000001E-5</v>
      </c>
      <c r="S173" s="186">
        <f t="shared" si="7"/>
        <v>-1.0000000000000001E-5</v>
      </c>
      <c r="T173" s="185">
        <f>IFERROR(IF($C173="",-0.00001,SUMIFS(Database!V:V,Database!$E:$E,$C173)),-0.00001)</f>
        <v>-1.0000000000000001E-5</v>
      </c>
      <c r="U173" s="185">
        <f>IFERROR(IF($C173="",-0.00001,SUMIFS(Database!W:W,Database!$E:$E,$C173)),-0.00001)</f>
        <v>-1.0000000000000001E-5</v>
      </c>
      <c r="V173" s="186">
        <f t="shared" si="8"/>
        <v>-1.0000000000000001E-5</v>
      </c>
      <c r="W173" s="187"/>
      <c r="X173" s="187"/>
      <c r="Y173" s="187"/>
      <c r="Z173" s="187"/>
      <c r="AA173" s="187"/>
      <c r="AB173" s="187"/>
      <c r="AC173" s="187"/>
      <c r="AD173" s="187"/>
      <c r="AE173" s="187"/>
    </row>
    <row r="174" spans="1:31" x14ac:dyDescent="0.25">
      <c r="A174" s="187"/>
      <c r="B174" s="187" t="str">
        <f>IF($C174="","",MAX($B$4:$B173)+1)</f>
        <v/>
      </c>
      <c r="C174" s="183"/>
      <c r="D174" s="183" t="str">
        <f>IFERROR(VLOOKUP($C174,Rosters!$C$4:$M$239,INDEX(Lists!$N$5:$O$80,MATCH($C174,Lists!$N$5:$N$80,FALSE),2)),"")</f>
        <v/>
      </c>
      <c r="E174" s="185">
        <f>IF($C174="",-0.00001,COUNTIF(Database!E:E,$C174))</f>
        <v>-1.0000000000000001E-5</v>
      </c>
      <c r="F174" s="185">
        <f>IFERROR(IF($C174="",-0.00001,SUMIFS(Database!H:H,Database!$E:$E,$C174)),-0.00001)</f>
        <v>-1.0000000000000001E-5</v>
      </c>
      <c r="G174" s="185">
        <f>IFERROR(IF($C174="",-0.00001,SUMIFS(Database!I:I,Database!$E:$E,$C174)),-0.00001)</f>
        <v>-1.0000000000000001E-5</v>
      </c>
      <c r="H174" s="185">
        <f>IFERROR(IF($C174="",-0.00001,SUMIFS(Database!J:J,Database!$E:$E,$C174)),-0.00001)</f>
        <v>-1.0000000000000001E-5</v>
      </c>
      <c r="I174" s="185">
        <f>IFERROR(IF($C174="",-0.00001,SUMIFS(Database!K:K,Database!$E:$E,$C174)),-0.00001)</f>
        <v>-1.0000000000000001E-5</v>
      </c>
      <c r="J174" s="185">
        <f>IFERROR(IF($C174="",-0.00001,SUMIFS(Database!L:L,Database!$E:$E,$C174)),-0.00001)</f>
        <v>-1.0000000000000001E-5</v>
      </c>
      <c r="K174" s="185">
        <f>IFERROR(IF($C174="",-0.00001,SUMIFS(Database!M:M,Database!$E:$E,$C174)),-0.00001)</f>
        <v>-1.0000000000000001E-5</v>
      </c>
      <c r="L174" s="185">
        <f>IFERROR(IF($C174="",-0.00001,SUMIFS(Database!N:N,Database!$E:$E,$C174)),-0.00001)</f>
        <v>-1.0000000000000001E-5</v>
      </c>
      <c r="M174" s="185">
        <f>IFERROR(IF($C174="",-0.00001,SUMIFS(Database!O:O,Database!$E:$E,$C174)),-0.00001)</f>
        <v>-1.0000000000000001E-5</v>
      </c>
      <c r="N174" s="185">
        <f>IFERROR(IF($C174="",-0.00001,SUMIFS(Database!P:P,Database!$E:$E,$C174)),-0.00001)</f>
        <v>-1.0000000000000001E-5</v>
      </c>
      <c r="O174" s="185">
        <f>IFERROR(IF($C174="",-0.00001,SUMIFS(Database!Q:Q,Database!$E:$E,$C174)),-0.00001)</f>
        <v>-1.0000000000000001E-5</v>
      </c>
      <c r="P174" s="186">
        <f t="shared" si="6"/>
        <v>-1.0000000000000001E-5</v>
      </c>
      <c r="Q174" s="185">
        <f>IFERROR(IF($C174="",-0.00001,SUMIFS(Database!S:S,Database!$E:$E,$C174)),-0.00001)</f>
        <v>-1.0000000000000001E-5</v>
      </c>
      <c r="R174" s="185">
        <f>IFERROR(IF($C174="",-0.00001,SUMIFS(Database!T:T,Database!$E:$E,$C174)),-0.00001)</f>
        <v>-1.0000000000000001E-5</v>
      </c>
      <c r="S174" s="186">
        <f t="shared" si="7"/>
        <v>-1.0000000000000001E-5</v>
      </c>
      <c r="T174" s="185">
        <f>IFERROR(IF($C174="",-0.00001,SUMIFS(Database!V:V,Database!$E:$E,$C174)),-0.00001)</f>
        <v>-1.0000000000000001E-5</v>
      </c>
      <c r="U174" s="185">
        <f>IFERROR(IF($C174="",-0.00001,SUMIFS(Database!W:W,Database!$E:$E,$C174)),-0.00001)</f>
        <v>-1.0000000000000001E-5</v>
      </c>
      <c r="V174" s="186">
        <f t="shared" si="8"/>
        <v>-1.0000000000000001E-5</v>
      </c>
      <c r="W174" s="187"/>
      <c r="X174" s="187"/>
      <c r="Y174" s="187"/>
      <c r="Z174" s="187"/>
      <c r="AA174" s="187"/>
      <c r="AB174" s="187"/>
      <c r="AC174" s="187"/>
      <c r="AD174" s="187"/>
      <c r="AE174" s="187"/>
    </row>
    <row r="175" spans="1:31" x14ac:dyDescent="0.25">
      <c r="A175" s="187"/>
      <c r="B175" s="187" t="str">
        <f>IF($C175="","",MAX($B$4:$B174)+1)</f>
        <v/>
      </c>
      <c r="C175" s="183"/>
      <c r="D175" s="183" t="str">
        <f>IFERROR(VLOOKUP($C175,Rosters!$C$4:$M$239,INDEX(Lists!$N$5:$O$80,MATCH($C175,Lists!$N$5:$N$80,FALSE),2)),"")</f>
        <v/>
      </c>
      <c r="E175" s="185">
        <f>IF($C175="",-0.00001,COUNTIF(Database!E:E,$C175))</f>
        <v>-1.0000000000000001E-5</v>
      </c>
      <c r="F175" s="185">
        <f>IFERROR(IF($C175="",-0.00001,SUMIFS(Database!H:H,Database!$E:$E,$C175)),-0.00001)</f>
        <v>-1.0000000000000001E-5</v>
      </c>
      <c r="G175" s="185">
        <f>IFERROR(IF($C175="",-0.00001,SUMIFS(Database!I:I,Database!$E:$E,$C175)),-0.00001)</f>
        <v>-1.0000000000000001E-5</v>
      </c>
      <c r="H175" s="185">
        <f>IFERROR(IF($C175="",-0.00001,SUMIFS(Database!J:J,Database!$E:$E,$C175)),-0.00001)</f>
        <v>-1.0000000000000001E-5</v>
      </c>
      <c r="I175" s="185">
        <f>IFERROR(IF($C175="",-0.00001,SUMIFS(Database!K:K,Database!$E:$E,$C175)),-0.00001)</f>
        <v>-1.0000000000000001E-5</v>
      </c>
      <c r="J175" s="185">
        <f>IFERROR(IF($C175="",-0.00001,SUMIFS(Database!L:L,Database!$E:$E,$C175)),-0.00001)</f>
        <v>-1.0000000000000001E-5</v>
      </c>
      <c r="K175" s="185">
        <f>IFERROR(IF($C175="",-0.00001,SUMIFS(Database!M:M,Database!$E:$E,$C175)),-0.00001)</f>
        <v>-1.0000000000000001E-5</v>
      </c>
      <c r="L175" s="185">
        <f>IFERROR(IF($C175="",-0.00001,SUMIFS(Database!N:N,Database!$E:$E,$C175)),-0.00001)</f>
        <v>-1.0000000000000001E-5</v>
      </c>
      <c r="M175" s="185">
        <f>IFERROR(IF($C175="",-0.00001,SUMIFS(Database!O:O,Database!$E:$E,$C175)),-0.00001)</f>
        <v>-1.0000000000000001E-5</v>
      </c>
      <c r="N175" s="185">
        <f>IFERROR(IF($C175="",-0.00001,SUMIFS(Database!P:P,Database!$E:$E,$C175)),-0.00001)</f>
        <v>-1.0000000000000001E-5</v>
      </c>
      <c r="O175" s="185">
        <f>IFERROR(IF($C175="",-0.00001,SUMIFS(Database!Q:Q,Database!$E:$E,$C175)),-0.00001)</f>
        <v>-1.0000000000000001E-5</v>
      </c>
      <c r="P175" s="186">
        <f t="shared" si="6"/>
        <v>-1.0000000000000001E-5</v>
      </c>
      <c r="Q175" s="185">
        <f>IFERROR(IF($C175="",-0.00001,SUMIFS(Database!S:S,Database!$E:$E,$C175)),-0.00001)</f>
        <v>-1.0000000000000001E-5</v>
      </c>
      <c r="R175" s="185">
        <f>IFERROR(IF($C175="",-0.00001,SUMIFS(Database!T:T,Database!$E:$E,$C175)),-0.00001)</f>
        <v>-1.0000000000000001E-5</v>
      </c>
      <c r="S175" s="186">
        <f t="shared" si="7"/>
        <v>-1.0000000000000001E-5</v>
      </c>
      <c r="T175" s="185">
        <f>IFERROR(IF($C175="",-0.00001,SUMIFS(Database!V:V,Database!$E:$E,$C175)),-0.00001)</f>
        <v>-1.0000000000000001E-5</v>
      </c>
      <c r="U175" s="185">
        <f>IFERROR(IF($C175="",-0.00001,SUMIFS(Database!W:W,Database!$E:$E,$C175)),-0.00001)</f>
        <v>-1.0000000000000001E-5</v>
      </c>
      <c r="V175" s="186">
        <f t="shared" si="8"/>
        <v>-1.0000000000000001E-5</v>
      </c>
      <c r="W175" s="187"/>
      <c r="X175" s="187"/>
      <c r="Y175" s="187"/>
      <c r="Z175" s="187"/>
      <c r="AA175" s="187"/>
      <c r="AB175" s="187"/>
      <c r="AC175" s="187"/>
      <c r="AD175" s="187"/>
      <c r="AE175" s="187"/>
    </row>
    <row r="176" spans="1:31" x14ac:dyDescent="0.25">
      <c r="A176" s="187"/>
      <c r="B176" s="187" t="str">
        <f>IF($C176="","",MAX($B$4:$B175)+1)</f>
        <v/>
      </c>
      <c r="C176" s="183"/>
      <c r="D176" s="183" t="str">
        <f>IFERROR(VLOOKUP($C176,Rosters!$C$4:$M$239,INDEX(Lists!$N$5:$O$80,MATCH($C176,Lists!$N$5:$N$80,FALSE),2)),"")</f>
        <v/>
      </c>
      <c r="E176" s="185">
        <f>IF($C176="",-0.00001,COUNTIF(Database!E:E,$C176))</f>
        <v>-1.0000000000000001E-5</v>
      </c>
      <c r="F176" s="185">
        <f>IFERROR(IF($C176="",-0.00001,SUMIFS(Database!H:H,Database!$E:$E,$C176)),-0.00001)</f>
        <v>-1.0000000000000001E-5</v>
      </c>
      <c r="G176" s="185">
        <f>IFERROR(IF($C176="",-0.00001,SUMIFS(Database!I:I,Database!$E:$E,$C176)),-0.00001)</f>
        <v>-1.0000000000000001E-5</v>
      </c>
      <c r="H176" s="185">
        <f>IFERROR(IF($C176="",-0.00001,SUMIFS(Database!J:J,Database!$E:$E,$C176)),-0.00001)</f>
        <v>-1.0000000000000001E-5</v>
      </c>
      <c r="I176" s="185">
        <f>IFERROR(IF($C176="",-0.00001,SUMIFS(Database!K:K,Database!$E:$E,$C176)),-0.00001)</f>
        <v>-1.0000000000000001E-5</v>
      </c>
      <c r="J176" s="185">
        <f>IFERROR(IF($C176="",-0.00001,SUMIFS(Database!L:L,Database!$E:$E,$C176)),-0.00001)</f>
        <v>-1.0000000000000001E-5</v>
      </c>
      <c r="K176" s="185">
        <f>IFERROR(IF($C176="",-0.00001,SUMIFS(Database!M:M,Database!$E:$E,$C176)),-0.00001)</f>
        <v>-1.0000000000000001E-5</v>
      </c>
      <c r="L176" s="185">
        <f>IFERROR(IF($C176="",-0.00001,SUMIFS(Database!N:N,Database!$E:$E,$C176)),-0.00001)</f>
        <v>-1.0000000000000001E-5</v>
      </c>
      <c r="M176" s="185">
        <f>IFERROR(IF($C176="",-0.00001,SUMIFS(Database!O:O,Database!$E:$E,$C176)),-0.00001)</f>
        <v>-1.0000000000000001E-5</v>
      </c>
      <c r="N176" s="185">
        <f>IFERROR(IF($C176="",-0.00001,SUMIFS(Database!P:P,Database!$E:$E,$C176)),-0.00001)</f>
        <v>-1.0000000000000001E-5</v>
      </c>
      <c r="O176" s="185">
        <f>IFERROR(IF($C176="",-0.00001,SUMIFS(Database!Q:Q,Database!$E:$E,$C176)),-0.00001)</f>
        <v>-1.0000000000000001E-5</v>
      </c>
      <c r="P176" s="186">
        <f t="shared" si="6"/>
        <v>-1.0000000000000001E-5</v>
      </c>
      <c r="Q176" s="185">
        <f>IFERROR(IF($C176="",-0.00001,SUMIFS(Database!S:S,Database!$E:$E,$C176)),-0.00001)</f>
        <v>-1.0000000000000001E-5</v>
      </c>
      <c r="R176" s="185">
        <f>IFERROR(IF($C176="",-0.00001,SUMIFS(Database!T:T,Database!$E:$E,$C176)),-0.00001)</f>
        <v>-1.0000000000000001E-5</v>
      </c>
      <c r="S176" s="186">
        <f t="shared" si="7"/>
        <v>-1.0000000000000001E-5</v>
      </c>
      <c r="T176" s="185">
        <f>IFERROR(IF($C176="",-0.00001,SUMIFS(Database!V:V,Database!$E:$E,$C176)),-0.00001)</f>
        <v>-1.0000000000000001E-5</v>
      </c>
      <c r="U176" s="185">
        <f>IFERROR(IF($C176="",-0.00001,SUMIFS(Database!W:W,Database!$E:$E,$C176)),-0.00001)</f>
        <v>-1.0000000000000001E-5</v>
      </c>
      <c r="V176" s="186">
        <f t="shared" si="8"/>
        <v>-1.0000000000000001E-5</v>
      </c>
      <c r="W176" s="187"/>
      <c r="X176" s="187"/>
      <c r="Y176" s="187"/>
      <c r="Z176" s="187"/>
      <c r="AA176" s="187"/>
      <c r="AB176" s="187"/>
      <c r="AC176" s="187"/>
      <c r="AD176" s="187"/>
      <c r="AE176" s="187"/>
    </row>
    <row r="177" spans="1:31" x14ac:dyDescent="0.25">
      <c r="A177" s="187"/>
      <c r="B177" s="187" t="str">
        <f>IF($C177="","",MAX($B$4:$B176)+1)</f>
        <v/>
      </c>
      <c r="C177" s="183"/>
      <c r="D177" s="183" t="str">
        <f>IFERROR(VLOOKUP($C177,Rosters!$C$4:$M$239,INDEX(Lists!$N$5:$O$80,MATCH($C177,Lists!$N$5:$N$80,FALSE),2)),"")</f>
        <v/>
      </c>
      <c r="E177" s="185">
        <f>IF($C177="",-0.00001,COUNTIF(Database!E:E,$C177))</f>
        <v>-1.0000000000000001E-5</v>
      </c>
      <c r="F177" s="185">
        <f>IFERROR(IF($C177="",-0.00001,SUMIFS(Database!H:H,Database!$E:$E,$C177)),-0.00001)</f>
        <v>-1.0000000000000001E-5</v>
      </c>
      <c r="G177" s="185">
        <f>IFERROR(IF($C177="",-0.00001,SUMIFS(Database!I:I,Database!$E:$E,$C177)),-0.00001)</f>
        <v>-1.0000000000000001E-5</v>
      </c>
      <c r="H177" s="185">
        <f>IFERROR(IF($C177="",-0.00001,SUMIFS(Database!J:J,Database!$E:$E,$C177)),-0.00001)</f>
        <v>-1.0000000000000001E-5</v>
      </c>
      <c r="I177" s="185">
        <f>IFERROR(IF($C177="",-0.00001,SUMIFS(Database!K:K,Database!$E:$E,$C177)),-0.00001)</f>
        <v>-1.0000000000000001E-5</v>
      </c>
      <c r="J177" s="185">
        <f>IFERROR(IF($C177="",-0.00001,SUMIFS(Database!L:L,Database!$E:$E,$C177)),-0.00001)</f>
        <v>-1.0000000000000001E-5</v>
      </c>
      <c r="K177" s="185">
        <f>IFERROR(IF($C177="",-0.00001,SUMIFS(Database!M:M,Database!$E:$E,$C177)),-0.00001)</f>
        <v>-1.0000000000000001E-5</v>
      </c>
      <c r="L177" s="185">
        <f>IFERROR(IF($C177="",-0.00001,SUMIFS(Database!N:N,Database!$E:$E,$C177)),-0.00001)</f>
        <v>-1.0000000000000001E-5</v>
      </c>
      <c r="M177" s="185">
        <f>IFERROR(IF($C177="",-0.00001,SUMIFS(Database!O:O,Database!$E:$E,$C177)),-0.00001)</f>
        <v>-1.0000000000000001E-5</v>
      </c>
      <c r="N177" s="185">
        <f>IFERROR(IF($C177="",-0.00001,SUMIFS(Database!P:P,Database!$E:$E,$C177)),-0.00001)</f>
        <v>-1.0000000000000001E-5</v>
      </c>
      <c r="O177" s="185">
        <f>IFERROR(IF($C177="",-0.00001,SUMIFS(Database!Q:Q,Database!$E:$E,$C177)),-0.00001)</f>
        <v>-1.0000000000000001E-5</v>
      </c>
      <c r="P177" s="186">
        <f t="shared" si="6"/>
        <v>-1.0000000000000001E-5</v>
      </c>
      <c r="Q177" s="185">
        <f>IFERROR(IF($C177="",-0.00001,SUMIFS(Database!S:S,Database!$E:$E,$C177)),-0.00001)</f>
        <v>-1.0000000000000001E-5</v>
      </c>
      <c r="R177" s="185">
        <f>IFERROR(IF($C177="",-0.00001,SUMIFS(Database!T:T,Database!$E:$E,$C177)),-0.00001)</f>
        <v>-1.0000000000000001E-5</v>
      </c>
      <c r="S177" s="186">
        <f t="shared" si="7"/>
        <v>-1.0000000000000001E-5</v>
      </c>
      <c r="T177" s="185">
        <f>IFERROR(IF($C177="",-0.00001,SUMIFS(Database!V:V,Database!$E:$E,$C177)),-0.00001)</f>
        <v>-1.0000000000000001E-5</v>
      </c>
      <c r="U177" s="185">
        <f>IFERROR(IF($C177="",-0.00001,SUMIFS(Database!W:W,Database!$E:$E,$C177)),-0.00001)</f>
        <v>-1.0000000000000001E-5</v>
      </c>
      <c r="V177" s="186">
        <f t="shared" si="8"/>
        <v>-1.0000000000000001E-5</v>
      </c>
      <c r="W177" s="187"/>
      <c r="X177" s="187"/>
      <c r="Y177" s="187"/>
      <c r="Z177" s="187"/>
      <c r="AA177" s="187"/>
      <c r="AB177" s="187"/>
      <c r="AC177" s="187"/>
      <c r="AD177" s="187"/>
      <c r="AE177" s="187"/>
    </row>
    <row r="178" spans="1:31" x14ac:dyDescent="0.25">
      <c r="A178" s="187"/>
      <c r="B178" s="187" t="str">
        <f>IF($C178="","",MAX($B$4:$B177)+1)</f>
        <v/>
      </c>
      <c r="C178" s="183"/>
      <c r="D178" s="183" t="str">
        <f>IFERROR(VLOOKUP($C178,Rosters!$C$4:$M$239,INDEX(Lists!$N$5:$O$80,MATCH($C178,Lists!$N$5:$N$80,FALSE),2)),"")</f>
        <v/>
      </c>
      <c r="E178" s="185">
        <f>IF($C178="",-0.00001,COUNTIF(Database!E:E,$C178))</f>
        <v>-1.0000000000000001E-5</v>
      </c>
      <c r="F178" s="185">
        <f>IFERROR(IF($C178="",-0.00001,SUMIFS(Database!H:H,Database!$E:$E,$C178)),-0.00001)</f>
        <v>-1.0000000000000001E-5</v>
      </c>
      <c r="G178" s="185">
        <f>IFERROR(IF($C178="",-0.00001,SUMIFS(Database!I:I,Database!$E:$E,$C178)),-0.00001)</f>
        <v>-1.0000000000000001E-5</v>
      </c>
      <c r="H178" s="185">
        <f>IFERROR(IF($C178="",-0.00001,SUMIFS(Database!J:J,Database!$E:$E,$C178)),-0.00001)</f>
        <v>-1.0000000000000001E-5</v>
      </c>
      <c r="I178" s="185">
        <f>IFERROR(IF($C178="",-0.00001,SUMIFS(Database!K:K,Database!$E:$E,$C178)),-0.00001)</f>
        <v>-1.0000000000000001E-5</v>
      </c>
      <c r="J178" s="185">
        <f>IFERROR(IF($C178="",-0.00001,SUMIFS(Database!L:L,Database!$E:$E,$C178)),-0.00001)</f>
        <v>-1.0000000000000001E-5</v>
      </c>
      <c r="K178" s="185">
        <f>IFERROR(IF($C178="",-0.00001,SUMIFS(Database!M:M,Database!$E:$E,$C178)),-0.00001)</f>
        <v>-1.0000000000000001E-5</v>
      </c>
      <c r="L178" s="185">
        <f>IFERROR(IF($C178="",-0.00001,SUMIFS(Database!N:N,Database!$E:$E,$C178)),-0.00001)</f>
        <v>-1.0000000000000001E-5</v>
      </c>
      <c r="M178" s="185">
        <f>IFERROR(IF($C178="",-0.00001,SUMIFS(Database!O:O,Database!$E:$E,$C178)),-0.00001)</f>
        <v>-1.0000000000000001E-5</v>
      </c>
      <c r="N178" s="185">
        <f>IFERROR(IF($C178="",-0.00001,SUMIFS(Database!P:P,Database!$E:$E,$C178)),-0.00001)</f>
        <v>-1.0000000000000001E-5</v>
      </c>
      <c r="O178" s="185">
        <f>IFERROR(IF($C178="",-0.00001,SUMIFS(Database!Q:Q,Database!$E:$E,$C178)),-0.00001)</f>
        <v>-1.0000000000000001E-5</v>
      </c>
      <c r="P178" s="186">
        <f t="shared" si="6"/>
        <v>-1.0000000000000001E-5</v>
      </c>
      <c r="Q178" s="185">
        <f>IFERROR(IF($C178="",-0.00001,SUMIFS(Database!S:S,Database!$E:$E,$C178)),-0.00001)</f>
        <v>-1.0000000000000001E-5</v>
      </c>
      <c r="R178" s="185">
        <f>IFERROR(IF($C178="",-0.00001,SUMIFS(Database!T:T,Database!$E:$E,$C178)),-0.00001)</f>
        <v>-1.0000000000000001E-5</v>
      </c>
      <c r="S178" s="186">
        <f t="shared" si="7"/>
        <v>-1.0000000000000001E-5</v>
      </c>
      <c r="T178" s="185">
        <f>IFERROR(IF($C178="",-0.00001,SUMIFS(Database!V:V,Database!$E:$E,$C178)),-0.00001)</f>
        <v>-1.0000000000000001E-5</v>
      </c>
      <c r="U178" s="185">
        <f>IFERROR(IF($C178="",-0.00001,SUMIFS(Database!W:W,Database!$E:$E,$C178)),-0.00001)</f>
        <v>-1.0000000000000001E-5</v>
      </c>
      <c r="V178" s="186">
        <f t="shared" si="8"/>
        <v>-1.0000000000000001E-5</v>
      </c>
      <c r="W178" s="187"/>
      <c r="X178" s="187"/>
      <c r="Y178" s="187"/>
      <c r="Z178" s="187"/>
      <c r="AA178" s="187"/>
      <c r="AB178" s="187"/>
      <c r="AC178" s="187"/>
      <c r="AD178" s="187"/>
      <c r="AE178" s="187"/>
    </row>
    <row r="179" spans="1:31" x14ac:dyDescent="0.25">
      <c r="A179" s="187"/>
      <c r="B179" s="187" t="str">
        <f>IF($C179="","",MAX($B$4:$B178)+1)</f>
        <v/>
      </c>
      <c r="C179" s="183"/>
      <c r="D179" s="183" t="str">
        <f>IFERROR(VLOOKUP($C179,Rosters!$C$4:$M$239,INDEX(Lists!$N$5:$O$80,MATCH($C179,Lists!$N$5:$N$80,FALSE),2)),"")</f>
        <v/>
      </c>
      <c r="E179" s="185">
        <f>IF($C179="",-0.00001,COUNTIF(Database!E:E,$C179))</f>
        <v>-1.0000000000000001E-5</v>
      </c>
      <c r="F179" s="185">
        <f>IFERROR(IF($C179="",-0.00001,SUMIFS(Database!H:H,Database!$E:$E,$C179)),-0.00001)</f>
        <v>-1.0000000000000001E-5</v>
      </c>
      <c r="G179" s="185">
        <f>IFERROR(IF($C179="",-0.00001,SUMIFS(Database!I:I,Database!$E:$E,$C179)),-0.00001)</f>
        <v>-1.0000000000000001E-5</v>
      </c>
      <c r="H179" s="185">
        <f>IFERROR(IF($C179="",-0.00001,SUMIFS(Database!J:J,Database!$E:$E,$C179)),-0.00001)</f>
        <v>-1.0000000000000001E-5</v>
      </c>
      <c r="I179" s="185">
        <f>IFERROR(IF($C179="",-0.00001,SUMIFS(Database!K:K,Database!$E:$E,$C179)),-0.00001)</f>
        <v>-1.0000000000000001E-5</v>
      </c>
      <c r="J179" s="185">
        <f>IFERROR(IF($C179="",-0.00001,SUMIFS(Database!L:L,Database!$E:$E,$C179)),-0.00001)</f>
        <v>-1.0000000000000001E-5</v>
      </c>
      <c r="K179" s="185">
        <f>IFERROR(IF($C179="",-0.00001,SUMIFS(Database!M:M,Database!$E:$E,$C179)),-0.00001)</f>
        <v>-1.0000000000000001E-5</v>
      </c>
      <c r="L179" s="185">
        <f>IFERROR(IF($C179="",-0.00001,SUMIFS(Database!N:N,Database!$E:$E,$C179)),-0.00001)</f>
        <v>-1.0000000000000001E-5</v>
      </c>
      <c r="M179" s="185">
        <f>IFERROR(IF($C179="",-0.00001,SUMIFS(Database!O:O,Database!$E:$E,$C179)),-0.00001)</f>
        <v>-1.0000000000000001E-5</v>
      </c>
      <c r="N179" s="185">
        <f>IFERROR(IF($C179="",-0.00001,SUMIFS(Database!P:P,Database!$E:$E,$C179)),-0.00001)</f>
        <v>-1.0000000000000001E-5</v>
      </c>
      <c r="O179" s="185">
        <f>IFERROR(IF($C179="",-0.00001,SUMIFS(Database!Q:Q,Database!$E:$E,$C179)),-0.00001)</f>
        <v>-1.0000000000000001E-5</v>
      </c>
      <c r="P179" s="186">
        <f t="shared" si="6"/>
        <v>-1.0000000000000001E-5</v>
      </c>
      <c r="Q179" s="185">
        <f>IFERROR(IF($C179="",-0.00001,SUMIFS(Database!S:S,Database!$E:$E,$C179)),-0.00001)</f>
        <v>-1.0000000000000001E-5</v>
      </c>
      <c r="R179" s="185">
        <f>IFERROR(IF($C179="",-0.00001,SUMIFS(Database!T:T,Database!$E:$E,$C179)),-0.00001)</f>
        <v>-1.0000000000000001E-5</v>
      </c>
      <c r="S179" s="186">
        <f t="shared" si="7"/>
        <v>-1.0000000000000001E-5</v>
      </c>
      <c r="T179" s="185">
        <f>IFERROR(IF($C179="",-0.00001,SUMIFS(Database!V:V,Database!$E:$E,$C179)),-0.00001)</f>
        <v>-1.0000000000000001E-5</v>
      </c>
      <c r="U179" s="185">
        <f>IFERROR(IF($C179="",-0.00001,SUMIFS(Database!W:W,Database!$E:$E,$C179)),-0.00001)</f>
        <v>-1.0000000000000001E-5</v>
      </c>
      <c r="V179" s="186">
        <f t="shared" si="8"/>
        <v>-1.0000000000000001E-5</v>
      </c>
      <c r="W179" s="187"/>
      <c r="X179" s="187"/>
      <c r="Y179" s="187"/>
      <c r="Z179" s="187"/>
      <c r="AA179" s="187"/>
      <c r="AB179" s="187"/>
      <c r="AC179" s="187"/>
      <c r="AD179" s="187"/>
      <c r="AE179" s="187"/>
    </row>
    <row r="180" spans="1:31" x14ac:dyDescent="0.25">
      <c r="A180" s="187"/>
      <c r="B180" s="187" t="str">
        <f>IF($C180="","",MAX($B$4:$B179)+1)</f>
        <v/>
      </c>
      <c r="C180" s="183"/>
      <c r="D180" s="183" t="str">
        <f>IFERROR(VLOOKUP($C180,Rosters!$C$4:$M$239,INDEX(Lists!$N$5:$O$80,MATCH($C180,Lists!$N$5:$N$80,FALSE),2)),"")</f>
        <v/>
      </c>
      <c r="E180" s="185">
        <f>IF($C180="",-0.00001,COUNTIF(Database!E:E,$C180))</f>
        <v>-1.0000000000000001E-5</v>
      </c>
      <c r="F180" s="185">
        <f>IFERROR(IF($C180="",-0.00001,SUMIFS(Database!H:H,Database!$E:$E,$C180)),-0.00001)</f>
        <v>-1.0000000000000001E-5</v>
      </c>
      <c r="G180" s="185">
        <f>IFERROR(IF($C180="",-0.00001,SUMIFS(Database!I:I,Database!$E:$E,$C180)),-0.00001)</f>
        <v>-1.0000000000000001E-5</v>
      </c>
      <c r="H180" s="185">
        <f>IFERROR(IF($C180="",-0.00001,SUMIFS(Database!J:J,Database!$E:$E,$C180)),-0.00001)</f>
        <v>-1.0000000000000001E-5</v>
      </c>
      <c r="I180" s="185">
        <f>IFERROR(IF($C180="",-0.00001,SUMIFS(Database!K:K,Database!$E:$E,$C180)),-0.00001)</f>
        <v>-1.0000000000000001E-5</v>
      </c>
      <c r="J180" s="185">
        <f>IFERROR(IF($C180="",-0.00001,SUMIFS(Database!L:L,Database!$E:$E,$C180)),-0.00001)</f>
        <v>-1.0000000000000001E-5</v>
      </c>
      <c r="K180" s="185">
        <f>IFERROR(IF($C180="",-0.00001,SUMIFS(Database!M:M,Database!$E:$E,$C180)),-0.00001)</f>
        <v>-1.0000000000000001E-5</v>
      </c>
      <c r="L180" s="185">
        <f>IFERROR(IF($C180="",-0.00001,SUMIFS(Database!N:N,Database!$E:$E,$C180)),-0.00001)</f>
        <v>-1.0000000000000001E-5</v>
      </c>
      <c r="M180" s="185">
        <f>IFERROR(IF($C180="",-0.00001,SUMIFS(Database!O:O,Database!$E:$E,$C180)),-0.00001)</f>
        <v>-1.0000000000000001E-5</v>
      </c>
      <c r="N180" s="185">
        <f>IFERROR(IF($C180="",-0.00001,SUMIFS(Database!P:P,Database!$E:$E,$C180)),-0.00001)</f>
        <v>-1.0000000000000001E-5</v>
      </c>
      <c r="O180" s="185">
        <f>IFERROR(IF($C180="",-0.00001,SUMIFS(Database!Q:Q,Database!$E:$E,$C180)),-0.00001)</f>
        <v>-1.0000000000000001E-5</v>
      </c>
      <c r="P180" s="186">
        <f t="shared" si="6"/>
        <v>-1.0000000000000001E-5</v>
      </c>
      <c r="Q180" s="185">
        <f>IFERROR(IF($C180="",-0.00001,SUMIFS(Database!S:S,Database!$E:$E,$C180)),-0.00001)</f>
        <v>-1.0000000000000001E-5</v>
      </c>
      <c r="R180" s="185">
        <f>IFERROR(IF($C180="",-0.00001,SUMIFS(Database!T:T,Database!$E:$E,$C180)),-0.00001)</f>
        <v>-1.0000000000000001E-5</v>
      </c>
      <c r="S180" s="186">
        <f t="shared" si="7"/>
        <v>-1.0000000000000001E-5</v>
      </c>
      <c r="T180" s="185">
        <f>IFERROR(IF($C180="",-0.00001,SUMIFS(Database!V:V,Database!$E:$E,$C180)),-0.00001)</f>
        <v>-1.0000000000000001E-5</v>
      </c>
      <c r="U180" s="185">
        <f>IFERROR(IF($C180="",-0.00001,SUMIFS(Database!W:W,Database!$E:$E,$C180)),-0.00001)</f>
        <v>-1.0000000000000001E-5</v>
      </c>
      <c r="V180" s="186">
        <f t="shared" si="8"/>
        <v>-1.0000000000000001E-5</v>
      </c>
      <c r="W180" s="187"/>
      <c r="X180" s="187"/>
      <c r="Y180" s="187"/>
      <c r="Z180" s="187"/>
      <c r="AA180" s="187"/>
      <c r="AB180" s="187"/>
      <c r="AC180" s="187"/>
      <c r="AD180" s="187"/>
      <c r="AE180" s="187"/>
    </row>
    <row r="181" spans="1:31" x14ac:dyDescent="0.25">
      <c r="A181" s="187"/>
      <c r="B181" s="187" t="str">
        <f>IF($C181="","",MAX($B$4:$B180)+1)</f>
        <v/>
      </c>
      <c r="C181" s="183"/>
      <c r="D181" s="183" t="str">
        <f>IFERROR(VLOOKUP($C181,Rosters!$C$4:$M$239,INDEX(Lists!$N$5:$O$80,MATCH($C181,Lists!$N$5:$N$80,FALSE),2)),"")</f>
        <v/>
      </c>
      <c r="E181" s="185">
        <f>IF($C181="",-0.00001,COUNTIF(Database!E:E,$C181))</f>
        <v>-1.0000000000000001E-5</v>
      </c>
      <c r="F181" s="185">
        <f>IFERROR(IF($C181="",-0.00001,SUMIFS(Database!H:H,Database!$E:$E,$C181)),-0.00001)</f>
        <v>-1.0000000000000001E-5</v>
      </c>
      <c r="G181" s="185">
        <f>IFERROR(IF($C181="",-0.00001,SUMIFS(Database!I:I,Database!$E:$E,$C181)),-0.00001)</f>
        <v>-1.0000000000000001E-5</v>
      </c>
      <c r="H181" s="185">
        <f>IFERROR(IF($C181="",-0.00001,SUMIFS(Database!J:J,Database!$E:$E,$C181)),-0.00001)</f>
        <v>-1.0000000000000001E-5</v>
      </c>
      <c r="I181" s="185">
        <f>IFERROR(IF($C181="",-0.00001,SUMIFS(Database!K:K,Database!$E:$E,$C181)),-0.00001)</f>
        <v>-1.0000000000000001E-5</v>
      </c>
      <c r="J181" s="185">
        <f>IFERROR(IF($C181="",-0.00001,SUMIFS(Database!L:L,Database!$E:$E,$C181)),-0.00001)</f>
        <v>-1.0000000000000001E-5</v>
      </c>
      <c r="K181" s="185">
        <f>IFERROR(IF($C181="",-0.00001,SUMIFS(Database!M:M,Database!$E:$E,$C181)),-0.00001)</f>
        <v>-1.0000000000000001E-5</v>
      </c>
      <c r="L181" s="185">
        <f>IFERROR(IF($C181="",-0.00001,SUMIFS(Database!N:N,Database!$E:$E,$C181)),-0.00001)</f>
        <v>-1.0000000000000001E-5</v>
      </c>
      <c r="M181" s="185">
        <f>IFERROR(IF($C181="",-0.00001,SUMIFS(Database!O:O,Database!$E:$E,$C181)),-0.00001)</f>
        <v>-1.0000000000000001E-5</v>
      </c>
      <c r="N181" s="185">
        <f>IFERROR(IF($C181="",-0.00001,SUMIFS(Database!P:P,Database!$E:$E,$C181)),-0.00001)</f>
        <v>-1.0000000000000001E-5</v>
      </c>
      <c r="O181" s="185">
        <f>IFERROR(IF($C181="",-0.00001,SUMIFS(Database!Q:Q,Database!$E:$E,$C181)),-0.00001)</f>
        <v>-1.0000000000000001E-5</v>
      </c>
      <c r="P181" s="186">
        <f t="shared" si="6"/>
        <v>-1.0000000000000001E-5</v>
      </c>
      <c r="Q181" s="185">
        <f>IFERROR(IF($C181="",-0.00001,SUMIFS(Database!S:S,Database!$E:$E,$C181)),-0.00001)</f>
        <v>-1.0000000000000001E-5</v>
      </c>
      <c r="R181" s="185">
        <f>IFERROR(IF($C181="",-0.00001,SUMIFS(Database!T:T,Database!$E:$E,$C181)),-0.00001)</f>
        <v>-1.0000000000000001E-5</v>
      </c>
      <c r="S181" s="186">
        <f t="shared" si="7"/>
        <v>-1.0000000000000001E-5</v>
      </c>
      <c r="T181" s="185">
        <f>IFERROR(IF($C181="",-0.00001,SUMIFS(Database!V:V,Database!$E:$E,$C181)),-0.00001)</f>
        <v>-1.0000000000000001E-5</v>
      </c>
      <c r="U181" s="185">
        <f>IFERROR(IF($C181="",-0.00001,SUMIFS(Database!W:W,Database!$E:$E,$C181)),-0.00001)</f>
        <v>-1.0000000000000001E-5</v>
      </c>
      <c r="V181" s="186">
        <f t="shared" si="8"/>
        <v>-1.0000000000000001E-5</v>
      </c>
      <c r="W181" s="187"/>
      <c r="X181" s="187"/>
      <c r="Y181" s="187"/>
      <c r="Z181" s="187"/>
      <c r="AA181" s="187"/>
      <c r="AB181" s="187"/>
      <c r="AC181" s="187"/>
      <c r="AD181" s="187"/>
      <c r="AE181" s="187"/>
    </row>
    <row r="182" spans="1:31" x14ac:dyDescent="0.25">
      <c r="A182" s="187"/>
      <c r="B182" s="187" t="str">
        <f>IF($C182="","",MAX($B$4:$B181)+1)</f>
        <v/>
      </c>
      <c r="C182" s="183"/>
      <c r="D182" s="183" t="str">
        <f>IFERROR(VLOOKUP($C182,Rosters!$C$4:$M$239,INDEX(Lists!$N$5:$O$80,MATCH($C182,Lists!$N$5:$N$80,FALSE),2)),"")</f>
        <v/>
      </c>
      <c r="E182" s="185">
        <f>IF($C182="",-0.00001,COUNTIF(Database!E:E,$C182))</f>
        <v>-1.0000000000000001E-5</v>
      </c>
      <c r="F182" s="185">
        <f>IFERROR(IF($C182="",-0.00001,SUMIFS(Database!H:H,Database!$E:$E,$C182)),-0.00001)</f>
        <v>-1.0000000000000001E-5</v>
      </c>
      <c r="G182" s="185">
        <f>IFERROR(IF($C182="",-0.00001,SUMIFS(Database!I:I,Database!$E:$E,$C182)),-0.00001)</f>
        <v>-1.0000000000000001E-5</v>
      </c>
      <c r="H182" s="185">
        <f>IFERROR(IF($C182="",-0.00001,SUMIFS(Database!J:J,Database!$E:$E,$C182)),-0.00001)</f>
        <v>-1.0000000000000001E-5</v>
      </c>
      <c r="I182" s="185">
        <f>IFERROR(IF($C182="",-0.00001,SUMIFS(Database!K:K,Database!$E:$E,$C182)),-0.00001)</f>
        <v>-1.0000000000000001E-5</v>
      </c>
      <c r="J182" s="185">
        <f>IFERROR(IF($C182="",-0.00001,SUMIFS(Database!L:L,Database!$E:$E,$C182)),-0.00001)</f>
        <v>-1.0000000000000001E-5</v>
      </c>
      <c r="K182" s="185">
        <f>IFERROR(IF($C182="",-0.00001,SUMIFS(Database!M:M,Database!$E:$E,$C182)),-0.00001)</f>
        <v>-1.0000000000000001E-5</v>
      </c>
      <c r="L182" s="185">
        <f>IFERROR(IF($C182="",-0.00001,SUMIFS(Database!N:N,Database!$E:$E,$C182)),-0.00001)</f>
        <v>-1.0000000000000001E-5</v>
      </c>
      <c r="M182" s="185">
        <f>IFERROR(IF($C182="",-0.00001,SUMIFS(Database!O:O,Database!$E:$E,$C182)),-0.00001)</f>
        <v>-1.0000000000000001E-5</v>
      </c>
      <c r="N182" s="185">
        <f>IFERROR(IF($C182="",-0.00001,SUMIFS(Database!P:P,Database!$E:$E,$C182)),-0.00001)</f>
        <v>-1.0000000000000001E-5</v>
      </c>
      <c r="O182" s="185">
        <f>IFERROR(IF($C182="",-0.00001,SUMIFS(Database!Q:Q,Database!$E:$E,$C182)),-0.00001)</f>
        <v>-1.0000000000000001E-5</v>
      </c>
      <c r="P182" s="186">
        <f t="shared" si="6"/>
        <v>-1.0000000000000001E-5</v>
      </c>
      <c r="Q182" s="185">
        <f>IFERROR(IF($C182="",-0.00001,SUMIFS(Database!S:S,Database!$E:$E,$C182)),-0.00001)</f>
        <v>-1.0000000000000001E-5</v>
      </c>
      <c r="R182" s="185">
        <f>IFERROR(IF($C182="",-0.00001,SUMIFS(Database!T:T,Database!$E:$E,$C182)),-0.00001)</f>
        <v>-1.0000000000000001E-5</v>
      </c>
      <c r="S182" s="186">
        <f t="shared" si="7"/>
        <v>-1.0000000000000001E-5</v>
      </c>
      <c r="T182" s="185">
        <f>IFERROR(IF($C182="",-0.00001,SUMIFS(Database!V:V,Database!$E:$E,$C182)),-0.00001)</f>
        <v>-1.0000000000000001E-5</v>
      </c>
      <c r="U182" s="185">
        <f>IFERROR(IF($C182="",-0.00001,SUMIFS(Database!W:W,Database!$E:$E,$C182)),-0.00001)</f>
        <v>-1.0000000000000001E-5</v>
      </c>
      <c r="V182" s="186">
        <f t="shared" si="8"/>
        <v>-1.0000000000000001E-5</v>
      </c>
      <c r="W182" s="187"/>
      <c r="X182" s="187"/>
      <c r="Y182" s="187"/>
      <c r="Z182" s="187"/>
      <c r="AA182" s="187"/>
      <c r="AB182" s="187"/>
      <c r="AC182" s="187"/>
      <c r="AD182" s="187"/>
      <c r="AE182" s="187"/>
    </row>
    <row r="183" spans="1:31" x14ac:dyDescent="0.25">
      <c r="A183" s="187"/>
      <c r="B183" s="187" t="str">
        <f>IF($C183="","",MAX($B$4:$B182)+1)</f>
        <v/>
      </c>
      <c r="C183" s="183"/>
      <c r="D183" s="183" t="str">
        <f>IFERROR(VLOOKUP($C183,Rosters!$C$4:$M$239,INDEX(Lists!$N$5:$O$80,MATCH($C183,Lists!$N$5:$N$80,FALSE),2)),"")</f>
        <v/>
      </c>
      <c r="E183" s="185">
        <f>IF($C183="",-0.00001,COUNTIF(Database!E:E,$C183))</f>
        <v>-1.0000000000000001E-5</v>
      </c>
      <c r="F183" s="185">
        <f>IFERROR(IF($C183="",-0.00001,SUMIFS(Database!H:H,Database!$E:$E,$C183)),-0.00001)</f>
        <v>-1.0000000000000001E-5</v>
      </c>
      <c r="G183" s="185">
        <f>IFERROR(IF($C183="",-0.00001,SUMIFS(Database!I:I,Database!$E:$E,$C183)),-0.00001)</f>
        <v>-1.0000000000000001E-5</v>
      </c>
      <c r="H183" s="185">
        <f>IFERROR(IF($C183="",-0.00001,SUMIFS(Database!J:J,Database!$E:$E,$C183)),-0.00001)</f>
        <v>-1.0000000000000001E-5</v>
      </c>
      <c r="I183" s="185">
        <f>IFERROR(IF($C183="",-0.00001,SUMIFS(Database!K:K,Database!$E:$E,$C183)),-0.00001)</f>
        <v>-1.0000000000000001E-5</v>
      </c>
      <c r="J183" s="185">
        <f>IFERROR(IF($C183="",-0.00001,SUMIFS(Database!L:L,Database!$E:$E,$C183)),-0.00001)</f>
        <v>-1.0000000000000001E-5</v>
      </c>
      <c r="K183" s="185">
        <f>IFERROR(IF($C183="",-0.00001,SUMIFS(Database!M:M,Database!$E:$E,$C183)),-0.00001)</f>
        <v>-1.0000000000000001E-5</v>
      </c>
      <c r="L183" s="185">
        <f>IFERROR(IF($C183="",-0.00001,SUMIFS(Database!N:N,Database!$E:$E,$C183)),-0.00001)</f>
        <v>-1.0000000000000001E-5</v>
      </c>
      <c r="M183" s="185">
        <f>IFERROR(IF($C183="",-0.00001,SUMIFS(Database!O:O,Database!$E:$E,$C183)),-0.00001)</f>
        <v>-1.0000000000000001E-5</v>
      </c>
      <c r="N183" s="185">
        <f>IFERROR(IF($C183="",-0.00001,SUMIFS(Database!P:P,Database!$E:$E,$C183)),-0.00001)</f>
        <v>-1.0000000000000001E-5</v>
      </c>
      <c r="O183" s="185">
        <f>IFERROR(IF($C183="",-0.00001,SUMIFS(Database!Q:Q,Database!$E:$E,$C183)),-0.00001)</f>
        <v>-1.0000000000000001E-5</v>
      </c>
      <c r="P183" s="186">
        <f t="shared" si="6"/>
        <v>-1.0000000000000001E-5</v>
      </c>
      <c r="Q183" s="185">
        <f>IFERROR(IF($C183="",-0.00001,SUMIFS(Database!S:S,Database!$E:$E,$C183)),-0.00001)</f>
        <v>-1.0000000000000001E-5</v>
      </c>
      <c r="R183" s="185">
        <f>IFERROR(IF($C183="",-0.00001,SUMIFS(Database!T:T,Database!$E:$E,$C183)),-0.00001)</f>
        <v>-1.0000000000000001E-5</v>
      </c>
      <c r="S183" s="186">
        <f t="shared" si="7"/>
        <v>-1.0000000000000001E-5</v>
      </c>
      <c r="T183" s="185">
        <f>IFERROR(IF($C183="",-0.00001,SUMIFS(Database!V:V,Database!$E:$E,$C183)),-0.00001)</f>
        <v>-1.0000000000000001E-5</v>
      </c>
      <c r="U183" s="185">
        <f>IFERROR(IF($C183="",-0.00001,SUMIFS(Database!W:W,Database!$E:$E,$C183)),-0.00001)</f>
        <v>-1.0000000000000001E-5</v>
      </c>
      <c r="V183" s="186">
        <f t="shared" si="8"/>
        <v>-1.0000000000000001E-5</v>
      </c>
      <c r="W183" s="187"/>
      <c r="X183" s="187"/>
      <c r="Y183" s="187"/>
      <c r="Z183" s="187"/>
      <c r="AA183" s="187"/>
      <c r="AB183" s="187"/>
      <c r="AC183" s="187"/>
      <c r="AD183" s="187"/>
      <c r="AE183" s="187"/>
    </row>
    <row r="184" spans="1:31" x14ac:dyDescent="0.25">
      <c r="A184" s="187"/>
      <c r="B184" s="187" t="str">
        <f>IF($C184="","",MAX($B$4:$B183)+1)</f>
        <v/>
      </c>
      <c r="C184" s="183"/>
      <c r="D184" s="183" t="str">
        <f>IFERROR(VLOOKUP($C184,Rosters!$C$4:$M$239,INDEX(Lists!$N$5:$O$80,MATCH($C184,Lists!$N$5:$N$80,FALSE),2)),"")</f>
        <v/>
      </c>
      <c r="E184" s="185">
        <f>IF($C184="",-0.00001,COUNTIF(Database!E:E,$C184))</f>
        <v>-1.0000000000000001E-5</v>
      </c>
      <c r="F184" s="185">
        <f>IFERROR(IF($C184="",-0.00001,SUMIFS(Database!H:H,Database!$E:$E,$C184)),-0.00001)</f>
        <v>-1.0000000000000001E-5</v>
      </c>
      <c r="G184" s="185">
        <f>IFERROR(IF($C184="",-0.00001,SUMIFS(Database!I:I,Database!$E:$E,$C184)),-0.00001)</f>
        <v>-1.0000000000000001E-5</v>
      </c>
      <c r="H184" s="185">
        <f>IFERROR(IF($C184="",-0.00001,SUMIFS(Database!J:J,Database!$E:$E,$C184)),-0.00001)</f>
        <v>-1.0000000000000001E-5</v>
      </c>
      <c r="I184" s="185">
        <f>IFERROR(IF($C184="",-0.00001,SUMIFS(Database!K:K,Database!$E:$E,$C184)),-0.00001)</f>
        <v>-1.0000000000000001E-5</v>
      </c>
      <c r="J184" s="185">
        <f>IFERROR(IF($C184="",-0.00001,SUMIFS(Database!L:L,Database!$E:$E,$C184)),-0.00001)</f>
        <v>-1.0000000000000001E-5</v>
      </c>
      <c r="K184" s="185">
        <f>IFERROR(IF($C184="",-0.00001,SUMIFS(Database!M:M,Database!$E:$E,$C184)),-0.00001)</f>
        <v>-1.0000000000000001E-5</v>
      </c>
      <c r="L184" s="185">
        <f>IFERROR(IF($C184="",-0.00001,SUMIFS(Database!N:N,Database!$E:$E,$C184)),-0.00001)</f>
        <v>-1.0000000000000001E-5</v>
      </c>
      <c r="M184" s="185">
        <f>IFERROR(IF($C184="",-0.00001,SUMIFS(Database!O:O,Database!$E:$E,$C184)),-0.00001)</f>
        <v>-1.0000000000000001E-5</v>
      </c>
      <c r="N184" s="185">
        <f>IFERROR(IF($C184="",-0.00001,SUMIFS(Database!P:P,Database!$E:$E,$C184)),-0.00001)</f>
        <v>-1.0000000000000001E-5</v>
      </c>
      <c r="O184" s="185">
        <f>IFERROR(IF($C184="",-0.00001,SUMIFS(Database!Q:Q,Database!$E:$E,$C184)),-0.00001)</f>
        <v>-1.0000000000000001E-5</v>
      </c>
      <c r="P184" s="186">
        <f t="shared" si="6"/>
        <v>-1.0000000000000001E-5</v>
      </c>
      <c r="Q184" s="185">
        <f>IFERROR(IF($C184="",-0.00001,SUMIFS(Database!S:S,Database!$E:$E,$C184)),-0.00001)</f>
        <v>-1.0000000000000001E-5</v>
      </c>
      <c r="R184" s="185">
        <f>IFERROR(IF($C184="",-0.00001,SUMIFS(Database!T:T,Database!$E:$E,$C184)),-0.00001)</f>
        <v>-1.0000000000000001E-5</v>
      </c>
      <c r="S184" s="186">
        <f t="shared" si="7"/>
        <v>-1.0000000000000001E-5</v>
      </c>
      <c r="T184" s="185">
        <f>IFERROR(IF($C184="",-0.00001,SUMIFS(Database!V:V,Database!$E:$E,$C184)),-0.00001)</f>
        <v>-1.0000000000000001E-5</v>
      </c>
      <c r="U184" s="185">
        <f>IFERROR(IF($C184="",-0.00001,SUMIFS(Database!W:W,Database!$E:$E,$C184)),-0.00001)</f>
        <v>-1.0000000000000001E-5</v>
      </c>
      <c r="V184" s="186">
        <f t="shared" si="8"/>
        <v>-1.0000000000000001E-5</v>
      </c>
      <c r="W184" s="187"/>
      <c r="X184" s="187"/>
      <c r="Y184" s="187"/>
      <c r="Z184" s="187"/>
      <c r="AA184" s="187"/>
      <c r="AB184" s="187"/>
      <c r="AC184" s="187"/>
      <c r="AD184" s="187"/>
      <c r="AE184" s="187"/>
    </row>
    <row r="185" spans="1:31" x14ac:dyDescent="0.25">
      <c r="A185" s="187"/>
      <c r="B185" s="187" t="str">
        <f>IF($C185="","",MAX($B$4:$B184)+1)</f>
        <v/>
      </c>
      <c r="C185" s="183"/>
      <c r="D185" s="183" t="str">
        <f>IFERROR(VLOOKUP($C185,Rosters!$C$4:$M$239,INDEX(Lists!$N$5:$O$80,MATCH($C185,Lists!$N$5:$N$80,FALSE),2)),"")</f>
        <v/>
      </c>
      <c r="E185" s="185">
        <f>IF($C185="",-0.00001,COUNTIF(Database!E:E,$C185))</f>
        <v>-1.0000000000000001E-5</v>
      </c>
      <c r="F185" s="185">
        <f>IFERROR(IF($C185="",-0.00001,SUMIFS(Database!H:H,Database!$E:$E,$C185)),-0.00001)</f>
        <v>-1.0000000000000001E-5</v>
      </c>
      <c r="G185" s="185">
        <f>IFERROR(IF($C185="",-0.00001,SUMIFS(Database!I:I,Database!$E:$E,$C185)),-0.00001)</f>
        <v>-1.0000000000000001E-5</v>
      </c>
      <c r="H185" s="185">
        <f>IFERROR(IF($C185="",-0.00001,SUMIFS(Database!J:J,Database!$E:$E,$C185)),-0.00001)</f>
        <v>-1.0000000000000001E-5</v>
      </c>
      <c r="I185" s="185">
        <f>IFERROR(IF($C185="",-0.00001,SUMIFS(Database!K:K,Database!$E:$E,$C185)),-0.00001)</f>
        <v>-1.0000000000000001E-5</v>
      </c>
      <c r="J185" s="185">
        <f>IFERROR(IF($C185="",-0.00001,SUMIFS(Database!L:L,Database!$E:$E,$C185)),-0.00001)</f>
        <v>-1.0000000000000001E-5</v>
      </c>
      <c r="K185" s="185">
        <f>IFERROR(IF($C185="",-0.00001,SUMIFS(Database!M:M,Database!$E:$E,$C185)),-0.00001)</f>
        <v>-1.0000000000000001E-5</v>
      </c>
      <c r="L185" s="185">
        <f>IFERROR(IF($C185="",-0.00001,SUMIFS(Database!N:N,Database!$E:$E,$C185)),-0.00001)</f>
        <v>-1.0000000000000001E-5</v>
      </c>
      <c r="M185" s="185">
        <f>IFERROR(IF($C185="",-0.00001,SUMIFS(Database!O:O,Database!$E:$E,$C185)),-0.00001)</f>
        <v>-1.0000000000000001E-5</v>
      </c>
      <c r="N185" s="185">
        <f>IFERROR(IF($C185="",-0.00001,SUMIFS(Database!P:P,Database!$E:$E,$C185)),-0.00001)</f>
        <v>-1.0000000000000001E-5</v>
      </c>
      <c r="O185" s="185">
        <f>IFERROR(IF($C185="",-0.00001,SUMIFS(Database!Q:Q,Database!$E:$E,$C185)),-0.00001)</f>
        <v>-1.0000000000000001E-5</v>
      </c>
      <c r="P185" s="186">
        <f t="shared" si="6"/>
        <v>-1.0000000000000001E-5</v>
      </c>
      <c r="Q185" s="185">
        <f>IFERROR(IF($C185="",-0.00001,SUMIFS(Database!S:S,Database!$E:$E,$C185)),-0.00001)</f>
        <v>-1.0000000000000001E-5</v>
      </c>
      <c r="R185" s="185">
        <f>IFERROR(IF($C185="",-0.00001,SUMIFS(Database!T:T,Database!$E:$E,$C185)),-0.00001)</f>
        <v>-1.0000000000000001E-5</v>
      </c>
      <c r="S185" s="186">
        <f t="shared" si="7"/>
        <v>-1.0000000000000001E-5</v>
      </c>
      <c r="T185" s="185">
        <f>IFERROR(IF($C185="",-0.00001,SUMIFS(Database!V:V,Database!$E:$E,$C185)),-0.00001)</f>
        <v>-1.0000000000000001E-5</v>
      </c>
      <c r="U185" s="185">
        <f>IFERROR(IF($C185="",-0.00001,SUMIFS(Database!W:W,Database!$E:$E,$C185)),-0.00001)</f>
        <v>-1.0000000000000001E-5</v>
      </c>
      <c r="V185" s="186">
        <f t="shared" si="8"/>
        <v>-1.0000000000000001E-5</v>
      </c>
      <c r="W185" s="187"/>
      <c r="X185" s="187"/>
      <c r="Y185" s="187"/>
      <c r="Z185" s="187"/>
      <c r="AA185" s="187"/>
      <c r="AB185" s="187"/>
      <c r="AC185" s="187"/>
      <c r="AD185" s="187"/>
      <c r="AE185" s="187"/>
    </row>
    <row r="186" spans="1:31" x14ac:dyDescent="0.25">
      <c r="A186" s="187"/>
      <c r="B186" s="187" t="str">
        <f>IF($C186="","",MAX($B$4:$B185)+1)</f>
        <v/>
      </c>
      <c r="C186" s="183"/>
      <c r="D186" s="183" t="str">
        <f>IFERROR(VLOOKUP($C186,Rosters!$C$4:$M$239,INDEX(Lists!$N$5:$O$80,MATCH($C186,Lists!$N$5:$N$80,FALSE),2)),"")</f>
        <v/>
      </c>
      <c r="E186" s="185">
        <f>IF($C186="",-0.00001,COUNTIF(Database!E:E,$C186))</f>
        <v>-1.0000000000000001E-5</v>
      </c>
      <c r="F186" s="185">
        <f>IFERROR(IF($C186="",-0.00001,SUMIFS(Database!H:H,Database!$E:$E,$C186)),-0.00001)</f>
        <v>-1.0000000000000001E-5</v>
      </c>
      <c r="G186" s="185">
        <f>IFERROR(IF($C186="",-0.00001,SUMIFS(Database!I:I,Database!$E:$E,$C186)),-0.00001)</f>
        <v>-1.0000000000000001E-5</v>
      </c>
      <c r="H186" s="185">
        <f>IFERROR(IF($C186="",-0.00001,SUMIFS(Database!J:J,Database!$E:$E,$C186)),-0.00001)</f>
        <v>-1.0000000000000001E-5</v>
      </c>
      <c r="I186" s="185">
        <f>IFERROR(IF($C186="",-0.00001,SUMIFS(Database!K:K,Database!$E:$E,$C186)),-0.00001)</f>
        <v>-1.0000000000000001E-5</v>
      </c>
      <c r="J186" s="185">
        <f>IFERROR(IF($C186="",-0.00001,SUMIFS(Database!L:L,Database!$E:$E,$C186)),-0.00001)</f>
        <v>-1.0000000000000001E-5</v>
      </c>
      <c r="K186" s="185">
        <f>IFERROR(IF($C186="",-0.00001,SUMIFS(Database!M:M,Database!$E:$E,$C186)),-0.00001)</f>
        <v>-1.0000000000000001E-5</v>
      </c>
      <c r="L186" s="185">
        <f>IFERROR(IF($C186="",-0.00001,SUMIFS(Database!N:N,Database!$E:$E,$C186)),-0.00001)</f>
        <v>-1.0000000000000001E-5</v>
      </c>
      <c r="M186" s="185">
        <f>IFERROR(IF($C186="",-0.00001,SUMIFS(Database!O:O,Database!$E:$E,$C186)),-0.00001)</f>
        <v>-1.0000000000000001E-5</v>
      </c>
      <c r="N186" s="185">
        <f>IFERROR(IF($C186="",-0.00001,SUMIFS(Database!P:P,Database!$E:$E,$C186)),-0.00001)</f>
        <v>-1.0000000000000001E-5</v>
      </c>
      <c r="O186" s="185">
        <f>IFERROR(IF($C186="",-0.00001,SUMIFS(Database!Q:Q,Database!$E:$E,$C186)),-0.00001)</f>
        <v>-1.0000000000000001E-5</v>
      </c>
      <c r="P186" s="186">
        <f t="shared" si="6"/>
        <v>-1.0000000000000001E-5</v>
      </c>
      <c r="Q186" s="185">
        <f>IFERROR(IF($C186="",-0.00001,SUMIFS(Database!S:S,Database!$E:$E,$C186)),-0.00001)</f>
        <v>-1.0000000000000001E-5</v>
      </c>
      <c r="R186" s="185">
        <f>IFERROR(IF($C186="",-0.00001,SUMIFS(Database!T:T,Database!$E:$E,$C186)),-0.00001)</f>
        <v>-1.0000000000000001E-5</v>
      </c>
      <c r="S186" s="186">
        <f t="shared" si="7"/>
        <v>-1.0000000000000001E-5</v>
      </c>
      <c r="T186" s="185">
        <f>IFERROR(IF($C186="",-0.00001,SUMIFS(Database!V:V,Database!$E:$E,$C186)),-0.00001)</f>
        <v>-1.0000000000000001E-5</v>
      </c>
      <c r="U186" s="185">
        <f>IFERROR(IF($C186="",-0.00001,SUMIFS(Database!W:W,Database!$E:$E,$C186)),-0.00001)</f>
        <v>-1.0000000000000001E-5</v>
      </c>
      <c r="V186" s="186">
        <f t="shared" si="8"/>
        <v>-1.0000000000000001E-5</v>
      </c>
      <c r="W186" s="187"/>
      <c r="X186" s="187"/>
      <c r="Y186" s="187"/>
      <c r="Z186" s="187"/>
      <c r="AA186" s="187"/>
      <c r="AB186" s="187"/>
      <c r="AC186" s="187"/>
      <c r="AD186" s="187"/>
      <c r="AE186" s="187"/>
    </row>
    <row r="187" spans="1:31" x14ac:dyDescent="0.25">
      <c r="A187" s="187"/>
      <c r="B187" s="187" t="str">
        <f>IF($C187="","",MAX($B$4:$B186)+1)</f>
        <v/>
      </c>
      <c r="C187" s="183"/>
      <c r="D187" s="183" t="str">
        <f>IFERROR(VLOOKUP($C187,Rosters!$C$4:$M$239,INDEX(Lists!$N$5:$O$80,MATCH($C187,Lists!$N$5:$N$80,FALSE),2)),"")</f>
        <v/>
      </c>
      <c r="E187" s="185">
        <f>IF($C187="",-0.00001,COUNTIF(Database!E:E,$C187))</f>
        <v>-1.0000000000000001E-5</v>
      </c>
      <c r="F187" s="185">
        <f>IFERROR(IF($C187="",-0.00001,SUMIFS(Database!H:H,Database!$E:$E,$C187)),-0.00001)</f>
        <v>-1.0000000000000001E-5</v>
      </c>
      <c r="G187" s="185">
        <f>IFERROR(IF($C187="",-0.00001,SUMIFS(Database!I:I,Database!$E:$E,$C187)),-0.00001)</f>
        <v>-1.0000000000000001E-5</v>
      </c>
      <c r="H187" s="185">
        <f>IFERROR(IF($C187="",-0.00001,SUMIFS(Database!J:J,Database!$E:$E,$C187)),-0.00001)</f>
        <v>-1.0000000000000001E-5</v>
      </c>
      <c r="I187" s="185">
        <f>IFERROR(IF($C187="",-0.00001,SUMIFS(Database!K:K,Database!$E:$E,$C187)),-0.00001)</f>
        <v>-1.0000000000000001E-5</v>
      </c>
      <c r="J187" s="185">
        <f>IFERROR(IF($C187="",-0.00001,SUMIFS(Database!L:L,Database!$E:$E,$C187)),-0.00001)</f>
        <v>-1.0000000000000001E-5</v>
      </c>
      <c r="K187" s="185">
        <f>IFERROR(IF($C187="",-0.00001,SUMIFS(Database!M:M,Database!$E:$E,$C187)),-0.00001)</f>
        <v>-1.0000000000000001E-5</v>
      </c>
      <c r="L187" s="185">
        <f>IFERROR(IF($C187="",-0.00001,SUMIFS(Database!N:N,Database!$E:$E,$C187)),-0.00001)</f>
        <v>-1.0000000000000001E-5</v>
      </c>
      <c r="M187" s="185">
        <f>IFERROR(IF($C187="",-0.00001,SUMIFS(Database!O:O,Database!$E:$E,$C187)),-0.00001)</f>
        <v>-1.0000000000000001E-5</v>
      </c>
      <c r="N187" s="185">
        <f>IFERROR(IF($C187="",-0.00001,SUMIFS(Database!P:P,Database!$E:$E,$C187)),-0.00001)</f>
        <v>-1.0000000000000001E-5</v>
      </c>
      <c r="O187" s="185">
        <f>IFERROR(IF($C187="",-0.00001,SUMIFS(Database!Q:Q,Database!$E:$E,$C187)),-0.00001)</f>
        <v>-1.0000000000000001E-5</v>
      </c>
      <c r="P187" s="186">
        <f t="shared" si="6"/>
        <v>-1.0000000000000001E-5</v>
      </c>
      <c r="Q187" s="185">
        <f>IFERROR(IF($C187="",-0.00001,SUMIFS(Database!S:S,Database!$E:$E,$C187)),-0.00001)</f>
        <v>-1.0000000000000001E-5</v>
      </c>
      <c r="R187" s="185">
        <f>IFERROR(IF($C187="",-0.00001,SUMIFS(Database!T:T,Database!$E:$E,$C187)),-0.00001)</f>
        <v>-1.0000000000000001E-5</v>
      </c>
      <c r="S187" s="186">
        <f t="shared" si="7"/>
        <v>-1.0000000000000001E-5</v>
      </c>
      <c r="T187" s="185">
        <f>IFERROR(IF($C187="",-0.00001,SUMIFS(Database!V:V,Database!$E:$E,$C187)),-0.00001)</f>
        <v>-1.0000000000000001E-5</v>
      </c>
      <c r="U187" s="185">
        <f>IFERROR(IF($C187="",-0.00001,SUMIFS(Database!W:W,Database!$E:$E,$C187)),-0.00001)</f>
        <v>-1.0000000000000001E-5</v>
      </c>
      <c r="V187" s="186">
        <f t="shared" si="8"/>
        <v>-1.0000000000000001E-5</v>
      </c>
      <c r="W187" s="187"/>
      <c r="X187" s="187"/>
      <c r="Y187" s="187"/>
      <c r="Z187" s="187"/>
      <c r="AA187" s="187"/>
      <c r="AB187" s="187"/>
      <c r="AC187" s="187"/>
      <c r="AD187" s="187"/>
      <c r="AE187" s="187"/>
    </row>
    <row r="188" spans="1:31" x14ac:dyDescent="0.25">
      <c r="A188" s="187"/>
      <c r="B188" s="187" t="str">
        <f>IF($C188="","",MAX($B$4:$B187)+1)</f>
        <v/>
      </c>
      <c r="C188" s="183"/>
      <c r="D188" s="183" t="str">
        <f>IFERROR(VLOOKUP($C188,Rosters!$C$4:$M$239,INDEX(Lists!$N$5:$O$80,MATCH($C188,Lists!$N$5:$N$80,FALSE),2)),"")</f>
        <v/>
      </c>
      <c r="E188" s="185">
        <f>IF($C188="",-0.00001,COUNTIF(Database!E:E,$C188))</f>
        <v>-1.0000000000000001E-5</v>
      </c>
      <c r="F188" s="185">
        <f>IFERROR(IF($C188="",-0.00001,SUMIFS(Database!H:H,Database!$E:$E,$C188)),-0.00001)</f>
        <v>-1.0000000000000001E-5</v>
      </c>
      <c r="G188" s="185">
        <f>IFERROR(IF($C188="",-0.00001,SUMIFS(Database!I:I,Database!$E:$E,$C188)),-0.00001)</f>
        <v>-1.0000000000000001E-5</v>
      </c>
      <c r="H188" s="185">
        <f>IFERROR(IF($C188="",-0.00001,SUMIFS(Database!J:J,Database!$E:$E,$C188)),-0.00001)</f>
        <v>-1.0000000000000001E-5</v>
      </c>
      <c r="I188" s="185">
        <f>IFERROR(IF($C188="",-0.00001,SUMIFS(Database!K:K,Database!$E:$E,$C188)),-0.00001)</f>
        <v>-1.0000000000000001E-5</v>
      </c>
      <c r="J188" s="185">
        <f>IFERROR(IF($C188="",-0.00001,SUMIFS(Database!L:L,Database!$E:$E,$C188)),-0.00001)</f>
        <v>-1.0000000000000001E-5</v>
      </c>
      <c r="K188" s="185">
        <f>IFERROR(IF($C188="",-0.00001,SUMIFS(Database!M:M,Database!$E:$E,$C188)),-0.00001)</f>
        <v>-1.0000000000000001E-5</v>
      </c>
      <c r="L188" s="185">
        <f>IFERROR(IF($C188="",-0.00001,SUMIFS(Database!N:N,Database!$E:$E,$C188)),-0.00001)</f>
        <v>-1.0000000000000001E-5</v>
      </c>
      <c r="M188" s="185">
        <f>IFERROR(IF($C188="",-0.00001,SUMIFS(Database!O:O,Database!$E:$E,$C188)),-0.00001)</f>
        <v>-1.0000000000000001E-5</v>
      </c>
      <c r="N188" s="185">
        <f>IFERROR(IF($C188="",-0.00001,SUMIFS(Database!P:P,Database!$E:$E,$C188)),-0.00001)</f>
        <v>-1.0000000000000001E-5</v>
      </c>
      <c r="O188" s="185">
        <f>IFERROR(IF($C188="",-0.00001,SUMIFS(Database!Q:Q,Database!$E:$E,$C188)),-0.00001)</f>
        <v>-1.0000000000000001E-5</v>
      </c>
      <c r="P188" s="186">
        <f t="shared" si="6"/>
        <v>-1.0000000000000001E-5</v>
      </c>
      <c r="Q188" s="185">
        <f>IFERROR(IF($C188="",-0.00001,SUMIFS(Database!S:S,Database!$E:$E,$C188)),-0.00001)</f>
        <v>-1.0000000000000001E-5</v>
      </c>
      <c r="R188" s="185">
        <f>IFERROR(IF($C188="",-0.00001,SUMIFS(Database!T:T,Database!$E:$E,$C188)),-0.00001)</f>
        <v>-1.0000000000000001E-5</v>
      </c>
      <c r="S188" s="186">
        <f t="shared" si="7"/>
        <v>-1.0000000000000001E-5</v>
      </c>
      <c r="T188" s="185">
        <f>IFERROR(IF($C188="",-0.00001,SUMIFS(Database!V:V,Database!$E:$E,$C188)),-0.00001)</f>
        <v>-1.0000000000000001E-5</v>
      </c>
      <c r="U188" s="185">
        <f>IFERROR(IF($C188="",-0.00001,SUMIFS(Database!W:W,Database!$E:$E,$C188)),-0.00001)</f>
        <v>-1.0000000000000001E-5</v>
      </c>
      <c r="V188" s="186">
        <f t="shared" si="8"/>
        <v>-1.0000000000000001E-5</v>
      </c>
      <c r="W188" s="187"/>
      <c r="X188" s="187"/>
      <c r="Y188" s="187"/>
      <c r="Z188" s="187"/>
      <c r="AA188" s="187"/>
      <c r="AB188" s="187"/>
      <c r="AC188" s="187"/>
      <c r="AD188" s="187"/>
      <c r="AE188" s="187"/>
    </row>
    <row r="189" spans="1:31" x14ac:dyDescent="0.25">
      <c r="A189" s="187"/>
      <c r="B189" s="187" t="str">
        <f>IF($C189="","",MAX($B$4:$B188)+1)</f>
        <v/>
      </c>
      <c r="C189" s="183"/>
      <c r="D189" s="183" t="str">
        <f>IFERROR(VLOOKUP($C189,Rosters!$C$4:$M$239,INDEX(Lists!$N$5:$O$80,MATCH($C189,Lists!$N$5:$N$80,FALSE),2)),"")</f>
        <v/>
      </c>
      <c r="E189" s="185">
        <f>IF($C189="",-0.00001,COUNTIF(Database!E:E,$C189))</f>
        <v>-1.0000000000000001E-5</v>
      </c>
      <c r="F189" s="185">
        <f>IFERROR(IF($C189="",-0.00001,SUMIFS(Database!H:H,Database!$E:$E,$C189)),-0.00001)</f>
        <v>-1.0000000000000001E-5</v>
      </c>
      <c r="G189" s="185">
        <f>IFERROR(IF($C189="",-0.00001,SUMIFS(Database!I:I,Database!$E:$E,$C189)),-0.00001)</f>
        <v>-1.0000000000000001E-5</v>
      </c>
      <c r="H189" s="185">
        <f>IFERROR(IF($C189="",-0.00001,SUMIFS(Database!J:J,Database!$E:$E,$C189)),-0.00001)</f>
        <v>-1.0000000000000001E-5</v>
      </c>
      <c r="I189" s="185">
        <f>IFERROR(IF($C189="",-0.00001,SUMIFS(Database!K:K,Database!$E:$E,$C189)),-0.00001)</f>
        <v>-1.0000000000000001E-5</v>
      </c>
      <c r="J189" s="185">
        <f>IFERROR(IF($C189="",-0.00001,SUMIFS(Database!L:L,Database!$E:$E,$C189)),-0.00001)</f>
        <v>-1.0000000000000001E-5</v>
      </c>
      <c r="K189" s="185">
        <f>IFERROR(IF($C189="",-0.00001,SUMIFS(Database!M:M,Database!$E:$E,$C189)),-0.00001)</f>
        <v>-1.0000000000000001E-5</v>
      </c>
      <c r="L189" s="185">
        <f>IFERROR(IF($C189="",-0.00001,SUMIFS(Database!N:N,Database!$E:$E,$C189)),-0.00001)</f>
        <v>-1.0000000000000001E-5</v>
      </c>
      <c r="M189" s="185">
        <f>IFERROR(IF($C189="",-0.00001,SUMIFS(Database!O:O,Database!$E:$E,$C189)),-0.00001)</f>
        <v>-1.0000000000000001E-5</v>
      </c>
      <c r="N189" s="185">
        <f>IFERROR(IF($C189="",-0.00001,SUMIFS(Database!P:P,Database!$E:$E,$C189)),-0.00001)</f>
        <v>-1.0000000000000001E-5</v>
      </c>
      <c r="O189" s="185">
        <f>IFERROR(IF($C189="",-0.00001,SUMIFS(Database!Q:Q,Database!$E:$E,$C189)),-0.00001)</f>
        <v>-1.0000000000000001E-5</v>
      </c>
      <c r="P189" s="186">
        <f t="shared" si="6"/>
        <v>-1.0000000000000001E-5</v>
      </c>
      <c r="Q189" s="185">
        <f>IFERROR(IF($C189="",-0.00001,SUMIFS(Database!S:S,Database!$E:$E,$C189)),-0.00001)</f>
        <v>-1.0000000000000001E-5</v>
      </c>
      <c r="R189" s="185">
        <f>IFERROR(IF($C189="",-0.00001,SUMIFS(Database!T:T,Database!$E:$E,$C189)),-0.00001)</f>
        <v>-1.0000000000000001E-5</v>
      </c>
      <c r="S189" s="186">
        <f t="shared" si="7"/>
        <v>-1.0000000000000001E-5</v>
      </c>
      <c r="T189" s="185">
        <f>IFERROR(IF($C189="",-0.00001,SUMIFS(Database!V:V,Database!$E:$E,$C189)),-0.00001)</f>
        <v>-1.0000000000000001E-5</v>
      </c>
      <c r="U189" s="185">
        <f>IFERROR(IF($C189="",-0.00001,SUMIFS(Database!W:W,Database!$E:$E,$C189)),-0.00001)</f>
        <v>-1.0000000000000001E-5</v>
      </c>
      <c r="V189" s="186">
        <f t="shared" si="8"/>
        <v>-1.0000000000000001E-5</v>
      </c>
      <c r="W189" s="187"/>
      <c r="X189" s="187"/>
      <c r="Y189" s="187"/>
      <c r="Z189" s="187"/>
      <c r="AA189" s="187"/>
      <c r="AB189" s="187"/>
      <c r="AC189" s="187"/>
      <c r="AD189" s="187"/>
      <c r="AE189" s="187"/>
    </row>
    <row r="190" spans="1:31" x14ac:dyDescent="0.25">
      <c r="A190" s="187"/>
      <c r="B190" s="187" t="str">
        <f>IF($C190="","",MAX($B$4:$B189)+1)</f>
        <v/>
      </c>
      <c r="C190" s="183"/>
      <c r="D190" s="183" t="str">
        <f>IFERROR(VLOOKUP($C190,Rosters!$C$4:$M$239,INDEX(Lists!$N$5:$O$80,MATCH($C190,Lists!$N$5:$N$80,FALSE),2)),"")</f>
        <v/>
      </c>
      <c r="E190" s="185">
        <f>IF($C190="",-0.00001,COUNTIF(Database!E:E,$C190))</f>
        <v>-1.0000000000000001E-5</v>
      </c>
      <c r="F190" s="185">
        <f>IFERROR(IF($C190="",-0.00001,SUMIFS(Database!H:H,Database!$E:$E,$C190)),-0.00001)</f>
        <v>-1.0000000000000001E-5</v>
      </c>
      <c r="G190" s="185">
        <f>IFERROR(IF($C190="",-0.00001,SUMIFS(Database!I:I,Database!$E:$E,$C190)),-0.00001)</f>
        <v>-1.0000000000000001E-5</v>
      </c>
      <c r="H190" s="185">
        <f>IFERROR(IF($C190="",-0.00001,SUMIFS(Database!J:J,Database!$E:$E,$C190)),-0.00001)</f>
        <v>-1.0000000000000001E-5</v>
      </c>
      <c r="I190" s="185">
        <f>IFERROR(IF($C190="",-0.00001,SUMIFS(Database!K:K,Database!$E:$E,$C190)),-0.00001)</f>
        <v>-1.0000000000000001E-5</v>
      </c>
      <c r="J190" s="185">
        <f>IFERROR(IF($C190="",-0.00001,SUMIFS(Database!L:L,Database!$E:$E,$C190)),-0.00001)</f>
        <v>-1.0000000000000001E-5</v>
      </c>
      <c r="K190" s="185">
        <f>IFERROR(IF($C190="",-0.00001,SUMIFS(Database!M:M,Database!$E:$E,$C190)),-0.00001)</f>
        <v>-1.0000000000000001E-5</v>
      </c>
      <c r="L190" s="185">
        <f>IFERROR(IF($C190="",-0.00001,SUMIFS(Database!N:N,Database!$E:$E,$C190)),-0.00001)</f>
        <v>-1.0000000000000001E-5</v>
      </c>
      <c r="M190" s="185">
        <f>IFERROR(IF($C190="",-0.00001,SUMIFS(Database!O:O,Database!$E:$E,$C190)),-0.00001)</f>
        <v>-1.0000000000000001E-5</v>
      </c>
      <c r="N190" s="185">
        <f>IFERROR(IF($C190="",-0.00001,SUMIFS(Database!P:P,Database!$E:$E,$C190)),-0.00001)</f>
        <v>-1.0000000000000001E-5</v>
      </c>
      <c r="O190" s="185">
        <f>IFERROR(IF($C190="",-0.00001,SUMIFS(Database!Q:Q,Database!$E:$E,$C190)),-0.00001)</f>
        <v>-1.0000000000000001E-5</v>
      </c>
      <c r="P190" s="186">
        <f t="shared" si="6"/>
        <v>-1.0000000000000001E-5</v>
      </c>
      <c r="Q190" s="185">
        <f>IFERROR(IF($C190="",-0.00001,SUMIFS(Database!S:S,Database!$E:$E,$C190)),-0.00001)</f>
        <v>-1.0000000000000001E-5</v>
      </c>
      <c r="R190" s="185">
        <f>IFERROR(IF($C190="",-0.00001,SUMIFS(Database!T:T,Database!$E:$E,$C190)),-0.00001)</f>
        <v>-1.0000000000000001E-5</v>
      </c>
      <c r="S190" s="186">
        <f t="shared" si="7"/>
        <v>-1.0000000000000001E-5</v>
      </c>
      <c r="T190" s="185">
        <f>IFERROR(IF($C190="",-0.00001,SUMIFS(Database!V:V,Database!$E:$E,$C190)),-0.00001)</f>
        <v>-1.0000000000000001E-5</v>
      </c>
      <c r="U190" s="185">
        <f>IFERROR(IF($C190="",-0.00001,SUMIFS(Database!W:W,Database!$E:$E,$C190)),-0.00001)</f>
        <v>-1.0000000000000001E-5</v>
      </c>
      <c r="V190" s="186">
        <f t="shared" si="8"/>
        <v>-1.0000000000000001E-5</v>
      </c>
      <c r="W190" s="187"/>
      <c r="X190" s="187"/>
      <c r="Y190" s="187"/>
      <c r="Z190" s="187"/>
      <c r="AA190" s="187"/>
      <c r="AB190" s="187"/>
      <c r="AC190" s="187"/>
      <c r="AD190" s="187"/>
      <c r="AE190" s="187"/>
    </row>
    <row r="191" spans="1:31" x14ac:dyDescent="0.25">
      <c r="A191" s="187"/>
      <c r="B191" s="187" t="str">
        <f>IF($C191="","",MAX($B$4:$B190)+1)</f>
        <v/>
      </c>
      <c r="C191" s="183"/>
      <c r="D191" s="183" t="str">
        <f>IFERROR(VLOOKUP($C191,Rosters!$C$4:$M$239,INDEX(Lists!$N$5:$O$80,MATCH($C191,Lists!$N$5:$N$80,FALSE),2)),"")</f>
        <v/>
      </c>
      <c r="E191" s="185">
        <f>IF($C191="",-0.00001,COUNTIF(Database!E:E,$C191))</f>
        <v>-1.0000000000000001E-5</v>
      </c>
      <c r="F191" s="185">
        <f>IFERROR(IF($C191="",-0.00001,SUMIFS(Database!H:H,Database!$E:$E,$C191)),-0.00001)</f>
        <v>-1.0000000000000001E-5</v>
      </c>
      <c r="G191" s="185">
        <f>IFERROR(IF($C191="",-0.00001,SUMIFS(Database!I:I,Database!$E:$E,$C191)),-0.00001)</f>
        <v>-1.0000000000000001E-5</v>
      </c>
      <c r="H191" s="185">
        <f>IFERROR(IF($C191="",-0.00001,SUMIFS(Database!J:J,Database!$E:$E,$C191)),-0.00001)</f>
        <v>-1.0000000000000001E-5</v>
      </c>
      <c r="I191" s="185">
        <f>IFERROR(IF($C191="",-0.00001,SUMIFS(Database!K:K,Database!$E:$E,$C191)),-0.00001)</f>
        <v>-1.0000000000000001E-5</v>
      </c>
      <c r="J191" s="185">
        <f>IFERROR(IF($C191="",-0.00001,SUMIFS(Database!L:L,Database!$E:$E,$C191)),-0.00001)</f>
        <v>-1.0000000000000001E-5</v>
      </c>
      <c r="K191" s="185">
        <f>IFERROR(IF($C191="",-0.00001,SUMIFS(Database!M:M,Database!$E:$E,$C191)),-0.00001)</f>
        <v>-1.0000000000000001E-5</v>
      </c>
      <c r="L191" s="185">
        <f>IFERROR(IF($C191="",-0.00001,SUMIFS(Database!N:N,Database!$E:$E,$C191)),-0.00001)</f>
        <v>-1.0000000000000001E-5</v>
      </c>
      <c r="M191" s="185">
        <f>IFERROR(IF($C191="",-0.00001,SUMIFS(Database!O:O,Database!$E:$E,$C191)),-0.00001)</f>
        <v>-1.0000000000000001E-5</v>
      </c>
      <c r="N191" s="185">
        <f>IFERROR(IF($C191="",-0.00001,SUMIFS(Database!P:P,Database!$E:$E,$C191)),-0.00001)</f>
        <v>-1.0000000000000001E-5</v>
      </c>
      <c r="O191" s="185">
        <f>IFERROR(IF($C191="",-0.00001,SUMIFS(Database!Q:Q,Database!$E:$E,$C191)),-0.00001)</f>
        <v>-1.0000000000000001E-5</v>
      </c>
      <c r="P191" s="186">
        <f t="shared" si="6"/>
        <v>-1.0000000000000001E-5</v>
      </c>
      <c r="Q191" s="185">
        <f>IFERROR(IF($C191="",-0.00001,SUMIFS(Database!S:S,Database!$E:$E,$C191)),-0.00001)</f>
        <v>-1.0000000000000001E-5</v>
      </c>
      <c r="R191" s="185">
        <f>IFERROR(IF($C191="",-0.00001,SUMIFS(Database!T:T,Database!$E:$E,$C191)),-0.00001)</f>
        <v>-1.0000000000000001E-5</v>
      </c>
      <c r="S191" s="186">
        <f t="shared" si="7"/>
        <v>-1.0000000000000001E-5</v>
      </c>
      <c r="T191" s="185">
        <f>IFERROR(IF($C191="",-0.00001,SUMIFS(Database!V:V,Database!$E:$E,$C191)),-0.00001)</f>
        <v>-1.0000000000000001E-5</v>
      </c>
      <c r="U191" s="185">
        <f>IFERROR(IF($C191="",-0.00001,SUMIFS(Database!W:W,Database!$E:$E,$C191)),-0.00001)</f>
        <v>-1.0000000000000001E-5</v>
      </c>
      <c r="V191" s="186">
        <f t="shared" si="8"/>
        <v>-1.0000000000000001E-5</v>
      </c>
      <c r="W191" s="187"/>
      <c r="X191" s="187"/>
      <c r="Y191" s="187"/>
      <c r="Z191" s="187"/>
      <c r="AA191" s="187"/>
      <c r="AB191" s="187"/>
      <c r="AC191" s="187"/>
      <c r="AD191" s="187"/>
      <c r="AE191" s="187"/>
    </row>
    <row r="192" spans="1:31" x14ac:dyDescent="0.25">
      <c r="A192" s="187"/>
      <c r="B192" s="187" t="str">
        <f>IF($C192="","",MAX($B$4:$B191)+1)</f>
        <v/>
      </c>
      <c r="C192" s="183"/>
      <c r="D192" s="183" t="str">
        <f>IFERROR(VLOOKUP($C192,Rosters!$C$4:$M$239,INDEX(Lists!$N$5:$O$80,MATCH($C192,Lists!$N$5:$N$80,FALSE),2)),"")</f>
        <v/>
      </c>
      <c r="E192" s="185">
        <f>IF($C192="",-0.00001,COUNTIF(Database!E:E,$C192))</f>
        <v>-1.0000000000000001E-5</v>
      </c>
      <c r="F192" s="185">
        <f>IFERROR(IF($C192="",-0.00001,SUMIFS(Database!H:H,Database!$E:$E,$C192)),-0.00001)</f>
        <v>-1.0000000000000001E-5</v>
      </c>
      <c r="G192" s="185">
        <f>IFERROR(IF($C192="",-0.00001,SUMIFS(Database!I:I,Database!$E:$E,$C192)),-0.00001)</f>
        <v>-1.0000000000000001E-5</v>
      </c>
      <c r="H192" s="185">
        <f>IFERROR(IF($C192="",-0.00001,SUMIFS(Database!J:J,Database!$E:$E,$C192)),-0.00001)</f>
        <v>-1.0000000000000001E-5</v>
      </c>
      <c r="I192" s="185">
        <f>IFERROR(IF($C192="",-0.00001,SUMIFS(Database!K:K,Database!$E:$E,$C192)),-0.00001)</f>
        <v>-1.0000000000000001E-5</v>
      </c>
      <c r="J192" s="185">
        <f>IFERROR(IF($C192="",-0.00001,SUMIFS(Database!L:L,Database!$E:$E,$C192)),-0.00001)</f>
        <v>-1.0000000000000001E-5</v>
      </c>
      <c r="K192" s="185">
        <f>IFERROR(IF($C192="",-0.00001,SUMIFS(Database!M:M,Database!$E:$E,$C192)),-0.00001)</f>
        <v>-1.0000000000000001E-5</v>
      </c>
      <c r="L192" s="185">
        <f>IFERROR(IF($C192="",-0.00001,SUMIFS(Database!N:N,Database!$E:$E,$C192)),-0.00001)</f>
        <v>-1.0000000000000001E-5</v>
      </c>
      <c r="M192" s="185">
        <f>IFERROR(IF($C192="",-0.00001,SUMIFS(Database!O:O,Database!$E:$E,$C192)),-0.00001)</f>
        <v>-1.0000000000000001E-5</v>
      </c>
      <c r="N192" s="185">
        <f>IFERROR(IF($C192="",-0.00001,SUMIFS(Database!P:P,Database!$E:$E,$C192)),-0.00001)</f>
        <v>-1.0000000000000001E-5</v>
      </c>
      <c r="O192" s="185">
        <f>IFERROR(IF($C192="",-0.00001,SUMIFS(Database!Q:Q,Database!$E:$E,$C192)),-0.00001)</f>
        <v>-1.0000000000000001E-5</v>
      </c>
      <c r="P192" s="186">
        <f t="shared" si="6"/>
        <v>-1.0000000000000001E-5</v>
      </c>
      <c r="Q192" s="185">
        <f>IFERROR(IF($C192="",-0.00001,SUMIFS(Database!S:S,Database!$E:$E,$C192)),-0.00001)</f>
        <v>-1.0000000000000001E-5</v>
      </c>
      <c r="R192" s="185">
        <f>IFERROR(IF($C192="",-0.00001,SUMIFS(Database!T:T,Database!$E:$E,$C192)),-0.00001)</f>
        <v>-1.0000000000000001E-5</v>
      </c>
      <c r="S192" s="186">
        <f t="shared" si="7"/>
        <v>-1.0000000000000001E-5</v>
      </c>
      <c r="T192" s="185">
        <f>IFERROR(IF($C192="",-0.00001,SUMIFS(Database!V:V,Database!$E:$E,$C192)),-0.00001)</f>
        <v>-1.0000000000000001E-5</v>
      </c>
      <c r="U192" s="185">
        <f>IFERROR(IF($C192="",-0.00001,SUMIFS(Database!W:W,Database!$E:$E,$C192)),-0.00001)</f>
        <v>-1.0000000000000001E-5</v>
      </c>
      <c r="V192" s="186">
        <f t="shared" si="8"/>
        <v>-1.0000000000000001E-5</v>
      </c>
      <c r="W192" s="187"/>
      <c r="X192" s="187"/>
      <c r="Y192" s="187"/>
      <c r="Z192" s="187"/>
      <c r="AA192" s="187"/>
      <c r="AB192" s="187"/>
      <c r="AC192" s="187"/>
      <c r="AD192" s="187"/>
      <c r="AE192" s="187"/>
    </row>
    <row r="193" spans="1:31" x14ac:dyDescent="0.25">
      <c r="A193" s="187"/>
      <c r="B193" s="187" t="str">
        <f>IF($C193="","",MAX($B$4:$B192)+1)</f>
        <v/>
      </c>
      <c r="C193" s="183"/>
      <c r="D193" s="183" t="str">
        <f>IFERROR(VLOOKUP($C193,Rosters!$C$4:$M$239,INDEX(Lists!$N$5:$O$80,MATCH($C193,Lists!$N$5:$N$80,FALSE),2)),"")</f>
        <v/>
      </c>
      <c r="E193" s="185">
        <f>IF($C193="",-0.00001,COUNTIF(Database!E:E,$C193))</f>
        <v>-1.0000000000000001E-5</v>
      </c>
      <c r="F193" s="185">
        <f>IFERROR(IF($C193="",-0.00001,SUMIFS(Database!H:H,Database!$E:$E,$C193)),-0.00001)</f>
        <v>-1.0000000000000001E-5</v>
      </c>
      <c r="G193" s="185">
        <f>IFERROR(IF($C193="",-0.00001,SUMIFS(Database!I:I,Database!$E:$E,$C193)),-0.00001)</f>
        <v>-1.0000000000000001E-5</v>
      </c>
      <c r="H193" s="185">
        <f>IFERROR(IF($C193="",-0.00001,SUMIFS(Database!J:J,Database!$E:$E,$C193)),-0.00001)</f>
        <v>-1.0000000000000001E-5</v>
      </c>
      <c r="I193" s="185">
        <f>IFERROR(IF($C193="",-0.00001,SUMIFS(Database!K:K,Database!$E:$E,$C193)),-0.00001)</f>
        <v>-1.0000000000000001E-5</v>
      </c>
      <c r="J193" s="185">
        <f>IFERROR(IF($C193="",-0.00001,SUMIFS(Database!L:L,Database!$E:$E,$C193)),-0.00001)</f>
        <v>-1.0000000000000001E-5</v>
      </c>
      <c r="K193" s="185">
        <f>IFERROR(IF($C193="",-0.00001,SUMIFS(Database!M:M,Database!$E:$E,$C193)),-0.00001)</f>
        <v>-1.0000000000000001E-5</v>
      </c>
      <c r="L193" s="185">
        <f>IFERROR(IF($C193="",-0.00001,SUMIFS(Database!N:N,Database!$E:$E,$C193)),-0.00001)</f>
        <v>-1.0000000000000001E-5</v>
      </c>
      <c r="M193" s="185">
        <f>IFERROR(IF($C193="",-0.00001,SUMIFS(Database!O:O,Database!$E:$E,$C193)),-0.00001)</f>
        <v>-1.0000000000000001E-5</v>
      </c>
      <c r="N193" s="185">
        <f>IFERROR(IF($C193="",-0.00001,SUMIFS(Database!P:P,Database!$E:$E,$C193)),-0.00001)</f>
        <v>-1.0000000000000001E-5</v>
      </c>
      <c r="O193" s="185">
        <f>IFERROR(IF($C193="",-0.00001,SUMIFS(Database!Q:Q,Database!$E:$E,$C193)),-0.00001)</f>
        <v>-1.0000000000000001E-5</v>
      </c>
      <c r="P193" s="186">
        <f t="shared" si="6"/>
        <v>-1.0000000000000001E-5</v>
      </c>
      <c r="Q193" s="185">
        <f>IFERROR(IF($C193="",-0.00001,SUMIFS(Database!S:S,Database!$E:$E,$C193)),-0.00001)</f>
        <v>-1.0000000000000001E-5</v>
      </c>
      <c r="R193" s="185">
        <f>IFERROR(IF($C193="",-0.00001,SUMIFS(Database!T:T,Database!$E:$E,$C193)),-0.00001)</f>
        <v>-1.0000000000000001E-5</v>
      </c>
      <c r="S193" s="186">
        <f t="shared" si="7"/>
        <v>-1.0000000000000001E-5</v>
      </c>
      <c r="T193" s="185">
        <f>IFERROR(IF($C193="",-0.00001,SUMIFS(Database!V:V,Database!$E:$E,$C193)),-0.00001)</f>
        <v>-1.0000000000000001E-5</v>
      </c>
      <c r="U193" s="185">
        <f>IFERROR(IF($C193="",-0.00001,SUMIFS(Database!W:W,Database!$E:$E,$C193)),-0.00001)</f>
        <v>-1.0000000000000001E-5</v>
      </c>
      <c r="V193" s="186">
        <f t="shared" si="8"/>
        <v>-1.0000000000000001E-5</v>
      </c>
      <c r="W193" s="187"/>
      <c r="X193" s="187"/>
      <c r="Y193" s="187"/>
      <c r="Z193" s="187"/>
      <c r="AA193" s="187"/>
      <c r="AB193" s="187"/>
      <c r="AC193" s="187"/>
      <c r="AD193" s="187"/>
      <c r="AE193" s="187"/>
    </row>
    <row r="194" spans="1:31" x14ac:dyDescent="0.25">
      <c r="A194" s="187"/>
      <c r="B194" s="187" t="str">
        <f>IF($C194="","",MAX($B$4:$B193)+1)</f>
        <v/>
      </c>
      <c r="C194" s="183"/>
      <c r="D194" s="183" t="str">
        <f>IFERROR(VLOOKUP($C194,Rosters!$C$4:$M$239,INDEX(Lists!$N$5:$O$80,MATCH($C194,Lists!$N$5:$N$80,FALSE),2)),"")</f>
        <v/>
      </c>
      <c r="E194" s="185">
        <f>IF($C194="",-0.00001,COUNTIF(Database!E:E,$C194))</f>
        <v>-1.0000000000000001E-5</v>
      </c>
      <c r="F194" s="185">
        <f>IFERROR(IF($C194="",-0.00001,SUMIFS(Database!H:H,Database!$E:$E,$C194)),-0.00001)</f>
        <v>-1.0000000000000001E-5</v>
      </c>
      <c r="G194" s="185">
        <f>IFERROR(IF($C194="",-0.00001,SUMIFS(Database!I:I,Database!$E:$E,$C194)),-0.00001)</f>
        <v>-1.0000000000000001E-5</v>
      </c>
      <c r="H194" s="185">
        <f>IFERROR(IF($C194="",-0.00001,SUMIFS(Database!J:J,Database!$E:$E,$C194)),-0.00001)</f>
        <v>-1.0000000000000001E-5</v>
      </c>
      <c r="I194" s="185">
        <f>IFERROR(IF($C194="",-0.00001,SUMIFS(Database!K:K,Database!$E:$E,$C194)),-0.00001)</f>
        <v>-1.0000000000000001E-5</v>
      </c>
      <c r="J194" s="185">
        <f>IFERROR(IF($C194="",-0.00001,SUMIFS(Database!L:L,Database!$E:$E,$C194)),-0.00001)</f>
        <v>-1.0000000000000001E-5</v>
      </c>
      <c r="K194" s="185">
        <f>IFERROR(IF($C194="",-0.00001,SUMIFS(Database!M:M,Database!$E:$E,$C194)),-0.00001)</f>
        <v>-1.0000000000000001E-5</v>
      </c>
      <c r="L194" s="185">
        <f>IFERROR(IF($C194="",-0.00001,SUMIFS(Database!N:N,Database!$E:$E,$C194)),-0.00001)</f>
        <v>-1.0000000000000001E-5</v>
      </c>
      <c r="M194" s="185">
        <f>IFERROR(IF($C194="",-0.00001,SUMIFS(Database!O:O,Database!$E:$E,$C194)),-0.00001)</f>
        <v>-1.0000000000000001E-5</v>
      </c>
      <c r="N194" s="185">
        <f>IFERROR(IF($C194="",-0.00001,SUMIFS(Database!P:P,Database!$E:$E,$C194)),-0.00001)</f>
        <v>-1.0000000000000001E-5</v>
      </c>
      <c r="O194" s="185">
        <f>IFERROR(IF($C194="",-0.00001,SUMIFS(Database!Q:Q,Database!$E:$E,$C194)),-0.00001)</f>
        <v>-1.0000000000000001E-5</v>
      </c>
      <c r="P194" s="186">
        <f t="shared" si="6"/>
        <v>-1.0000000000000001E-5</v>
      </c>
      <c r="Q194" s="185">
        <f>IFERROR(IF($C194="",-0.00001,SUMIFS(Database!S:S,Database!$E:$E,$C194)),-0.00001)</f>
        <v>-1.0000000000000001E-5</v>
      </c>
      <c r="R194" s="185">
        <f>IFERROR(IF($C194="",-0.00001,SUMIFS(Database!T:T,Database!$E:$E,$C194)),-0.00001)</f>
        <v>-1.0000000000000001E-5</v>
      </c>
      <c r="S194" s="186">
        <f t="shared" si="7"/>
        <v>-1.0000000000000001E-5</v>
      </c>
      <c r="T194" s="185">
        <f>IFERROR(IF($C194="",-0.00001,SUMIFS(Database!V:V,Database!$E:$E,$C194)),-0.00001)</f>
        <v>-1.0000000000000001E-5</v>
      </c>
      <c r="U194" s="185">
        <f>IFERROR(IF($C194="",-0.00001,SUMIFS(Database!W:W,Database!$E:$E,$C194)),-0.00001)</f>
        <v>-1.0000000000000001E-5</v>
      </c>
      <c r="V194" s="186">
        <f t="shared" si="8"/>
        <v>-1.0000000000000001E-5</v>
      </c>
      <c r="W194" s="187"/>
      <c r="X194" s="187"/>
      <c r="Y194" s="187"/>
      <c r="Z194" s="187"/>
      <c r="AA194" s="187"/>
      <c r="AB194" s="187"/>
      <c r="AC194" s="187"/>
      <c r="AD194" s="187"/>
      <c r="AE194" s="187"/>
    </row>
    <row r="195" spans="1:31" x14ac:dyDescent="0.25">
      <c r="A195" s="187"/>
      <c r="B195" s="187" t="str">
        <f>IF($C195="","",MAX($B$4:$B194)+1)</f>
        <v/>
      </c>
      <c r="C195" s="183"/>
      <c r="D195" s="183" t="str">
        <f>IFERROR(VLOOKUP($C195,Rosters!$C$4:$M$239,INDEX(Lists!$N$5:$O$80,MATCH($C195,Lists!$N$5:$N$80,FALSE),2)),"")</f>
        <v/>
      </c>
      <c r="E195" s="185">
        <f>IF($C195="",-0.00001,COUNTIF(Database!E:E,$C195))</f>
        <v>-1.0000000000000001E-5</v>
      </c>
      <c r="F195" s="185">
        <f>IFERROR(IF($C195="",-0.00001,SUMIFS(Database!H:H,Database!$E:$E,$C195)),-0.00001)</f>
        <v>-1.0000000000000001E-5</v>
      </c>
      <c r="G195" s="185">
        <f>IFERROR(IF($C195="",-0.00001,SUMIFS(Database!I:I,Database!$E:$E,$C195)),-0.00001)</f>
        <v>-1.0000000000000001E-5</v>
      </c>
      <c r="H195" s="185">
        <f>IFERROR(IF($C195="",-0.00001,SUMIFS(Database!J:J,Database!$E:$E,$C195)),-0.00001)</f>
        <v>-1.0000000000000001E-5</v>
      </c>
      <c r="I195" s="185">
        <f>IFERROR(IF($C195="",-0.00001,SUMIFS(Database!K:K,Database!$E:$E,$C195)),-0.00001)</f>
        <v>-1.0000000000000001E-5</v>
      </c>
      <c r="J195" s="185">
        <f>IFERROR(IF($C195="",-0.00001,SUMIFS(Database!L:L,Database!$E:$E,$C195)),-0.00001)</f>
        <v>-1.0000000000000001E-5</v>
      </c>
      <c r="K195" s="185">
        <f>IFERROR(IF($C195="",-0.00001,SUMIFS(Database!M:M,Database!$E:$E,$C195)),-0.00001)</f>
        <v>-1.0000000000000001E-5</v>
      </c>
      <c r="L195" s="185">
        <f>IFERROR(IF($C195="",-0.00001,SUMIFS(Database!N:N,Database!$E:$E,$C195)),-0.00001)</f>
        <v>-1.0000000000000001E-5</v>
      </c>
      <c r="M195" s="185">
        <f>IFERROR(IF($C195="",-0.00001,SUMIFS(Database!O:O,Database!$E:$E,$C195)),-0.00001)</f>
        <v>-1.0000000000000001E-5</v>
      </c>
      <c r="N195" s="185">
        <f>IFERROR(IF($C195="",-0.00001,SUMIFS(Database!P:P,Database!$E:$E,$C195)),-0.00001)</f>
        <v>-1.0000000000000001E-5</v>
      </c>
      <c r="O195" s="185">
        <f>IFERROR(IF($C195="",-0.00001,SUMIFS(Database!Q:Q,Database!$E:$E,$C195)),-0.00001)</f>
        <v>-1.0000000000000001E-5</v>
      </c>
      <c r="P195" s="186">
        <f t="shared" si="6"/>
        <v>-1.0000000000000001E-5</v>
      </c>
      <c r="Q195" s="185">
        <f>IFERROR(IF($C195="",-0.00001,SUMIFS(Database!S:S,Database!$E:$E,$C195)),-0.00001)</f>
        <v>-1.0000000000000001E-5</v>
      </c>
      <c r="R195" s="185">
        <f>IFERROR(IF($C195="",-0.00001,SUMIFS(Database!T:T,Database!$E:$E,$C195)),-0.00001)</f>
        <v>-1.0000000000000001E-5</v>
      </c>
      <c r="S195" s="186">
        <f t="shared" si="7"/>
        <v>-1.0000000000000001E-5</v>
      </c>
      <c r="T195" s="185">
        <f>IFERROR(IF($C195="",-0.00001,SUMIFS(Database!V:V,Database!$E:$E,$C195)),-0.00001)</f>
        <v>-1.0000000000000001E-5</v>
      </c>
      <c r="U195" s="185">
        <f>IFERROR(IF($C195="",-0.00001,SUMIFS(Database!W:W,Database!$E:$E,$C195)),-0.00001)</f>
        <v>-1.0000000000000001E-5</v>
      </c>
      <c r="V195" s="186">
        <f t="shared" si="8"/>
        <v>-1.0000000000000001E-5</v>
      </c>
      <c r="W195" s="187"/>
      <c r="X195" s="187"/>
      <c r="Y195" s="187"/>
      <c r="Z195" s="187"/>
      <c r="AA195" s="187"/>
      <c r="AB195" s="187"/>
      <c r="AC195" s="187"/>
      <c r="AD195" s="187"/>
      <c r="AE195" s="187"/>
    </row>
    <row r="196" spans="1:31" x14ac:dyDescent="0.25">
      <c r="A196" s="187"/>
      <c r="B196" s="187" t="str">
        <f>IF($C196="","",MAX($B$4:$B195)+1)</f>
        <v/>
      </c>
      <c r="C196" s="183"/>
      <c r="D196" s="183" t="str">
        <f>IFERROR(VLOOKUP($C196,Rosters!$C$4:$M$239,INDEX(Lists!$N$5:$O$80,MATCH($C196,Lists!$N$5:$N$80,FALSE),2)),"")</f>
        <v/>
      </c>
      <c r="E196" s="185">
        <f>IF($C196="",-0.00001,COUNTIF(Database!E:E,$C196))</f>
        <v>-1.0000000000000001E-5</v>
      </c>
      <c r="F196" s="185">
        <f>IFERROR(IF($C196="",-0.00001,SUMIFS(Database!H:H,Database!$E:$E,$C196)),-0.00001)</f>
        <v>-1.0000000000000001E-5</v>
      </c>
      <c r="G196" s="185">
        <f>IFERROR(IF($C196="",-0.00001,SUMIFS(Database!I:I,Database!$E:$E,$C196)),-0.00001)</f>
        <v>-1.0000000000000001E-5</v>
      </c>
      <c r="H196" s="185">
        <f>IFERROR(IF($C196="",-0.00001,SUMIFS(Database!J:J,Database!$E:$E,$C196)),-0.00001)</f>
        <v>-1.0000000000000001E-5</v>
      </c>
      <c r="I196" s="185">
        <f>IFERROR(IF($C196="",-0.00001,SUMIFS(Database!K:K,Database!$E:$E,$C196)),-0.00001)</f>
        <v>-1.0000000000000001E-5</v>
      </c>
      <c r="J196" s="185">
        <f>IFERROR(IF($C196="",-0.00001,SUMIFS(Database!L:L,Database!$E:$E,$C196)),-0.00001)</f>
        <v>-1.0000000000000001E-5</v>
      </c>
      <c r="K196" s="185">
        <f>IFERROR(IF($C196="",-0.00001,SUMIFS(Database!M:M,Database!$E:$E,$C196)),-0.00001)</f>
        <v>-1.0000000000000001E-5</v>
      </c>
      <c r="L196" s="185">
        <f>IFERROR(IF($C196="",-0.00001,SUMIFS(Database!N:N,Database!$E:$E,$C196)),-0.00001)</f>
        <v>-1.0000000000000001E-5</v>
      </c>
      <c r="M196" s="185">
        <f>IFERROR(IF($C196="",-0.00001,SUMIFS(Database!O:O,Database!$E:$E,$C196)),-0.00001)</f>
        <v>-1.0000000000000001E-5</v>
      </c>
      <c r="N196" s="185">
        <f>IFERROR(IF($C196="",-0.00001,SUMIFS(Database!P:P,Database!$E:$E,$C196)),-0.00001)</f>
        <v>-1.0000000000000001E-5</v>
      </c>
      <c r="O196" s="185">
        <f>IFERROR(IF($C196="",-0.00001,SUMIFS(Database!Q:Q,Database!$E:$E,$C196)),-0.00001)</f>
        <v>-1.0000000000000001E-5</v>
      </c>
      <c r="P196" s="186">
        <f t="shared" ref="P196:P249" si="9">IFERROR(IF($C196="",-0.00001,$N196/$O196),-0.00001)</f>
        <v>-1.0000000000000001E-5</v>
      </c>
      <c r="Q196" s="185">
        <f>IFERROR(IF($C196="",-0.00001,SUMIFS(Database!S:S,Database!$E:$E,$C196)),-0.00001)</f>
        <v>-1.0000000000000001E-5</v>
      </c>
      <c r="R196" s="185">
        <f>IFERROR(IF($C196="",-0.00001,SUMIFS(Database!T:T,Database!$E:$E,$C196)),-0.00001)</f>
        <v>-1.0000000000000001E-5</v>
      </c>
      <c r="S196" s="186">
        <f t="shared" ref="S196:S249" si="10">IFERROR(IF($C196="",-0.00001,$Q196/$R196),-0.00001)</f>
        <v>-1.0000000000000001E-5</v>
      </c>
      <c r="T196" s="185">
        <f>IFERROR(IF($C196="",-0.00001,SUMIFS(Database!V:V,Database!$E:$E,$C196)),-0.00001)</f>
        <v>-1.0000000000000001E-5</v>
      </c>
      <c r="U196" s="185">
        <f>IFERROR(IF($C196="",-0.00001,SUMIFS(Database!W:W,Database!$E:$E,$C196)),-0.00001)</f>
        <v>-1.0000000000000001E-5</v>
      </c>
      <c r="V196" s="186">
        <f t="shared" ref="V196:V249" si="11">IFERROR(IF($C196="",-0.00001,$T196/$U196),-0.00001)</f>
        <v>-1.0000000000000001E-5</v>
      </c>
      <c r="W196" s="187"/>
      <c r="X196" s="187"/>
      <c r="Y196" s="187"/>
      <c r="Z196" s="187"/>
      <c r="AA196" s="187"/>
      <c r="AB196" s="187"/>
      <c r="AC196" s="187"/>
      <c r="AD196" s="187"/>
      <c r="AE196" s="187"/>
    </row>
    <row r="197" spans="1:31" x14ac:dyDescent="0.25">
      <c r="A197" s="187"/>
      <c r="B197" s="187" t="str">
        <f>IF($C197="","",MAX($B$4:$B196)+1)</f>
        <v/>
      </c>
      <c r="C197" s="183"/>
      <c r="D197" s="183" t="str">
        <f>IFERROR(VLOOKUP($C197,Rosters!$C$4:$M$239,INDEX(Lists!$N$5:$O$80,MATCH($C197,Lists!$N$5:$N$80,FALSE),2)),"")</f>
        <v/>
      </c>
      <c r="E197" s="185">
        <f>IF($C197="",-0.00001,COUNTIF(Database!E:E,$C197))</f>
        <v>-1.0000000000000001E-5</v>
      </c>
      <c r="F197" s="185">
        <f>IFERROR(IF($C197="",-0.00001,SUMIFS(Database!H:H,Database!$E:$E,$C197)),-0.00001)</f>
        <v>-1.0000000000000001E-5</v>
      </c>
      <c r="G197" s="185">
        <f>IFERROR(IF($C197="",-0.00001,SUMIFS(Database!I:I,Database!$E:$E,$C197)),-0.00001)</f>
        <v>-1.0000000000000001E-5</v>
      </c>
      <c r="H197" s="185">
        <f>IFERROR(IF($C197="",-0.00001,SUMIFS(Database!J:J,Database!$E:$E,$C197)),-0.00001)</f>
        <v>-1.0000000000000001E-5</v>
      </c>
      <c r="I197" s="185">
        <f>IFERROR(IF($C197="",-0.00001,SUMIFS(Database!K:K,Database!$E:$E,$C197)),-0.00001)</f>
        <v>-1.0000000000000001E-5</v>
      </c>
      <c r="J197" s="185">
        <f>IFERROR(IF($C197="",-0.00001,SUMIFS(Database!L:L,Database!$E:$E,$C197)),-0.00001)</f>
        <v>-1.0000000000000001E-5</v>
      </c>
      <c r="K197" s="185">
        <f>IFERROR(IF($C197="",-0.00001,SUMIFS(Database!M:M,Database!$E:$E,$C197)),-0.00001)</f>
        <v>-1.0000000000000001E-5</v>
      </c>
      <c r="L197" s="185">
        <f>IFERROR(IF($C197="",-0.00001,SUMIFS(Database!N:N,Database!$E:$E,$C197)),-0.00001)</f>
        <v>-1.0000000000000001E-5</v>
      </c>
      <c r="M197" s="185">
        <f>IFERROR(IF($C197="",-0.00001,SUMIFS(Database!O:O,Database!$E:$E,$C197)),-0.00001)</f>
        <v>-1.0000000000000001E-5</v>
      </c>
      <c r="N197" s="185">
        <f>IFERROR(IF($C197="",-0.00001,SUMIFS(Database!P:P,Database!$E:$E,$C197)),-0.00001)</f>
        <v>-1.0000000000000001E-5</v>
      </c>
      <c r="O197" s="185">
        <f>IFERROR(IF($C197="",-0.00001,SUMIFS(Database!Q:Q,Database!$E:$E,$C197)),-0.00001)</f>
        <v>-1.0000000000000001E-5</v>
      </c>
      <c r="P197" s="186">
        <f t="shared" si="9"/>
        <v>-1.0000000000000001E-5</v>
      </c>
      <c r="Q197" s="185">
        <f>IFERROR(IF($C197="",-0.00001,SUMIFS(Database!S:S,Database!$E:$E,$C197)),-0.00001)</f>
        <v>-1.0000000000000001E-5</v>
      </c>
      <c r="R197" s="185">
        <f>IFERROR(IF($C197="",-0.00001,SUMIFS(Database!T:T,Database!$E:$E,$C197)),-0.00001)</f>
        <v>-1.0000000000000001E-5</v>
      </c>
      <c r="S197" s="186">
        <f t="shared" si="10"/>
        <v>-1.0000000000000001E-5</v>
      </c>
      <c r="T197" s="185">
        <f>IFERROR(IF($C197="",-0.00001,SUMIFS(Database!V:V,Database!$E:$E,$C197)),-0.00001)</f>
        <v>-1.0000000000000001E-5</v>
      </c>
      <c r="U197" s="185">
        <f>IFERROR(IF($C197="",-0.00001,SUMIFS(Database!W:W,Database!$E:$E,$C197)),-0.00001)</f>
        <v>-1.0000000000000001E-5</v>
      </c>
      <c r="V197" s="186">
        <f t="shared" si="11"/>
        <v>-1.0000000000000001E-5</v>
      </c>
      <c r="W197" s="187"/>
      <c r="X197" s="187"/>
      <c r="Y197" s="187"/>
      <c r="Z197" s="187"/>
      <c r="AA197" s="187"/>
      <c r="AB197" s="187"/>
      <c r="AC197" s="187"/>
      <c r="AD197" s="187"/>
      <c r="AE197" s="187"/>
    </row>
    <row r="198" spans="1:31" x14ac:dyDescent="0.25">
      <c r="A198" s="187"/>
      <c r="B198" s="187" t="str">
        <f>IF($C198="","",MAX($B$4:$B197)+1)</f>
        <v/>
      </c>
      <c r="C198" s="183"/>
      <c r="D198" s="183" t="str">
        <f>IFERROR(VLOOKUP($C198,Rosters!$C$4:$M$239,INDEX(Lists!$N$5:$O$80,MATCH($C198,Lists!$N$5:$N$80,FALSE),2)),"")</f>
        <v/>
      </c>
      <c r="E198" s="185">
        <f>IF($C198="",-0.00001,COUNTIF(Database!E:E,$C198))</f>
        <v>-1.0000000000000001E-5</v>
      </c>
      <c r="F198" s="185">
        <f>IFERROR(IF($C198="",-0.00001,SUMIFS(Database!H:H,Database!$E:$E,$C198)),-0.00001)</f>
        <v>-1.0000000000000001E-5</v>
      </c>
      <c r="G198" s="185">
        <f>IFERROR(IF($C198="",-0.00001,SUMIFS(Database!I:I,Database!$E:$E,$C198)),-0.00001)</f>
        <v>-1.0000000000000001E-5</v>
      </c>
      <c r="H198" s="185">
        <f>IFERROR(IF($C198="",-0.00001,SUMIFS(Database!J:J,Database!$E:$E,$C198)),-0.00001)</f>
        <v>-1.0000000000000001E-5</v>
      </c>
      <c r="I198" s="185">
        <f>IFERROR(IF($C198="",-0.00001,SUMIFS(Database!K:K,Database!$E:$E,$C198)),-0.00001)</f>
        <v>-1.0000000000000001E-5</v>
      </c>
      <c r="J198" s="185">
        <f>IFERROR(IF($C198="",-0.00001,SUMIFS(Database!L:L,Database!$E:$E,$C198)),-0.00001)</f>
        <v>-1.0000000000000001E-5</v>
      </c>
      <c r="K198" s="185">
        <f>IFERROR(IF($C198="",-0.00001,SUMIFS(Database!M:M,Database!$E:$E,$C198)),-0.00001)</f>
        <v>-1.0000000000000001E-5</v>
      </c>
      <c r="L198" s="185">
        <f>IFERROR(IF($C198="",-0.00001,SUMIFS(Database!N:N,Database!$E:$E,$C198)),-0.00001)</f>
        <v>-1.0000000000000001E-5</v>
      </c>
      <c r="M198" s="185">
        <f>IFERROR(IF($C198="",-0.00001,SUMIFS(Database!O:O,Database!$E:$E,$C198)),-0.00001)</f>
        <v>-1.0000000000000001E-5</v>
      </c>
      <c r="N198" s="185">
        <f>IFERROR(IF($C198="",-0.00001,SUMIFS(Database!P:P,Database!$E:$E,$C198)),-0.00001)</f>
        <v>-1.0000000000000001E-5</v>
      </c>
      <c r="O198" s="185">
        <f>IFERROR(IF($C198="",-0.00001,SUMIFS(Database!Q:Q,Database!$E:$E,$C198)),-0.00001)</f>
        <v>-1.0000000000000001E-5</v>
      </c>
      <c r="P198" s="186">
        <f t="shared" si="9"/>
        <v>-1.0000000000000001E-5</v>
      </c>
      <c r="Q198" s="185">
        <f>IFERROR(IF($C198="",-0.00001,SUMIFS(Database!S:S,Database!$E:$E,$C198)),-0.00001)</f>
        <v>-1.0000000000000001E-5</v>
      </c>
      <c r="R198" s="185">
        <f>IFERROR(IF($C198="",-0.00001,SUMIFS(Database!T:T,Database!$E:$E,$C198)),-0.00001)</f>
        <v>-1.0000000000000001E-5</v>
      </c>
      <c r="S198" s="186">
        <f t="shared" si="10"/>
        <v>-1.0000000000000001E-5</v>
      </c>
      <c r="T198" s="185">
        <f>IFERROR(IF($C198="",-0.00001,SUMIFS(Database!V:V,Database!$E:$E,$C198)),-0.00001)</f>
        <v>-1.0000000000000001E-5</v>
      </c>
      <c r="U198" s="185">
        <f>IFERROR(IF($C198="",-0.00001,SUMIFS(Database!W:W,Database!$E:$E,$C198)),-0.00001)</f>
        <v>-1.0000000000000001E-5</v>
      </c>
      <c r="V198" s="186">
        <f t="shared" si="11"/>
        <v>-1.0000000000000001E-5</v>
      </c>
      <c r="W198" s="187"/>
      <c r="X198" s="187"/>
      <c r="Y198" s="187"/>
      <c r="Z198" s="187"/>
      <c r="AA198" s="187"/>
      <c r="AB198" s="187"/>
      <c r="AC198" s="187"/>
      <c r="AD198" s="187"/>
      <c r="AE198" s="187"/>
    </row>
    <row r="199" spans="1:31" x14ac:dyDescent="0.25">
      <c r="A199" s="187"/>
      <c r="B199" s="187" t="str">
        <f>IF($C199="","",MAX($B$4:$B198)+1)</f>
        <v/>
      </c>
      <c r="C199" s="183"/>
      <c r="D199" s="183" t="str">
        <f>IFERROR(VLOOKUP($C199,Rosters!$C$4:$M$239,INDEX(Lists!$N$5:$O$80,MATCH($C199,Lists!$N$5:$N$80,FALSE),2)),"")</f>
        <v/>
      </c>
      <c r="E199" s="185">
        <f>IF($C199="",-0.00001,COUNTIF(Database!E:E,$C199))</f>
        <v>-1.0000000000000001E-5</v>
      </c>
      <c r="F199" s="185">
        <f>IFERROR(IF($C199="",-0.00001,SUMIFS(Database!H:H,Database!$E:$E,$C199)),-0.00001)</f>
        <v>-1.0000000000000001E-5</v>
      </c>
      <c r="G199" s="185">
        <f>IFERROR(IF($C199="",-0.00001,SUMIFS(Database!I:I,Database!$E:$E,$C199)),-0.00001)</f>
        <v>-1.0000000000000001E-5</v>
      </c>
      <c r="H199" s="185">
        <f>IFERROR(IF($C199="",-0.00001,SUMIFS(Database!J:J,Database!$E:$E,$C199)),-0.00001)</f>
        <v>-1.0000000000000001E-5</v>
      </c>
      <c r="I199" s="185">
        <f>IFERROR(IF($C199="",-0.00001,SUMIFS(Database!K:K,Database!$E:$E,$C199)),-0.00001)</f>
        <v>-1.0000000000000001E-5</v>
      </c>
      <c r="J199" s="185">
        <f>IFERROR(IF($C199="",-0.00001,SUMIFS(Database!L:L,Database!$E:$E,$C199)),-0.00001)</f>
        <v>-1.0000000000000001E-5</v>
      </c>
      <c r="K199" s="185">
        <f>IFERROR(IF($C199="",-0.00001,SUMIFS(Database!M:M,Database!$E:$E,$C199)),-0.00001)</f>
        <v>-1.0000000000000001E-5</v>
      </c>
      <c r="L199" s="185">
        <f>IFERROR(IF($C199="",-0.00001,SUMIFS(Database!N:N,Database!$E:$E,$C199)),-0.00001)</f>
        <v>-1.0000000000000001E-5</v>
      </c>
      <c r="M199" s="185">
        <f>IFERROR(IF($C199="",-0.00001,SUMIFS(Database!O:O,Database!$E:$E,$C199)),-0.00001)</f>
        <v>-1.0000000000000001E-5</v>
      </c>
      <c r="N199" s="185">
        <f>IFERROR(IF($C199="",-0.00001,SUMIFS(Database!P:P,Database!$E:$E,$C199)),-0.00001)</f>
        <v>-1.0000000000000001E-5</v>
      </c>
      <c r="O199" s="185">
        <f>IFERROR(IF($C199="",-0.00001,SUMIFS(Database!Q:Q,Database!$E:$E,$C199)),-0.00001)</f>
        <v>-1.0000000000000001E-5</v>
      </c>
      <c r="P199" s="186">
        <f t="shared" si="9"/>
        <v>-1.0000000000000001E-5</v>
      </c>
      <c r="Q199" s="185">
        <f>IFERROR(IF($C199="",-0.00001,SUMIFS(Database!S:S,Database!$E:$E,$C199)),-0.00001)</f>
        <v>-1.0000000000000001E-5</v>
      </c>
      <c r="R199" s="185">
        <f>IFERROR(IF($C199="",-0.00001,SUMIFS(Database!T:T,Database!$E:$E,$C199)),-0.00001)</f>
        <v>-1.0000000000000001E-5</v>
      </c>
      <c r="S199" s="186">
        <f t="shared" si="10"/>
        <v>-1.0000000000000001E-5</v>
      </c>
      <c r="T199" s="185">
        <f>IFERROR(IF($C199="",-0.00001,SUMIFS(Database!V:V,Database!$E:$E,$C199)),-0.00001)</f>
        <v>-1.0000000000000001E-5</v>
      </c>
      <c r="U199" s="185">
        <f>IFERROR(IF($C199="",-0.00001,SUMIFS(Database!W:W,Database!$E:$E,$C199)),-0.00001)</f>
        <v>-1.0000000000000001E-5</v>
      </c>
      <c r="V199" s="186">
        <f t="shared" si="11"/>
        <v>-1.0000000000000001E-5</v>
      </c>
      <c r="W199" s="187"/>
      <c r="X199" s="187"/>
      <c r="Y199" s="187"/>
      <c r="Z199" s="187"/>
      <c r="AA199" s="187"/>
      <c r="AB199" s="187"/>
      <c r="AC199" s="187"/>
      <c r="AD199" s="187"/>
      <c r="AE199" s="187"/>
    </row>
    <row r="200" spans="1:31" x14ac:dyDescent="0.25">
      <c r="A200" s="187"/>
      <c r="B200" s="187" t="str">
        <f>IF($C200="","",MAX($B$4:$B199)+1)</f>
        <v/>
      </c>
      <c r="C200" s="183"/>
      <c r="D200" s="183" t="str">
        <f>IFERROR(VLOOKUP($C200,Rosters!$C$4:$M$239,INDEX(Lists!$N$5:$O$80,MATCH($C200,Lists!$N$5:$N$80,FALSE),2)),"")</f>
        <v/>
      </c>
      <c r="E200" s="185">
        <f>IF($C200="",-0.00001,COUNTIF(Database!E:E,$C200))</f>
        <v>-1.0000000000000001E-5</v>
      </c>
      <c r="F200" s="185">
        <f>IFERROR(IF($C200="",-0.00001,SUMIFS(Database!H:H,Database!$E:$E,$C200)),-0.00001)</f>
        <v>-1.0000000000000001E-5</v>
      </c>
      <c r="G200" s="185">
        <f>IFERROR(IF($C200="",-0.00001,SUMIFS(Database!I:I,Database!$E:$E,$C200)),-0.00001)</f>
        <v>-1.0000000000000001E-5</v>
      </c>
      <c r="H200" s="185">
        <f>IFERROR(IF($C200="",-0.00001,SUMIFS(Database!J:J,Database!$E:$E,$C200)),-0.00001)</f>
        <v>-1.0000000000000001E-5</v>
      </c>
      <c r="I200" s="185">
        <f>IFERROR(IF($C200="",-0.00001,SUMIFS(Database!K:K,Database!$E:$E,$C200)),-0.00001)</f>
        <v>-1.0000000000000001E-5</v>
      </c>
      <c r="J200" s="185">
        <f>IFERROR(IF($C200="",-0.00001,SUMIFS(Database!L:L,Database!$E:$E,$C200)),-0.00001)</f>
        <v>-1.0000000000000001E-5</v>
      </c>
      <c r="K200" s="185">
        <f>IFERROR(IF($C200="",-0.00001,SUMIFS(Database!M:M,Database!$E:$E,$C200)),-0.00001)</f>
        <v>-1.0000000000000001E-5</v>
      </c>
      <c r="L200" s="185">
        <f>IFERROR(IF($C200="",-0.00001,SUMIFS(Database!N:N,Database!$E:$E,$C200)),-0.00001)</f>
        <v>-1.0000000000000001E-5</v>
      </c>
      <c r="M200" s="185">
        <f>IFERROR(IF($C200="",-0.00001,SUMIFS(Database!O:O,Database!$E:$E,$C200)),-0.00001)</f>
        <v>-1.0000000000000001E-5</v>
      </c>
      <c r="N200" s="185">
        <f>IFERROR(IF($C200="",-0.00001,SUMIFS(Database!P:P,Database!$E:$E,$C200)),-0.00001)</f>
        <v>-1.0000000000000001E-5</v>
      </c>
      <c r="O200" s="185">
        <f>IFERROR(IF($C200="",-0.00001,SUMIFS(Database!Q:Q,Database!$E:$E,$C200)),-0.00001)</f>
        <v>-1.0000000000000001E-5</v>
      </c>
      <c r="P200" s="186">
        <f t="shared" si="9"/>
        <v>-1.0000000000000001E-5</v>
      </c>
      <c r="Q200" s="185">
        <f>IFERROR(IF($C200="",-0.00001,SUMIFS(Database!S:S,Database!$E:$E,$C200)),-0.00001)</f>
        <v>-1.0000000000000001E-5</v>
      </c>
      <c r="R200" s="185">
        <f>IFERROR(IF($C200="",-0.00001,SUMIFS(Database!T:T,Database!$E:$E,$C200)),-0.00001)</f>
        <v>-1.0000000000000001E-5</v>
      </c>
      <c r="S200" s="186">
        <f t="shared" si="10"/>
        <v>-1.0000000000000001E-5</v>
      </c>
      <c r="T200" s="185">
        <f>IFERROR(IF($C200="",-0.00001,SUMIFS(Database!V:V,Database!$E:$E,$C200)),-0.00001)</f>
        <v>-1.0000000000000001E-5</v>
      </c>
      <c r="U200" s="185">
        <f>IFERROR(IF($C200="",-0.00001,SUMIFS(Database!W:W,Database!$E:$E,$C200)),-0.00001)</f>
        <v>-1.0000000000000001E-5</v>
      </c>
      <c r="V200" s="186">
        <f t="shared" si="11"/>
        <v>-1.0000000000000001E-5</v>
      </c>
      <c r="W200" s="187"/>
      <c r="X200" s="187"/>
      <c r="Y200" s="187"/>
      <c r="Z200" s="187"/>
      <c r="AA200" s="187"/>
      <c r="AB200" s="187"/>
      <c r="AC200" s="187"/>
      <c r="AD200" s="187"/>
      <c r="AE200" s="187"/>
    </row>
    <row r="201" spans="1:31" x14ac:dyDescent="0.25">
      <c r="A201" s="187"/>
      <c r="B201" s="187" t="str">
        <f>IF($C201="","",MAX($B$4:$B200)+1)</f>
        <v/>
      </c>
      <c r="C201" s="183"/>
      <c r="D201" s="183" t="str">
        <f>IFERROR(VLOOKUP($C201,Rosters!$C$4:$M$239,INDEX(Lists!$N$5:$O$80,MATCH($C201,Lists!$N$5:$N$80,FALSE),2)),"")</f>
        <v/>
      </c>
      <c r="E201" s="185">
        <f>IF($C201="",-0.00001,COUNTIF(Database!E:E,$C201))</f>
        <v>-1.0000000000000001E-5</v>
      </c>
      <c r="F201" s="185">
        <f>IFERROR(IF($C201="",-0.00001,SUMIFS(Database!H:H,Database!$E:$E,$C201)),-0.00001)</f>
        <v>-1.0000000000000001E-5</v>
      </c>
      <c r="G201" s="185">
        <f>IFERROR(IF($C201="",-0.00001,SUMIFS(Database!I:I,Database!$E:$E,$C201)),-0.00001)</f>
        <v>-1.0000000000000001E-5</v>
      </c>
      <c r="H201" s="185">
        <f>IFERROR(IF($C201="",-0.00001,SUMIFS(Database!J:J,Database!$E:$E,$C201)),-0.00001)</f>
        <v>-1.0000000000000001E-5</v>
      </c>
      <c r="I201" s="185">
        <f>IFERROR(IF($C201="",-0.00001,SUMIFS(Database!K:K,Database!$E:$E,$C201)),-0.00001)</f>
        <v>-1.0000000000000001E-5</v>
      </c>
      <c r="J201" s="185">
        <f>IFERROR(IF($C201="",-0.00001,SUMIFS(Database!L:L,Database!$E:$E,$C201)),-0.00001)</f>
        <v>-1.0000000000000001E-5</v>
      </c>
      <c r="K201" s="185">
        <f>IFERROR(IF($C201="",-0.00001,SUMIFS(Database!M:M,Database!$E:$E,$C201)),-0.00001)</f>
        <v>-1.0000000000000001E-5</v>
      </c>
      <c r="L201" s="185">
        <f>IFERROR(IF($C201="",-0.00001,SUMIFS(Database!N:N,Database!$E:$E,$C201)),-0.00001)</f>
        <v>-1.0000000000000001E-5</v>
      </c>
      <c r="M201" s="185">
        <f>IFERROR(IF($C201="",-0.00001,SUMIFS(Database!O:O,Database!$E:$E,$C201)),-0.00001)</f>
        <v>-1.0000000000000001E-5</v>
      </c>
      <c r="N201" s="185">
        <f>IFERROR(IF($C201="",-0.00001,SUMIFS(Database!P:P,Database!$E:$E,$C201)),-0.00001)</f>
        <v>-1.0000000000000001E-5</v>
      </c>
      <c r="O201" s="185">
        <f>IFERROR(IF($C201="",-0.00001,SUMIFS(Database!Q:Q,Database!$E:$E,$C201)),-0.00001)</f>
        <v>-1.0000000000000001E-5</v>
      </c>
      <c r="P201" s="186">
        <f t="shared" si="9"/>
        <v>-1.0000000000000001E-5</v>
      </c>
      <c r="Q201" s="185">
        <f>IFERROR(IF($C201="",-0.00001,SUMIFS(Database!S:S,Database!$E:$E,$C201)),-0.00001)</f>
        <v>-1.0000000000000001E-5</v>
      </c>
      <c r="R201" s="185">
        <f>IFERROR(IF($C201="",-0.00001,SUMIFS(Database!T:T,Database!$E:$E,$C201)),-0.00001)</f>
        <v>-1.0000000000000001E-5</v>
      </c>
      <c r="S201" s="186">
        <f t="shared" si="10"/>
        <v>-1.0000000000000001E-5</v>
      </c>
      <c r="T201" s="185">
        <f>IFERROR(IF($C201="",-0.00001,SUMIFS(Database!V:V,Database!$E:$E,$C201)),-0.00001)</f>
        <v>-1.0000000000000001E-5</v>
      </c>
      <c r="U201" s="185">
        <f>IFERROR(IF($C201="",-0.00001,SUMIFS(Database!W:W,Database!$E:$E,$C201)),-0.00001)</f>
        <v>-1.0000000000000001E-5</v>
      </c>
      <c r="V201" s="186">
        <f t="shared" si="11"/>
        <v>-1.0000000000000001E-5</v>
      </c>
      <c r="W201" s="187"/>
      <c r="X201" s="187"/>
      <c r="Y201" s="187"/>
      <c r="Z201" s="187"/>
      <c r="AA201" s="187"/>
      <c r="AB201" s="187"/>
      <c r="AC201" s="187"/>
      <c r="AD201" s="187"/>
      <c r="AE201" s="187"/>
    </row>
    <row r="202" spans="1:31" x14ac:dyDescent="0.25">
      <c r="A202" s="187"/>
      <c r="B202" s="187" t="str">
        <f>IF($C202="","",MAX($B$4:$B201)+1)</f>
        <v/>
      </c>
      <c r="C202" s="183"/>
      <c r="D202" s="183" t="str">
        <f>IFERROR(VLOOKUP($C202,Rosters!$C$4:$M$239,INDEX(Lists!$N$5:$O$80,MATCH($C202,Lists!$N$5:$N$80,FALSE),2)),"")</f>
        <v/>
      </c>
      <c r="E202" s="185">
        <f>IF($C202="",-0.00001,COUNTIF(Database!E:E,$C202))</f>
        <v>-1.0000000000000001E-5</v>
      </c>
      <c r="F202" s="185">
        <f>IFERROR(IF($C202="",-0.00001,SUMIFS(Database!H:H,Database!$E:$E,$C202)),-0.00001)</f>
        <v>-1.0000000000000001E-5</v>
      </c>
      <c r="G202" s="185">
        <f>IFERROR(IF($C202="",-0.00001,SUMIFS(Database!I:I,Database!$E:$E,$C202)),-0.00001)</f>
        <v>-1.0000000000000001E-5</v>
      </c>
      <c r="H202" s="185">
        <f>IFERROR(IF($C202="",-0.00001,SUMIFS(Database!J:J,Database!$E:$E,$C202)),-0.00001)</f>
        <v>-1.0000000000000001E-5</v>
      </c>
      <c r="I202" s="185">
        <f>IFERROR(IF($C202="",-0.00001,SUMIFS(Database!K:K,Database!$E:$E,$C202)),-0.00001)</f>
        <v>-1.0000000000000001E-5</v>
      </c>
      <c r="J202" s="185">
        <f>IFERROR(IF($C202="",-0.00001,SUMIFS(Database!L:L,Database!$E:$E,$C202)),-0.00001)</f>
        <v>-1.0000000000000001E-5</v>
      </c>
      <c r="K202" s="185">
        <f>IFERROR(IF($C202="",-0.00001,SUMIFS(Database!M:M,Database!$E:$E,$C202)),-0.00001)</f>
        <v>-1.0000000000000001E-5</v>
      </c>
      <c r="L202" s="185">
        <f>IFERROR(IF($C202="",-0.00001,SUMIFS(Database!N:N,Database!$E:$E,$C202)),-0.00001)</f>
        <v>-1.0000000000000001E-5</v>
      </c>
      <c r="M202" s="185">
        <f>IFERROR(IF($C202="",-0.00001,SUMIFS(Database!O:O,Database!$E:$E,$C202)),-0.00001)</f>
        <v>-1.0000000000000001E-5</v>
      </c>
      <c r="N202" s="185">
        <f>IFERROR(IF($C202="",-0.00001,SUMIFS(Database!P:P,Database!$E:$E,$C202)),-0.00001)</f>
        <v>-1.0000000000000001E-5</v>
      </c>
      <c r="O202" s="185">
        <f>IFERROR(IF($C202="",-0.00001,SUMIFS(Database!Q:Q,Database!$E:$E,$C202)),-0.00001)</f>
        <v>-1.0000000000000001E-5</v>
      </c>
      <c r="P202" s="186">
        <f t="shared" si="9"/>
        <v>-1.0000000000000001E-5</v>
      </c>
      <c r="Q202" s="185">
        <f>IFERROR(IF($C202="",-0.00001,SUMIFS(Database!S:S,Database!$E:$E,$C202)),-0.00001)</f>
        <v>-1.0000000000000001E-5</v>
      </c>
      <c r="R202" s="185">
        <f>IFERROR(IF($C202="",-0.00001,SUMIFS(Database!T:T,Database!$E:$E,$C202)),-0.00001)</f>
        <v>-1.0000000000000001E-5</v>
      </c>
      <c r="S202" s="186">
        <f t="shared" si="10"/>
        <v>-1.0000000000000001E-5</v>
      </c>
      <c r="T202" s="185">
        <f>IFERROR(IF($C202="",-0.00001,SUMIFS(Database!V:V,Database!$E:$E,$C202)),-0.00001)</f>
        <v>-1.0000000000000001E-5</v>
      </c>
      <c r="U202" s="185">
        <f>IFERROR(IF($C202="",-0.00001,SUMIFS(Database!W:W,Database!$E:$E,$C202)),-0.00001)</f>
        <v>-1.0000000000000001E-5</v>
      </c>
      <c r="V202" s="186">
        <f t="shared" si="11"/>
        <v>-1.0000000000000001E-5</v>
      </c>
      <c r="W202" s="187"/>
      <c r="X202" s="187"/>
      <c r="Y202" s="187"/>
      <c r="Z202" s="187"/>
      <c r="AA202" s="187"/>
      <c r="AB202" s="187"/>
      <c r="AC202" s="187"/>
      <c r="AD202" s="187"/>
      <c r="AE202" s="187"/>
    </row>
    <row r="203" spans="1:31" x14ac:dyDescent="0.25">
      <c r="A203" s="187"/>
      <c r="B203" s="187" t="str">
        <f>IF($C203="","",MAX($B$4:$B202)+1)</f>
        <v/>
      </c>
      <c r="C203" s="183"/>
      <c r="D203" s="183" t="str">
        <f>IFERROR(VLOOKUP($C203,Rosters!$C$4:$M$239,INDEX(Lists!$N$5:$O$80,MATCH($C203,Lists!$N$5:$N$80,FALSE),2)),"")</f>
        <v/>
      </c>
      <c r="E203" s="185">
        <f>IF($C203="",-0.00001,COUNTIF(Database!E:E,$C203))</f>
        <v>-1.0000000000000001E-5</v>
      </c>
      <c r="F203" s="185">
        <f>IFERROR(IF($C203="",-0.00001,SUMIFS(Database!H:H,Database!$E:$E,$C203)),-0.00001)</f>
        <v>-1.0000000000000001E-5</v>
      </c>
      <c r="G203" s="185">
        <f>IFERROR(IF($C203="",-0.00001,SUMIFS(Database!I:I,Database!$E:$E,$C203)),-0.00001)</f>
        <v>-1.0000000000000001E-5</v>
      </c>
      <c r="H203" s="185">
        <f>IFERROR(IF($C203="",-0.00001,SUMIFS(Database!J:J,Database!$E:$E,$C203)),-0.00001)</f>
        <v>-1.0000000000000001E-5</v>
      </c>
      <c r="I203" s="185">
        <f>IFERROR(IF($C203="",-0.00001,SUMIFS(Database!K:K,Database!$E:$E,$C203)),-0.00001)</f>
        <v>-1.0000000000000001E-5</v>
      </c>
      <c r="J203" s="185">
        <f>IFERROR(IF($C203="",-0.00001,SUMIFS(Database!L:L,Database!$E:$E,$C203)),-0.00001)</f>
        <v>-1.0000000000000001E-5</v>
      </c>
      <c r="K203" s="185">
        <f>IFERROR(IF($C203="",-0.00001,SUMIFS(Database!M:M,Database!$E:$E,$C203)),-0.00001)</f>
        <v>-1.0000000000000001E-5</v>
      </c>
      <c r="L203" s="185">
        <f>IFERROR(IF($C203="",-0.00001,SUMIFS(Database!N:N,Database!$E:$E,$C203)),-0.00001)</f>
        <v>-1.0000000000000001E-5</v>
      </c>
      <c r="M203" s="185">
        <f>IFERROR(IF($C203="",-0.00001,SUMIFS(Database!O:O,Database!$E:$E,$C203)),-0.00001)</f>
        <v>-1.0000000000000001E-5</v>
      </c>
      <c r="N203" s="185">
        <f>IFERROR(IF($C203="",-0.00001,SUMIFS(Database!P:P,Database!$E:$E,$C203)),-0.00001)</f>
        <v>-1.0000000000000001E-5</v>
      </c>
      <c r="O203" s="185">
        <f>IFERROR(IF($C203="",-0.00001,SUMIFS(Database!Q:Q,Database!$E:$E,$C203)),-0.00001)</f>
        <v>-1.0000000000000001E-5</v>
      </c>
      <c r="P203" s="186">
        <f t="shared" si="9"/>
        <v>-1.0000000000000001E-5</v>
      </c>
      <c r="Q203" s="185">
        <f>IFERROR(IF($C203="",-0.00001,SUMIFS(Database!S:S,Database!$E:$E,$C203)),-0.00001)</f>
        <v>-1.0000000000000001E-5</v>
      </c>
      <c r="R203" s="185">
        <f>IFERROR(IF($C203="",-0.00001,SUMIFS(Database!T:T,Database!$E:$E,$C203)),-0.00001)</f>
        <v>-1.0000000000000001E-5</v>
      </c>
      <c r="S203" s="186">
        <f t="shared" si="10"/>
        <v>-1.0000000000000001E-5</v>
      </c>
      <c r="T203" s="185">
        <f>IFERROR(IF($C203="",-0.00001,SUMIFS(Database!V:V,Database!$E:$E,$C203)),-0.00001)</f>
        <v>-1.0000000000000001E-5</v>
      </c>
      <c r="U203" s="185">
        <f>IFERROR(IF($C203="",-0.00001,SUMIFS(Database!W:W,Database!$E:$E,$C203)),-0.00001)</f>
        <v>-1.0000000000000001E-5</v>
      </c>
      <c r="V203" s="186">
        <f t="shared" si="11"/>
        <v>-1.0000000000000001E-5</v>
      </c>
      <c r="W203" s="187"/>
      <c r="X203" s="187"/>
      <c r="Y203" s="187"/>
      <c r="Z203" s="187"/>
      <c r="AA203" s="187"/>
      <c r="AB203" s="187"/>
      <c r="AC203" s="187"/>
      <c r="AD203" s="187"/>
      <c r="AE203" s="187"/>
    </row>
    <row r="204" spans="1:31" x14ac:dyDescent="0.25">
      <c r="A204" s="187"/>
      <c r="B204" s="187" t="str">
        <f>IF($C204="","",MAX($B$4:$B203)+1)</f>
        <v/>
      </c>
      <c r="C204" s="183"/>
      <c r="D204" s="183" t="str">
        <f>IFERROR(VLOOKUP($C204,Rosters!$C$4:$M$239,INDEX(Lists!$N$5:$O$80,MATCH($C204,Lists!$N$5:$N$80,FALSE),2)),"")</f>
        <v/>
      </c>
      <c r="E204" s="185">
        <f>IF($C204="",-0.00001,COUNTIF(Database!E:E,$C204))</f>
        <v>-1.0000000000000001E-5</v>
      </c>
      <c r="F204" s="185">
        <f>IFERROR(IF($C204="",-0.00001,SUMIFS(Database!H:H,Database!$E:$E,$C204)),-0.00001)</f>
        <v>-1.0000000000000001E-5</v>
      </c>
      <c r="G204" s="185">
        <f>IFERROR(IF($C204="",-0.00001,SUMIFS(Database!I:I,Database!$E:$E,$C204)),-0.00001)</f>
        <v>-1.0000000000000001E-5</v>
      </c>
      <c r="H204" s="185">
        <f>IFERROR(IF($C204="",-0.00001,SUMIFS(Database!J:J,Database!$E:$E,$C204)),-0.00001)</f>
        <v>-1.0000000000000001E-5</v>
      </c>
      <c r="I204" s="185">
        <f>IFERROR(IF($C204="",-0.00001,SUMIFS(Database!K:K,Database!$E:$E,$C204)),-0.00001)</f>
        <v>-1.0000000000000001E-5</v>
      </c>
      <c r="J204" s="185">
        <f>IFERROR(IF($C204="",-0.00001,SUMIFS(Database!L:L,Database!$E:$E,$C204)),-0.00001)</f>
        <v>-1.0000000000000001E-5</v>
      </c>
      <c r="K204" s="185">
        <f>IFERROR(IF($C204="",-0.00001,SUMIFS(Database!M:M,Database!$E:$E,$C204)),-0.00001)</f>
        <v>-1.0000000000000001E-5</v>
      </c>
      <c r="L204" s="185">
        <f>IFERROR(IF($C204="",-0.00001,SUMIFS(Database!N:N,Database!$E:$E,$C204)),-0.00001)</f>
        <v>-1.0000000000000001E-5</v>
      </c>
      <c r="M204" s="185">
        <f>IFERROR(IF($C204="",-0.00001,SUMIFS(Database!O:O,Database!$E:$E,$C204)),-0.00001)</f>
        <v>-1.0000000000000001E-5</v>
      </c>
      <c r="N204" s="185">
        <f>IFERROR(IF($C204="",-0.00001,SUMIFS(Database!P:P,Database!$E:$E,$C204)),-0.00001)</f>
        <v>-1.0000000000000001E-5</v>
      </c>
      <c r="O204" s="185">
        <f>IFERROR(IF($C204="",-0.00001,SUMIFS(Database!Q:Q,Database!$E:$E,$C204)),-0.00001)</f>
        <v>-1.0000000000000001E-5</v>
      </c>
      <c r="P204" s="186">
        <f t="shared" si="9"/>
        <v>-1.0000000000000001E-5</v>
      </c>
      <c r="Q204" s="185">
        <f>IFERROR(IF($C204="",-0.00001,SUMIFS(Database!S:S,Database!$E:$E,$C204)),-0.00001)</f>
        <v>-1.0000000000000001E-5</v>
      </c>
      <c r="R204" s="185">
        <f>IFERROR(IF($C204="",-0.00001,SUMIFS(Database!T:T,Database!$E:$E,$C204)),-0.00001)</f>
        <v>-1.0000000000000001E-5</v>
      </c>
      <c r="S204" s="186">
        <f t="shared" si="10"/>
        <v>-1.0000000000000001E-5</v>
      </c>
      <c r="T204" s="185">
        <f>IFERROR(IF($C204="",-0.00001,SUMIFS(Database!V:V,Database!$E:$E,$C204)),-0.00001)</f>
        <v>-1.0000000000000001E-5</v>
      </c>
      <c r="U204" s="185">
        <f>IFERROR(IF($C204="",-0.00001,SUMIFS(Database!W:W,Database!$E:$E,$C204)),-0.00001)</f>
        <v>-1.0000000000000001E-5</v>
      </c>
      <c r="V204" s="186">
        <f t="shared" si="11"/>
        <v>-1.0000000000000001E-5</v>
      </c>
      <c r="W204" s="187"/>
      <c r="X204" s="187"/>
      <c r="Y204" s="187"/>
      <c r="Z204" s="187"/>
      <c r="AA204" s="187"/>
      <c r="AB204" s="187"/>
      <c r="AC204" s="187"/>
      <c r="AD204" s="187"/>
      <c r="AE204" s="187"/>
    </row>
    <row r="205" spans="1:31" x14ac:dyDescent="0.25">
      <c r="A205" s="187"/>
      <c r="B205" s="187" t="str">
        <f>IF($C205="","",MAX($B$4:$B204)+1)</f>
        <v/>
      </c>
      <c r="C205" s="183"/>
      <c r="D205" s="183" t="str">
        <f>IFERROR(VLOOKUP($C205,Rosters!$C$4:$M$239,INDEX(Lists!$N$5:$O$80,MATCH($C205,Lists!$N$5:$N$80,FALSE),2)),"")</f>
        <v/>
      </c>
      <c r="E205" s="185">
        <f>IF($C205="",-0.00001,COUNTIF(Database!E:E,$C205))</f>
        <v>-1.0000000000000001E-5</v>
      </c>
      <c r="F205" s="185">
        <f>IFERROR(IF($C205="",-0.00001,SUMIFS(Database!H:H,Database!$E:$E,$C205)),-0.00001)</f>
        <v>-1.0000000000000001E-5</v>
      </c>
      <c r="G205" s="185">
        <f>IFERROR(IF($C205="",-0.00001,SUMIFS(Database!I:I,Database!$E:$E,$C205)),-0.00001)</f>
        <v>-1.0000000000000001E-5</v>
      </c>
      <c r="H205" s="185">
        <f>IFERROR(IF($C205="",-0.00001,SUMIFS(Database!J:J,Database!$E:$E,$C205)),-0.00001)</f>
        <v>-1.0000000000000001E-5</v>
      </c>
      <c r="I205" s="185">
        <f>IFERROR(IF($C205="",-0.00001,SUMIFS(Database!K:K,Database!$E:$E,$C205)),-0.00001)</f>
        <v>-1.0000000000000001E-5</v>
      </c>
      <c r="J205" s="185">
        <f>IFERROR(IF($C205="",-0.00001,SUMIFS(Database!L:L,Database!$E:$E,$C205)),-0.00001)</f>
        <v>-1.0000000000000001E-5</v>
      </c>
      <c r="K205" s="185">
        <f>IFERROR(IF($C205="",-0.00001,SUMIFS(Database!M:M,Database!$E:$E,$C205)),-0.00001)</f>
        <v>-1.0000000000000001E-5</v>
      </c>
      <c r="L205" s="185">
        <f>IFERROR(IF($C205="",-0.00001,SUMIFS(Database!N:N,Database!$E:$E,$C205)),-0.00001)</f>
        <v>-1.0000000000000001E-5</v>
      </c>
      <c r="M205" s="185">
        <f>IFERROR(IF($C205="",-0.00001,SUMIFS(Database!O:O,Database!$E:$E,$C205)),-0.00001)</f>
        <v>-1.0000000000000001E-5</v>
      </c>
      <c r="N205" s="185">
        <f>IFERROR(IF($C205="",-0.00001,SUMIFS(Database!P:P,Database!$E:$E,$C205)),-0.00001)</f>
        <v>-1.0000000000000001E-5</v>
      </c>
      <c r="O205" s="185">
        <f>IFERROR(IF($C205="",-0.00001,SUMIFS(Database!Q:Q,Database!$E:$E,$C205)),-0.00001)</f>
        <v>-1.0000000000000001E-5</v>
      </c>
      <c r="P205" s="186">
        <f t="shared" si="9"/>
        <v>-1.0000000000000001E-5</v>
      </c>
      <c r="Q205" s="185">
        <f>IFERROR(IF($C205="",-0.00001,SUMIFS(Database!S:S,Database!$E:$E,$C205)),-0.00001)</f>
        <v>-1.0000000000000001E-5</v>
      </c>
      <c r="R205" s="185">
        <f>IFERROR(IF($C205="",-0.00001,SUMIFS(Database!T:T,Database!$E:$E,$C205)),-0.00001)</f>
        <v>-1.0000000000000001E-5</v>
      </c>
      <c r="S205" s="186">
        <f t="shared" si="10"/>
        <v>-1.0000000000000001E-5</v>
      </c>
      <c r="T205" s="185">
        <f>IFERROR(IF($C205="",-0.00001,SUMIFS(Database!V:V,Database!$E:$E,$C205)),-0.00001)</f>
        <v>-1.0000000000000001E-5</v>
      </c>
      <c r="U205" s="185">
        <f>IFERROR(IF($C205="",-0.00001,SUMIFS(Database!W:W,Database!$E:$E,$C205)),-0.00001)</f>
        <v>-1.0000000000000001E-5</v>
      </c>
      <c r="V205" s="186">
        <f t="shared" si="11"/>
        <v>-1.0000000000000001E-5</v>
      </c>
      <c r="W205" s="187"/>
      <c r="X205" s="187"/>
      <c r="Y205" s="187"/>
      <c r="Z205" s="187"/>
      <c r="AA205" s="187"/>
      <c r="AB205" s="187"/>
      <c r="AC205" s="187"/>
      <c r="AD205" s="187"/>
      <c r="AE205" s="187"/>
    </row>
    <row r="206" spans="1:31" x14ac:dyDescent="0.25">
      <c r="A206" s="187"/>
      <c r="B206" s="187" t="str">
        <f>IF($C206="","",MAX($B$4:$B205)+1)</f>
        <v/>
      </c>
      <c r="C206" s="183"/>
      <c r="D206" s="183" t="str">
        <f>IFERROR(VLOOKUP($C206,Rosters!$C$4:$M$239,INDEX(Lists!$N$5:$O$80,MATCH($C206,Lists!$N$5:$N$80,FALSE),2)),"")</f>
        <v/>
      </c>
      <c r="E206" s="185">
        <f>IF($C206="",-0.00001,COUNTIF(Database!E:E,$C206))</f>
        <v>-1.0000000000000001E-5</v>
      </c>
      <c r="F206" s="185">
        <f>IFERROR(IF($C206="",-0.00001,SUMIFS(Database!H:H,Database!$E:$E,$C206)),-0.00001)</f>
        <v>-1.0000000000000001E-5</v>
      </c>
      <c r="G206" s="185">
        <f>IFERROR(IF($C206="",-0.00001,SUMIFS(Database!I:I,Database!$E:$E,$C206)),-0.00001)</f>
        <v>-1.0000000000000001E-5</v>
      </c>
      <c r="H206" s="185">
        <f>IFERROR(IF($C206="",-0.00001,SUMIFS(Database!J:J,Database!$E:$E,$C206)),-0.00001)</f>
        <v>-1.0000000000000001E-5</v>
      </c>
      <c r="I206" s="185">
        <f>IFERROR(IF($C206="",-0.00001,SUMIFS(Database!K:K,Database!$E:$E,$C206)),-0.00001)</f>
        <v>-1.0000000000000001E-5</v>
      </c>
      <c r="J206" s="185">
        <f>IFERROR(IF($C206="",-0.00001,SUMIFS(Database!L:L,Database!$E:$E,$C206)),-0.00001)</f>
        <v>-1.0000000000000001E-5</v>
      </c>
      <c r="K206" s="185">
        <f>IFERROR(IF($C206="",-0.00001,SUMIFS(Database!M:M,Database!$E:$E,$C206)),-0.00001)</f>
        <v>-1.0000000000000001E-5</v>
      </c>
      <c r="L206" s="185">
        <f>IFERROR(IF($C206="",-0.00001,SUMIFS(Database!N:N,Database!$E:$E,$C206)),-0.00001)</f>
        <v>-1.0000000000000001E-5</v>
      </c>
      <c r="M206" s="185">
        <f>IFERROR(IF($C206="",-0.00001,SUMIFS(Database!O:O,Database!$E:$E,$C206)),-0.00001)</f>
        <v>-1.0000000000000001E-5</v>
      </c>
      <c r="N206" s="185">
        <f>IFERROR(IF($C206="",-0.00001,SUMIFS(Database!P:P,Database!$E:$E,$C206)),-0.00001)</f>
        <v>-1.0000000000000001E-5</v>
      </c>
      <c r="O206" s="185">
        <f>IFERROR(IF($C206="",-0.00001,SUMIFS(Database!Q:Q,Database!$E:$E,$C206)),-0.00001)</f>
        <v>-1.0000000000000001E-5</v>
      </c>
      <c r="P206" s="186">
        <f t="shared" si="9"/>
        <v>-1.0000000000000001E-5</v>
      </c>
      <c r="Q206" s="185">
        <f>IFERROR(IF($C206="",-0.00001,SUMIFS(Database!S:S,Database!$E:$E,$C206)),-0.00001)</f>
        <v>-1.0000000000000001E-5</v>
      </c>
      <c r="R206" s="185">
        <f>IFERROR(IF($C206="",-0.00001,SUMIFS(Database!T:T,Database!$E:$E,$C206)),-0.00001)</f>
        <v>-1.0000000000000001E-5</v>
      </c>
      <c r="S206" s="186">
        <f t="shared" si="10"/>
        <v>-1.0000000000000001E-5</v>
      </c>
      <c r="T206" s="185">
        <f>IFERROR(IF($C206="",-0.00001,SUMIFS(Database!V:V,Database!$E:$E,$C206)),-0.00001)</f>
        <v>-1.0000000000000001E-5</v>
      </c>
      <c r="U206" s="185">
        <f>IFERROR(IF($C206="",-0.00001,SUMIFS(Database!W:W,Database!$E:$E,$C206)),-0.00001)</f>
        <v>-1.0000000000000001E-5</v>
      </c>
      <c r="V206" s="186">
        <f t="shared" si="11"/>
        <v>-1.0000000000000001E-5</v>
      </c>
      <c r="W206" s="187"/>
      <c r="X206" s="187"/>
      <c r="Y206" s="187"/>
      <c r="Z206" s="187"/>
      <c r="AA206" s="187"/>
      <c r="AB206" s="187"/>
      <c r="AC206" s="187"/>
      <c r="AD206" s="187"/>
      <c r="AE206" s="187"/>
    </row>
    <row r="207" spans="1:31" x14ac:dyDescent="0.25">
      <c r="A207" s="187"/>
      <c r="B207" s="187" t="str">
        <f>IF($C207="","",MAX($B$4:$B206)+1)</f>
        <v/>
      </c>
      <c r="C207" s="183"/>
      <c r="D207" s="183" t="str">
        <f>IFERROR(VLOOKUP($C207,Rosters!$C$4:$M$239,INDEX(Lists!$N$5:$O$80,MATCH($C207,Lists!$N$5:$N$80,FALSE),2)),"")</f>
        <v/>
      </c>
      <c r="E207" s="185">
        <f>IF($C207="",-0.00001,COUNTIF(Database!E:E,$C207))</f>
        <v>-1.0000000000000001E-5</v>
      </c>
      <c r="F207" s="185">
        <f>IFERROR(IF($C207="",-0.00001,SUMIFS(Database!H:H,Database!$E:$E,$C207)),-0.00001)</f>
        <v>-1.0000000000000001E-5</v>
      </c>
      <c r="G207" s="185">
        <f>IFERROR(IF($C207="",-0.00001,SUMIFS(Database!I:I,Database!$E:$E,$C207)),-0.00001)</f>
        <v>-1.0000000000000001E-5</v>
      </c>
      <c r="H207" s="185">
        <f>IFERROR(IF($C207="",-0.00001,SUMIFS(Database!J:J,Database!$E:$E,$C207)),-0.00001)</f>
        <v>-1.0000000000000001E-5</v>
      </c>
      <c r="I207" s="185">
        <f>IFERROR(IF($C207="",-0.00001,SUMIFS(Database!K:K,Database!$E:$E,$C207)),-0.00001)</f>
        <v>-1.0000000000000001E-5</v>
      </c>
      <c r="J207" s="185">
        <f>IFERROR(IF($C207="",-0.00001,SUMIFS(Database!L:L,Database!$E:$E,$C207)),-0.00001)</f>
        <v>-1.0000000000000001E-5</v>
      </c>
      <c r="K207" s="185">
        <f>IFERROR(IF($C207="",-0.00001,SUMIFS(Database!M:M,Database!$E:$E,$C207)),-0.00001)</f>
        <v>-1.0000000000000001E-5</v>
      </c>
      <c r="L207" s="185">
        <f>IFERROR(IF($C207="",-0.00001,SUMIFS(Database!N:N,Database!$E:$E,$C207)),-0.00001)</f>
        <v>-1.0000000000000001E-5</v>
      </c>
      <c r="M207" s="185">
        <f>IFERROR(IF($C207="",-0.00001,SUMIFS(Database!O:O,Database!$E:$E,$C207)),-0.00001)</f>
        <v>-1.0000000000000001E-5</v>
      </c>
      <c r="N207" s="185">
        <f>IFERROR(IF($C207="",-0.00001,SUMIFS(Database!P:P,Database!$E:$E,$C207)),-0.00001)</f>
        <v>-1.0000000000000001E-5</v>
      </c>
      <c r="O207" s="185">
        <f>IFERROR(IF($C207="",-0.00001,SUMIFS(Database!Q:Q,Database!$E:$E,$C207)),-0.00001)</f>
        <v>-1.0000000000000001E-5</v>
      </c>
      <c r="P207" s="186">
        <f t="shared" si="9"/>
        <v>-1.0000000000000001E-5</v>
      </c>
      <c r="Q207" s="185">
        <f>IFERROR(IF($C207="",-0.00001,SUMIFS(Database!S:S,Database!$E:$E,$C207)),-0.00001)</f>
        <v>-1.0000000000000001E-5</v>
      </c>
      <c r="R207" s="185">
        <f>IFERROR(IF($C207="",-0.00001,SUMIFS(Database!T:T,Database!$E:$E,$C207)),-0.00001)</f>
        <v>-1.0000000000000001E-5</v>
      </c>
      <c r="S207" s="186">
        <f t="shared" si="10"/>
        <v>-1.0000000000000001E-5</v>
      </c>
      <c r="T207" s="185">
        <f>IFERROR(IF($C207="",-0.00001,SUMIFS(Database!V:V,Database!$E:$E,$C207)),-0.00001)</f>
        <v>-1.0000000000000001E-5</v>
      </c>
      <c r="U207" s="185">
        <f>IFERROR(IF($C207="",-0.00001,SUMIFS(Database!W:W,Database!$E:$E,$C207)),-0.00001)</f>
        <v>-1.0000000000000001E-5</v>
      </c>
      <c r="V207" s="186">
        <f t="shared" si="11"/>
        <v>-1.0000000000000001E-5</v>
      </c>
      <c r="W207" s="187"/>
      <c r="X207" s="187"/>
      <c r="Y207" s="187"/>
      <c r="Z207" s="187"/>
      <c r="AA207" s="187"/>
      <c r="AB207" s="187"/>
      <c r="AC207" s="187"/>
      <c r="AD207" s="187"/>
      <c r="AE207" s="187"/>
    </row>
    <row r="208" spans="1:31" x14ac:dyDescent="0.25">
      <c r="A208" s="187"/>
      <c r="B208" s="187" t="str">
        <f>IF($C208="","",MAX($B$4:$B207)+1)</f>
        <v/>
      </c>
      <c r="C208" s="183"/>
      <c r="D208" s="183" t="str">
        <f>IFERROR(VLOOKUP($C208,Rosters!$C$4:$M$239,INDEX(Lists!$N$5:$O$80,MATCH($C208,Lists!$N$5:$N$80,FALSE),2)),"")</f>
        <v/>
      </c>
      <c r="E208" s="185">
        <f>IF($C208="",-0.00001,COUNTIF(Database!E:E,$C208))</f>
        <v>-1.0000000000000001E-5</v>
      </c>
      <c r="F208" s="185">
        <f>IFERROR(IF($C208="",-0.00001,SUMIFS(Database!H:H,Database!$E:$E,$C208)),-0.00001)</f>
        <v>-1.0000000000000001E-5</v>
      </c>
      <c r="G208" s="185">
        <f>IFERROR(IF($C208="",-0.00001,SUMIFS(Database!I:I,Database!$E:$E,$C208)),-0.00001)</f>
        <v>-1.0000000000000001E-5</v>
      </c>
      <c r="H208" s="185">
        <f>IFERROR(IF($C208="",-0.00001,SUMIFS(Database!J:J,Database!$E:$E,$C208)),-0.00001)</f>
        <v>-1.0000000000000001E-5</v>
      </c>
      <c r="I208" s="185">
        <f>IFERROR(IF($C208="",-0.00001,SUMIFS(Database!K:K,Database!$E:$E,$C208)),-0.00001)</f>
        <v>-1.0000000000000001E-5</v>
      </c>
      <c r="J208" s="185">
        <f>IFERROR(IF($C208="",-0.00001,SUMIFS(Database!L:L,Database!$E:$E,$C208)),-0.00001)</f>
        <v>-1.0000000000000001E-5</v>
      </c>
      <c r="K208" s="185">
        <f>IFERROR(IF($C208="",-0.00001,SUMIFS(Database!M:M,Database!$E:$E,$C208)),-0.00001)</f>
        <v>-1.0000000000000001E-5</v>
      </c>
      <c r="L208" s="185">
        <f>IFERROR(IF($C208="",-0.00001,SUMIFS(Database!N:N,Database!$E:$E,$C208)),-0.00001)</f>
        <v>-1.0000000000000001E-5</v>
      </c>
      <c r="M208" s="185">
        <f>IFERROR(IF($C208="",-0.00001,SUMIFS(Database!O:O,Database!$E:$E,$C208)),-0.00001)</f>
        <v>-1.0000000000000001E-5</v>
      </c>
      <c r="N208" s="185">
        <f>IFERROR(IF($C208="",-0.00001,SUMIFS(Database!P:P,Database!$E:$E,$C208)),-0.00001)</f>
        <v>-1.0000000000000001E-5</v>
      </c>
      <c r="O208" s="185">
        <f>IFERROR(IF($C208="",-0.00001,SUMIFS(Database!Q:Q,Database!$E:$E,$C208)),-0.00001)</f>
        <v>-1.0000000000000001E-5</v>
      </c>
      <c r="P208" s="186">
        <f t="shared" si="9"/>
        <v>-1.0000000000000001E-5</v>
      </c>
      <c r="Q208" s="185">
        <f>IFERROR(IF($C208="",-0.00001,SUMIFS(Database!S:S,Database!$E:$E,$C208)),-0.00001)</f>
        <v>-1.0000000000000001E-5</v>
      </c>
      <c r="R208" s="185">
        <f>IFERROR(IF($C208="",-0.00001,SUMIFS(Database!T:T,Database!$E:$E,$C208)),-0.00001)</f>
        <v>-1.0000000000000001E-5</v>
      </c>
      <c r="S208" s="186">
        <f t="shared" si="10"/>
        <v>-1.0000000000000001E-5</v>
      </c>
      <c r="T208" s="185">
        <f>IFERROR(IF($C208="",-0.00001,SUMIFS(Database!V:V,Database!$E:$E,$C208)),-0.00001)</f>
        <v>-1.0000000000000001E-5</v>
      </c>
      <c r="U208" s="185">
        <f>IFERROR(IF($C208="",-0.00001,SUMIFS(Database!W:W,Database!$E:$E,$C208)),-0.00001)</f>
        <v>-1.0000000000000001E-5</v>
      </c>
      <c r="V208" s="186">
        <f t="shared" si="11"/>
        <v>-1.0000000000000001E-5</v>
      </c>
      <c r="W208" s="187"/>
      <c r="X208" s="187"/>
      <c r="Y208" s="187"/>
      <c r="Z208" s="187"/>
      <c r="AA208" s="187"/>
      <c r="AB208" s="187"/>
      <c r="AC208" s="187"/>
      <c r="AD208" s="187"/>
      <c r="AE208" s="187"/>
    </row>
    <row r="209" spans="1:31" x14ac:dyDescent="0.25">
      <c r="A209" s="187"/>
      <c r="B209" s="187" t="str">
        <f>IF($C209="","",MAX($B$4:$B208)+1)</f>
        <v/>
      </c>
      <c r="C209" s="183"/>
      <c r="D209" s="183" t="str">
        <f>IFERROR(VLOOKUP($C209,Rosters!$C$4:$M$239,INDEX(Lists!$N$5:$O$80,MATCH($C209,Lists!$N$5:$N$80,FALSE),2)),"")</f>
        <v/>
      </c>
      <c r="E209" s="185">
        <f>IF($C209="",-0.00001,COUNTIF(Database!E:E,$C209))</f>
        <v>-1.0000000000000001E-5</v>
      </c>
      <c r="F209" s="185">
        <f>IFERROR(IF($C209="",-0.00001,SUMIFS(Database!H:H,Database!$E:$E,$C209)),-0.00001)</f>
        <v>-1.0000000000000001E-5</v>
      </c>
      <c r="G209" s="185">
        <f>IFERROR(IF($C209="",-0.00001,SUMIFS(Database!I:I,Database!$E:$E,$C209)),-0.00001)</f>
        <v>-1.0000000000000001E-5</v>
      </c>
      <c r="H209" s="185">
        <f>IFERROR(IF($C209="",-0.00001,SUMIFS(Database!J:J,Database!$E:$E,$C209)),-0.00001)</f>
        <v>-1.0000000000000001E-5</v>
      </c>
      <c r="I209" s="185">
        <f>IFERROR(IF($C209="",-0.00001,SUMIFS(Database!K:K,Database!$E:$E,$C209)),-0.00001)</f>
        <v>-1.0000000000000001E-5</v>
      </c>
      <c r="J209" s="185">
        <f>IFERROR(IF($C209="",-0.00001,SUMIFS(Database!L:L,Database!$E:$E,$C209)),-0.00001)</f>
        <v>-1.0000000000000001E-5</v>
      </c>
      <c r="K209" s="185">
        <f>IFERROR(IF($C209="",-0.00001,SUMIFS(Database!M:M,Database!$E:$E,$C209)),-0.00001)</f>
        <v>-1.0000000000000001E-5</v>
      </c>
      <c r="L209" s="185">
        <f>IFERROR(IF($C209="",-0.00001,SUMIFS(Database!N:N,Database!$E:$E,$C209)),-0.00001)</f>
        <v>-1.0000000000000001E-5</v>
      </c>
      <c r="M209" s="185">
        <f>IFERROR(IF($C209="",-0.00001,SUMIFS(Database!O:O,Database!$E:$E,$C209)),-0.00001)</f>
        <v>-1.0000000000000001E-5</v>
      </c>
      <c r="N209" s="185">
        <f>IFERROR(IF($C209="",-0.00001,SUMIFS(Database!P:P,Database!$E:$E,$C209)),-0.00001)</f>
        <v>-1.0000000000000001E-5</v>
      </c>
      <c r="O209" s="185">
        <f>IFERROR(IF($C209="",-0.00001,SUMIFS(Database!Q:Q,Database!$E:$E,$C209)),-0.00001)</f>
        <v>-1.0000000000000001E-5</v>
      </c>
      <c r="P209" s="186">
        <f t="shared" si="9"/>
        <v>-1.0000000000000001E-5</v>
      </c>
      <c r="Q209" s="185">
        <f>IFERROR(IF($C209="",-0.00001,SUMIFS(Database!S:S,Database!$E:$E,$C209)),-0.00001)</f>
        <v>-1.0000000000000001E-5</v>
      </c>
      <c r="R209" s="185">
        <f>IFERROR(IF($C209="",-0.00001,SUMIFS(Database!T:T,Database!$E:$E,$C209)),-0.00001)</f>
        <v>-1.0000000000000001E-5</v>
      </c>
      <c r="S209" s="186">
        <f t="shared" si="10"/>
        <v>-1.0000000000000001E-5</v>
      </c>
      <c r="T209" s="185">
        <f>IFERROR(IF($C209="",-0.00001,SUMIFS(Database!V:V,Database!$E:$E,$C209)),-0.00001)</f>
        <v>-1.0000000000000001E-5</v>
      </c>
      <c r="U209" s="185">
        <f>IFERROR(IF($C209="",-0.00001,SUMIFS(Database!W:W,Database!$E:$E,$C209)),-0.00001)</f>
        <v>-1.0000000000000001E-5</v>
      </c>
      <c r="V209" s="186">
        <f t="shared" si="11"/>
        <v>-1.0000000000000001E-5</v>
      </c>
      <c r="W209" s="187"/>
      <c r="X209" s="187"/>
      <c r="Y209" s="187"/>
      <c r="Z209" s="187"/>
      <c r="AA209" s="187"/>
      <c r="AB209" s="187"/>
      <c r="AC209" s="187"/>
      <c r="AD209" s="187"/>
      <c r="AE209" s="187"/>
    </row>
    <row r="210" spans="1:31" x14ac:dyDescent="0.25">
      <c r="A210" s="187"/>
      <c r="B210" s="187" t="str">
        <f>IF($C210="","",MAX($B$4:$B209)+1)</f>
        <v/>
      </c>
      <c r="C210" s="183"/>
      <c r="D210" s="183" t="str">
        <f>IFERROR(VLOOKUP($C210,Rosters!$C$4:$M$239,INDEX(Lists!$N$5:$O$80,MATCH($C210,Lists!$N$5:$N$80,FALSE),2)),"")</f>
        <v/>
      </c>
      <c r="E210" s="185">
        <f>IF($C210="",-0.00001,COUNTIF(Database!E:E,$C210))</f>
        <v>-1.0000000000000001E-5</v>
      </c>
      <c r="F210" s="185">
        <f>IFERROR(IF($C210="",-0.00001,SUMIFS(Database!H:H,Database!$E:$E,$C210)),-0.00001)</f>
        <v>-1.0000000000000001E-5</v>
      </c>
      <c r="G210" s="185">
        <f>IFERROR(IF($C210="",-0.00001,SUMIFS(Database!I:I,Database!$E:$E,$C210)),-0.00001)</f>
        <v>-1.0000000000000001E-5</v>
      </c>
      <c r="H210" s="185">
        <f>IFERROR(IF($C210="",-0.00001,SUMIFS(Database!J:J,Database!$E:$E,$C210)),-0.00001)</f>
        <v>-1.0000000000000001E-5</v>
      </c>
      <c r="I210" s="185">
        <f>IFERROR(IF($C210="",-0.00001,SUMIFS(Database!K:K,Database!$E:$E,$C210)),-0.00001)</f>
        <v>-1.0000000000000001E-5</v>
      </c>
      <c r="J210" s="185">
        <f>IFERROR(IF($C210="",-0.00001,SUMIFS(Database!L:L,Database!$E:$E,$C210)),-0.00001)</f>
        <v>-1.0000000000000001E-5</v>
      </c>
      <c r="K210" s="185">
        <f>IFERROR(IF($C210="",-0.00001,SUMIFS(Database!M:M,Database!$E:$E,$C210)),-0.00001)</f>
        <v>-1.0000000000000001E-5</v>
      </c>
      <c r="L210" s="185">
        <f>IFERROR(IF($C210="",-0.00001,SUMIFS(Database!N:N,Database!$E:$E,$C210)),-0.00001)</f>
        <v>-1.0000000000000001E-5</v>
      </c>
      <c r="M210" s="185">
        <f>IFERROR(IF($C210="",-0.00001,SUMIFS(Database!O:O,Database!$E:$E,$C210)),-0.00001)</f>
        <v>-1.0000000000000001E-5</v>
      </c>
      <c r="N210" s="185">
        <f>IFERROR(IF($C210="",-0.00001,SUMIFS(Database!P:P,Database!$E:$E,$C210)),-0.00001)</f>
        <v>-1.0000000000000001E-5</v>
      </c>
      <c r="O210" s="185">
        <f>IFERROR(IF($C210="",-0.00001,SUMIFS(Database!Q:Q,Database!$E:$E,$C210)),-0.00001)</f>
        <v>-1.0000000000000001E-5</v>
      </c>
      <c r="P210" s="186">
        <f t="shared" si="9"/>
        <v>-1.0000000000000001E-5</v>
      </c>
      <c r="Q210" s="185">
        <f>IFERROR(IF($C210="",-0.00001,SUMIFS(Database!S:S,Database!$E:$E,$C210)),-0.00001)</f>
        <v>-1.0000000000000001E-5</v>
      </c>
      <c r="R210" s="185">
        <f>IFERROR(IF($C210="",-0.00001,SUMIFS(Database!T:T,Database!$E:$E,$C210)),-0.00001)</f>
        <v>-1.0000000000000001E-5</v>
      </c>
      <c r="S210" s="186">
        <f t="shared" si="10"/>
        <v>-1.0000000000000001E-5</v>
      </c>
      <c r="T210" s="185">
        <f>IFERROR(IF($C210="",-0.00001,SUMIFS(Database!V:V,Database!$E:$E,$C210)),-0.00001)</f>
        <v>-1.0000000000000001E-5</v>
      </c>
      <c r="U210" s="185">
        <f>IFERROR(IF($C210="",-0.00001,SUMIFS(Database!W:W,Database!$E:$E,$C210)),-0.00001)</f>
        <v>-1.0000000000000001E-5</v>
      </c>
      <c r="V210" s="186">
        <f t="shared" si="11"/>
        <v>-1.0000000000000001E-5</v>
      </c>
      <c r="W210" s="187"/>
      <c r="X210" s="187"/>
      <c r="Y210" s="187"/>
      <c r="Z210" s="187"/>
      <c r="AA210" s="187"/>
      <c r="AB210" s="187"/>
      <c r="AC210" s="187"/>
      <c r="AD210" s="187"/>
      <c r="AE210" s="187"/>
    </row>
    <row r="211" spans="1:31" x14ac:dyDescent="0.25">
      <c r="A211" s="187"/>
      <c r="B211" s="187" t="str">
        <f>IF($C211="","",MAX($B$4:$B210)+1)</f>
        <v/>
      </c>
      <c r="C211" s="183"/>
      <c r="D211" s="183" t="str">
        <f>IFERROR(VLOOKUP($C211,Rosters!$C$4:$M$239,INDEX(Lists!$N$5:$O$80,MATCH($C211,Lists!$N$5:$N$80,FALSE),2)),"")</f>
        <v/>
      </c>
      <c r="E211" s="185">
        <f>IF($C211="",-0.00001,COUNTIF(Database!E:E,$C211))</f>
        <v>-1.0000000000000001E-5</v>
      </c>
      <c r="F211" s="185">
        <f>IFERROR(IF($C211="",-0.00001,SUMIFS(Database!H:H,Database!$E:$E,$C211)),-0.00001)</f>
        <v>-1.0000000000000001E-5</v>
      </c>
      <c r="G211" s="185">
        <f>IFERROR(IF($C211="",-0.00001,SUMIFS(Database!I:I,Database!$E:$E,$C211)),-0.00001)</f>
        <v>-1.0000000000000001E-5</v>
      </c>
      <c r="H211" s="185">
        <f>IFERROR(IF($C211="",-0.00001,SUMIFS(Database!J:J,Database!$E:$E,$C211)),-0.00001)</f>
        <v>-1.0000000000000001E-5</v>
      </c>
      <c r="I211" s="185">
        <f>IFERROR(IF($C211="",-0.00001,SUMIFS(Database!K:K,Database!$E:$E,$C211)),-0.00001)</f>
        <v>-1.0000000000000001E-5</v>
      </c>
      <c r="J211" s="185">
        <f>IFERROR(IF($C211="",-0.00001,SUMIFS(Database!L:L,Database!$E:$E,$C211)),-0.00001)</f>
        <v>-1.0000000000000001E-5</v>
      </c>
      <c r="K211" s="185">
        <f>IFERROR(IF($C211="",-0.00001,SUMIFS(Database!M:M,Database!$E:$E,$C211)),-0.00001)</f>
        <v>-1.0000000000000001E-5</v>
      </c>
      <c r="L211" s="185">
        <f>IFERROR(IF($C211="",-0.00001,SUMIFS(Database!N:N,Database!$E:$E,$C211)),-0.00001)</f>
        <v>-1.0000000000000001E-5</v>
      </c>
      <c r="M211" s="185">
        <f>IFERROR(IF($C211="",-0.00001,SUMIFS(Database!O:O,Database!$E:$E,$C211)),-0.00001)</f>
        <v>-1.0000000000000001E-5</v>
      </c>
      <c r="N211" s="185">
        <f>IFERROR(IF($C211="",-0.00001,SUMIFS(Database!P:P,Database!$E:$E,$C211)),-0.00001)</f>
        <v>-1.0000000000000001E-5</v>
      </c>
      <c r="O211" s="185">
        <f>IFERROR(IF($C211="",-0.00001,SUMIFS(Database!Q:Q,Database!$E:$E,$C211)),-0.00001)</f>
        <v>-1.0000000000000001E-5</v>
      </c>
      <c r="P211" s="186">
        <f t="shared" si="9"/>
        <v>-1.0000000000000001E-5</v>
      </c>
      <c r="Q211" s="185">
        <f>IFERROR(IF($C211="",-0.00001,SUMIFS(Database!S:S,Database!$E:$E,$C211)),-0.00001)</f>
        <v>-1.0000000000000001E-5</v>
      </c>
      <c r="R211" s="185">
        <f>IFERROR(IF($C211="",-0.00001,SUMIFS(Database!T:T,Database!$E:$E,$C211)),-0.00001)</f>
        <v>-1.0000000000000001E-5</v>
      </c>
      <c r="S211" s="186">
        <f t="shared" si="10"/>
        <v>-1.0000000000000001E-5</v>
      </c>
      <c r="T211" s="185">
        <f>IFERROR(IF($C211="",-0.00001,SUMIFS(Database!V:V,Database!$E:$E,$C211)),-0.00001)</f>
        <v>-1.0000000000000001E-5</v>
      </c>
      <c r="U211" s="185">
        <f>IFERROR(IF($C211="",-0.00001,SUMIFS(Database!W:W,Database!$E:$E,$C211)),-0.00001)</f>
        <v>-1.0000000000000001E-5</v>
      </c>
      <c r="V211" s="186">
        <f t="shared" si="11"/>
        <v>-1.0000000000000001E-5</v>
      </c>
      <c r="W211" s="187"/>
      <c r="X211" s="187"/>
      <c r="Y211" s="187"/>
      <c r="Z211" s="187"/>
      <c r="AA211" s="187"/>
      <c r="AB211" s="187"/>
      <c r="AC211" s="187"/>
      <c r="AD211" s="187"/>
      <c r="AE211" s="187"/>
    </row>
    <row r="212" spans="1:31" x14ac:dyDescent="0.25">
      <c r="A212" s="187"/>
      <c r="B212" s="187" t="str">
        <f>IF($C212="","",MAX($B$4:$B211)+1)</f>
        <v/>
      </c>
      <c r="C212" s="183"/>
      <c r="D212" s="183" t="str">
        <f>IFERROR(VLOOKUP($C212,Rosters!$C$4:$M$239,INDEX(Lists!$N$5:$O$80,MATCH($C212,Lists!$N$5:$N$80,FALSE),2)),"")</f>
        <v/>
      </c>
      <c r="E212" s="185">
        <f>IF($C212="",-0.00001,COUNTIF(Database!E:E,$C212))</f>
        <v>-1.0000000000000001E-5</v>
      </c>
      <c r="F212" s="185">
        <f>IFERROR(IF($C212="",-0.00001,SUMIFS(Database!H:H,Database!$E:$E,$C212)),-0.00001)</f>
        <v>-1.0000000000000001E-5</v>
      </c>
      <c r="G212" s="185">
        <f>IFERROR(IF($C212="",-0.00001,SUMIFS(Database!I:I,Database!$E:$E,$C212)),-0.00001)</f>
        <v>-1.0000000000000001E-5</v>
      </c>
      <c r="H212" s="185">
        <f>IFERROR(IF($C212="",-0.00001,SUMIFS(Database!J:J,Database!$E:$E,$C212)),-0.00001)</f>
        <v>-1.0000000000000001E-5</v>
      </c>
      <c r="I212" s="185">
        <f>IFERROR(IF($C212="",-0.00001,SUMIFS(Database!K:K,Database!$E:$E,$C212)),-0.00001)</f>
        <v>-1.0000000000000001E-5</v>
      </c>
      <c r="J212" s="185">
        <f>IFERROR(IF($C212="",-0.00001,SUMIFS(Database!L:L,Database!$E:$E,$C212)),-0.00001)</f>
        <v>-1.0000000000000001E-5</v>
      </c>
      <c r="K212" s="185">
        <f>IFERROR(IF($C212="",-0.00001,SUMIFS(Database!M:M,Database!$E:$E,$C212)),-0.00001)</f>
        <v>-1.0000000000000001E-5</v>
      </c>
      <c r="L212" s="185">
        <f>IFERROR(IF($C212="",-0.00001,SUMIFS(Database!N:N,Database!$E:$E,$C212)),-0.00001)</f>
        <v>-1.0000000000000001E-5</v>
      </c>
      <c r="M212" s="185">
        <f>IFERROR(IF($C212="",-0.00001,SUMIFS(Database!O:O,Database!$E:$E,$C212)),-0.00001)</f>
        <v>-1.0000000000000001E-5</v>
      </c>
      <c r="N212" s="185">
        <f>IFERROR(IF($C212="",-0.00001,SUMIFS(Database!P:P,Database!$E:$E,$C212)),-0.00001)</f>
        <v>-1.0000000000000001E-5</v>
      </c>
      <c r="O212" s="185">
        <f>IFERROR(IF($C212="",-0.00001,SUMIFS(Database!Q:Q,Database!$E:$E,$C212)),-0.00001)</f>
        <v>-1.0000000000000001E-5</v>
      </c>
      <c r="P212" s="186">
        <f t="shared" si="9"/>
        <v>-1.0000000000000001E-5</v>
      </c>
      <c r="Q212" s="185">
        <f>IFERROR(IF($C212="",-0.00001,SUMIFS(Database!S:S,Database!$E:$E,$C212)),-0.00001)</f>
        <v>-1.0000000000000001E-5</v>
      </c>
      <c r="R212" s="185">
        <f>IFERROR(IF($C212="",-0.00001,SUMIFS(Database!T:T,Database!$E:$E,$C212)),-0.00001)</f>
        <v>-1.0000000000000001E-5</v>
      </c>
      <c r="S212" s="186">
        <f t="shared" si="10"/>
        <v>-1.0000000000000001E-5</v>
      </c>
      <c r="T212" s="185">
        <f>IFERROR(IF($C212="",-0.00001,SUMIFS(Database!V:V,Database!$E:$E,$C212)),-0.00001)</f>
        <v>-1.0000000000000001E-5</v>
      </c>
      <c r="U212" s="185">
        <f>IFERROR(IF($C212="",-0.00001,SUMIFS(Database!W:W,Database!$E:$E,$C212)),-0.00001)</f>
        <v>-1.0000000000000001E-5</v>
      </c>
      <c r="V212" s="186">
        <f t="shared" si="11"/>
        <v>-1.0000000000000001E-5</v>
      </c>
      <c r="W212" s="187"/>
      <c r="X212" s="187"/>
      <c r="Y212" s="187"/>
      <c r="Z212" s="187"/>
      <c r="AA212" s="187"/>
      <c r="AB212" s="187"/>
      <c r="AC212" s="187"/>
      <c r="AD212" s="187"/>
      <c r="AE212" s="187"/>
    </row>
    <row r="213" spans="1:31" x14ac:dyDescent="0.25">
      <c r="A213" s="187"/>
      <c r="B213" s="187" t="str">
        <f>IF($C213="","",MAX($B$4:$B212)+1)</f>
        <v/>
      </c>
      <c r="C213" s="183"/>
      <c r="D213" s="183" t="str">
        <f>IFERROR(VLOOKUP($C213,Rosters!$C$4:$M$239,INDEX(Lists!$N$5:$O$80,MATCH($C213,Lists!$N$5:$N$80,FALSE),2)),"")</f>
        <v/>
      </c>
      <c r="E213" s="185">
        <f>IF($C213="",-0.00001,COUNTIF(Database!E:E,$C213))</f>
        <v>-1.0000000000000001E-5</v>
      </c>
      <c r="F213" s="185">
        <f>IFERROR(IF($C213="",-0.00001,SUMIFS(Database!H:H,Database!$E:$E,$C213)),-0.00001)</f>
        <v>-1.0000000000000001E-5</v>
      </c>
      <c r="G213" s="185">
        <f>IFERROR(IF($C213="",-0.00001,SUMIFS(Database!I:I,Database!$E:$E,$C213)),-0.00001)</f>
        <v>-1.0000000000000001E-5</v>
      </c>
      <c r="H213" s="185">
        <f>IFERROR(IF($C213="",-0.00001,SUMIFS(Database!J:J,Database!$E:$E,$C213)),-0.00001)</f>
        <v>-1.0000000000000001E-5</v>
      </c>
      <c r="I213" s="185">
        <f>IFERROR(IF($C213="",-0.00001,SUMIFS(Database!K:K,Database!$E:$E,$C213)),-0.00001)</f>
        <v>-1.0000000000000001E-5</v>
      </c>
      <c r="J213" s="185">
        <f>IFERROR(IF($C213="",-0.00001,SUMIFS(Database!L:L,Database!$E:$E,$C213)),-0.00001)</f>
        <v>-1.0000000000000001E-5</v>
      </c>
      <c r="K213" s="185">
        <f>IFERROR(IF($C213="",-0.00001,SUMIFS(Database!M:M,Database!$E:$E,$C213)),-0.00001)</f>
        <v>-1.0000000000000001E-5</v>
      </c>
      <c r="L213" s="185">
        <f>IFERROR(IF($C213="",-0.00001,SUMIFS(Database!N:N,Database!$E:$E,$C213)),-0.00001)</f>
        <v>-1.0000000000000001E-5</v>
      </c>
      <c r="M213" s="185">
        <f>IFERROR(IF($C213="",-0.00001,SUMIFS(Database!O:O,Database!$E:$E,$C213)),-0.00001)</f>
        <v>-1.0000000000000001E-5</v>
      </c>
      <c r="N213" s="185">
        <f>IFERROR(IF($C213="",-0.00001,SUMIFS(Database!P:P,Database!$E:$E,$C213)),-0.00001)</f>
        <v>-1.0000000000000001E-5</v>
      </c>
      <c r="O213" s="185">
        <f>IFERROR(IF($C213="",-0.00001,SUMIFS(Database!Q:Q,Database!$E:$E,$C213)),-0.00001)</f>
        <v>-1.0000000000000001E-5</v>
      </c>
      <c r="P213" s="186">
        <f t="shared" si="9"/>
        <v>-1.0000000000000001E-5</v>
      </c>
      <c r="Q213" s="185">
        <f>IFERROR(IF($C213="",-0.00001,SUMIFS(Database!S:S,Database!$E:$E,$C213)),-0.00001)</f>
        <v>-1.0000000000000001E-5</v>
      </c>
      <c r="R213" s="185">
        <f>IFERROR(IF($C213="",-0.00001,SUMIFS(Database!T:T,Database!$E:$E,$C213)),-0.00001)</f>
        <v>-1.0000000000000001E-5</v>
      </c>
      <c r="S213" s="186">
        <f t="shared" si="10"/>
        <v>-1.0000000000000001E-5</v>
      </c>
      <c r="T213" s="185">
        <f>IFERROR(IF($C213="",-0.00001,SUMIFS(Database!V:V,Database!$E:$E,$C213)),-0.00001)</f>
        <v>-1.0000000000000001E-5</v>
      </c>
      <c r="U213" s="185">
        <f>IFERROR(IF($C213="",-0.00001,SUMIFS(Database!W:W,Database!$E:$E,$C213)),-0.00001)</f>
        <v>-1.0000000000000001E-5</v>
      </c>
      <c r="V213" s="186">
        <f t="shared" si="11"/>
        <v>-1.0000000000000001E-5</v>
      </c>
      <c r="W213" s="187"/>
      <c r="X213" s="187"/>
      <c r="Y213" s="187"/>
      <c r="Z213" s="187"/>
      <c r="AA213" s="187"/>
      <c r="AB213" s="187"/>
      <c r="AC213" s="187"/>
      <c r="AD213" s="187"/>
      <c r="AE213" s="187"/>
    </row>
    <row r="214" spans="1:31" x14ac:dyDescent="0.25">
      <c r="A214" s="187"/>
      <c r="B214" s="187" t="str">
        <f>IF($C214="","",MAX($B$4:$B213)+1)</f>
        <v/>
      </c>
      <c r="C214" s="183"/>
      <c r="D214" s="183" t="str">
        <f>IFERROR(VLOOKUP($C214,Rosters!$C$4:$M$239,INDEX(Lists!$N$5:$O$80,MATCH($C214,Lists!$N$5:$N$80,FALSE),2)),"")</f>
        <v/>
      </c>
      <c r="E214" s="185">
        <f>IF($C214="",-0.00001,COUNTIF(Database!E:E,$C214))</f>
        <v>-1.0000000000000001E-5</v>
      </c>
      <c r="F214" s="185">
        <f>IFERROR(IF($C214="",-0.00001,SUMIFS(Database!H:H,Database!$E:$E,$C214)),-0.00001)</f>
        <v>-1.0000000000000001E-5</v>
      </c>
      <c r="G214" s="185">
        <f>IFERROR(IF($C214="",-0.00001,SUMIFS(Database!I:I,Database!$E:$E,$C214)),-0.00001)</f>
        <v>-1.0000000000000001E-5</v>
      </c>
      <c r="H214" s="185">
        <f>IFERROR(IF($C214="",-0.00001,SUMIFS(Database!J:J,Database!$E:$E,$C214)),-0.00001)</f>
        <v>-1.0000000000000001E-5</v>
      </c>
      <c r="I214" s="185">
        <f>IFERROR(IF($C214="",-0.00001,SUMIFS(Database!K:K,Database!$E:$E,$C214)),-0.00001)</f>
        <v>-1.0000000000000001E-5</v>
      </c>
      <c r="J214" s="185">
        <f>IFERROR(IF($C214="",-0.00001,SUMIFS(Database!L:L,Database!$E:$E,$C214)),-0.00001)</f>
        <v>-1.0000000000000001E-5</v>
      </c>
      <c r="K214" s="185">
        <f>IFERROR(IF($C214="",-0.00001,SUMIFS(Database!M:M,Database!$E:$E,$C214)),-0.00001)</f>
        <v>-1.0000000000000001E-5</v>
      </c>
      <c r="L214" s="185">
        <f>IFERROR(IF($C214="",-0.00001,SUMIFS(Database!N:N,Database!$E:$E,$C214)),-0.00001)</f>
        <v>-1.0000000000000001E-5</v>
      </c>
      <c r="M214" s="185">
        <f>IFERROR(IF($C214="",-0.00001,SUMIFS(Database!O:O,Database!$E:$E,$C214)),-0.00001)</f>
        <v>-1.0000000000000001E-5</v>
      </c>
      <c r="N214" s="185">
        <f>IFERROR(IF($C214="",-0.00001,SUMIFS(Database!P:P,Database!$E:$E,$C214)),-0.00001)</f>
        <v>-1.0000000000000001E-5</v>
      </c>
      <c r="O214" s="185">
        <f>IFERROR(IF($C214="",-0.00001,SUMIFS(Database!Q:Q,Database!$E:$E,$C214)),-0.00001)</f>
        <v>-1.0000000000000001E-5</v>
      </c>
      <c r="P214" s="186">
        <f t="shared" si="9"/>
        <v>-1.0000000000000001E-5</v>
      </c>
      <c r="Q214" s="185">
        <f>IFERROR(IF($C214="",-0.00001,SUMIFS(Database!S:S,Database!$E:$E,$C214)),-0.00001)</f>
        <v>-1.0000000000000001E-5</v>
      </c>
      <c r="R214" s="185">
        <f>IFERROR(IF($C214="",-0.00001,SUMIFS(Database!T:T,Database!$E:$E,$C214)),-0.00001)</f>
        <v>-1.0000000000000001E-5</v>
      </c>
      <c r="S214" s="186">
        <f t="shared" si="10"/>
        <v>-1.0000000000000001E-5</v>
      </c>
      <c r="T214" s="185">
        <f>IFERROR(IF($C214="",-0.00001,SUMIFS(Database!V:V,Database!$E:$E,$C214)),-0.00001)</f>
        <v>-1.0000000000000001E-5</v>
      </c>
      <c r="U214" s="185">
        <f>IFERROR(IF($C214="",-0.00001,SUMIFS(Database!W:W,Database!$E:$E,$C214)),-0.00001)</f>
        <v>-1.0000000000000001E-5</v>
      </c>
      <c r="V214" s="186">
        <f t="shared" si="11"/>
        <v>-1.0000000000000001E-5</v>
      </c>
      <c r="W214" s="187"/>
      <c r="X214" s="187"/>
      <c r="Y214" s="187"/>
      <c r="Z214" s="187"/>
      <c r="AA214" s="187"/>
      <c r="AB214" s="187"/>
      <c r="AC214" s="187"/>
      <c r="AD214" s="187"/>
      <c r="AE214" s="187"/>
    </row>
    <row r="215" spans="1:31" x14ac:dyDescent="0.25">
      <c r="A215" s="187"/>
      <c r="B215" s="187" t="str">
        <f>IF($C215="","",MAX($B$4:$B214)+1)</f>
        <v/>
      </c>
      <c r="C215" s="183"/>
      <c r="D215" s="183" t="str">
        <f>IFERROR(VLOOKUP($C215,Rosters!$C$4:$M$239,INDEX(Lists!$N$5:$O$80,MATCH($C215,Lists!$N$5:$N$80,FALSE),2)),"")</f>
        <v/>
      </c>
      <c r="E215" s="185">
        <f>IF($C215="",-0.00001,COUNTIF(Database!E:E,$C215))</f>
        <v>-1.0000000000000001E-5</v>
      </c>
      <c r="F215" s="185">
        <f>IFERROR(IF($C215="",-0.00001,SUMIFS(Database!H:H,Database!$E:$E,$C215)),-0.00001)</f>
        <v>-1.0000000000000001E-5</v>
      </c>
      <c r="G215" s="185">
        <f>IFERROR(IF($C215="",-0.00001,SUMIFS(Database!I:I,Database!$E:$E,$C215)),-0.00001)</f>
        <v>-1.0000000000000001E-5</v>
      </c>
      <c r="H215" s="185">
        <f>IFERROR(IF($C215="",-0.00001,SUMIFS(Database!J:J,Database!$E:$E,$C215)),-0.00001)</f>
        <v>-1.0000000000000001E-5</v>
      </c>
      <c r="I215" s="185">
        <f>IFERROR(IF($C215="",-0.00001,SUMIFS(Database!K:K,Database!$E:$E,$C215)),-0.00001)</f>
        <v>-1.0000000000000001E-5</v>
      </c>
      <c r="J215" s="185">
        <f>IFERROR(IF($C215="",-0.00001,SUMIFS(Database!L:L,Database!$E:$E,$C215)),-0.00001)</f>
        <v>-1.0000000000000001E-5</v>
      </c>
      <c r="K215" s="185">
        <f>IFERROR(IF($C215="",-0.00001,SUMIFS(Database!M:M,Database!$E:$E,$C215)),-0.00001)</f>
        <v>-1.0000000000000001E-5</v>
      </c>
      <c r="L215" s="185">
        <f>IFERROR(IF($C215="",-0.00001,SUMIFS(Database!N:N,Database!$E:$E,$C215)),-0.00001)</f>
        <v>-1.0000000000000001E-5</v>
      </c>
      <c r="M215" s="185">
        <f>IFERROR(IF($C215="",-0.00001,SUMIFS(Database!O:O,Database!$E:$E,$C215)),-0.00001)</f>
        <v>-1.0000000000000001E-5</v>
      </c>
      <c r="N215" s="185">
        <f>IFERROR(IF($C215="",-0.00001,SUMIFS(Database!P:P,Database!$E:$E,$C215)),-0.00001)</f>
        <v>-1.0000000000000001E-5</v>
      </c>
      <c r="O215" s="185">
        <f>IFERROR(IF($C215="",-0.00001,SUMIFS(Database!Q:Q,Database!$E:$E,$C215)),-0.00001)</f>
        <v>-1.0000000000000001E-5</v>
      </c>
      <c r="P215" s="186">
        <f t="shared" si="9"/>
        <v>-1.0000000000000001E-5</v>
      </c>
      <c r="Q215" s="185">
        <f>IFERROR(IF($C215="",-0.00001,SUMIFS(Database!S:S,Database!$E:$E,$C215)),-0.00001)</f>
        <v>-1.0000000000000001E-5</v>
      </c>
      <c r="R215" s="185">
        <f>IFERROR(IF($C215="",-0.00001,SUMIFS(Database!T:T,Database!$E:$E,$C215)),-0.00001)</f>
        <v>-1.0000000000000001E-5</v>
      </c>
      <c r="S215" s="186">
        <f t="shared" si="10"/>
        <v>-1.0000000000000001E-5</v>
      </c>
      <c r="T215" s="185">
        <f>IFERROR(IF($C215="",-0.00001,SUMIFS(Database!V:V,Database!$E:$E,$C215)),-0.00001)</f>
        <v>-1.0000000000000001E-5</v>
      </c>
      <c r="U215" s="185">
        <f>IFERROR(IF($C215="",-0.00001,SUMIFS(Database!W:W,Database!$E:$E,$C215)),-0.00001)</f>
        <v>-1.0000000000000001E-5</v>
      </c>
      <c r="V215" s="186">
        <f t="shared" si="11"/>
        <v>-1.0000000000000001E-5</v>
      </c>
      <c r="W215" s="187"/>
      <c r="X215" s="187"/>
      <c r="Y215" s="187"/>
      <c r="Z215" s="187"/>
      <c r="AA215" s="187"/>
      <c r="AB215" s="187"/>
      <c r="AC215" s="187"/>
      <c r="AD215" s="187"/>
      <c r="AE215" s="187"/>
    </row>
    <row r="216" spans="1:31" x14ac:dyDescent="0.25">
      <c r="A216" s="187"/>
      <c r="B216" s="187" t="str">
        <f>IF($C216="","",MAX($B$4:$B215)+1)</f>
        <v/>
      </c>
      <c r="C216" s="183"/>
      <c r="D216" s="183" t="str">
        <f>IFERROR(VLOOKUP($C216,Rosters!$C$4:$M$239,INDEX(Lists!$N$5:$O$80,MATCH($C216,Lists!$N$5:$N$80,FALSE),2)),"")</f>
        <v/>
      </c>
      <c r="E216" s="185">
        <f>IF($C216="",-0.00001,COUNTIF(Database!E:E,$C216))</f>
        <v>-1.0000000000000001E-5</v>
      </c>
      <c r="F216" s="185">
        <f>IFERROR(IF($C216="",-0.00001,SUMIFS(Database!H:H,Database!$E:$E,$C216)),-0.00001)</f>
        <v>-1.0000000000000001E-5</v>
      </c>
      <c r="G216" s="185">
        <f>IFERROR(IF($C216="",-0.00001,SUMIFS(Database!I:I,Database!$E:$E,$C216)),-0.00001)</f>
        <v>-1.0000000000000001E-5</v>
      </c>
      <c r="H216" s="185">
        <f>IFERROR(IF($C216="",-0.00001,SUMIFS(Database!J:J,Database!$E:$E,$C216)),-0.00001)</f>
        <v>-1.0000000000000001E-5</v>
      </c>
      <c r="I216" s="185">
        <f>IFERROR(IF($C216="",-0.00001,SUMIFS(Database!K:K,Database!$E:$E,$C216)),-0.00001)</f>
        <v>-1.0000000000000001E-5</v>
      </c>
      <c r="J216" s="185">
        <f>IFERROR(IF($C216="",-0.00001,SUMIFS(Database!L:L,Database!$E:$E,$C216)),-0.00001)</f>
        <v>-1.0000000000000001E-5</v>
      </c>
      <c r="K216" s="185">
        <f>IFERROR(IF($C216="",-0.00001,SUMIFS(Database!M:M,Database!$E:$E,$C216)),-0.00001)</f>
        <v>-1.0000000000000001E-5</v>
      </c>
      <c r="L216" s="185">
        <f>IFERROR(IF($C216="",-0.00001,SUMIFS(Database!N:N,Database!$E:$E,$C216)),-0.00001)</f>
        <v>-1.0000000000000001E-5</v>
      </c>
      <c r="M216" s="185">
        <f>IFERROR(IF($C216="",-0.00001,SUMIFS(Database!O:O,Database!$E:$E,$C216)),-0.00001)</f>
        <v>-1.0000000000000001E-5</v>
      </c>
      <c r="N216" s="185">
        <f>IFERROR(IF($C216="",-0.00001,SUMIFS(Database!P:P,Database!$E:$E,$C216)),-0.00001)</f>
        <v>-1.0000000000000001E-5</v>
      </c>
      <c r="O216" s="185">
        <f>IFERROR(IF($C216="",-0.00001,SUMIFS(Database!Q:Q,Database!$E:$E,$C216)),-0.00001)</f>
        <v>-1.0000000000000001E-5</v>
      </c>
      <c r="P216" s="186">
        <f t="shared" si="9"/>
        <v>-1.0000000000000001E-5</v>
      </c>
      <c r="Q216" s="185">
        <f>IFERROR(IF($C216="",-0.00001,SUMIFS(Database!S:S,Database!$E:$E,$C216)),-0.00001)</f>
        <v>-1.0000000000000001E-5</v>
      </c>
      <c r="R216" s="185">
        <f>IFERROR(IF($C216="",-0.00001,SUMIFS(Database!T:T,Database!$E:$E,$C216)),-0.00001)</f>
        <v>-1.0000000000000001E-5</v>
      </c>
      <c r="S216" s="186">
        <f t="shared" si="10"/>
        <v>-1.0000000000000001E-5</v>
      </c>
      <c r="T216" s="185">
        <f>IFERROR(IF($C216="",-0.00001,SUMIFS(Database!V:V,Database!$E:$E,$C216)),-0.00001)</f>
        <v>-1.0000000000000001E-5</v>
      </c>
      <c r="U216" s="185">
        <f>IFERROR(IF($C216="",-0.00001,SUMIFS(Database!W:W,Database!$E:$E,$C216)),-0.00001)</f>
        <v>-1.0000000000000001E-5</v>
      </c>
      <c r="V216" s="186">
        <f t="shared" si="11"/>
        <v>-1.0000000000000001E-5</v>
      </c>
      <c r="W216" s="187"/>
      <c r="X216" s="187"/>
      <c r="Y216" s="187"/>
      <c r="Z216" s="187"/>
      <c r="AA216" s="187"/>
      <c r="AB216" s="187"/>
      <c r="AC216" s="187"/>
      <c r="AD216" s="187"/>
      <c r="AE216" s="187"/>
    </row>
    <row r="217" spans="1:31" x14ac:dyDescent="0.25">
      <c r="A217" s="187"/>
      <c r="B217" s="187" t="str">
        <f>IF($C217="","",MAX($B$4:$B216)+1)</f>
        <v/>
      </c>
      <c r="C217" s="183"/>
      <c r="D217" s="183" t="str">
        <f>IFERROR(VLOOKUP($C217,Rosters!$C$4:$M$239,INDEX(Lists!$N$5:$O$80,MATCH($C217,Lists!$N$5:$N$80,FALSE),2)),"")</f>
        <v/>
      </c>
      <c r="E217" s="185">
        <f>IF($C217="",-0.00001,COUNTIF(Database!E:E,$C217))</f>
        <v>-1.0000000000000001E-5</v>
      </c>
      <c r="F217" s="185">
        <f>IFERROR(IF($C217="",-0.00001,SUMIFS(Database!H:H,Database!$E:$E,$C217)),-0.00001)</f>
        <v>-1.0000000000000001E-5</v>
      </c>
      <c r="G217" s="185">
        <f>IFERROR(IF($C217="",-0.00001,SUMIFS(Database!I:I,Database!$E:$E,$C217)),-0.00001)</f>
        <v>-1.0000000000000001E-5</v>
      </c>
      <c r="H217" s="185">
        <f>IFERROR(IF($C217="",-0.00001,SUMIFS(Database!J:J,Database!$E:$E,$C217)),-0.00001)</f>
        <v>-1.0000000000000001E-5</v>
      </c>
      <c r="I217" s="185">
        <f>IFERROR(IF($C217="",-0.00001,SUMIFS(Database!K:K,Database!$E:$E,$C217)),-0.00001)</f>
        <v>-1.0000000000000001E-5</v>
      </c>
      <c r="J217" s="185">
        <f>IFERROR(IF($C217="",-0.00001,SUMIFS(Database!L:L,Database!$E:$E,$C217)),-0.00001)</f>
        <v>-1.0000000000000001E-5</v>
      </c>
      <c r="K217" s="185">
        <f>IFERROR(IF($C217="",-0.00001,SUMIFS(Database!M:M,Database!$E:$E,$C217)),-0.00001)</f>
        <v>-1.0000000000000001E-5</v>
      </c>
      <c r="L217" s="185">
        <f>IFERROR(IF($C217="",-0.00001,SUMIFS(Database!N:N,Database!$E:$E,$C217)),-0.00001)</f>
        <v>-1.0000000000000001E-5</v>
      </c>
      <c r="M217" s="185">
        <f>IFERROR(IF($C217="",-0.00001,SUMIFS(Database!O:O,Database!$E:$E,$C217)),-0.00001)</f>
        <v>-1.0000000000000001E-5</v>
      </c>
      <c r="N217" s="185">
        <f>IFERROR(IF($C217="",-0.00001,SUMIFS(Database!P:P,Database!$E:$E,$C217)),-0.00001)</f>
        <v>-1.0000000000000001E-5</v>
      </c>
      <c r="O217" s="185">
        <f>IFERROR(IF($C217="",-0.00001,SUMIFS(Database!Q:Q,Database!$E:$E,$C217)),-0.00001)</f>
        <v>-1.0000000000000001E-5</v>
      </c>
      <c r="P217" s="186">
        <f t="shared" si="9"/>
        <v>-1.0000000000000001E-5</v>
      </c>
      <c r="Q217" s="185">
        <f>IFERROR(IF($C217="",-0.00001,SUMIFS(Database!S:S,Database!$E:$E,$C217)),-0.00001)</f>
        <v>-1.0000000000000001E-5</v>
      </c>
      <c r="R217" s="185">
        <f>IFERROR(IF($C217="",-0.00001,SUMIFS(Database!T:T,Database!$E:$E,$C217)),-0.00001)</f>
        <v>-1.0000000000000001E-5</v>
      </c>
      <c r="S217" s="186">
        <f t="shared" si="10"/>
        <v>-1.0000000000000001E-5</v>
      </c>
      <c r="T217" s="185">
        <f>IFERROR(IF($C217="",-0.00001,SUMIFS(Database!V:V,Database!$E:$E,$C217)),-0.00001)</f>
        <v>-1.0000000000000001E-5</v>
      </c>
      <c r="U217" s="185">
        <f>IFERROR(IF($C217="",-0.00001,SUMIFS(Database!W:W,Database!$E:$E,$C217)),-0.00001)</f>
        <v>-1.0000000000000001E-5</v>
      </c>
      <c r="V217" s="186">
        <f t="shared" si="11"/>
        <v>-1.0000000000000001E-5</v>
      </c>
      <c r="W217" s="187"/>
      <c r="X217" s="187"/>
      <c r="Y217" s="187"/>
      <c r="Z217" s="187"/>
      <c r="AA217" s="187"/>
      <c r="AB217" s="187"/>
      <c r="AC217" s="187"/>
      <c r="AD217" s="187"/>
      <c r="AE217" s="187"/>
    </row>
    <row r="218" spans="1:31" x14ac:dyDescent="0.25">
      <c r="A218" s="187"/>
      <c r="B218" s="187" t="str">
        <f>IF($C218="","",MAX($B$4:$B217)+1)</f>
        <v/>
      </c>
      <c r="C218" s="183"/>
      <c r="D218" s="183" t="str">
        <f>IFERROR(VLOOKUP($C218,Rosters!$C$4:$M$239,INDEX(Lists!$N$5:$O$80,MATCH($C218,Lists!$N$5:$N$80,FALSE),2)),"")</f>
        <v/>
      </c>
      <c r="E218" s="185">
        <f>IF($C218="",-0.00001,COUNTIF(Database!E:E,$C218))</f>
        <v>-1.0000000000000001E-5</v>
      </c>
      <c r="F218" s="185">
        <f>IFERROR(IF($C218="",-0.00001,SUMIFS(Database!H:H,Database!$E:$E,$C218)),-0.00001)</f>
        <v>-1.0000000000000001E-5</v>
      </c>
      <c r="G218" s="185">
        <f>IFERROR(IF($C218="",-0.00001,SUMIFS(Database!I:I,Database!$E:$E,$C218)),-0.00001)</f>
        <v>-1.0000000000000001E-5</v>
      </c>
      <c r="H218" s="185">
        <f>IFERROR(IF($C218="",-0.00001,SUMIFS(Database!J:J,Database!$E:$E,$C218)),-0.00001)</f>
        <v>-1.0000000000000001E-5</v>
      </c>
      <c r="I218" s="185">
        <f>IFERROR(IF($C218="",-0.00001,SUMIFS(Database!K:K,Database!$E:$E,$C218)),-0.00001)</f>
        <v>-1.0000000000000001E-5</v>
      </c>
      <c r="J218" s="185">
        <f>IFERROR(IF($C218="",-0.00001,SUMIFS(Database!L:L,Database!$E:$E,$C218)),-0.00001)</f>
        <v>-1.0000000000000001E-5</v>
      </c>
      <c r="K218" s="185">
        <f>IFERROR(IF($C218="",-0.00001,SUMIFS(Database!M:M,Database!$E:$E,$C218)),-0.00001)</f>
        <v>-1.0000000000000001E-5</v>
      </c>
      <c r="L218" s="185">
        <f>IFERROR(IF($C218="",-0.00001,SUMIFS(Database!N:N,Database!$E:$E,$C218)),-0.00001)</f>
        <v>-1.0000000000000001E-5</v>
      </c>
      <c r="M218" s="185">
        <f>IFERROR(IF($C218="",-0.00001,SUMIFS(Database!O:O,Database!$E:$E,$C218)),-0.00001)</f>
        <v>-1.0000000000000001E-5</v>
      </c>
      <c r="N218" s="185">
        <f>IFERROR(IF($C218="",-0.00001,SUMIFS(Database!P:P,Database!$E:$E,$C218)),-0.00001)</f>
        <v>-1.0000000000000001E-5</v>
      </c>
      <c r="O218" s="185">
        <f>IFERROR(IF($C218="",-0.00001,SUMIFS(Database!Q:Q,Database!$E:$E,$C218)),-0.00001)</f>
        <v>-1.0000000000000001E-5</v>
      </c>
      <c r="P218" s="186">
        <f t="shared" si="9"/>
        <v>-1.0000000000000001E-5</v>
      </c>
      <c r="Q218" s="185">
        <f>IFERROR(IF($C218="",-0.00001,SUMIFS(Database!S:S,Database!$E:$E,$C218)),-0.00001)</f>
        <v>-1.0000000000000001E-5</v>
      </c>
      <c r="R218" s="185">
        <f>IFERROR(IF($C218="",-0.00001,SUMIFS(Database!T:T,Database!$E:$E,$C218)),-0.00001)</f>
        <v>-1.0000000000000001E-5</v>
      </c>
      <c r="S218" s="186">
        <f t="shared" si="10"/>
        <v>-1.0000000000000001E-5</v>
      </c>
      <c r="T218" s="185">
        <f>IFERROR(IF($C218="",-0.00001,SUMIFS(Database!V:V,Database!$E:$E,$C218)),-0.00001)</f>
        <v>-1.0000000000000001E-5</v>
      </c>
      <c r="U218" s="185">
        <f>IFERROR(IF($C218="",-0.00001,SUMIFS(Database!W:W,Database!$E:$E,$C218)),-0.00001)</f>
        <v>-1.0000000000000001E-5</v>
      </c>
      <c r="V218" s="186">
        <f t="shared" si="11"/>
        <v>-1.0000000000000001E-5</v>
      </c>
      <c r="W218" s="187"/>
      <c r="X218" s="187"/>
      <c r="Y218" s="187"/>
      <c r="Z218" s="187"/>
      <c r="AA218" s="187"/>
      <c r="AB218" s="187"/>
      <c r="AC218" s="187"/>
      <c r="AD218" s="187"/>
      <c r="AE218" s="187"/>
    </row>
    <row r="219" spans="1:31" x14ac:dyDescent="0.25">
      <c r="A219" s="187"/>
      <c r="B219" s="187" t="str">
        <f>IF($C219="","",MAX($B$4:$B218)+1)</f>
        <v/>
      </c>
      <c r="C219" s="183"/>
      <c r="D219" s="183" t="str">
        <f>IFERROR(VLOOKUP($C219,Rosters!$C$4:$M$239,INDEX(Lists!$N$5:$O$80,MATCH($C219,Lists!$N$5:$N$80,FALSE),2)),"")</f>
        <v/>
      </c>
      <c r="E219" s="185">
        <f>IF($C219="",-0.00001,COUNTIF(Database!E:E,$C219))</f>
        <v>-1.0000000000000001E-5</v>
      </c>
      <c r="F219" s="185">
        <f>IFERROR(IF($C219="",-0.00001,SUMIFS(Database!H:H,Database!$E:$E,$C219)),-0.00001)</f>
        <v>-1.0000000000000001E-5</v>
      </c>
      <c r="G219" s="185">
        <f>IFERROR(IF($C219="",-0.00001,SUMIFS(Database!I:I,Database!$E:$E,$C219)),-0.00001)</f>
        <v>-1.0000000000000001E-5</v>
      </c>
      <c r="H219" s="185">
        <f>IFERROR(IF($C219="",-0.00001,SUMIFS(Database!J:J,Database!$E:$E,$C219)),-0.00001)</f>
        <v>-1.0000000000000001E-5</v>
      </c>
      <c r="I219" s="185">
        <f>IFERROR(IF($C219="",-0.00001,SUMIFS(Database!K:K,Database!$E:$E,$C219)),-0.00001)</f>
        <v>-1.0000000000000001E-5</v>
      </c>
      <c r="J219" s="185">
        <f>IFERROR(IF($C219="",-0.00001,SUMIFS(Database!L:L,Database!$E:$E,$C219)),-0.00001)</f>
        <v>-1.0000000000000001E-5</v>
      </c>
      <c r="K219" s="185">
        <f>IFERROR(IF($C219="",-0.00001,SUMIFS(Database!M:M,Database!$E:$E,$C219)),-0.00001)</f>
        <v>-1.0000000000000001E-5</v>
      </c>
      <c r="L219" s="185">
        <f>IFERROR(IF($C219="",-0.00001,SUMIFS(Database!N:N,Database!$E:$E,$C219)),-0.00001)</f>
        <v>-1.0000000000000001E-5</v>
      </c>
      <c r="M219" s="185">
        <f>IFERROR(IF($C219="",-0.00001,SUMIFS(Database!O:O,Database!$E:$E,$C219)),-0.00001)</f>
        <v>-1.0000000000000001E-5</v>
      </c>
      <c r="N219" s="185">
        <f>IFERROR(IF($C219="",-0.00001,SUMIFS(Database!P:P,Database!$E:$E,$C219)),-0.00001)</f>
        <v>-1.0000000000000001E-5</v>
      </c>
      <c r="O219" s="185">
        <f>IFERROR(IF($C219="",-0.00001,SUMIFS(Database!Q:Q,Database!$E:$E,$C219)),-0.00001)</f>
        <v>-1.0000000000000001E-5</v>
      </c>
      <c r="P219" s="186">
        <f t="shared" si="9"/>
        <v>-1.0000000000000001E-5</v>
      </c>
      <c r="Q219" s="185">
        <f>IFERROR(IF($C219="",-0.00001,SUMIFS(Database!S:S,Database!$E:$E,$C219)),-0.00001)</f>
        <v>-1.0000000000000001E-5</v>
      </c>
      <c r="R219" s="185">
        <f>IFERROR(IF($C219="",-0.00001,SUMIFS(Database!T:T,Database!$E:$E,$C219)),-0.00001)</f>
        <v>-1.0000000000000001E-5</v>
      </c>
      <c r="S219" s="186">
        <f t="shared" si="10"/>
        <v>-1.0000000000000001E-5</v>
      </c>
      <c r="T219" s="185">
        <f>IFERROR(IF($C219="",-0.00001,SUMIFS(Database!V:V,Database!$E:$E,$C219)),-0.00001)</f>
        <v>-1.0000000000000001E-5</v>
      </c>
      <c r="U219" s="185">
        <f>IFERROR(IF($C219="",-0.00001,SUMIFS(Database!W:W,Database!$E:$E,$C219)),-0.00001)</f>
        <v>-1.0000000000000001E-5</v>
      </c>
      <c r="V219" s="186">
        <f t="shared" si="11"/>
        <v>-1.0000000000000001E-5</v>
      </c>
      <c r="W219" s="187"/>
      <c r="X219" s="187"/>
      <c r="Y219" s="187"/>
      <c r="Z219" s="187"/>
      <c r="AA219" s="187"/>
      <c r="AB219" s="187"/>
      <c r="AC219" s="187"/>
      <c r="AD219" s="187"/>
      <c r="AE219" s="187"/>
    </row>
    <row r="220" spans="1:31" x14ac:dyDescent="0.25">
      <c r="A220" s="187"/>
      <c r="B220" s="187" t="str">
        <f>IF($C220="","",MAX($B$4:$B219)+1)</f>
        <v/>
      </c>
      <c r="C220" s="183"/>
      <c r="D220" s="183" t="str">
        <f>IFERROR(VLOOKUP($C220,Rosters!$C$4:$M$239,INDEX(Lists!$N$5:$O$80,MATCH($C220,Lists!$N$5:$N$80,FALSE),2)),"")</f>
        <v/>
      </c>
      <c r="E220" s="185">
        <f>IF($C220="",-0.00001,COUNTIF(Database!E:E,$C220))</f>
        <v>-1.0000000000000001E-5</v>
      </c>
      <c r="F220" s="185">
        <f>IFERROR(IF($C220="",-0.00001,SUMIFS(Database!H:H,Database!$E:$E,$C220)),-0.00001)</f>
        <v>-1.0000000000000001E-5</v>
      </c>
      <c r="G220" s="185">
        <f>IFERROR(IF($C220="",-0.00001,SUMIFS(Database!I:I,Database!$E:$E,$C220)),-0.00001)</f>
        <v>-1.0000000000000001E-5</v>
      </c>
      <c r="H220" s="185">
        <f>IFERROR(IF($C220="",-0.00001,SUMIFS(Database!J:J,Database!$E:$E,$C220)),-0.00001)</f>
        <v>-1.0000000000000001E-5</v>
      </c>
      <c r="I220" s="185">
        <f>IFERROR(IF($C220="",-0.00001,SUMIFS(Database!K:K,Database!$E:$E,$C220)),-0.00001)</f>
        <v>-1.0000000000000001E-5</v>
      </c>
      <c r="J220" s="185">
        <f>IFERROR(IF($C220="",-0.00001,SUMIFS(Database!L:L,Database!$E:$E,$C220)),-0.00001)</f>
        <v>-1.0000000000000001E-5</v>
      </c>
      <c r="K220" s="185">
        <f>IFERROR(IF($C220="",-0.00001,SUMIFS(Database!M:M,Database!$E:$E,$C220)),-0.00001)</f>
        <v>-1.0000000000000001E-5</v>
      </c>
      <c r="L220" s="185">
        <f>IFERROR(IF($C220="",-0.00001,SUMIFS(Database!N:N,Database!$E:$E,$C220)),-0.00001)</f>
        <v>-1.0000000000000001E-5</v>
      </c>
      <c r="M220" s="185">
        <f>IFERROR(IF($C220="",-0.00001,SUMIFS(Database!O:O,Database!$E:$E,$C220)),-0.00001)</f>
        <v>-1.0000000000000001E-5</v>
      </c>
      <c r="N220" s="185">
        <f>IFERROR(IF($C220="",-0.00001,SUMIFS(Database!P:P,Database!$E:$E,$C220)),-0.00001)</f>
        <v>-1.0000000000000001E-5</v>
      </c>
      <c r="O220" s="185">
        <f>IFERROR(IF($C220="",-0.00001,SUMIFS(Database!Q:Q,Database!$E:$E,$C220)),-0.00001)</f>
        <v>-1.0000000000000001E-5</v>
      </c>
      <c r="P220" s="186">
        <f t="shared" si="9"/>
        <v>-1.0000000000000001E-5</v>
      </c>
      <c r="Q220" s="185">
        <f>IFERROR(IF($C220="",-0.00001,SUMIFS(Database!S:S,Database!$E:$E,$C220)),-0.00001)</f>
        <v>-1.0000000000000001E-5</v>
      </c>
      <c r="R220" s="185">
        <f>IFERROR(IF($C220="",-0.00001,SUMIFS(Database!T:T,Database!$E:$E,$C220)),-0.00001)</f>
        <v>-1.0000000000000001E-5</v>
      </c>
      <c r="S220" s="186">
        <f t="shared" si="10"/>
        <v>-1.0000000000000001E-5</v>
      </c>
      <c r="T220" s="185">
        <f>IFERROR(IF($C220="",-0.00001,SUMIFS(Database!V:V,Database!$E:$E,$C220)),-0.00001)</f>
        <v>-1.0000000000000001E-5</v>
      </c>
      <c r="U220" s="185">
        <f>IFERROR(IF($C220="",-0.00001,SUMIFS(Database!W:W,Database!$E:$E,$C220)),-0.00001)</f>
        <v>-1.0000000000000001E-5</v>
      </c>
      <c r="V220" s="186">
        <f t="shared" si="11"/>
        <v>-1.0000000000000001E-5</v>
      </c>
      <c r="W220" s="187"/>
      <c r="X220" s="187"/>
      <c r="Y220" s="187"/>
      <c r="Z220" s="187"/>
      <c r="AA220" s="187"/>
      <c r="AB220" s="187"/>
      <c r="AC220" s="187"/>
      <c r="AD220" s="187"/>
      <c r="AE220" s="187"/>
    </row>
    <row r="221" spans="1:31" x14ac:dyDescent="0.25">
      <c r="A221" s="187"/>
      <c r="B221" s="187" t="str">
        <f>IF($C221="","",MAX($B$4:$B220)+1)</f>
        <v/>
      </c>
      <c r="C221" s="183"/>
      <c r="D221" s="183" t="str">
        <f>IFERROR(VLOOKUP($C221,Rosters!$C$4:$M$239,INDEX(Lists!$N$5:$O$80,MATCH($C221,Lists!$N$5:$N$80,FALSE),2)),"")</f>
        <v/>
      </c>
      <c r="E221" s="185">
        <f>IF($C221="",-0.00001,COUNTIF(Database!E:E,$C221))</f>
        <v>-1.0000000000000001E-5</v>
      </c>
      <c r="F221" s="185">
        <f>IFERROR(IF($C221="",-0.00001,SUMIFS(Database!H:H,Database!$E:$E,$C221)),-0.00001)</f>
        <v>-1.0000000000000001E-5</v>
      </c>
      <c r="G221" s="185">
        <f>IFERROR(IF($C221="",-0.00001,SUMIFS(Database!I:I,Database!$E:$E,$C221)),-0.00001)</f>
        <v>-1.0000000000000001E-5</v>
      </c>
      <c r="H221" s="185">
        <f>IFERROR(IF($C221="",-0.00001,SUMIFS(Database!J:J,Database!$E:$E,$C221)),-0.00001)</f>
        <v>-1.0000000000000001E-5</v>
      </c>
      <c r="I221" s="185">
        <f>IFERROR(IF($C221="",-0.00001,SUMIFS(Database!K:K,Database!$E:$E,$C221)),-0.00001)</f>
        <v>-1.0000000000000001E-5</v>
      </c>
      <c r="J221" s="185">
        <f>IFERROR(IF($C221="",-0.00001,SUMIFS(Database!L:L,Database!$E:$E,$C221)),-0.00001)</f>
        <v>-1.0000000000000001E-5</v>
      </c>
      <c r="K221" s="185">
        <f>IFERROR(IF($C221="",-0.00001,SUMIFS(Database!M:M,Database!$E:$E,$C221)),-0.00001)</f>
        <v>-1.0000000000000001E-5</v>
      </c>
      <c r="L221" s="185">
        <f>IFERROR(IF($C221="",-0.00001,SUMIFS(Database!N:N,Database!$E:$E,$C221)),-0.00001)</f>
        <v>-1.0000000000000001E-5</v>
      </c>
      <c r="M221" s="185">
        <f>IFERROR(IF($C221="",-0.00001,SUMIFS(Database!O:O,Database!$E:$E,$C221)),-0.00001)</f>
        <v>-1.0000000000000001E-5</v>
      </c>
      <c r="N221" s="185">
        <f>IFERROR(IF($C221="",-0.00001,SUMIFS(Database!P:P,Database!$E:$E,$C221)),-0.00001)</f>
        <v>-1.0000000000000001E-5</v>
      </c>
      <c r="O221" s="185">
        <f>IFERROR(IF($C221="",-0.00001,SUMIFS(Database!Q:Q,Database!$E:$E,$C221)),-0.00001)</f>
        <v>-1.0000000000000001E-5</v>
      </c>
      <c r="P221" s="186">
        <f t="shared" si="9"/>
        <v>-1.0000000000000001E-5</v>
      </c>
      <c r="Q221" s="185">
        <f>IFERROR(IF($C221="",-0.00001,SUMIFS(Database!S:S,Database!$E:$E,$C221)),-0.00001)</f>
        <v>-1.0000000000000001E-5</v>
      </c>
      <c r="R221" s="185">
        <f>IFERROR(IF($C221="",-0.00001,SUMIFS(Database!T:T,Database!$E:$E,$C221)),-0.00001)</f>
        <v>-1.0000000000000001E-5</v>
      </c>
      <c r="S221" s="186">
        <f t="shared" si="10"/>
        <v>-1.0000000000000001E-5</v>
      </c>
      <c r="T221" s="185">
        <f>IFERROR(IF($C221="",-0.00001,SUMIFS(Database!V:V,Database!$E:$E,$C221)),-0.00001)</f>
        <v>-1.0000000000000001E-5</v>
      </c>
      <c r="U221" s="185">
        <f>IFERROR(IF($C221="",-0.00001,SUMIFS(Database!W:W,Database!$E:$E,$C221)),-0.00001)</f>
        <v>-1.0000000000000001E-5</v>
      </c>
      <c r="V221" s="186">
        <f t="shared" si="11"/>
        <v>-1.0000000000000001E-5</v>
      </c>
      <c r="W221" s="187"/>
      <c r="X221" s="187"/>
      <c r="Y221" s="187"/>
      <c r="Z221" s="187"/>
      <c r="AA221" s="187"/>
      <c r="AB221" s="187"/>
      <c r="AC221" s="187"/>
      <c r="AD221" s="187"/>
      <c r="AE221" s="187"/>
    </row>
    <row r="222" spans="1:31" x14ac:dyDescent="0.25">
      <c r="A222" s="187"/>
      <c r="B222" s="187" t="str">
        <f>IF($C222="","",MAX($B$4:$B221)+1)</f>
        <v/>
      </c>
      <c r="C222" s="183"/>
      <c r="D222" s="183" t="str">
        <f>IFERROR(VLOOKUP($C222,Rosters!$C$4:$M$239,INDEX(Lists!$N$5:$O$80,MATCH($C222,Lists!$N$5:$N$80,FALSE),2)),"")</f>
        <v/>
      </c>
      <c r="E222" s="185">
        <f>IF($C222="",-0.00001,COUNTIF(Database!E:E,$C222))</f>
        <v>-1.0000000000000001E-5</v>
      </c>
      <c r="F222" s="185">
        <f>IFERROR(IF($C222="",-0.00001,SUMIFS(Database!H:H,Database!$E:$E,$C222)),-0.00001)</f>
        <v>-1.0000000000000001E-5</v>
      </c>
      <c r="G222" s="185">
        <f>IFERROR(IF($C222="",-0.00001,SUMIFS(Database!I:I,Database!$E:$E,$C222)),-0.00001)</f>
        <v>-1.0000000000000001E-5</v>
      </c>
      <c r="H222" s="185">
        <f>IFERROR(IF($C222="",-0.00001,SUMIFS(Database!J:J,Database!$E:$E,$C222)),-0.00001)</f>
        <v>-1.0000000000000001E-5</v>
      </c>
      <c r="I222" s="185">
        <f>IFERROR(IF($C222="",-0.00001,SUMIFS(Database!K:K,Database!$E:$E,$C222)),-0.00001)</f>
        <v>-1.0000000000000001E-5</v>
      </c>
      <c r="J222" s="185">
        <f>IFERROR(IF($C222="",-0.00001,SUMIFS(Database!L:L,Database!$E:$E,$C222)),-0.00001)</f>
        <v>-1.0000000000000001E-5</v>
      </c>
      <c r="K222" s="185">
        <f>IFERROR(IF($C222="",-0.00001,SUMIFS(Database!M:M,Database!$E:$E,$C222)),-0.00001)</f>
        <v>-1.0000000000000001E-5</v>
      </c>
      <c r="L222" s="185">
        <f>IFERROR(IF($C222="",-0.00001,SUMIFS(Database!N:N,Database!$E:$E,$C222)),-0.00001)</f>
        <v>-1.0000000000000001E-5</v>
      </c>
      <c r="M222" s="185">
        <f>IFERROR(IF($C222="",-0.00001,SUMIFS(Database!O:O,Database!$E:$E,$C222)),-0.00001)</f>
        <v>-1.0000000000000001E-5</v>
      </c>
      <c r="N222" s="185">
        <f>IFERROR(IF($C222="",-0.00001,SUMIFS(Database!P:P,Database!$E:$E,$C222)),-0.00001)</f>
        <v>-1.0000000000000001E-5</v>
      </c>
      <c r="O222" s="185">
        <f>IFERROR(IF($C222="",-0.00001,SUMIFS(Database!Q:Q,Database!$E:$E,$C222)),-0.00001)</f>
        <v>-1.0000000000000001E-5</v>
      </c>
      <c r="P222" s="186">
        <f t="shared" si="9"/>
        <v>-1.0000000000000001E-5</v>
      </c>
      <c r="Q222" s="185">
        <f>IFERROR(IF($C222="",-0.00001,SUMIFS(Database!S:S,Database!$E:$E,$C222)),-0.00001)</f>
        <v>-1.0000000000000001E-5</v>
      </c>
      <c r="R222" s="185">
        <f>IFERROR(IF($C222="",-0.00001,SUMIFS(Database!T:T,Database!$E:$E,$C222)),-0.00001)</f>
        <v>-1.0000000000000001E-5</v>
      </c>
      <c r="S222" s="186">
        <f t="shared" si="10"/>
        <v>-1.0000000000000001E-5</v>
      </c>
      <c r="T222" s="185">
        <f>IFERROR(IF($C222="",-0.00001,SUMIFS(Database!V:V,Database!$E:$E,$C222)),-0.00001)</f>
        <v>-1.0000000000000001E-5</v>
      </c>
      <c r="U222" s="185">
        <f>IFERROR(IF($C222="",-0.00001,SUMIFS(Database!W:W,Database!$E:$E,$C222)),-0.00001)</f>
        <v>-1.0000000000000001E-5</v>
      </c>
      <c r="V222" s="186">
        <f t="shared" si="11"/>
        <v>-1.0000000000000001E-5</v>
      </c>
      <c r="W222" s="187"/>
      <c r="X222" s="187"/>
      <c r="Y222" s="187"/>
      <c r="Z222" s="187"/>
      <c r="AA222" s="187"/>
      <c r="AB222" s="187"/>
      <c r="AC222" s="187"/>
      <c r="AD222" s="187"/>
      <c r="AE222" s="187"/>
    </row>
    <row r="223" spans="1:31" x14ac:dyDescent="0.25">
      <c r="A223" s="187"/>
      <c r="B223" s="187" t="str">
        <f>IF($C223="","",MAX($B$4:$B222)+1)</f>
        <v/>
      </c>
      <c r="C223" s="183"/>
      <c r="D223" s="183" t="str">
        <f>IFERROR(VLOOKUP($C223,Rosters!$C$4:$M$239,INDEX(Lists!$N$5:$O$80,MATCH($C223,Lists!$N$5:$N$80,FALSE),2)),"")</f>
        <v/>
      </c>
      <c r="E223" s="185">
        <f>IF($C223="",-0.00001,COUNTIF(Database!E:E,$C223))</f>
        <v>-1.0000000000000001E-5</v>
      </c>
      <c r="F223" s="185">
        <f>IFERROR(IF($C223="",-0.00001,SUMIFS(Database!H:H,Database!$E:$E,$C223)),-0.00001)</f>
        <v>-1.0000000000000001E-5</v>
      </c>
      <c r="G223" s="185">
        <f>IFERROR(IF($C223="",-0.00001,SUMIFS(Database!I:I,Database!$E:$E,$C223)),-0.00001)</f>
        <v>-1.0000000000000001E-5</v>
      </c>
      <c r="H223" s="185">
        <f>IFERROR(IF($C223="",-0.00001,SUMIFS(Database!J:J,Database!$E:$E,$C223)),-0.00001)</f>
        <v>-1.0000000000000001E-5</v>
      </c>
      <c r="I223" s="185">
        <f>IFERROR(IF($C223="",-0.00001,SUMIFS(Database!K:K,Database!$E:$E,$C223)),-0.00001)</f>
        <v>-1.0000000000000001E-5</v>
      </c>
      <c r="J223" s="185">
        <f>IFERROR(IF($C223="",-0.00001,SUMIFS(Database!L:L,Database!$E:$E,$C223)),-0.00001)</f>
        <v>-1.0000000000000001E-5</v>
      </c>
      <c r="K223" s="185">
        <f>IFERROR(IF($C223="",-0.00001,SUMIFS(Database!M:M,Database!$E:$E,$C223)),-0.00001)</f>
        <v>-1.0000000000000001E-5</v>
      </c>
      <c r="L223" s="185">
        <f>IFERROR(IF($C223="",-0.00001,SUMIFS(Database!N:N,Database!$E:$E,$C223)),-0.00001)</f>
        <v>-1.0000000000000001E-5</v>
      </c>
      <c r="M223" s="185">
        <f>IFERROR(IF($C223="",-0.00001,SUMIFS(Database!O:O,Database!$E:$E,$C223)),-0.00001)</f>
        <v>-1.0000000000000001E-5</v>
      </c>
      <c r="N223" s="185">
        <f>IFERROR(IF($C223="",-0.00001,SUMIFS(Database!P:P,Database!$E:$E,$C223)),-0.00001)</f>
        <v>-1.0000000000000001E-5</v>
      </c>
      <c r="O223" s="185">
        <f>IFERROR(IF($C223="",-0.00001,SUMIFS(Database!Q:Q,Database!$E:$E,$C223)),-0.00001)</f>
        <v>-1.0000000000000001E-5</v>
      </c>
      <c r="P223" s="186">
        <f t="shared" si="9"/>
        <v>-1.0000000000000001E-5</v>
      </c>
      <c r="Q223" s="185">
        <f>IFERROR(IF($C223="",-0.00001,SUMIFS(Database!S:S,Database!$E:$E,$C223)),-0.00001)</f>
        <v>-1.0000000000000001E-5</v>
      </c>
      <c r="R223" s="185">
        <f>IFERROR(IF($C223="",-0.00001,SUMIFS(Database!T:T,Database!$E:$E,$C223)),-0.00001)</f>
        <v>-1.0000000000000001E-5</v>
      </c>
      <c r="S223" s="186">
        <f t="shared" si="10"/>
        <v>-1.0000000000000001E-5</v>
      </c>
      <c r="T223" s="185">
        <f>IFERROR(IF($C223="",-0.00001,SUMIFS(Database!V:V,Database!$E:$E,$C223)),-0.00001)</f>
        <v>-1.0000000000000001E-5</v>
      </c>
      <c r="U223" s="185">
        <f>IFERROR(IF($C223="",-0.00001,SUMIFS(Database!W:W,Database!$E:$E,$C223)),-0.00001)</f>
        <v>-1.0000000000000001E-5</v>
      </c>
      <c r="V223" s="186">
        <f t="shared" si="11"/>
        <v>-1.0000000000000001E-5</v>
      </c>
      <c r="W223" s="187"/>
      <c r="X223" s="187"/>
      <c r="Y223" s="187"/>
      <c r="Z223" s="187"/>
      <c r="AA223" s="187"/>
      <c r="AB223" s="187"/>
      <c r="AC223" s="187"/>
      <c r="AD223" s="187"/>
      <c r="AE223" s="187"/>
    </row>
    <row r="224" spans="1:31" x14ac:dyDescent="0.25">
      <c r="A224" s="187"/>
      <c r="B224" s="187" t="str">
        <f>IF($C224="","",MAX($B$4:$B223)+1)</f>
        <v/>
      </c>
      <c r="C224" s="183"/>
      <c r="D224" s="183" t="str">
        <f>IFERROR(VLOOKUP($C224,Rosters!$C$4:$M$239,INDEX(Lists!$N$5:$O$80,MATCH($C224,Lists!$N$5:$N$80,FALSE),2)),"")</f>
        <v/>
      </c>
      <c r="E224" s="185">
        <f>IF($C224="",-0.00001,COUNTIF(Database!E:E,$C224))</f>
        <v>-1.0000000000000001E-5</v>
      </c>
      <c r="F224" s="185">
        <f>IFERROR(IF($C224="",-0.00001,SUMIFS(Database!H:H,Database!$E:$E,$C224)),-0.00001)</f>
        <v>-1.0000000000000001E-5</v>
      </c>
      <c r="G224" s="185">
        <f>IFERROR(IF($C224="",-0.00001,SUMIFS(Database!I:I,Database!$E:$E,$C224)),-0.00001)</f>
        <v>-1.0000000000000001E-5</v>
      </c>
      <c r="H224" s="185">
        <f>IFERROR(IF($C224="",-0.00001,SUMIFS(Database!J:J,Database!$E:$E,$C224)),-0.00001)</f>
        <v>-1.0000000000000001E-5</v>
      </c>
      <c r="I224" s="185">
        <f>IFERROR(IF($C224="",-0.00001,SUMIFS(Database!K:K,Database!$E:$E,$C224)),-0.00001)</f>
        <v>-1.0000000000000001E-5</v>
      </c>
      <c r="J224" s="185">
        <f>IFERROR(IF($C224="",-0.00001,SUMIFS(Database!L:L,Database!$E:$E,$C224)),-0.00001)</f>
        <v>-1.0000000000000001E-5</v>
      </c>
      <c r="K224" s="185">
        <f>IFERROR(IF($C224="",-0.00001,SUMIFS(Database!M:M,Database!$E:$E,$C224)),-0.00001)</f>
        <v>-1.0000000000000001E-5</v>
      </c>
      <c r="L224" s="185">
        <f>IFERROR(IF($C224="",-0.00001,SUMIFS(Database!N:N,Database!$E:$E,$C224)),-0.00001)</f>
        <v>-1.0000000000000001E-5</v>
      </c>
      <c r="M224" s="185">
        <f>IFERROR(IF($C224="",-0.00001,SUMIFS(Database!O:O,Database!$E:$E,$C224)),-0.00001)</f>
        <v>-1.0000000000000001E-5</v>
      </c>
      <c r="N224" s="185">
        <f>IFERROR(IF($C224="",-0.00001,SUMIFS(Database!P:P,Database!$E:$E,$C224)),-0.00001)</f>
        <v>-1.0000000000000001E-5</v>
      </c>
      <c r="O224" s="185">
        <f>IFERROR(IF($C224="",-0.00001,SUMIFS(Database!Q:Q,Database!$E:$E,$C224)),-0.00001)</f>
        <v>-1.0000000000000001E-5</v>
      </c>
      <c r="P224" s="186">
        <f t="shared" si="9"/>
        <v>-1.0000000000000001E-5</v>
      </c>
      <c r="Q224" s="185">
        <f>IFERROR(IF($C224="",-0.00001,SUMIFS(Database!S:S,Database!$E:$E,$C224)),-0.00001)</f>
        <v>-1.0000000000000001E-5</v>
      </c>
      <c r="R224" s="185">
        <f>IFERROR(IF($C224="",-0.00001,SUMIFS(Database!T:T,Database!$E:$E,$C224)),-0.00001)</f>
        <v>-1.0000000000000001E-5</v>
      </c>
      <c r="S224" s="186">
        <f t="shared" si="10"/>
        <v>-1.0000000000000001E-5</v>
      </c>
      <c r="T224" s="185">
        <f>IFERROR(IF($C224="",-0.00001,SUMIFS(Database!V:V,Database!$E:$E,$C224)),-0.00001)</f>
        <v>-1.0000000000000001E-5</v>
      </c>
      <c r="U224" s="185">
        <f>IFERROR(IF($C224="",-0.00001,SUMIFS(Database!W:W,Database!$E:$E,$C224)),-0.00001)</f>
        <v>-1.0000000000000001E-5</v>
      </c>
      <c r="V224" s="186">
        <f t="shared" si="11"/>
        <v>-1.0000000000000001E-5</v>
      </c>
      <c r="W224" s="187"/>
      <c r="X224" s="187"/>
      <c r="Y224" s="187"/>
      <c r="Z224" s="187"/>
      <c r="AA224" s="187"/>
      <c r="AB224" s="187"/>
      <c r="AC224" s="187"/>
      <c r="AD224" s="187"/>
      <c r="AE224" s="187"/>
    </row>
    <row r="225" spans="1:31" x14ac:dyDescent="0.25">
      <c r="A225" s="187"/>
      <c r="B225" s="187" t="str">
        <f>IF($C225="","",MAX($B$4:$B224)+1)</f>
        <v/>
      </c>
      <c r="C225" s="183"/>
      <c r="D225" s="183" t="str">
        <f>IFERROR(VLOOKUP($C225,Rosters!$C$4:$M$239,INDEX(Lists!$N$5:$O$80,MATCH($C225,Lists!$N$5:$N$80,FALSE),2)),"")</f>
        <v/>
      </c>
      <c r="E225" s="185">
        <f>IF($C225="",-0.00001,COUNTIF(Database!E:E,$C225))</f>
        <v>-1.0000000000000001E-5</v>
      </c>
      <c r="F225" s="185">
        <f>IFERROR(IF($C225="",-0.00001,SUMIFS(Database!H:H,Database!$E:$E,$C225)),-0.00001)</f>
        <v>-1.0000000000000001E-5</v>
      </c>
      <c r="G225" s="185">
        <f>IFERROR(IF($C225="",-0.00001,SUMIFS(Database!I:I,Database!$E:$E,$C225)),-0.00001)</f>
        <v>-1.0000000000000001E-5</v>
      </c>
      <c r="H225" s="185">
        <f>IFERROR(IF($C225="",-0.00001,SUMIFS(Database!J:J,Database!$E:$E,$C225)),-0.00001)</f>
        <v>-1.0000000000000001E-5</v>
      </c>
      <c r="I225" s="185">
        <f>IFERROR(IF($C225="",-0.00001,SUMIFS(Database!K:K,Database!$E:$E,$C225)),-0.00001)</f>
        <v>-1.0000000000000001E-5</v>
      </c>
      <c r="J225" s="185">
        <f>IFERROR(IF($C225="",-0.00001,SUMIFS(Database!L:L,Database!$E:$E,$C225)),-0.00001)</f>
        <v>-1.0000000000000001E-5</v>
      </c>
      <c r="K225" s="185">
        <f>IFERROR(IF($C225="",-0.00001,SUMIFS(Database!M:M,Database!$E:$E,$C225)),-0.00001)</f>
        <v>-1.0000000000000001E-5</v>
      </c>
      <c r="L225" s="185">
        <f>IFERROR(IF($C225="",-0.00001,SUMIFS(Database!N:N,Database!$E:$E,$C225)),-0.00001)</f>
        <v>-1.0000000000000001E-5</v>
      </c>
      <c r="M225" s="185">
        <f>IFERROR(IF($C225="",-0.00001,SUMIFS(Database!O:O,Database!$E:$E,$C225)),-0.00001)</f>
        <v>-1.0000000000000001E-5</v>
      </c>
      <c r="N225" s="185">
        <f>IFERROR(IF($C225="",-0.00001,SUMIFS(Database!P:P,Database!$E:$E,$C225)),-0.00001)</f>
        <v>-1.0000000000000001E-5</v>
      </c>
      <c r="O225" s="185">
        <f>IFERROR(IF($C225="",-0.00001,SUMIFS(Database!Q:Q,Database!$E:$E,$C225)),-0.00001)</f>
        <v>-1.0000000000000001E-5</v>
      </c>
      <c r="P225" s="186">
        <f t="shared" si="9"/>
        <v>-1.0000000000000001E-5</v>
      </c>
      <c r="Q225" s="185">
        <f>IFERROR(IF($C225="",-0.00001,SUMIFS(Database!S:S,Database!$E:$E,$C225)),-0.00001)</f>
        <v>-1.0000000000000001E-5</v>
      </c>
      <c r="R225" s="185">
        <f>IFERROR(IF($C225="",-0.00001,SUMIFS(Database!T:T,Database!$E:$E,$C225)),-0.00001)</f>
        <v>-1.0000000000000001E-5</v>
      </c>
      <c r="S225" s="186">
        <f t="shared" si="10"/>
        <v>-1.0000000000000001E-5</v>
      </c>
      <c r="T225" s="185">
        <f>IFERROR(IF($C225="",-0.00001,SUMIFS(Database!V:V,Database!$E:$E,$C225)),-0.00001)</f>
        <v>-1.0000000000000001E-5</v>
      </c>
      <c r="U225" s="185">
        <f>IFERROR(IF($C225="",-0.00001,SUMIFS(Database!W:W,Database!$E:$E,$C225)),-0.00001)</f>
        <v>-1.0000000000000001E-5</v>
      </c>
      <c r="V225" s="186">
        <f t="shared" si="11"/>
        <v>-1.0000000000000001E-5</v>
      </c>
      <c r="W225" s="187"/>
      <c r="X225" s="187"/>
      <c r="Y225" s="187"/>
      <c r="Z225" s="187"/>
      <c r="AA225" s="187"/>
      <c r="AB225" s="187"/>
      <c r="AC225" s="187"/>
      <c r="AD225" s="187"/>
      <c r="AE225" s="187"/>
    </row>
    <row r="226" spans="1:31" x14ac:dyDescent="0.25">
      <c r="A226" s="187"/>
      <c r="B226" s="187" t="str">
        <f>IF($C226="","",MAX($B$4:$B225)+1)</f>
        <v/>
      </c>
      <c r="C226" s="183"/>
      <c r="D226" s="183" t="str">
        <f>IFERROR(VLOOKUP($C226,Rosters!$C$4:$M$239,INDEX(Lists!$N$5:$O$80,MATCH($C226,Lists!$N$5:$N$80,FALSE),2)),"")</f>
        <v/>
      </c>
      <c r="E226" s="185">
        <f>IF($C226="",-0.00001,COUNTIF(Database!E:E,$C226))</f>
        <v>-1.0000000000000001E-5</v>
      </c>
      <c r="F226" s="185">
        <f>IFERROR(IF($C226="",-0.00001,SUMIFS(Database!H:H,Database!$E:$E,$C226)),-0.00001)</f>
        <v>-1.0000000000000001E-5</v>
      </c>
      <c r="G226" s="185">
        <f>IFERROR(IF($C226="",-0.00001,SUMIFS(Database!I:I,Database!$E:$E,$C226)),-0.00001)</f>
        <v>-1.0000000000000001E-5</v>
      </c>
      <c r="H226" s="185">
        <f>IFERROR(IF($C226="",-0.00001,SUMIFS(Database!J:J,Database!$E:$E,$C226)),-0.00001)</f>
        <v>-1.0000000000000001E-5</v>
      </c>
      <c r="I226" s="185">
        <f>IFERROR(IF($C226="",-0.00001,SUMIFS(Database!K:K,Database!$E:$E,$C226)),-0.00001)</f>
        <v>-1.0000000000000001E-5</v>
      </c>
      <c r="J226" s="185">
        <f>IFERROR(IF($C226="",-0.00001,SUMIFS(Database!L:L,Database!$E:$E,$C226)),-0.00001)</f>
        <v>-1.0000000000000001E-5</v>
      </c>
      <c r="K226" s="185">
        <f>IFERROR(IF($C226="",-0.00001,SUMIFS(Database!M:M,Database!$E:$E,$C226)),-0.00001)</f>
        <v>-1.0000000000000001E-5</v>
      </c>
      <c r="L226" s="185">
        <f>IFERROR(IF($C226="",-0.00001,SUMIFS(Database!N:N,Database!$E:$E,$C226)),-0.00001)</f>
        <v>-1.0000000000000001E-5</v>
      </c>
      <c r="M226" s="185">
        <f>IFERROR(IF($C226="",-0.00001,SUMIFS(Database!O:O,Database!$E:$E,$C226)),-0.00001)</f>
        <v>-1.0000000000000001E-5</v>
      </c>
      <c r="N226" s="185">
        <f>IFERROR(IF($C226="",-0.00001,SUMIFS(Database!P:P,Database!$E:$E,$C226)),-0.00001)</f>
        <v>-1.0000000000000001E-5</v>
      </c>
      <c r="O226" s="185">
        <f>IFERROR(IF($C226="",-0.00001,SUMIFS(Database!Q:Q,Database!$E:$E,$C226)),-0.00001)</f>
        <v>-1.0000000000000001E-5</v>
      </c>
      <c r="P226" s="186">
        <f t="shared" si="9"/>
        <v>-1.0000000000000001E-5</v>
      </c>
      <c r="Q226" s="185">
        <f>IFERROR(IF($C226="",-0.00001,SUMIFS(Database!S:S,Database!$E:$E,$C226)),-0.00001)</f>
        <v>-1.0000000000000001E-5</v>
      </c>
      <c r="R226" s="185">
        <f>IFERROR(IF($C226="",-0.00001,SUMIFS(Database!T:T,Database!$E:$E,$C226)),-0.00001)</f>
        <v>-1.0000000000000001E-5</v>
      </c>
      <c r="S226" s="186">
        <f t="shared" si="10"/>
        <v>-1.0000000000000001E-5</v>
      </c>
      <c r="T226" s="185">
        <f>IFERROR(IF($C226="",-0.00001,SUMIFS(Database!V:V,Database!$E:$E,$C226)),-0.00001)</f>
        <v>-1.0000000000000001E-5</v>
      </c>
      <c r="U226" s="185">
        <f>IFERROR(IF($C226="",-0.00001,SUMIFS(Database!W:W,Database!$E:$E,$C226)),-0.00001)</f>
        <v>-1.0000000000000001E-5</v>
      </c>
      <c r="V226" s="186">
        <f t="shared" si="11"/>
        <v>-1.0000000000000001E-5</v>
      </c>
      <c r="W226" s="187"/>
      <c r="X226" s="187"/>
      <c r="Y226" s="187"/>
      <c r="Z226" s="187"/>
      <c r="AA226" s="187"/>
      <c r="AB226" s="187"/>
      <c r="AC226" s="187"/>
      <c r="AD226" s="187"/>
      <c r="AE226" s="187"/>
    </row>
    <row r="227" spans="1:31" x14ac:dyDescent="0.25">
      <c r="A227" s="187"/>
      <c r="B227" s="187" t="str">
        <f>IF($C227="","",MAX($B$4:$B226)+1)</f>
        <v/>
      </c>
      <c r="C227" s="183"/>
      <c r="D227" s="183" t="str">
        <f>IFERROR(VLOOKUP($C227,Rosters!$C$4:$M$239,INDEX(Lists!$N$5:$O$80,MATCH($C227,Lists!$N$5:$N$80,FALSE),2)),"")</f>
        <v/>
      </c>
      <c r="E227" s="185">
        <f>IF($C227="",-0.00001,COUNTIF(Database!E:E,$C227))</f>
        <v>-1.0000000000000001E-5</v>
      </c>
      <c r="F227" s="185">
        <f>IFERROR(IF($C227="",-0.00001,SUMIFS(Database!H:H,Database!$E:$E,$C227)),-0.00001)</f>
        <v>-1.0000000000000001E-5</v>
      </c>
      <c r="G227" s="185">
        <f>IFERROR(IF($C227="",-0.00001,SUMIFS(Database!I:I,Database!$E:$E,$C227)),-0.00001)</f>
        <v>-1.0000000000000001E-5</v>
      </c>
      <c r="H227" s="185">
        <f>IFERROR(IF($C227="",-0.00001,SUMIFS(Database!J:J,Database!$E:$E,$C227)),-0.00001)</f>
        <v>-1.0000000000000001E-5</v>
      </c>
      <c r="I227" s="185">
        <f>IFERROR(IF($C227="",-0.00001,SUMIFS(Database!K:K,Database!$E:$E,$C227)),-0.00001)</f>
        <v>-1.0000000000000001E-5</v>
      </c>
      <c r="J227" s="185">
        <f>IFERROR(IF($C227="",-0.00001,SUMIFS(Database!L:L,Database!$E:$E,$C227)),-0.00001)</f>
        <v>-1.0000000000000001E-5</v>
      </c>
      <c r="K227" s="185">
        <f>IFERROR(IF($C227="",-0.00001,SUMIFS(Database!M:M,Database!$E:$E,$C227)),-0.00001)</f>
        <v>-1.0000000000000001E-5</v>
      </c>
      <c r="L227" s="185">
        <f>IFERROR(IF($C227="",-0.00001,SUMIFS(Database!N:N,Database!$E:$E,$C227)),-0.00001)</f>
        <v>-1.0000000000000001E-5</v>
      </c>
      <c r="M227" s="185">
        <f>IFERROR(IF($C227="",-0.00001,SUMIFS(Database!O:O,Database!$E:$E,$C227)),-0.00001)</f>
        <v>-1.0000000000000001E-5</v>
      </c>
      <c r="N227" s="185">
        <f>IFERROR(IF($C227="",-0.00001,SUMIFS(Database!P:P,Database!$E:$E,$C227)),-0.00001)</f>
        <v>-1.0000000000000001E-5</v>
      </c>
      <c r="O227" s="185">
        <f>IFERROR(IF($C227="",-0.00001,SUMIFS(Database!Q:Q,Database!$E:$E,$C227)),-0.00001)</f>
        <v>-1.0000000000000001E-5</v>
      </c>
      <c r="P227" s="186">
        <f t="shared" si="9"/>
        <v>-1.0000000000000001E-5</v>
      </c>
      <c r="Q227" s="185">
        <f>IFERROR(IF($C227="",-0.00001,SUMIFS(Database!S:S,Database!$E:$E,$C227)),-0.00001)</f>
        <v>-1.0000000000000001E-5</v>
      </c>
      <c r="R227" s="185">
        <f>IFERROR(IF($C227="",-0.00001,SUMIFS(Database!T:T,Database!$E:$E,$C227)),-0.00001)</f>
        <v>-1.0000000000000001E-5</v>
      </c>
      <c r="S227" s="186">
        <f t="shared" si="10"/>
        <v>-1.0000000000000001E-5</v>
      </c>
      <c r="T227" s="185">
        <f>IFERROR(IF($C227="",-0.00001,SUMIFS(Database!V:V,Database!$E:$E,$C227)),-0.00001)</f>
        <v>-1.0000000000000001E-5</v>
      </c>
      <c r="U227" s="185">
        <f>IFERROR(IF($C227="",-0.00001,SUMIFS(Database!W:W,Database!$E:$E,$C227)),-0.00001)</f>
        <v>-1.0000000000000001E-5</v>
      </c>
      <c r="V227" s="186">
        <f t="shared" si="11"/>
        <v>-1.0000000000000001E-5</v>
      </c>
      <c r="W227" s="187"/>
      <c r="X227" s="187"/>
      <c r="Y227" s="187"/>
      <c r="Z227" s="187"/>
      <c r="AA227" s="187"/>
      <c r="AB227" s="187"/>
      <c r="AC227" s="187"/>
      <c r="AD227" s="187"/>
      <c r="AE227" s="187"/>
    </row>
    <row r="228" spans="1:31" x14ac:dyDescent="0.25">
      <c r="A228" s="187"/>
      <c r="B228" s="187" t="str">
        <f>IF($C228="","",MAX($B$4:$B227)+1)</f>
        <v/>
      </c>
      <c r="C228" s="183"/>
      <c r="D228" s="183" t="str">
        <f>IFERROR(VLOOKUP($C228,Rosters!$C$4:$M$239,INDEX(Lists!$N$5:$O$80,MATCH($C228,Lists!$N$5:$N$80,FALSE),2)),"")</f>
        <v/>
      </c>
      <c r="E228" s="185">
        <f>IF($C228="",-0.00001,COUNTIF(Database!E:E,$C228))</f>
        <v>-1.0000000000000001E-5</v>
      </c>
      <c r="F228" s="185">
        <f>IFERROR(IF($C228="",-0.00001,SUMIFS(Database!H:H,Database!$E:$E,$C228)),-0.00001)</f>
        <v>-1.0000000000000001E-5</v>
      </c>
      <c r="G228" s="185">
        <f>IFERROR(IF($C228="",-0.00001,SUMIFS(Database!I:I,Database!$E:$E,$C228)),-0.00001)</f>
        <v>-1.0000000000000001E-5</v>
      </c>
      <c r="H228" s="185">
        <f>IFERROR(IF($C228="",-0.00001,SUMIFS(Database!J:J,Database!$E:$E,$C228)),-0.00001)</f>
        <v>-1.0000000000000001E-5</v>
      </c>
      <c r="I228" s="185">
        <f>IFERROR(IF($C228="",-0.00001,SUMIFS(Database!K:K,Database!$E:$E,$C228)),-0.00001)</f>
        <v>-1.0000000000000001E-5</v>
      </c>
      <c r="J228" s="185">
        <f>IFERROR(IF($C228="",-0.00001,SUMIFS(Database!L:L,Database!$E:$E,$C228)),-0.00001)</f>
        <v>-1.0000000000000001E-5</v>
      </c>
      <c r="K228" s="185">
        <f>IFERROR(IF($C228="",-0.00001,SUMIFS(Database!M:M,Database!$E:$E,$C228)),-0.00001)</f>
        <v>-1.0000000000000001E-5</v>
      </c>
      <c r="L228" s="185">
        <f>IFERROR(IF($C228="",-0.00001,SUMIFS(Database!N:N,Database!$E:$E,$C228)),-0.00001)</f>
        <v>-1.0000000000000001E-5</v>
      </c>
      <c r="M228" s="185">
        <f>IFERROR(IF($C228="",-0.00001,SUMIFS(Database!O:O,Database!$E:$E,$C228)),-0.00001)</f>
        <v>-1.0000000000000001E-5</v>
      </c>
      <c r="N228" s="185">
        <f>IFERROR(IF($C228="",-0.00001,SUMIFS(Database!P:P,Database!$E:$E,$C228)),-0.00001)</f>
        <v>-1.0000000000000001E-5</v>
      </c>
      <c r="O228" s="185">
        <f>IFERROR(IF($C228="",-0.00001,SUMIFS(Database!Q:Q,Database!$E:$E,$C228)),-0.00001)</f>
        <v>-1.0000000000000001E-5</v>
      </c>
      <c r="P228" s="186">
        <f t="shared" si="9"/>
        <v>-1.0000000000000001E-5</v>
      </c>
      <c r="Q228" s="185">
        <f>IFERROR(IF($C228="",-0.00001,SUMIFS(Database!S:S,Database!$E:$E,$C228)),-0.00001)</f>
        <v>-1.0000000000000001E-5</v>
      </c>
      <c r="R228" s="185">
        <f>IFERROR(IF($C228="",-0.00001,SUMIFS(Database!T:T,Database!$E:$E,$C228)),-0.00001)</f>
        <v>-1.0000000000000001E-5</v>
      </c>
      <c r="S228" s="186">
        <f t="shared" si="10"/>
        <v>-1.0000000000000001E-5</v>
      </c>
      <c r="T228" s="185">
        <f>IFERROR(IF($C228="",-0.00001,SUMIFS(Database!V:V,Database!$E:$E,$C228)),-0.00001)</f>
        <v>-1.0000000000000001E-5</v>
      </c>
      <c r="U228" s="185">
        <f>IFERROR(IF($C228="",-0.00001,SUMIFS(Database!W:W,Database!$E:$E,$C228)),-0.00001)</f>
        <v>-1.0000000000000001E-5</v>
      </c>
      <c r="V228" s="186">
        <f t="shared" si="11"/>
        <v>-1.0000000000000001E-5</v>
      </c>
      <c r="W228" s="187"/>
      <c r="X228" s="187"/>
      <c r="Y228" s="187"/>
      <c r="Z228" s="187"/>
      <c r="AA228" s="187"/>
      <c r="AB228" s="187"/>
      <c r="AC228" s="187"/>
      <c r="AD228" s="187"/>
      <c r="AE228" s="187"/>
    </row>
    <row r="229" spans="1:31" x14ac:dyDescent="0.25">
      <c r="A229" s="187"/>
      <c r="B229" s="187" t="str">
        <f>IF($C229="","",MAX($B$4:$B228)+1)</f>
        <v/>
      </c>
      <c r="C229" s="183"/>
      <c r="D229" s="183" t="str">
        <f>IFERROR(VLOOKUP($C229,Rosters!$C$4:$M$239,INDEX(Lists!$N$5:$O$80,MATCH($C229,Lists!$N$5:$N$80,FALSE),2)),"")</f>
        <v/>
      </c>
      <c r="E229" s="185">
        <f>IF($C229="",-0.00001,COUNTIF(Database!E:E,$C229))</f>
        <v>-1.0000000000000001E-5</v>
      </c>
      <c r="F229" s="185">
        <f>IFERROR(IF($C229="",-0.00001,SUMIFS(Database!H:H,Database!$E:$E,$C229)),-0.00001)</f>
        <v>-1.0000000000000001E-5</v>
      </c>
      <c r="G229" s="185">
        <f>IFERROR(IF($C229="",-0.00001,SUMIFS(Database!I:I,Database!$E:$E,$C229)),-0.00001)</f>
        <v>-1.0000000000000001E-5</v>
      </c>
      <c r="H229" s="185">
        <f>IFERROR(IF($C229="",-0.00001,SUMIFS(Database!J:J,Database!$E:$E,$C229)),-0.00001)</f>
        <v>-1.0000000000000001E-5</v>
      </c>
      <c r="I229" s="185">
        <f>IFERROR(IF($C229="",-0.00001,SUMIFS(Database!K:K,Database!$E:$E,$C229)),-0.00001)</f>
        <v>-1.0000000000000001E-5</v>
      </c>
      <c r="J229" s="185">
        <f>IFERROR(IF($C229="",-0.00001,SUMIFS(Database!L:L,Database!$E:$E,$C229)),-0.00001)</f>
        <v>-1.0000000000000001E-5</v>
      </c>
      <c r="K229" s="185">
        <f>IFERROR(IF($C229="",-0.00001,SUMIFS(Database!M:M,Database!$E:$E,$C229)),-0.00001)</f>
        <v>-1.0000000000000001E-5</v>
      </c>
      <c r="L229" s="185">
        <f>IFERROR(IF($C229="",-0.00001,SUMIFS(Database!N:N,Database!$E:$E,$C229)),-0.00001)</f>
        <v>-1.0000000000000001E-5</v>
      </c>
      <c r="M229" s="185">
        <f>IFERROR(IF($C229="",-0.00001,SUMIFS(Database!O:O,Database!$E:$E,$C229)),-0.00001)</f>
        <v>-1.0000000000000001E-5</v>
      </c>
      <c r="N229" s="185">
        <f>IFERROR(IF($C229="",-0.00001,SUMIFS(Database!P:P,Database!$E:$E,$C229)),-0.00001)</f>
        <v>-1.0000000000000001E-5</v>
      </c>
      <c r="O229" s="185">
        <f>IFERROR(IF($C229="",-0.00001,SUMIFS(Database!Q:Q,Database!$E:$E,$C229)),-0.00001)</f>
        <v>-1.0000000000000001E-5</v>
      </c>
      <c r="P229" s="186">
        <f t="shared" si="9"/>
        <v>-1.0000000000000001E-5</v>
      </c>
      <c r="Q229" s="185">
        <f>IFERROR(IF($C229="",-0.00001,SUMIFS(Database!S:S,Database!$E:$E,$C229)),-0.00001)</f>
        <v>-1.0000000000000001E-5</v>
      </c>
      <c r="R229" s="185">
        <f>IFERROR(IF($C229="",-0.00001,SUMIFS(Database!T:T,Database!$E:$E,$C229)),-0.00001)</f>
        <v>-1.0000000000000001E-5</v>
      </c>
      <c r="S229" s="186">
        <f t="shared" si="10"/>
        <v>-1.0000000000000001E-5</v>
      </c>
      <c r="T229" s="185">
        <f>IFERROR(IF($C229="",-0.00001,SUMIFS(Database!V:V,Database!$E:$E,$C229)),-0.00001)</f>
        <v>-1.0000000000000001E-5</v>
      </c>
      <c r="U229" s="185">
        <f>IFERROR(IF($C229="",-0.00001,SUMIFS(Database!W:W,Database!$E:$E,$C229)),-0.00001)</f>
        <v>-1.0000000000000001E-5</v>
      </c>
      <c r="V229" s="186">
        <f t="shared" si="11"/>
        <v>-1.0000000000000001E-5</v>
      </c>
      <c r="W229" s="187"/>
      <c r="X229" s="187"/>
      <c r="Y229" s="187"/>
      <c r="Z229" s="187"/>
      <c r="AA229" s="187"/>
      <c r="AB229" s="187"/>
      <c r="AC229" s="187"/>
      <c r="AD229" s="187"/>
      <c r="AE229" s="187"/>
    </row>
    <row r="230" spans="1:31" x14ac:dyDescent="0.25">
      <c r="A230" s="187"/>
      <c r="B230" s="187" t="str">
        <f>IF($C230="","",MAX($B$4:$B229)+1)</f>
        <v/>
      </c>
      <c r="C230" s="183"/>
      <c r="D230" s="183" t="str">
        <f>IFERROR(VLOOKUP($C230,Rosters!$C$4:$M$239,INDEX(Lists!$N$5:$O$80,MATCH($C230,Lists!$N$5:$N$80,FALSE),2)),"")</f>
        <v/>
      </c>
      <c r="E230" s="185">
        <f>IF($C230="",-0.00001,COUNTIF(Database!E:E,$C230))</f>
        <v>-1.0000000000000001E-5</v>
      </c>
      <c r="F230" s="185">
        <f>IFERROR(IF($C230="",-0.00001,SUMIFS(Database!H:H,Database!$E:$E,$C230)),-0.00001)</f>
        <v>-1.0000000000000001E-5</v>
      </c>
      <c r="G230" s="185">
        <f>IFERROR(IF($C230="",-0.00001,SUMIFS(Database!I:I,Database!$E:$E,$C230)),-0.00001)</f>
        <v>-1.0000000000000001E-5</v>
      </c>
      <c r="H230" s="185">
        <f>IFERROR(IF($C230="",-0.00001,SUMIFS(Database!J:J,Database!$E:$E,$C230)),-0.00001)</f>
        <v>-1.0000000000000001E-5</v>
      </c>
      <c r="I230" s="185">
        <f>IFERROR(IF($C230="",-0.00001,SUMIFS(Database!K:K,Database!$E:$E,$C230)),-0.00001)</f>
        <v>-1.0000000000000001E-5</v>
      </c>
      <c r="J230" s="185">
        <f>IFERROR(IF($C230="",-0.00001,SUMIFS(Database!L:L,Database!$E:$E,$C230)),-0.00001)</f>
        <v>-1.0000000000000001E-5</v>
      </c>
      <c r="K230" s="185">
        <f>IFERROR(IF($C230="",-0.00001,SUMIFS(Database!M:M,Database!$E:$E,$C230)),-0.00001)</f>
        <v>-1.0000000000000001E-5</v>
      </c>
      <c r="L230" s="185">
        <f>IFERROR(IF($C230="",-0.00001,SUMIFS(Database!N:N,Database!$E:$E,$C230)),-0.00001)</f>
        <v>-1.0000000000000001E-5</v>
      </c>
      <c r="M230" s="185">
        <f>IFERROR(IF($C230="",-0.00001,SUMIFS(Database!O:O,Database!$E:$E,$C230)),-0.00001)</f>
        <v>-1.0000000000000001E-5</v>
      </c>
      <c r="N230" s="185">
        <f>IFERROR(IF($C230="",-0.00001,SUMIFS(Database!P:P,Database!$E:$E,$C230)),-0.00001)</f>
        <v>-1.0000000000000001E-5</v>
      </c>
      <c r="O230" s="185">
        <f>IFERROR(IF($C230="",-0.00001,SUMIFS(Database!Q:Q,Database!$E:$E,$C230)),-0.00001)</f>
        <v>-1.0000000000000001E-5</v>
      </c>
      <c r="P230" s="186">
        <f t="shared" si="9"/>
        <v>-1.0000000000000001E-5</v>
      </c>
      <c r="Q230" s="185">
        <f>IFERROR(IF($C230="",-0.00001,SUMIFS(Database!S:S,Database!$E:$E,$C230)),-0.00001)</f>
        <v>-1.0000000000000001E-5</v>
      </c>
      <c r="R230" s="185">
        <f>IFERROR(IF($C230="",-0.00001,SUMIFS(Database!T:T,Database!$E:$E,$C230)),-0.00001)</f>
        <v>-1.0000000000000001E-5</v>
      </c>
      <c r="S230" s="186">
        <f t="shared" si="10"/>
        <v>-1.0000000000000001E-5</v>
      </c>
      <c r="T230" s="185">
        <f>IFERROR(IF($C230="",-0.00001,SUMIFS(Database!V:V,Database!$E:$E,$C230)),-0.00001)</f>
        <v>-1.0000000000000001E-5</v>
      </c>
      <c r="U230" s="185">
        <f>IFERROR(IF($C230="",-0.00001,SUMIFS(Database!W:W,Database!$E:$E,$C230)),-0.00001)</f>
        <v>-1.0000000000000001E-5</v>
      </c>
      <c r="V230" s="186">
        <f t="shared" si="11"/>
        <v>-1.0000000000000001E-5</v>
      </c>
      <c r="W230" s="187"/>
      <c r="X230" s="187"/>
      <c r="Y230" s="187"/>
      <c r="Z230" s="187"/>
      <c r="AA230" s="187"/>
      <c r="AB230" s="187"/>
      <c r="AC230" s="187"/>
      <c r="AD230" s="187"/>
      <c r="AE230" s="187"/>
    </row>
    <row r="231" spans="1:31" x14ac:dyDescent="0.25">
      <c r="A231" s="187"/>
      <c r="B231" s="187" t="str">
        <f>IF($C231="","",MAX($B$4:$B230)+1)</f>
        <v/>
      </c>
      <c r="C231" s="183"/>
      <c r="D231" s="183" t="str">
        <f>IFERROR(VLOOKUP($C231,Rosters!$C$4:$M$239,INDEX(Lists!$N$5:$O$80,MATCH($C231,Lists!$N$5:$N$80,FALSE),2)),"")</f>
        <v/>
      </c>
      <c r="E231" s="185">
        <f>IF($C231="",-0.00001,COUNTIF(Database!E:E,$C231))</f>
        <v>-1.0000000000000001E-5</v>
      </c>
      <c r="F231" s="185">
        <f>IFERROR(IF($C231="",-0.00001,SUMIFS(Database!H:H,Database!$E:$E,$C231)),-0.00001)</f>
        <v>-1.0000000000000001E-5</v>
      </c>
      <c r="G231" s="185">
        <f>IFERROR(IF($C231="",-0.00001,SUMIFS(Database!I:I,Database!$E:$E,$C231)),-0.00001)</f>
        <v>-1.0000000000000001E-5</v>
      </c>
      <c r="H231" s="185">
        <f>IFERROR(IF($C231="",-0.00001,SUMIFS(Database!J:J,Database!$E:$E,$C231)),-0.00001)</f>
        <v>-1.0000000000000001E-5</v>
      </c>
      <c r="I231" s="185">
        <f>IFERROR(IF($C231="",-0.00001,SUMIFS(Database!K:K,Database!$E:$E,$C231)),-0.00001)</f>
        <v>-1.0000000000000001E-5</v>
      </c>
      <c r="J231" s="185">
        <f>IFERROR(IF($C231="",-0.00001,SUMIFS(Database!L:L,Database!$E:$E,$C231)),-0.00001)</f>
        <v>-1.0000000000000001E-5</v>
      </c>
      <c r="K231" s="185">
        <f>IFERROR(IF($C231="",-0.00001,SUMIFS(Database!M:M,Database!$E:$E,$C231)),-0.00001)</f>
        <v>-1.0000000000000001E-5</v>
      </c>
      <c r="L231" s="185">
        <f>IFERROR(IF($C231="",-0.00001,SUMIFS(Database!N:N,Database!$E:$E,$C231)),-0.00001)</f>
        <v>-1.0000000000000001E-5</v>
      </c>
      <c r="M231" s="185">
        <f>IFERROR(IF($C231="",-0.00001,SUMIFS(Database!O:O,Database!$E:$E,$C231)),-0.00001)</f>
        <v>-1.0000000000000001E-5</v>
      </c>
      <c r="N231" s="185">
        <f>IFERROR(IF($C231="",-0.00001,SUMIFS(Database!P:P,Database!$E:$E,$C231)),-0.00001)</f>
        <v>-1.0000000000000001E-5</v>
      </c>
      <c r="O231" s="185">
        <f>IFERROR(IF($C231="",-0.00001,SUMIFS(Database!Q:Q,Database!$E:$E,$C231)),-0.00001)</f>
        <v>-1.0000000000000001E-5</v>
      </c>
      <c r="P231" s="186">
        <f t="shared" si="9"/>
        <v>-1.0000000000000001E-5</v>
      </c>
      <c r="Q231" s="185">
        <f>IFERROR(IF($C231="",-0.00001,SUMIFS(Database!S:S,Database!$E:$E,$C231)),-0.00001)</f>
        <v>-1.0000000000000001E-5</v>
      </c>
      <c r="R231" s="185">
        <f>IFERROR(IF($C231="",-0.00001,SUMIFS(Database!T:T,Database!$E:$E,$C231)),-0.00001)</f>
        <v>-1.0000000000000001E-5</v>
      </c>
      <c r="S231" s="186">
        <f t="shared" si="10"/>
        <v>-1.0000000000000001E-5</v>
      </c>
      <c r="T231" s="185">
        <f>IFERROR(IF($C231="",-0.00001,SUMIFS(Database!V:V,Database!$E:$E,$C231)),-0.00001)</f>
        <v>-1.0000000000000001E-5</v>
      </c>
      <c r="U231" s="185">
        <f>IFERROR(IF($C231="",-0.00001,SUMIFS(Database!W:W,Database!$E:$E,$C231)),-0.00001)</f>
        <v>-1.0000000000000001E-5</v>
      </c>
      <c r="V231" s="186">
        <f t="shared" si="11"/>
        <v>-1.0000000000000001E-5</v>
      </c>
      <c r="W231" s="187"/>
      <c r="X231" s="187"/>
      <c r="Y231" s="187"/>
      <c r="Z231" s="187"/>
      <c r="AA231" s="187"/>
      <c r="AB231" s="187"/>
      <c r="AC231" s="187"/>
      <c r="AD231" s="187"/>
      <c r="AE231" s="187"/>
    </row>
    <row r="232" spans="1:31" x14ac:dyDescent="0.25">
      <c r="A232" s="187"/>
      <c r="B232" s="187" t="str">
        <f>IF($C232="","",MAX($B$4:$B231)+1)</f>
        <v/>
      </c>
      <c r="C232" s="183"/>
      <c r="D232" s="183" t="str">
        <f>IFERROR(VLOOKUP($C232,Rosters!$C$4:$M$239,INDEX(Lists!$N$5:$O$80,MATCH($C232,Lists!$N$5:$N$80,FALSE),2)),"")</f>
        <v/>
      </c>
      <c r="E232" s="185">
        <f>IF($C232="",-0.00001,COUNTIF(Database!E:E,$C232))</f>
        <v>-1.0000000000000001E-5</v>
      </c>
      <c r="F232" s="185">
        <f>IFERROR(IF($C232="",-0.00001,SUMIFS(Database!H:H,Database!$E:$E,$C232)),-0.00001)</f>
        <v>-1.0000000000000001E-5</v>
      </c>
      <c r="G232" s="185">
        <f>IFERROR(IF($C232="",-0.00001,SUMIFS(Database!I:I,Database!$E:$E,$C232)),-0.00001)</f>
        <v>-1.0000000000000001E-5</v>
      </c>
      <c r="H232" s="185">
        <f>IFERROR(IF($C232="",-0.00001,SUMIFS(Database!J:J,Database!$E:$E,$C232)),-0.00001)</f>
        <v>-1.0000000000000001E-5</v>
      </c>
      <c r="I232" s="185">
        <f>IFERROR(IF($C232="",-0.00001,SUMIFS(Database!K:K,Database!$E:$E,$C232)),-0.00001)</f>
        <v>-1.0000000000000001E-5</v>
      </c>
      <c r="J232" s="185">
        <f>IFERROR(IF($C232="",-0.00001,SUMIFS(Database!L:L,Database!$E:$E,$C232)),-0.00001)</f>
        <v>-1.0000000000000001E-5</v>
      </c>
      <c r="K232" s="185">
        <f>IFERROR(IF($C232="",-0.00001,SUMIFS(Database!M:M,Database!$E:$E,$C232)),-0.00001)</f>
        <v>-1.0000000000000001E-5</v>
      </c>
      <c r="L232" s="185">
        <f>IFERROR(IF($C232="",-0.00001,SUMIFS(Database!N:N,Database!$E:$E,$C232)),-0.00001)</f>
        <v>-1.0000000000000001E-5</v>
      </c>
      <c r="M232" s="185">
        <f>IFERROR(IF($C232="",-0.00001,SUMIFS(Database!O:O,Database!$E:$E,$C232)),-0.00001)</f>
        <v>-1.0000000000000001E-5</v>
      </c>
      <c r="N232" s="185">
        <f>IFERROR(IF($C232="",-0.00001,SUMIFS(Database!P:P,Database!$E:$E,$C232)),-0.00001)</f>
        <v>-1.0000000000000001E-5</v>
      </c>
      <c r="O232" s="185">
        <f>IFERROR(IF($C232="",-0.00001,SUMIFS(Database!Q:Q,Database!$E:$E,$C232)),-0.00001)</f>
        <v>-1.0000000000000001E-5</v>
      </c>
      <c r="P232" s="186">
        <f t="shared" si="9"/>
        <v>-1.0000000000000001E-5</v>
      </c>
      <c r="Q232" s="185">
        <f>IFERROR(IF($C232="",-0.00001,SUMIFS(Database!S:S,Database!$E:$E,$C232)),-0.00001)</f>
        <v>-1.0000000000000001E-5</v>
      </c>
      <c r="R232" s="185">
        <f>IFERROR(IF($C232="",-0.00001,SUMIFS(Database!T:T,Database!$E:$E,$C232)),-0.00001)</f>
        <v>-1.0000000000000001E-5</v>
      </c>
      <c r="S232" s="186">
        <f t="shared" si="10"/>
        <v>-1.0000000000000001E-5</v>
      </c>
      <c r="T232" s="185">
        <f>IFERROR(IF($C232="",-0.00001,SUMIFS(Database!V:V,Database!$E:$E,$C232)),-0.00001)</f>
        <v>-1.0000000000000001E-5</v>
      </c>
      <c r="U232" s="185">
        <f>IFERROR(IF($C232="",-0.00001,SUMIFS(Database!W:W,Database!$E:$E,$C232)),-0.00001)</f>
        <v>-1.0000000000000001E-5</v>
      </c>
      <c r="V232" s="186">
        <f t="shared" si="11"/>
        <v>-1.0000000000000001E-5</v>
      </c>
      <c r="W232" s="187"/>
      <c r="X232" s="187"/>
      <c r="Y232" s="187"/>
      <c r="Z232" s="187"/>
      <c r="AA232" s="187"/>
      <c r="AB232" s="187"/>
      <c r="AC232" s="187"/>
      <c r="AD232" s="187"/>
      <c r="AE232" s="187"/>
    </row>
    <row r="233" spans="1:31" x14ac:dyDescent="0.25">
      <c r="A233" s="187"/>
      <c r="B233" s="187" t="str">
        <f>IF($C233="","",MAX($B$4:$B232)+1)</f>
        <v/>
      </c>
      <c r="C233" s="183"/>
      <c r="D233" s="183" t="str">
        <f>IFERROR(VLOOKUP($C233,Rosters!$C$4:$M$239,INDEX(Lists!$N$5:$O$80,MATCH($C233,Lists!$N$5:$N$80,FALSE),2)),"")</f>
        <v/>
      </c>
      <c r="E233" s="185">
        <f>IF($C233="",-0.00001,COUNTIF(Database!E:E,$C233))</f>
        <v>-1.0000000000000001E-5</v>
      </c>
      <c r="F233" s="185">
        <f>IFERROR(IF($C233="",-0.00001,SUMIFS(Database!H:H,Database!$E:$E,$C233)),-0.00001)</f>
        <v>-1.0000000000000001E-5</v>
      </c>
      <c r="G233" s="185">
        <f>IFERROR(IF($C233="",-0.00001,SUMIFS(Database!I:I,Database!$E:$E,$C233)),-0.00001)</f>
        <v>-1.0000000000000001E-5</v>
      </c>
      <c r="H233" s="185">
        <f>IFERROR(IF($C233="",-0.00001,SUMIFS(Database!J:J,Database!$E:$E,$C233)),-0.00001)</f>
        <v>-1.0000000000000001E-5</v>
      </c>
      <c r="I233" s="185">
        <f>IFERROR(IF($C233="",-0.00001,SUMIFS(Database!K:K,Database!$E:$E,$C233)),-0.00001)</f>
        <v>-1.0000000000000001E-5</v>
      </c>
      <c r="J233" s="185">
        <f>IFERROR(IF($C233="",-0.00001,SUMIFS(Database!L:L,Database!$E:$E,$C233)),-0.00001)</f>
        <v>-1.0000000000000001E-5</v>
      </c>
      <c r="K233" s="185">
        <f>IFERROR(IF($C233="",-0.00001,SUMIFS(Database!M:M,Database!$E:$E,$C233)),-0.00001)</f>
        <v>-1.0000000000000001E-5</v>
      </c>
      <c r="L233" s="185">
        <f>IFERROR(IF($C233="",-0.00001,SUMIFS(Database!N:N,Database!$E:$E,$C233)),-0.00001)</f>
        <v>-1.0000000000000001E-5</v>
      </c>
      <c r="M233" s="185">
        <f>IFERROR(IF($C233="",-0.00001,SUMIFS(Database!O:O,Database!$E:$E,$C233)),-0.00001)</f>
        <v>-1.0000000000000001E-5</v>
      </c>
      <c r="N233" s="185">
        <f>IFERROR(IF($C233="",-0.00001,SUMIFS(Database!P:P,Database!$E:$E,$C233)),-0.00001)</f>
        <v>-1.0000000000000001E-5</v>
      </c>
      <c r="O233" s="185">
        <f>IFERROR(IF($C233="",-0.00001,SUMIFS(Database!Q:Q,Database!$E:$E,$C233)),-0.00001)</f>
        <v>-1.0000000000000001E-5</v>
      </c>
      <c r="P233" s="186">
        <f t="shared" si="9"/>
        <v>-1.0000000000000001E-5</v>
      </c>
      <c r="Q233" s="185">
        <f>IFERROR(IF($C233="",-0.00001,SUMIFS(Database!S:S,Database!$E:$E,$C233)),-0.00001)</f>
        <v>-1.0000000000000001E-5</v>
      </c>
      <c r="R233" s="185">
        <f>IFERROR(IF($C233="",-0.00001,SUMIFS(Database!T:T,Database!$E:$E,$C233)),-0.00001)</f>
        <v>-1.0000000000000001E-5</v>
      </c>
      <c r="S233" s="186">
        <f t="shared" si="10"/>
        <v>-1.0000000000000001E-5</v>
      </c>
      <c r="T233" s="185">
        <f>IFERROR(IF($C233="",-0.00001,SUMIFS(Database!V:V,Database!$E:$E,$C233)),-0.00001)</f>
        <v>-1.0000000000000001E-5</v>
      </c>
      <c r="U233" s="185">
        <f>IFERROR(IF($C233="",-0.00001,SUMIFS(Database!W:W,Database!$E:$E,$C233)),-0.00001)</f>
        <v>-1.0000000000000001E-5</v>
      </c>
      <c r="V233" s="186">
        <f t="shared" si="11"/>
        <v>-1.0000000000000001E-5</v>
      </c>
      <c r="W233" s="187"/>
      <c r="X233" s="187"/>
      <c r="Y233" s="187"/>
      <c r="Z233" s="187"/>
      <c r="AA233" s="187"/>
      <c r="AB233" s="187"/>
      <c r="AC233" s="187"/>
      <c r="AD233" s="187"/>
      <c r="AE233" s="187"/>
    </row>
    <row r="234" spans="1:31" x14ac:dyDescent="0.25">
      <c r="A234" s="187"/>
      <c r="B234" s="187" t="str">
        <f>IF($C234="","",MAX($B$4:$B233)+1)</f>
        <v/>
      </c>
      <c r="C234" s="183"/>
      <c r="D234" s="183" t="str">
        <f>IFERROR(VLOOKUP($C234,Rosters!$C$4:$M$239,INDEX(Lists!$N$5:$O$80,MATCH($C234,Lists!$N$5:$N$80,FALSE),2)),"")</f>
        <v/>
      </c>
      <c r="E234" s="185">
        <f>IF($C234="",-0.00001,COUNTIF(Database!E:E,$C234))</f>
        <v>-1.0000000000000001E-5</v>
      </c>
      <c r="F234" s="185">
        <f>IFERROR(IF($C234="",-0.00001,SUMIFS(Database!H:H,Database!$E:$E,$C234)),-0.00001)</f>
        <v>-1.0000000000000001E-5</v>
      </c>
      <c r="G234" s="185">
        <f>IFERROR(IF($C234="",-0.00001,SUMIFS(Database!I:I,Database!$E:$E,$C234)),-0.00001)</f>
        <v>-1.0000000000000001E-5</v>
      </c>
      <c r="H234" s="185">
        <f>IFERROR(IF($C234="",-0.00001,SUMIFS(Database!J:J,Database!$E:$E,$C234)),-0.00001)</f>
        <v>-1.0000000000000001E-5</v>
      </c>
      <c r="I234" s="185">
        <f>IFERROR(IF($C234="",-0.00001,SUMIFS(Database!K:K,Database!$E:$E,$C234)),-0.00001)</f>
        <v>-1.0000000000000001E-5</v>
      </c>
      <c r="J234" s="185">
        <f>IFERROR(IF($C234="",-0.00001,SUMIFS(Database!L:L,Database!$E:$E,$C234)),-0.00001)</f>
        <v>-1.0000000000000001E-5</v>
      </c>
      <c r="K234" s="185">
        <f>IFERROR(IF($C234="",-0.00001,SUMIFS(Database!M:M,Database!$E:$E,$C234)),-0.00001)</f>
        <v>-1.0000000000000001E-5</v>
      </c>
      <c r="L234" s="185">
        <f>IFERROR(IF($C234="",-0.00001,SUMIFS(Database!N:N,Database!$E:$E,$C234)),-0.00001)</f>
        <v>-1.0000000000000001E-5</v>
      </c>
      <c r="M234" s="185">
        <f>IFERROR(IF($C234="",-0.00001,SUMIFS(Database!O:O,Database!$E:$E,$C234)),-0.00001)</f>
        <v>-1.0000000000000001E-5</v>
      </c>
      <c r="N234" s="185">
        <f>IFERROR(IF($C234="",-0.00001,SUMIFS(Database!P:P,Database!$E:$E,$C234)),-0.00001)</f>
        <v>-1.0000000000000001E-5</v>
      </c>
      <c r="O234" s="185">
        <f>IFERROR(IF($C234="",-0.00001,SUMIFS(Database!Q:Q,Database!$E:$E,$C234)),-0.00001)</f>
        <v>-1.0000000000000001E-5</v>
      </c>
      <c r="P234" s="186">
        <f t="shared" si="9"/>
        <v>-1.0000000000000001E-5</v>
      </c>
      <c r="Q234" s="185">
        <f>IFERROR(IF($C234="",-0.00001,SUMIFS(Database!S:S,Database!$E:$E,$C234)),-0.00001)</f>
        <v>-1.0000000000000001E-5</v>
      </c>
      <c r="R234" s="185">
        <f>IFERROR(IF($C234="",-0.00001,SUMIFS(Database!T:T,Database!$E:$E,$C234)),-0.00001)</f>
        <v>-1.0000000000000001E-5</v>
      </c>
      <c r="S234" s="186">
        <f t="shared" si="10"/>
        <v>-1.0000000000000001E-5</v>
      </c>
      <c r="T234" s="185">
        <f>IFERROR(IF($C234="",-0.00001,SUMIFS(Database!V:V,Database!$E:$E,$C234)),-0.00001)</f>
        <v>-1.0000000000000001E-5</v>
      </c>
      <c r="U234" s="185">
        <f>IFERROR(IF($C234="",-0.00001,SUMIFS(Database!W:W,Database!$E:$E,$C234)),-0.00001)</f>
        <v>-1.0000000000000001E-5</v>
      </c>
      <c r="V234" s="186">
        <f t="shared" si="11"/>
        <v>-1.0000000000000001E-5</v>
      </c>
      <c r="W234" s="187"/>
      <c r="X234" s="187"/>
      <c r="Y234" s="187"/>
      <c r="Z234" s="187"/>
      <c r="AA234" s="187"/>
      <c r="AB234" s="187"/>
      <c r="AC234" s="187"/>
      <c r="AD234" s="187"/>
      <c r="AE234" s="187"/>
    </row>
    <row r="235" spans="1:31" x14ac:dyDescent="0.25">
      <c r="A235" s="187"/>
      <c r="B235" s="187" t="str">
        <f>IF($C235="","",MAX($B$4:$B234)+1)</f>
        <v/>
      </c>
      <c r="C235" s="183"/>
      <c r="D235" s="183" t="str">
        <f>IFERROR(VLOOKUP($C235,Rosters!$C$4:$M$239,INDEX(Lists!$N$5:$O$80,MATCH($C235,Lists!$N$5:$N$80,FALSE),2)),"")</f>
        <v/>
      </c>
      <c r="E235" s="185">
        <f>IF($C235="",-0.00001,COUNTIF(Database!E:E,$C235))</f>
        <v>-1.0000000000000001E-5</v>
      </c>
      <c r="F235" s="185">
        <f>IFERROR(IF($C235="",-0.00001,SUMIFS(Database!H:H,Database!$E:$E,$C235)),-0.00001)</f>
        <v>-1.0000000000000001E-5</v>
      </c>
      <c r="G235" s="185">
        <f>IFERROR(IF($C235="",-0.00001,SUMIFS(Database!I:I,Database!$E:$E,$C235)),-0.00001)</f>
        <v>-1.0000000000000001E-5</v>
      </c>
      <c r="H235" s="185">
        <f>IFERROR(IF($C235="",-0.00001,SUMIFS(Database!J:J,Database!$E:$E,$C235)),-0.00001)</f>
        <v>-1.0000000000000001E-5</v>
      </c>
      <c r="I235" s="185">
        <f>IFERROR(IF($C235="",-0.00001,SUMIFS(Database!K:K,Database!$E:$E,$C235)),-0.00001)</f>
        <v>-1.0000000000000001E-5</v>
      </c>
      <c r="J235" s="185">
        <f>IFERROR(IF($C235="",-0.00001,SUMIFS(Database!L:L,Database!$E:$E,$C235)),-0.00001)</f>
        <v>-1.0000000000000001E-5</v>
      </c>
      <c r="K235" s="185">
        <f>IFERROR(IF($C235="",-0.00001,SUMIFS(Database!M:M,Database!$E:$E,$C235)),-0.00001)</f>
        <v>-1.0000000000000001E-5</v>
      </c>
      <c r="L235" s="185">
        <f>IFERROR(IF($C235="",-0.00001,SUMIFS(Database!N:N,Database!$E:$E,$C235)),-0.00001)</f>
        <v>-1.0000000000000001E-5</v>
      </c>
      <c r="M235" s="185">
        <f>IFERROR(IF($C235="",-0.00001,SUMIFS(Database!O:O,Database!$E:$E,$C235)),-0.00001)</f>
        <v>-1.0000000000000001E-5</v>
      </c>
      <c r="N235" s="185">
        <f>IFERROR(IF($C235="",-0.00001,SUMIFS(Database!P:P,Database!$E:$E,$C235)),-0.00001)</f>
        <v>-1.0000000000000001E-5</v>
      </c>
      <c r="O235" s="185">
        <f>IFERROR(IF($C235="",-0.00001,SUMIFS(Database!Q:Q,Database!$E:$E,$C235)),-0.00001)</f>
        <v>-1.0000000000000001E-5</v>
      </c>
      <c r="P235" s="186">
        <f t="shared" si="9"/>
        <v>-1.0000000000000001E-5</v>
      </c>
      <c r="Q235" s="185">
        <f>IFERROR(IF($C235="",-0.00001,SUMIFS(Database!S:S,Database!$E:$E,$C235)),-0.00001)</f>
        <v>-1.0000000000000001E-5</v>
      </c>
      <c r="R235" s="185">
        <f>IFERROR(IF($C235="",-0.00001,SUMIFS(Database!T:T,Database!$E:$E,$C235)),-0.00001)</f>
        <v>-1.0000000000000001E-5</v>
      </c>
      <c r="S235" s="186">
        <f t="shared" si="10"/>
        <v>-1.0000000000000001E-5</v>
      </c>
      <c r="T235" s="185">
        <f>IFERROR(IF($C235="",-0.00001,SUMIFS(Database!V:V,Database!$E:$E,$C235)),-0.00001)</f>
        <v>-1.0000000000000001E-5</v>
      </c>
      <c r="U235" s="185">
        <f>IFERROR(IF($C235="",-0.00001,SUMIFS(Database!W:W,Database!$E:$E,$C235)),-0.00001)</f>
        <v>-1.0000000000000001E-5</v>
      </c>
      <c r="V235" s="186">
        <f t="shared" si="11"/>
        <v>-1.0000000000000001E-5</v>
      </c>
      <c r="W235" s="187"/>
      <c r="X235" s="187"/>
      <c r="Y235" s="187"/>
      <c r="Z235" s="187"/>
      <c r="AA235" s="187"/>
      <c r="AB235" s="187"/>
      <c r="AC235" s="187"/>
      <c r="AD235" s="187"/>
      <c r="AE235" s="187"/>
    </row>
    <row r="236" spans="1:31" x14ac:dyDescent="0.25">
      <c r="A236" s="187"/>
      <c r="B236" s="187" t="str">
        <f>IF($C236="","",MAX($B$4:$B235)+1)</f>
        <v/>
      </c>
      <c r="C236" s="183"/>
      <c r="D236" s="183" t="str">
        <f>IFERROR(VLOOKUP($C236,Rosters!$C$4:$M$239,INDEX(Lists!$N$5:$O$80,MATCH($C236,Lists!$N$5:$N$80,FALSE),2)),"")</f>
        <v/>
      </c>
      <c r="E236" s="185">
        <f>IF($C236="",-0.00001,COUNTIF(Database!E:E,$C236))</f>
        <v>-1.0000000000000001E-5</v>
      </c>
      <c r="F236" s="185">
        <f>IFERROR(IF($C236="",-0.00001,SUMIFS(Database!H:H,Database!$E:$E,$C236)),-0.00001)</f>
        <v>-1.0000000000000001E-5</v>
      </c>
      <c r="G236" s="185">
        <f>IFERROR(IF($C236="",-0.00001,SUMIFS(Database!I:I,Database!$E:$E,$C236)),-0.00001)</f>
        <v>-1.0000000000000001E-5</v>
      </c>
      <c r="H236" s="185">
        <f>IFERROR(IF($C236="",-0.00001,SUMIFS(Database!J:J,Database!$E:$E,$C236)),-0.00001)</f>
        <v>-1.0000000000000001E-5</v>
      </c>
      <c r="I236" s="185">
        <f>IFERROR(IF($C236="",-0.00001,SUMIFS(Database!K:K,Database!$E:$E,$C236)),-0.00001)</f>
        <v>-1.0000000000000001E-5</v>
      </c>
      <c r="J236" s="185">
        <f>IFERROR(IF($C236="",-0.00001,SUMIFS(Database!L:L,Database!$E:$E,$C236)),-0.00001)</f>
        <v>-1.0000000000000001E-5</v>
      </c>
      <c r="K236" s="185">
        <f>IFERROR(IF($C236="",-0.00001,SUMIFS(Database!M:M,Database!$E:$E,$C236)),-0.00001)</f>
        <v>-1.0000000000000001E-5</v>
      </c>
      <c r="L236" s="185">
        <f>IFERROR(IF($C236="",-0.00001,SUMIFS(Database!N:N,Database!$E:$E,$C236)),-0.00001)</f>
        <v>-1.0000000000000001E-5</v>
      </c>
      <c r="M236" s="185">
        <f>IFERROR(IF($C236="",-0.00001,SUMIFS(Database!O:O,Database!$E:$E,$C236)),-0.00001)</f>
        <v>-1.0000000000000001E-5</v>
      </c>
      <c r="N236" s="185">
        <f>IFERROR(IF($C236="",-0.00001,SUMIFS(Database!P:P,Database!$E:$E,$C236)),-0.00001)</f>
        <v>-1.0000000000000001E-5</v>
      </c>
      <c r="O236" s="185">
        <f>IFERROR(IF($C236="",-0.00001,SUMIFS(Database!Q:Q,Database!$E:$E,$C236)),-0.00001)</f>
        <v>-1.0000000000000001E-5</v>
      </c>
      <c r="P236" s="186">
        <f t="shared" si="9"/>
        <v>-1.0000000000000001E-5</v>
      </c>
      <c r="Q236" s="185">
        <f>IFERROR(IF($C236="",-0.00001,SUMIFS(Database!S:S,Database!$E:$E,$C236)),-0.00001)</f>
        <v>-1.0000000000000001E-5</v>
      </c>
      <c r="R236" s="185">
        <f>IFERROR(IF($C236="",-0.00001,SUMIFS(Database!T:T,Database!$E:$E,$C236)),-0.00001)</f>
        <v>-1.0000000000000001E-5</v>
      </c>
      <c r="S236" s="186">
        <f t="shared" si="10"/>
        <v>-1.0000000000000001E-5</v>
      </c>
      <c r="T236" s="185">
        <f>IFERROR(IF($C236="",-0.00001,SUMIFS(Database!V:V,Database!$E:$E,$C236)),-0.00001)</f>
        <v>-1.0000000000000001E-5</v>
      </c>
      <c r="U236" s="185">
        <f>IFERROR(IF($C236="",-0.00001,SUMIFS(Database!W:W,Database!$E:$E,$C236)),-0.00001)</f>
        <v>-1.0000000000000001E-5</v>
      </c>
      <c r="V236" s="186">
        <f t="shared" si="11"/>
        <v>-1.0000000000000001E-5</v>
      </c>
      <c r="W236" s="187"/>
      <c r="X236" s="187"/>
      <c r="Y236" s="187"/>
      <c r="Z236" s="187"/>
      <c r="AA236" s="187"/>
      <c r="AB236" s="187"/>
      <c r="AC236" s="187"/>
      <c r="AD236" s="187"/>
      <c r="AE236" s="187"/>
    </row>
    <row r="237" spans="1:31" x14ac:dyDescent="0.25">
      <c r="A237" s="187"/>
      <c r="B237" s="187" t="str">
        <f>IF($C237="","",MAX($B$4:$B236)+1)</f>
        <v/>
      </c>
      <c r="C237" s="183"/>
      <c r="D237" s="183" t="str">
        <f>IFERROR(VLOOKUP($C237,Rosters!$C$4:$M$239,INDEX(Lists!$N$5:$O$80,MATCH($C237,Lists!$N$5:$N$80,FALSE),2)),"")</f>
        <v/>
      </c>
      <c r="E237" s="185">
        <f>IF($C237="",-0.00001,COUNTIF(Database!E:E,$C237))</f>
        <v>-1.0000000000000001E-5</v>
      </c>
      <c r="F237" s="185">
        <f>IFERROR(IF($C237="",-0.00001,SUMIFS(Database!H:H,Database!$E:$E,$C237)),-0.00001)</f>
        <v>-1.0000000000000001E-5</v>
      </c>
      <c r="G237" s="185">
        <f>IFERROR(IF($C237="",-0.00001,SUMIFS(Database!I:I,Database!$E:$E,$C237)),-0.00001)</f>
        <v>-1.0000000000000001E-5</v>
      </c>
      <c r="H237" s="185">
        <f>IFERROR(IF($C237="",-0.00001,SUMIFS(Database!J:J,Database!$E:$E,$C237)),-0.00001)</f>
        <v>-1.0000000000000001E-5</v>
      </c>
      <c r="I237" s="185">
        <f>IFERROR(IF($C237="",-0.00001,SUMIFS(Database!K:K,Database!$E:$E,$C237)),-0.00001)</f>
        <v>-1.0000000000000001E-5</v>
      </c>
      <c r="J237" s="185">
        <f>IFERROR(IF($C237="",-0.00001,SUMIFS(Database!L:L,Database!$E:$E,$C237)),-0.00001)</f>
        <v>-1.0000000000000001E-5</v>
      </c>
      <c r="K237" s="185">
        <f>IFERROR(IF($C237="",-0.00001,SUMIFS(Database!M:M,Database!$E:$E,$C237)),-0.00001)</f>
        <v>-1.0000000000000001E-5</v>
      </c>
      <c r="L237" s="185">
        <f>IFERROR(IF($C237="",-0.00001,SUMIFS(Database!N:N,Database!$E:$E,$C237)),-0.00001)</f>
        <v>-1.0000000000000001E-5</v>
      </c>
      <c r="M237" s="185">
        <f>IFERROR(IF($C237="",-0.00001,SUMIFS(Database!O:O,Database!$E:$E,$C237)),-0.00001)</f>
        <v>-1.0000000000000001E-5</v>
      </c>
      <c r="N237" s="185">
        <f>IFERROR(IF($C237="",-0.00001,SUMIFS(Database!P:P,Database!$E:$E,$C237)),-0.00001)</f>
        <v>-1.0000000000000001E-5</v>
      </c>
      <c r="O237" s="185">
        <f>IFERROR(IF($C237="",-0.00001,SUMIFS(Database!Q:Q,Database!$E:$E,$C237)),-0.00001)</f>
        <v>-1.0000000000000001E-5</v>
      </c>
      <c r="P237" s="186">
        <f t="shared" si="9"/>
        <v>-1.0000000000000001E-5</v>
      </c>
      <c r="Q237" s="185">
        <f>IFERROR(IF($C237="",-0.00001,SUMIFS(Database!S:S,Database!$E:$E,$C237)),-0.00001)</f>
        <v>-1.0000000000000001E-5</v>
      </c>
      <c r="R237" s="185">
        <f>IFERROR(IF($C237="",-0.00001,SUMIFS(Database!T:T,Database!$E:$E,$C237)),-0.00001)</f>
        <v>-1.0000000000000001E-5</v>
      </c>
      <c r="S237" s="186">
        <f t="shared" si="10"/>
        <v>-1.0000000000000001E-5</v>
      </c>
      <c r="T237" s="185">
        <f>IFERROR(IF($C237="",-0.00001,SUMIFS(Database!V:V,Database!$E:$E,$C237)),-0.00001)</f>
        <v>-1.0000000000000001E-5</v>
      </c>
      <c r="U237" s="185">
        <f>IFERROR(IF($C237="",-0.00001,SUMIFS(Database!W:W,Database!$E:$E,$C237)),-0.00001)</f>
        <v>-1.0000000000000001E-5</v>
      </c>
      <c r="V237" s="186">
        <f t="shared" si="11"/>
        <v>-1.0000000000000001E-5</v>
      </c>
      <c r="W237" s="187"/>
      <c r="X237" s="187"/>
      <c r="Y237" s="187"/>
      <c r="Z237" s="187"/>
      <c r="AA237" s="187"/>
      <c r="AB237" s="187"/>
      <c r="AC237" s="187"/>
      <c r="AD237" s="187"/>
      <c r="AE237" s="187"/>
    </row>
    <row r="238" spans="1:31" x14ac:dyDescent="0.25">
      <c r="A238" s="187"/>
      <c r="B238" s="187" t="str">
        <f>IF($C238="","",MAX($B$4:$B237)+1)</f>
        <v/>
      </c>
      <c r="C238" s="183"/>
      <c r="D238" s="183" t="str">
        <f>IFERROR(VLOOKUP($C238,Rosters!$C$4:$M$239,INDEX(Lists!$N$5:$O$80,MATCH($C238,Lists!$N$5:$N$80,FALSE),2)),"")</f>
        <v/>
      </c>
      <c r="E238" s="185">
        <f>IF($C238="",-0.00001,COUNTIF(Database!E:E,$C238))</f>
        <v>-1.0000000000000001E-5</v>
      </c>
      <c r="F238" s="185">
        <f>IFERROR(IF($C238="",-0.00001,SUMIFS(Database!H:H,Database!$E:$E,$C238)),-0.00001)</f>
        <v>-1.0000000000000001E-5</v>
      </c>
      <c r="G238" s="185">
        <f>IFERROR(IF($C238="",-0.00001,SUMIFS(Database!I:I,Database!$E:$E,$C238)),-0.00001)</f>
        <v>-1.0000000000000001E-5</v>
      </c>
      <c r="H238" s="185">
        <f>IFERROR(IF($C238="",-0.00001,SUMIFS(Database!J:J,Database!$E:$E,$C238)),-0.00001)</f>
        <v>-1.0000000000000001E-5</v>
      </c>
      <c r="I238" s="185">
        <f>IFERROR(IF($C238="",-0.00001,SUMIFS(Database!K:K,Database!$E:$E,$C238)),-0.00001)</f>
        <v>-1.0000000000000001E-5</v>
      </c>
      <c r="J238" s="185">
        <f>IFERROR(IF($C238="",-0.00001,SUMIFS(Database!L:L,Database!$E:$E,$C238)),-0.00001)</f>
        <v>-1.0000000000000001E-5</v>
      </c>
      <c r="K238" s="185">
        <f>IFERROR(IF($C238="",-0.00001,SUMIFS(Database!M:M,Database!$E:$E,$C238)),-0.00001)</f>
        <v>-1.0000000000000001E-5</v>
      </c>
      <c r="L238" s="185">
        <f>IFERROR(IF($C238="",-0.00001,SUMIFS(Database!N:N,Database!$E:$E,$C238)),-0.00001)</f>
        <v>-1.0000000000000001E-5</v>
      </c>
      <c r="M238" s="185">
        <f>IFERROR(IF($C238="",-0.00001,SUMIFS(Database!O:O,Database!$E:$E,$C238)),-0.00001)</f>
        <v>-1.0000000000000001E-5</v>
      </c>
      <c r="N238" s="185">
        <f>IFERROR(IF($C238="",-0.00001,SUMIFS(Database!P:P,Database!$E:$E,$C238)),-0.00001)</f>
        <v>-1.0000000000000001E-5</v>
      </c>
      <c r="O238" s="185">
        <f>IFERROR(IF($C238="",-0.00001,SUMIFS(Database!Q:Q,Database!$E:$E,$C238)),-0.00001)</f>
        <v>-1.0000000000000001E-5</v>
      </c>
      <c r="P238" s="186">
        <f t="shared" si="9"/>
        <v>-1.0000000000000001E-5</v>
      </c>
      <c r="Q238" s="185">
        <f>IFERROR(IF($C238="",-0.00001,SUMIFS(Database!S:S,Database!$E:$E,$C238)),-0.00001)</f>
        <v>-1.0000000000000001E-5</v>
      </c>
      <c r="R238" s="185">
        <f>IFERROR(IF($C238="",-0.00001,SUMIFS(Database!T:T,Database!$E:$E,$C238)),-0.00001)</f>
        <v>-1.0000000000000001E-5</v>
      </c>
      <c r="S238" s="186">
        <f t="shared" si="10"/>
        <v>-1.0000000000000001E-5</v>
      </c>
      <c r="T238" s="185">
        <f>IFERROR(IF($C238="",-0.00001,SUMIFS(Database!V:V,Database!$E:$E,$C238)),-0.00001)</f>
        <v>-1.0000000000000001E-5</v>
      </c>
      <c r="U238" s="185">
        <f>IFERROR(IF($C238="",-0.00001,SUMIFS(Database!W:W,Database!$E:$E,$C238)),-0.00001)</f>
        <v>-1.0000000000000001E-5</v>
      </c>
      <c r="V238" s="186">
        <f t="shared" si="11"/>
        <v>-1.0000000000000001E-5</v>
      </c>
      <c r="W238" s="187"/>
      <c r="X238" s="187"/>
      <c r="Y238" s="187"/>
      <c r="Z238" s="187"/>
      <c r="AA238" s="187"/>
      <c r="AB238" s="187"/>
      <c r="AC238" s="187"/>
      <c r="AD238" s="187"/>
      <c r="AE238" s="187"/>
    </row>
    <row r="239" spans="1:31" x14ac:dyDescent="0.25">
      <c r="A239" s="187"/>
      <c r="B239" s="187" t="str">
        <f>IF($C239="","",MAX($B$4:$B238)+1)</f>
        <v/>
      </c>
      <c r="C239" s="183"/>
      <c r="D239" s="183" t="str">
        <f>IFERROR(VLOOKUP($C239,Rosters!$C$4:$M$239,INDEX(Lists!$N$5:$O$80,MATCH($C239,Lists!$N$5:$N$80,FALSE),2)),"")</f>
        <v/>
      </c>
      <c r="E239" s="185">
        <f>IF($C239="",-0.00001,COUNTIF(Database!E:E,$C239))</f>
        <v>-1.0000000000000001E-5</v>
      </c>
      <c r="F239" s="185">
        <f>IFERROR(IF($C239="",-0.00001,SUMIFS(Database!H:H,Database!$E:$E,$C239)),-0.00001)</f>
        <v>-1.0000000000000001E-5</v>
      </c>
      <c r="G239" s="185">
        <f>IFERROR(IF($C239="",-0.00001,SUMIFS(Database!I:I,Database!$E:$E,$C239)),-0.00001)</f>
        <v>-1.0000000000000001E-5</v>
      </c>
      <c r="H239" s="185">
        <f>IFERROR(IF($C239="",-0.00001,SUMIFS(Database!J:J,Database!$E:$E,$C239)),-0.00001)</f>
        <v>-1.0000000000000001E-5</v>
      </c>
      <c r="I239" s="185">
        <f>IFERROR(IF($C239="",-0.00001,SUMIFS(Database!K:K,Database!$E:$E,$C239)),-0.00001)</f>
        <v>-1.0000000000000001E-5</v>
      </c>
      <c r="J239" s="185">
        <f>IFERROR(IF($C239="",-0.00001,SUMIFS(Database!L:L,Database!$E:$E,$C239)),-0.00001)</f>
        <v>-1.0000000000000001E-5</v>
      </c>
      <c r="K239" s="185">
        <f>IFERROR(IF($C239="",-0.00001,SUMIFS(Database!M:M,Database!$E:$E,$C239)),-0.00001)</f>
        <v>-1.0000000000000001E-5</v>
      </c>
      <c r="L239" s="185">
        <f>IFERROR(IF($C239="",-0.00001,SUMIFS(Database!N:N,Database!$E:$E,$C239)),-0.00001)</f>
        <v>-1.0000000000000001E-5</v>
      </c>
      <c r="M239" s="185">
        <f>IFERROR(IF($C239="",-0.00001,SUMIFS(Database!O:O,Database!$E:$E,$C239)),-0.00001)</f>
        <v>-1.0000000000000001E-5</v>
      </c>
      <c r="N239" s="185">
        <f>IFERROR(IF($C239="",-0.00001,SUMIFS(Database!P:P,Database!$E:$E,$C239)),-0.00001)</f>
        <v>-1.0000000000000001E-5</v>
      </c>
      <c r="O239" s="185">
        <f>IFERROR(IF($C239="",-0.00001,SUMIFS(Database!Q:Q,Database!$E:$E,$C239)),-0.00001)</f>
        <v>-1.0000000000000001E-5</v>
      </c>
      <c r="P239" s="186">
        <f t="shared" si="9"/>
        <v>-1.0000000000000001E-5</v>
      </c>
      <c r="Q239" s="185">
        <f>IFERROR(IF($C239="",-0.00001,SUMIFS(Database!S:S,Database!$E:$E,$C239)),-0.00001)</f>
        <v>-1.0000000000000001E-5</v>
      </c>
      <c r="R239" s="185">
        <f>IFERROR(IF($C239="",-0.00001,SUMIFS(Database!T:T,Database!$E:$E,$C239)),-0.00001)</f>
        <v>-1.0000000000000001E-5</v>
      </c>
      <c r="S239" s="186">
        <f t="shared" si="10"/>
        <v>-1.0000000000000001E-5</v>
      </c>
      <c r="T239" s="185">
        <f>IFERROR(IF($C239="",-0.00001,SUMIFS(Database!V:V,Database!$E:$E,$C239)),-0.00001)</f>
        <v>-1.0000000000000001E-5</v>
      </c>
      <c r="U239" s="185">
        <f>IFERROR(IF($C239="",-0.00001,SUMIFS(Database!W:W,Database!$E:$E,$C239)),-0.00001)</f>
        <v>-1.0000000000000001E-5</v>
      </c>
      <c r="V239" s="186">
        <f t="shared" si="11"/>
        <v>-1.0000000000000001E-5</v>
      </c>
      <c r="W239" s="187"/>
      <c r="X239" s="187"/>
      <c r="Y239" s="187"/>
      <c r="Z239" s="187"/>
      <c r="AA239" s="187"/>
      <c r="AB239" s="187"/>
      <c r="AC239" s="187"/>
      <c r="AD239" s="187"/>
      <c r="AE239" s="187"/>
    </row>
    <row r="240" spans="1:31" x14ac:dyDescent="0.25">
      <c r="A240" s="187"/>
      <c r="B240" s="187" t="str">
        <f>IF($C240="","",MAX($B$4:$B239)+1)</f>
        <v/>
      </c>
      <c r="C240" s="183"/>
      <c r="D240" s="183" t="str">
        <f>IFERROR(VLOOKUP($C240,Rosters!$C$4:$M$239,INDEX(Lists!$N$5:$O$80,MATCH($C240,Lists!$N$5:$N$80,FALSE),2)),"")</f>
        <v/>
      </c>
      <c r="E240" s="185">
        <f>IF($C240="",-0.00001,COUNTIF(Database!E:E,$C240))</f>
        <v>-1.0000000000000001E-5</v>
      </c>
      <c r="F240" s="185">
        <f>IFERROR(IF($C240="",-0.00001,SUMIFS(Database!H:H,Database!$E:$E,$C240)),-0.00001)</f>
        <v>-1.0000000000000001E-5</v>
      </c>
      <c r="G240" s="185">
        <f>IFERROR(IF($C240="",-0.00001,SUMIFS(Database!I:I,Database!$E:$E,$C240)),-0.00001)</f>
        <v>-1.0000000000000001E-5</v>
      </c>
      <c r="H240" s="185">
        <f>IFERROR(IF($C240="",-0.00001,SUMIFS(Database!J:J,Database!$E:$E,$C240)),-0.00001)</f>
        <v>-1.0000000000000001E-5</v>
      </c>
      <c r="I240" s="185">
        <f>IFERROR(IF($C240="",-0.00001,SUMIFS(Database!K:K,Database!$E:$E,$C240)),-0.00001)</f>
        <v>-1.0000000000000001E-5</v>
      </c>
      <c r="J240" s="185">
        <f>IFERROR(IF($C240="",-0.00001,SUMIFS(Database!L:L,Database!$E:$E,$C240)),-0.00001)</f>
        <v>-1.0000000000000001E-5</v>
      </c>
      <c r="K240" s="185">
        <f>IFERROR(IF($C240="",-0.00001,SUMIFS(Database!M:M,Database!$E:$E,$C240)),-0.00001)</f>
        <v>-1.0000000000000001E-5</v>
      </c>
      <c r="L240" s="185">
        <f>IFERROR(IF($C240="",-0.00001,SUMIFS(Database!N:N,Database!$E:$E,$C240)),-0.00001)</f>
        <v>-1.0000000000000001E-5</v>
      </c>
      <c r="M240" s="185">
        <f>IFERROR(IF($C240="",-0.00001,SUMIFS(Database!O:O,Database!$E:$E,$C240)),-0.00001)</f>
        <v>-1.0000000000000001E-5</v>
      </c>
      <c r="N240" s="185">
        <f>IFERROR(IF($C240="",-0.00001,SUMIFS(Database!P:P,Database!$E:$E,$C240)),-0.00001)</f>
        <v>-1.0000000000000001E-5</v>
      </c>
      <c r="O240" s="185">
        <f>IFERROR(IF($C240="",-0.00001,SUMIFS(Database!Q:Q,Database!$E:$E,$C240)),-0.00001)</f>
        <v>-1.0000000000000001E-5</v>
      </c>
      <c r="P240" s="186">
        <f t="shared" si="9"/>
        <v>-1.0000000000000001E-5</v>
      </c>
      <c r="Q240" s="185">
        <f>IFERROR(IF($C240="",-0.00001,SUMIFS(Database!S:S,Database!$E:$E,$C240)),-0.00001)</f>
        <v>-1.0000000000000001E-5</v>
      </c>
      <c r="R240" s="185">
        <f>IFERROR(IF($C240="",-0.00001,SUMIFS(Database!T:T,Database!$E:$E,$C240)),-0.00001)</f>
        <v>-1.0000000000000001E-5</v>
      </c>
      <c r="S240" s="186">
        <f t="shared" si="10"/>
        <v>-1.0000000000000001E-5</v>
      </c>
      <c r="T240" s="185">
        <f>IFERROR(IF($C240="",-0.00001,SUMIFS(Database!V:V,Database!$E:$E,$C240)),-0.00001)</f>
        <v>-1.0000000000000001E-5</v>
      </c>
      <c r="U240" s="185">
        <f>IFERROR(IF($C240="",-0.00001,SUMIFS(Database!W:W,Database!$E:$E,$C240)),-0.00001)</f>
        <v>-1.0000000000000001E-5</v>
      </c>
      <c r="V240" s="186">
        <f t="shared" si="11"/>
        <v>-1.0000000000000001E-5</v>
      </c>
      <c r="W240" s="187"/>
      <c r="X240" s="187"/>
      <c r="Y240" s="187"/>
      <c r="Z240" s="187"/>
      <c r="AA240" s="187"/>
      <c r="AB240" s="187"/>
      <c r="AC240" s="187"/>
      <c r="AD240" s="187"/>
      <c r="AE240" s="187"/>
    </row>
    <row r="241" spans="1:31" x14ac:dyDescent="0.25">
      <c r="A241" s="187"/>
      <c r="B241" s="187" t="str">
        <f>IF($C241="","",MAX($B$4:$B240)+1)</f>
        <v/>
      </c>
      <c r="C241" s="183"/>
      <c r="D241" s="183" t="str">
        <f>IFERROR(VLOOKUP($C241,Rosters!$C$4:$M$239,INDEX(Lists!$N$5:$O$80,MATCH($C241,Lists!$N$5:$N$80,FALSE),2)),"")</f>
        <v/>
      </c>
      <c r="E241" s="185">
        <f>IF($C241="",-0.00001,COUNTIF(Database!E:E,$C241))</f>
        <v>-1.0000000000000001E-5</v>
      </c>
      <c r="F241" s="185">
        <f>IFERROR(IF($C241="",-0.00001,SUMIFS(Database!H:H,Database!$E:$E,$C241)),-0.00001)</f>
        <v>-1.0000000000000001E-5</v>
      </c>
      <c r="G241" s="185">
        <f>IFERROR(IF($C241="",-0.00001,SUMIFS(Database!I:I,Database!$E:$E,$C241)),-0.00001)</f>
        <v>-1.0000000000000001E-5</v>
      </c>
      <c r="H241" s="185">
        <f>IFERROR(IF($C241="",-0.00001,SUMIFS(Database!J:J,Database!$E:$E,$C241)),-0.00001)</f>
        <v>-1.0000000000000001E-5</v>
      </c>
      <c r="I241" s="185">
        <f>IFERROR(IF($C241="",-0.00001,SUMIFS(Database!K:K,Database!$E:$E,$C241)),-0.00001)</f>
        <v>-1.0000000000000001E-5</v>
      </c>
      <c r="J241" s="185">
        <f>IFERROR(IF($C241="",-0.00001,SUMIFS(Database!L:L,Database!$E:$E,$C241)),-0.00001)</f>
        <v>-1.0000000000000001E-5</v>
      </c>
      <c r="K241" s="185">
        <f>IFERROR(IF($C241="",-0.00001,SUMIFS(Database!M:M,Database!$E:$E,$C241)),-0.00001)</f>
        <v>-1.0000000000000001E-5</v>
      </c>
      <c r="L241" s="185">
        <f>IFERROR(IF($C241="",-0.00001,SUMIFS(Database!N:N,Database!$E:$E,$C241)),-0.00001)</f>
        <v>-1.0000000000000001E-5</v>
      </c>
      <c r="M241" s="185">
        <f>IFERROR(IF($C241="",-0.00001,SUMIFS(Database!O:O,Database!$E:$E,$C241)),-0.00001)</f>
        <v>-1.0000000000000001E-5</v>
      </c>
      <c r="N241" s="185">
        <f>IFERROR(IF($C241="",-0.00001,SUMIFS(Database!P:P,Database!$E:$E,$C241)),-0.00001)</f>
        <v>-1.0000000000000001E-5</v>
      </c>
      <c r="O241" s="185">
        <f>IFERROR(IF($C241="",-0.00001,SUMIFS(Database!Q:Q,Database!$E:$E,$C241)),-0.00001)</f>
        <v>-1.0000000000000001E-5</v>
      </c>
      <c r="P241" s="186">
        <f t="shared" si="9"/>
        <v>-1.0000000000000001E-5</v>
      </c>
      <c r="Q241" s="185">
        <f>IFERROR(IF($C241="",-0.00001,SUMIFS(Database!S:S,Database!$E:$E,$C241)),-0.00001)</f>
        <v>-1.0000000000000001E-5</v>
      </c>
      <c r="R241" s="185">
        <f>IFERROR(IF($C241="",-0.00001,SUMIFS(Database!T:T,Database!$E:$E,$C241)),-0.00001)</f>
        <v>-1.0000000000000001E-5</v>
      </c>
      <c r="S241" s="186">
        <f t="shared" si="10"/>
        <v>-1.0000000000000001E-5</v>
      </c>
      <c r="T241" s="185">
        <f>IFERROR(IF($C241="",-0.00001,SUMIFS(Database!V:V,Database!$E:$E,$C241)),-0.00001)</f>
        <v>-1.0000000000000001E-5</v>
      </c>
      <c r="U241" s="185">
        <f>IFERROR(IF($C241="",-0.00001,SUMIFS(Database!W:W,Database!$E:$E,$C241)),-0.00001)</f>
        <v>-1.0000000000000001E-5</v>
      </c>
      <c r="V241" s="186">
        <f t="shared" si="11"/>
        <v>-1.0000000000000001E-5</v>
      </c>
      <c r="W241" s="187"/>
      <c r="X241" s="187"/>
      <c r="Y241" s="187"/>
      <c r="Z241" s="187"/>
      <c r="AA241" s="187"/>
      <c r="AB241" s="187"/>
      <c r="AC241" s="187"/>
      <c r="AD241" s="187"/>
      <c r="AE241" s="187"/>
    </row>
    <row r="242" spans="1:31" x14ac:dyDescent="0.25">
      <c r="A242" s="187"/>
      <c r="B242" s="187" t="str">
        <f>IF($C242="","",MAX($B$4:$B241)+1)</f>
        <v/>
      </c>
      <c r="C242" s="183"/>
      <c r="D242" s="183" t="str">
        <f>IFERROR(VLOOKUP($C242,Rosters!$C$4:$M$239,INDEX(Lists!$N$5:$O$80,MATCH($C242,Lists!$N$5:$N$80,FALSE),2)),"")</f>
        <v/>
      </c>
      <c r="E242" s="185">
        <f>IF($C242="",-0.00001,COUNTIF(Database!E:E,$C242))</f>
        <v>-1.0000000000000001E-5</v>
      </c>
      <c r="F242" s="185">
        <f>IFERROR(IF($C242="",-0.00001,SUMIFS(Database!H:H,Database!$E:$E,$C242)),-0.00001)</f>
        <v>-1.0000000000000001E-5</v>
      </c>
      <c r="G242" s="185">
        <f>IFERROR(IF($C242="",-0.00001,SUMIFS(Database!I:I,Database!$E:$E,$C242)),-0.00001)</f>
        <v>-1.0000000000000001E-5</v>
      </c>
      <c r="H242" s="185">
        <f>IFERROR(IF($C242="",-0.00001,SUMIFS(Database!J:J,Database!$E:$E,$C242)),-0.00001)</f>
        <v>-1.0000000000000001E-5</v>
      </c>
      <c r="I242" s="185">
        <f>IFERROR(IF($C242="",-0.00001,SUMIFS(Database!K:K,Database!$E:$E,$C242)),-0.00001)</f>
        <v>-1.0000000000000001E-5</v>
      </c>
      <c r="J242" s="185">
        <f>IFERROR(IF($C242="",-0.00001,SUMIFS(Database!L:L,Database!$E:$E,$C242)),-0.00001)</f>
        <v>-1.0000000000000001E-5</v>
      </c>
      <c r="K242" s="185">
        <f>IFERROR(IF($C242="",-0.00001,SUMIFS(Database!M:M,Database!$E:$E,$C242)),-0.00001)</f>
        <v>-1.0000000000000001E-5</v>
      </c>
      <c r="L242" s="185">
        <f>IFERROR(IF($C242="",-0.00001,SUMIFS(Database!N:N,Database!$E:$E,$C242)),-0.00001)</f>
        <v>-1.0000000000000001E-5</v>
      </c>
      <c r="M242" s="185">
        <f>IFERROR(IF($C242="",-0.00001,SUMIFS(Database!O:O,Database!$E:$E,$C242)),-0.00001)</f>
        <v>-1.0000000000000001E-5</v>
      </c>
      <c r="N242" s="185">
        <f>IFERROR(IF($C242="",-0.00001,SUMIFS(Database!P:P,Database!$E:$E,$C242)),-0.00001)</f>
        <v>-1.0000000000000001E-5</v>
      </c>
      <c r="O242" s="185">
        <f>IFERROR(IF($C242="",-0.00001,SUMIFS(Database!Q:Q,Database!$E:$E,$C242)),-0.00001)</f>
        <v>-1.0000000000000001E-5</v>
      </c>
      <c r="P242" s="186">
        <f t="shared" si="9"/>
        <v>-1.0000000000000001E-5</v>
      </c>
      <c r="Q242" s="185">
        <f>IFERROR(IF($C242="",-0.00001,SUMIFS(Database!S:S,Database!$E:$E,$C242)),-0.00001)</f>
        <v>-1.0000000000000001E-5</v>
      </c>
      <c r="R242" s="185">
        <f>IFERROR(IF($C242="",-0.00001,SUMIFS(Database!T:T,Database!$E:$E,$C242)),-0.00001)</f>
        <v>-1.0000000000000001E-5</v>
      </c>
      <c r="S242" s="186">
        <f t="shared" si="10"/>
        <v>-1.0000000000000001E-5</v>
      </c>
      <c r="T242" s="185">
        <f>IFERROR(IF($C242="",-0.00001,SUMIFS(Database!V:V,Database!$E:$E,$C242)),-0.00001)</f>
        <v>-1.0000000000000001E-5</v>
      </c>
      <c r="U242" s="185">
        <f>IFERROR(IF($C242="",-0.00001,SUMIFS(Database!W:W,Database!$E:$E,$C242)),-0.00001)</f>
        <v>-1.0000000000000001E-5</v>
      </c>
      <c r="V242" s="186">
        <f t="shared" si="11"/>
        <v>-1.0000000000000001E-5</v>
      </c>
      <c r="W242" s="187"/>
      <c r="X242" s="187"/>
      <c r="Y242" s="187"/>
      <c r="Z242" s="187"/>
      <c r="AA242" s="187"/>
      <c r="AB242" s="187"/>
      <c r="AC242" s="187"/>
      <c r="AD242" s="187"/>
      <c r="AE242" s="187"/>
    </row>
    <row r="243" spans="1:31" x14ac:dyDescent="0.25">
      <c r="A243" s="187"/>
      <c r="B243" s="187" t="str">
        <f>IF($C243="","",MAX($B$4:$B242)+1)</f>
        <v/>
      </c>
      <c r="C243" s="183"/>
      <c r="D243" s="183" t="str">
        <f>IFERROR(VLOOKUP($C243,Rosters!$C$4:$M$239,INDEX(Lists!$N$5:$O$80,MATCH($C243,Lists!$N$5:$N$80,FALSE),2)),"")</f>
        <v/>
      </c>
      <c r="E243" s="185">
        <f>IF($C243="",-0.00001,COUNTIF(Database!E:E,$C243))</f>
        <v>-1.0000000000000001E-5</v>
      </c>
      <c r="F243" s="185">
        <f>IFERROR(IF($C243="",-0.00001,SUMIFS(Database!H:H,Database!$E:$E,$C243)),-0.00001)</f>
        <v>-1.0000000000000001E-5</v>
      </c>
      <c r="G243" s="185">
        <f>IFERROR(IF($C243="",-0.00001,SUMIFS(Database!I:I,Database!$E:$E,$C243)),-0.00001)</f>
        <v>-1.0000000000000001E-5</v>
      </c>
      <c r="H243" s="185">
        <f>IFERROR(IF($C243="",-0.00001,SUMIFS(Database!J:J,Database!$E:$E,$C243)),-0.00001)</f>
        <v>-1.0000000000000001E-5</v>
      </c>
      <c r="I243" s="185">
        <f>IFERROR(IF($C243="",-0.00001,SUMIFS(Database!K:K,Database!$E:$E,$C243)),-0.00001)</f>
        <v>-1.0000000000000001E-5</v>
      </c>
      <c r="J243" s="185">
        <f>IFERROR(IF($C243="",-0.00001,SUMIFS(Database!L:L,Database!$E:$E,$C243)),-0.00001)</f>
        <v>-1.0000000000000001E-5</v>
      </c>
      <c r="K243" s="185">
        <f>IFERROR(IF($C243="",-0.00001,SUMIFS(Database!M:M,Database!$E:$E,$C243)),-0.00001)</f>
        <v>-1.0000000000000001E-5</v>
      </c>
      <c r="L243" s="185">
        <f>IFERROR(IF($C243="",-0.00001,SUMIFS(Database!N:N,Database!$E:$E,$C243)),-0.00001)</f>
        <v>-1.0000000000000001E-5</v>
      </c>
      <c r="M243" s="185">
        <f>IFERROR(IF($C243="",-0.00001,SUMIFS(Database!O:O,Database!$E:$E,$C243)),-0.00001)</f>
        <v>-1.0000000000000001E-5</v>
      </c>
      <c r="N243" s="185">
        <f>IFERROR(IF($C243="",-0.00001,SUMIFS(Database!P:P,Database!$E:$E,$C243)),-0.00001)</f>
        <v>-1.0000000000000001E-5</v>
      </c>
      <c r="O243" s="185">
        <f>IFERROR(IF($C243="",-0.00001,SUMIFS(Database!Q:Q,Database!$E:$E,$C243)),-0.00001)</f>
        <v>-1.0000000000000001E-5</v>
      </c>
      <c r="P243" s="186">
        <f t="shared" si="9"/>
        <v>-1.0000000000000001E-5</v>
      </c>
      <c r="Q243" s="185">
        <f>IFERROR(IF($C243="",-0.00001,SUMIFS(Database!S:S,Database!$E:$E,$C243)),-0.00001)</f>
        <v>-1.0000000000000001E-5</v>
      </c>
      <c r="R243" s="185">
        <f>IFERROR(IF($C243="",-0.00001,SUMIFS(Database!T:T,Database!$E:$E,$C243)),-0.00001)</f>
        <v>-1.0000000000000001E-5</v>
      </c>
      <c r="S243" s="186">
        <f t="shared" si="10"/>
        <v>-1.0000000000000001E-5</v>
      </c>
      <c r="T243" s="185">
        <f>IFERROR(IF($C243="",-0.00001,SUMIFS(Database!V:V,Database!$E:$E,$C243)),-0.00001)</f>
        <v>-1.0000000000000001E-5</v>
      </c>
      <c r="U243" s="185">
        <f>IFERROR(IF($C243="",-0.00001,SUMIFS(Database!W:W,Database!$E:$E,$C243)),-0.00001)</f>
        <v>-1.0000000000000001E-5</v>
      </c>
      <c r="V243" s="186">
        <f t="shared" si="11"/>
        <v>-1.0000000000000001E-5</v>
      </c>
      <c r="W243" s="187"/>
      <c r="X243" s="187"/>
      <c r="Y243" s="187"/>
      <c r="Z243" s="187"/>
      <c r="AA243" s="187"/>
      <c r="AB243" s="187"/>
      <c r="AC243" s="187"/>
      <c r="AD243" s="187"/>
      <c r="AE243" s="187"/>
    </row>
    <row r="244" spans="1:31" x14ac:dyDescent="0.25">
      <c r="A244" s="187"/>
      <c r="B244" s="187" t="str">
        <f>IF($C244="","",MAX($B$4:$B243)+1)</f>
        <v/>
      </c>
      <c r="C244" s="183"/>
      <c r="D244" s="183" t="str">
        <f>IFERROR(VLOOKUP($C244,Rosters!$C$4:$M$239,INDEX(Lists!$N$5:$O$80,MATCH($C244,Lists!$N$5:$N$80,FALSE),2)),"")</f>
        <v/>
      </c>
      <c r="E244" s="185">
        <f>IF($C244="",-0.00001,COUNTIF(Database!E:E,$C244))</f>
        <v>-1.0000000000000001E-5</v>
      </c>
      <c r="F244" s="185">
        <f>IFERROR(IF($C244="",-0.00001,SUMIFS(Database!H:H,Database!$E:$E,$C244)),-0.00001)</f>
        <v>-1.0000000000000001E-5</v>
      </c>
      <c r="G244" s="185">
        <f>IFERROR(IF($C244="",-0.00001,SUMIFS(Database!I:I,Database!$E:$E,$C244)),-0.00001)</f>
        <v>-1.0000000000000001E-5</v>
      </c>
      <c r="H244" s="185">
        <f>IFERROR(IF($C244="",-0.00001,SUMIFS(Database!J:J,Database!$E:$E,$C244)),-0.00001)</f>
        <v>-1.0000000000000001E-5</v>
      </c>
      <c r="I244" s="185">
        <f>IFERROR(IF($C244="",-0.00001,SUMIFS(Database!K:K,Database!$E:$E,$C244)),-0.00001)</f>
        <v>-1.0000000000000001E-5</v>
      </c>
      <c r="J244" s="185">
        <f>IFERROR(IF($C244="",-0.00001,SUMIFS(Database!L:L,Database!$E:$E,$C244)),-0.00001)</f>
        <v>-1.0000000000000001E-5</v>
      </c>
      <c r="K244" s="185">
        <f>IFERROR(IF($C244="",-0.00001,SUMIFS(Database!M:M,Database!$E:$E,$C244)),-0.00001)</f>
        <v>-1.0000000000000001E-5</v>
      </c>
      <c r="L244" s="185">
        <f>IFERROR(IF($C244="",-0.00001,SUMIFS(Database!N:N,Database!$E:$E,$C244)),-0.00001)</f>
        <v>-1.0000000000000001E-5</v>
      </c>
      <c r="M244" s="185">
        <f>IFERROR(IF($C244="",-0.00001,SUMIFS(Database!O:O,Database!$E:$E,$C244)),-0.00001)</f>
        <v>-1.0000000000000001E-5</v>
      </c>
      <c r="N244" s="185">
        <f>IFERROR(IF($C244="",-0.00001,SUMIFS(Database!P:P,Database!$E:$E,$C244)),-0.00001)</f>
        <v>-1.0000000000000001E-5</v>
      </c>
      <c r="O244" s="185">
        <f>IFERROR(IF($C244="",-0.00001,SUMIFS(Database!Q:Q,Database!$E:$E,$C244)),-0.00001)</f>
        <v>-1.0000000000000001E-5</v>
      </c>
      <c r="P244" s="186">
        <f t="shared" si="9"/>
        <v>-1.0000000000000001E-5</v>
      </c>
      <c r="Q244" s="185">
        <f>IFERROR(IF($C244="",-0.00001,SUMIFS(Database!S:S,Database!$E:$E,$C244)),-0.00001)</f>
        <v>-1.0000000000000001E-5</v>
      </c>
      <c r="R244" s="185">
        <f>IFERROR(IF($C244="",-0.00001,SUMIFS(Database!T:T,Database!$E:$E,$C244)),-0.00001)</f>
        <v>-1.0000000000000001E-5</v>
      </c>
      <c r="S244" s="186">
        <f t="shared" si="10"/>
        <v>-1.0000000000000001E-5</v>
      </c>
      <c r="T244" s="185">
        <f>IFERROR(IF($C244="",-0.00001,SUMIFS(Database!V:V,Database!$E:$E,$C244)),-0.00001)</f>
        <v>-1.0000000000000001E-5</v>
      </c>
      <c r="U244" s="185">
        <f>IFERROR(IF($C244="",-0.00001,SUMIFS(Database!W:W,Database!$E:$E,$C244)),-0.00001)</f>
        <v>-1.0000000000000001E-5</v>
      </c>
      <c r="V244" s="186">
        <f t="shared" si="11"/>
        <v>-1.0000000000000001E-5</v>
      </c>
      <c r="W244" s="187"/>
      <c r="X244" s="187"/>
      <c r="Y244" s="187"/>
      <c r="Z244" s="187"/>
      <c r="AA244" s="187"/>
      <c r="AB244" s="187"/>
      <c r="AC244" s="187"/>
      <c r="AD244" s="187"/>
      <c r="AE244" s="187"/>
    </row>
    <row r="245" spans="1:31" x14ac:dyDescent="0.25">
      <c r="A245" s="187"/>
      <c r="B245" s="187" t="str">
        <f>IF($C245="","",MAX($B$4:$B244)+1)</f>
        <v/>
      </c>
      <c r="C245" s="183"/>
      <c r="D245" s="183" t="str">
        <f>IFERROR(VLOOKUP($C245,Rosters!$C$4:$M$239,INDEX(Lists!$N$5:$O$80,MATCH($C245,Lists!$N$5:$N$80,FALSE),2)),"")</f>
        <v/>
      </c>
      <c r="E245" s="185">
        <f>IF($C245="",-0.00001,COUNTIF(Database!E:E,$C245))</f>
        <v>-1.0000000000000001E-5</v>
      </c>
      <c r="F245" s="185">
        <f>IFERROR(IF($C245="",-0.00001,SUMIFS(Database!H:H,Database!$E:$E,$C245)),-0.00001)</f>
        <v>-1.0000000000000001E-5</v>
      </c>
      <c r="G245" s="185">
        <f>IFERROR(IF($C245="",-0.00001,SUMIFS(Database!I:I,Database!$E:$E,$C245)),-0.00001)</f>
        <v>-1.0000000000000001E-5</v>
      </c>
      <c r="H245" s="185">
        <f>IFERROR(IF($C245="",-0.00001,SUMIFS(Database!J:J,Database!$E:$E,$C245)),-0.00001)</f>
        <v>-1.0000000000000001E-5</v>
      </c>
      <c r="I245" s="185">
        <f>IFERROR(IF($C245="",-0.00001,SUMIFS(Database!K:K,Database!$E:$E,$C245)),-0.00001)</f>
        <v>-1.0000000000000001E-5</v>
      </c>
      <c r="J245" s="185">
        <f>IFERROR(IF($C245="",-0.00001,SUMIFS(Database!L:L,Database!$E:$E,$C245)),-0.00001)</f>
        <v>-1.0000000000000001E-5</v>
      </c>
      <c r="K245" s="185">
        <f>IFERROR(IF($C245="",-0.00001,SUMIFS(Database!M:M,Database!$E:$E,$C245)),-0.00001)</f>
        <v>-1.0000000000000001E-5</v>
      </c>
      <c r="L245" s="185">
        <f>IFERROR(IF($C245="",-0.00001,SUMIFS(Database!N:N,Database!$E:$E,$C245)),-0.00001)</f>
        <v>-1.0000000000000001E-5</v>
      </c>
      <c r="M245" s="185">
        <f>IFERROR(IF($C245="",-0.00001,SUMIFS(Database!O:O,Database!$E:$E,$C245)),-0.00001)</f>
        <v>-1.0000000000000001E-5</v>
      </c>
      <c r="N245" s="185">
        <f>IFERROR(IF($C245="",-0.00001,SUMIFS(Database!P:P,Database!$E:$E,$C245)),-0.00001)</f>
        <v>-1.0000000000000001E-5</v>
      </c>
      <c r="O245" s="185">
        <f>IFERROR(IF($C245="",-0.00001,SUMIFS(Database!Q:Q,Database!$E:$E,$C245)),-0.00001)</f>
        <v>-1.0000000000000001E-5</v>
      </c>
      <c r="P245" s="186">
        <f t="shared" si="9"/>
        <v>-1.0000000000000001E-5</v>
      </c>
      <c r="Q245" s="185">
        <f>IFERROR(IF($C245="",-0.00001,SUMIFS(Database!S:S,Database!$E:$E,$C245)),-0.00001)</f>
        <v>-1.0000000000000001E-5</v>
      </c>
      <c r="R245" s="185">
        <f>IFERROR(IF($C245="",-0.00001,SUMIFS(Database!T:T,Database!$E:$E,$C245)),-0.00001)</f>
        <v>-1.0000000000000001E-5</v>
      </c>
      <c r="S245" s="186">
        <f t="shared" si="10"/>
        <v>-1.0000000000000001E-5</v>
      </c>
      <c r="T245" s="185">
        <f>IFERROR(IF($C245="",-0.00001,SUMIFS(Database!V:V,Database!$E:$E,$C245)),-0.00001)</f>
        <v>-1.0000000000000001E-5</v>
      </c>
      <c r="U245" s="185">
        <f>IFERROR(IF($C245="",-0.00001,SUMIFS(Database!W:W,Database!$E:$E,$C245)),-0.00001)</f>
        <v>-1.0000000000000001E-5</v>
      </c>
      <c r="V245" s="186">
        <f t="shared" si="11"/>
        <v>-1.0000000000000001E-5</v>
      </c>
      <c r="W245" s="187"/>
      <c r="X245" s="187"/>
      <c r="Y245" s="187"/>
      <c r="Z245" s="187"/>
      <c r="AA245" s="187"/>
      <c r="AB245" s="187"/>
      <c r="AC245" s="187"/>
      <c r="AD245" s="187"/>
      <c r="AE245" s="187"/>
    </row>
    <row r="246" spans="1:31" x14ac:dyDescent="0.25">
      <c r="A246" s="187"/>
      <c r="B246" s="187" t="str">
        <f>IF($C246="","",MAX($B$4:$B245)+1)</f>
        <v/>
      </c>
      <c r="C246" s="183"/>
      <c r="D246" s="183" t="str">
        <f>IFERROR(VLOOKUP($C246,Rosters!$C$4:$M$239,INDEX(Lists!$N$5:$O$80,MATCH($C246,Lists!$N$5:$N$80,FALSE),2)),"")</f>
        <v/>
      </c>
      <c r="E246" s="185">
        <f>IF($C246="",-0.00001,COUNTIF(Database!E:E,$C246))</f>
        <v>-1.0000000000000001E-5</v>
      </c>
      <c r="F246" s="185">
        <f>IFERROR(IF($C246="",-0.00001,SUMIFS(Database!H:H,Database!$E:$E,$C246)),-0.00001)</f>
        <v>-1.0000000000000001E-5</v>
      </c>
      <c r="G246" s="185">
        <f>IFERROR(IF($C246="",-0.00001,SUMIFS(Database!I:I,Database!$E:$E,$C246)),-0.00001)</f>
        <v>-1.0000000000000001E-5</v>
      </c>
      <c r="H246" s="185">
        <f>IFERROR(IF($C246="",-0.00001,SUMIFS(Database!J:J,Database!$E:$E,$C246)),-0.00001)</f>
        <v>-1.0000000000000001E-5</v>
      </c>
      <c r="I246" s="185">
        <f>IFERROR(IF($C246="",-0.00001,SUMIFS(Database!K:K,Database!$E:$E,$C246)),-0.00001)</f>
        <v>-1.0000000000000001E-5</v>
      </c>
      <c r="J246" s="185">
        <f>IFERROR(IF($C246="",-0.00001,SUMIFS(Database!L:L,Database!$E:$E,$C246)),-0.00001)</f>
        <v>-1.0000000000000001E-5</v>
      </c>
      <c r="K246" s="185">
        <f>IFERROR(IF($C246="",-0.00001,SUMIFS(Database!M:M,Database!$E:$E,$C246)),-0.00001)</f>
        <v>-1.0000000000000001E-5</v>
      </c>
      <c r="L246" s="185">
        <f>IFERROR(IF($C246="",-0.00001,SUMIFS(Database!N:N,Database!$E:$E,$C246)),-0.00001)</f>
        <v>-1.0000000000000001E-5</v>
      </c>
      <c r="M246" s="185">
        <f>IFERROR(IF($C246="",-0.00001,SUMIFS(Database!O:O,Database!$E:$E,$C246)),-0.00001)</f>
        <v>-1.0000000000000001E-5</v>
      </c>
      <c r="N246" s="185">
        <f>IFERROR(IF($C246="",-0.00001,SUMIFS(Database!P:P,Database!$E:$E,$C246)),-0.00001)</f>
        <v>-1.0000000000000001E-5</v>
      </c>
      <c r="O246" s="185">
        <f>IFERROR(IF($C246="",-0.00001,SUMIFS(Database!Q:Q,Database!$E:$E,$C246)),-0.00001)</f>
        <v>-1.0000000000000001E-5</v>
      </c>
      <c r="P246" s="186">
        <f t="shared" si="9"/>
        <v>-1.0000000000000001E-5</v>
      </c>
      <c r="Q246" s="185">
        <f>IFERROR(IF($C246="",-0.00001,SUMIFS(Database!S:S,Database!$E:$E,$C246)),-0.00001)</f>
        <v>-1.0000000000000001E-5</v>
      </c>
      <c r="R246" s="185">
        <f>IFERROR(IF($C246="",-0.00001,SUMIFS(Database!T:T,Database!$E:$E,$C246)),-0.00001)</f>
        <v>-1.0000000000000001E-5</v>
      </c>
      <c r="S246" s="186">
        <f t="shared" si="10"/>
        <v>-1.0000000000000001E-5</v>
      </c>
      <c r="T246" s="185">
        <f>IFERROR(IF($C246="",-0.00001,SUMIFS(Database!V:V,Database!$E:$E,$C246)),-0.00001)</f>
        <v>-1.0000000000000001E-5</v>
      </c>
      <c r="U246" s="185">
        <f>IFERROR(IF($C246="",-0.00001,SUMIFS(Database!W:W,Database!$E:$E,$C246)),-0.00001)</f>
        <v>-1.0000000000000001E-5</v>
      </c>
      <c r="V246" s="186">
        <f t="shared" si="11"/>
        <v>-1.0000000000000001E-5</v>
      </c>
      <c r="W246" s="187"/>
      <c r="X246" s="187"/>
      <c r="Y246" s="187"/>
      <c r="Z246" s="187"/>
      <c r="AA246" s="187"/>
      <c r="AB246" s="187"/>
      <c r="AC246" s="187"/>
      <c r="AD246" s="187"/>
      <c r="AE246" s="187"/>
    </row>
    <row r="247" spans="1:31" x14ac:dyDescent="0.25">
      <c r="A247" s="187"/>
      <c r="B247" s="187" t="str">
        <f>IF($C247="","",MAX($B$4:$B246)+1)</f>
        <v/>
      </c>
      <c r="C247" s="183"/>
      <c r="D247" s="183" t="str">
        <f>IFERROR(VLOOKUP($C247,Rosters!$C$4:$M$239,INDEX(Lists!$N$5:$O$80,MATCH($C247,Lists!$N$5:$N$80,FALSE),2)),"")</f>
        <v/>
      </c>
      <c r="E247" s="185">
        <f>IF($C247="",-0.00001,COUNTIF(Database!E:E,$C247))</f>
        <v>-1.0000000000000001E-5</v>
      </c>
      <c r="F247" s="185">
        <f>IFERROR(IF($C247="",-0.00001,SUMIFS(Database!H:H,Database!$E:$E,$C247)),-0.00001)</f>
        <v>-1.0000000000000001E-5</v>
      </c>
      <c r="G247" s="185">
        <f>IFERROR(IF($C247="",-0.00001,SUMIFS(Database!I:I,Database!$E:$E,$C247)),-0.00001)</f>
        <v>-1.0000000000000001E-5</v>
      </c>
      <c r="H247" s="185">
        <f>IFERROR(IF($C247="",-0.00001,SUMIFS(Database!J:J,Database!$E:$E,$C247)),-0.00001)</f>
        <v>-1.0000000000000001E-5</v>
      </c>
      <c r="I247" s="185">
        <f>IFERROR(IF($C247="",-0.00001,SUMIFS(Database!K:K,Database!$E:$E,$C247)),-0.00001)</f>
        <v>-1.0000000000000001E-5</v>
      </c>
      <c r="J247" s="185">
        <f>IFERROR(IF($C247="",-0.00001,SUMIFS(Database!L:L,Database!$E:$E,$C247)),-0.00001)</f>
        <v>-1.0000000000000001E-5</v>
      </c>
      <c r="K247" s="185">
        <f>IFERROR(IF($C247="",-0.00001,SUMIFS(Database!M:M,Database!$E:$E,$C247)),-0.00001)</f>
        <v>-1.0000000000000001E-5</v>
      </c>
      <c r="L247" s="185">
        <f>IFERROR(IF($C247="",-0.00001,SUMIFS(Database!N:N,Database!$E:$E,$C247)),-0.00001)</f>
        <v>-1.0000000000000001E-5</v>
      </c>
      <c r="M247" s="185">
        <f>IFERROR(IF($C247="",-0.00001,SUMIFS(Database!O:O,Database!$E:$E,$C247)),-0.00001)</f>
        <v>-1.0000000000000001E-5</v>
      </c>
      <c r="N247" s="185">
        <f>IFERROR(IF($C247="",-0.00001,SUMIFS(Database!P:P,Database!$E:$E,$C247)),-0.00001)</f>
        <v>-1.0000000000000001E-5</v>
      </c>
      <c r="O247" s="185">
        <f>IFERROR(IF($C247="",-0.00001,SUMIFS(Database!Q:Q,Database!$E:$E,$C247)),-0.00001)</f>
        <v>-1.0000000000000001E-5</v>
      </c>
      <c r="P247" s="186">
        <f t="shared" si="9"/>
        <v>-1.0000000000000001E-5</v>
      </c>
      <c r="Q247" s="185">
        <f>IFERROR(IF($C247="",-0.00001,SUMIFS(Database!S:S,Database!$E:$E,$C247)),-0.00001)</f>
        <v>-1.0000000000000001E-5</v>
      </c>
      <c r="R247" s="185">
        <f>IFERROR(IF($C247="",-0.00001,SUMIFS(Database!T:T,Database!$E:$E,$C247)),-0.00001)</f>
        <v>-1.0000000000000001E-5</v>
      </c>
      <c r="S247" s="186">
        <f t="shared" si="10"/>
        <v>-1.0000000000000001E-5</v>
      </c>
      <c r="T247" s="185">
        <f>IFERROR(IF($C247="",-0.00001,SUMIFS(Database!V:V,Database!$E:$E,$C247)),-0.00001)</f>
        <v>-1.0000000000000001E-5</v>
      </c>
      <c r="U247" s="185">
        <f>IFERROR(IF($C247="",-0.00001,SUMIFS(Database!W:W,Database!$E:$E,$C247)),-0.00001)</f>
        <v>-1.0000000000000001E-5</v>
      </c>
      <c r="V247" s="186">
        <f t="shared" si="11"/>
        <v>-1.0000000000000001E-5</v>
      </c>
      <c r="W247" s="187"/>
      <c r="X247" s="187"/>
      <c r="Y247" s="187"/>
      <c r="Z247" s="187"/>
      <c r="AA247" s="187"/>
      <c r="AB247" s="187"/>
      <c r="AC247" s="187"/>
      <c r="AD247" s="187"/>
      <c r="AE247" s="187"/>
    </row>
    <row r="248" spans="1:31" x14ac:dyDescent="0.25">
      <c r="A248" s="187"/>
      <c r="B248" s="187" t="str">
        <f>IF($C248="","",MAX($B$4:$B247)+1)</f>
        <v/>
      </c>
      <c r="C248" s="183"/>
      <c r="D248" s="183" t="str">
        <f>IFERROR(VLOOKUP($C248,Rosters!$C$4:$M$239,INDEX(Lists!$N$5:$O$80,MATCH($C248,Lists!$N$5:$N$80,FALSE),2)),"")</f>
        <v/>
      </c>
      <c r="E248" s="185">
        <f>IF($C248="",-0.00001,COUNTIF(Database!E:E,$C248))</f>
        <v>-1.0000000000000001E-5</v>
      </c>
      <c r="F248" s="185">
        <f>IFERROR(IF($C248="",-0.00001,SUMIFS(Database!H:H,Database!$E:$E,$C248)),-0.00001)</f>
        <v>-1.0000000000000001E-5</v>
      </c>
      <c r="G248" s="185">
        <f>IFERROR(IF($C248="",-0.00001,SUMIFS(Database!I:I,Database!$E:$E,$C248)),-0.00001)</f>
        <v>-1.0000000000000001E-5</v>
      </c>
      <c r="H248" s="185">
        <f>IFERROR(IF($C248="",-0.00001,SUMIFS(Database!J:J,Database!$E:$E,$C248)),-0.00001)</f>
        <v>-1.0000000000000001E-5</v>
      </c>
      <c r="I248" s="185">
        <f>IFERROR(IF($C248="",-0.00001,SUMIFS(Database!K:K,Database!$E:$E,$C248)),-0.00001)</f>
        <v>-1.0000000000000001E-5</v>
      </c>
      <c r="J248" s="185">
        <f>IFERROR(IF($C248="",-0.00001,SUMIFS(Database!L:L,Database!$E:$E,$C248)),-0.00001)</f>
        <v>-1.0000000000000001E-5</v>
      </c>
      <c r="K248" s="185">
        <f>IFERROR(IF($C248="",-0.00001,SUMIFS(Database!M:M,Database!$E:$E,$C248)),-0.00001)</f>
        <v>-1.0000000000000001E-5</v>
      </c>
      <c r="L248" s="185">
        <f>IFERROR(IF($C248="",-0.00001,SUMIFS(Database!N:N,Database!$E:$E,$C248)),-0.00001)</f>
        <v>-1.0000000000000001E-5</v>
      </c>
      <c r="M248" s="185">
        <f>IFERROR(IF($C248="",-0.00001,SUMIFS(Database!O:O,Database!$E:$E,$C248)),-0.00001)</f>
        <v>-1.0000000000000001E-5</v>
      </c>
      <c r="N248" s="185">
        <f>IFERROR(IF($C248="",-0.00001,SUMIFS(Database!P:P,Database!$E:$E,$C248)),-0.00001)</f>
        <v>-1.0000000000000001E-5</v>
      </c>
      <c r="O248" s="185">
        <f>IFERROR(IF($C248="",-0.00001,SUMIFS(Database!Q:Q,Database!$E:$E,$C248)),-0.00001)</f>
        <v>-1.0000000000000001E-5</v>
      </c>
      <c r="P248" s="186">
        <f t="shared" si="9"/>
        <v>-1.0000000000000001E-5</v>
      </c>
      <c r="Q248" s="185">
        <f>IFERROR(IF($C248="",-0.00001,SUMIFS(Database!S:S,Database!$E:$E,$C248)),-0.00001)</f>
        <v>-1.0000000000000001E-5</v>
      </c>
      <c r="R248" s="185">
        <f>IFERROR(IF($C248="",-0.00001,SUMIFS(Database!T:T,Database!$E:$E,$C248)),-0.00001)</f>
        <v>-1.0000000000000001E-5</v>
      </c>
      <c r="S248" s="186">
        <f t="shared" si="10"/>
        <v>-1.0000000000000001E-5</v>
      </c>
      <c r="T248" s="185">
        <f>IFERROR(IF($C248="",-0.00001,SUMIFS(Database!V:V,Database!$E:$E,$C248)),-0.00001)</f>
        <v>-1.0000000000000001E-5</v>
      </c>
      <c r="U248" s="185">
        <f>IFERROR(IF($C248="",-0.00001,SUMIFS(Database!W:W,Database!$E:$E,$C248)),-0.00001)</f>
        <v>-1.0000000000000001E-5</v>
      </c>
      <c r="V248" s="186">
        <f t="shared" si="11"/>
        <v>-1.0000000000000001E-5</v>
      </c>
      <c r="W248" s="187"/>
      <c r="X248" s="187"/>
      <c r="Y248" s="187"/>
      <c r="Z248" s="187"/>
      <c r="AA248" s="187"/>
      <c r="AB248" s="187"/>
      <c r="AC248" s="187"/>
      <c r="AD248" s="187"/>
      <c r="AE248" s="187"/>
    </row>
    <row r="249" spans="1:31" x14ac:dyDescent="0.25">
      <c r="A249" s="187"/>
      <c r="B249" s="187" t="str">
        <f>IF($C249="","",MAX($B$4:$B248)+1)</f>
        <v/>
      </c>
      <c r="C249" s="183"/>
      <c r="D249" s="183" t="str">
        <f>IFERROR(VLOOKUP($C249,Rosters!$C$4:$M$239,INDEX(Lists!$N$5:$O$80,MATCH($C249,Lists!$N$5:$N$80,FALSE),2)),"")</f>
        <v/>
      </c>
      <c r="E249" s="185">
        <f>IF($C249="",-0.00001,COUNTIF(Database!E:E,$C249))</f>
        <v>-1.0000000000000001E-5</v>
      </c>
      <c r="F249" s="185">
        <f>IFERROR(IF($C249="",-0.00001,SUMIFS(Database!H:H,Database!$E:$E,$C249)),-0.00001)</f>
        <v>-1.0000000000000001E-5</v>
      </c>
      <c r="G249" s="185">
        <f>IFERROR(IF($C249="",-0.00001,SUMIFS(Database!I:I,Database!$E:$E,$C249)),-0.00001)</f>
        <v>-1.0000000000000001E-5</v>
      </c>
      <c r="H249" s="185">
        <f>IFERROR(IF($C249="",-0.00001,SUMIFS(Database!J:J,Database!$E:$E,$C249)),-0.00001)</f>
        <v>-1.0000000000000001E-5</v>
      </c>
      <c r="I249" s="185">
        <f>IFERROR(IF($C249="",-0.00001,SUMIFS(Database!K:K,Database!$E:$E,$C249)),-0.00001)</f>
        <v>-1.0000000000000001E-5</v>
      </c>
      <c r="J249" s="185">
        <f>IFERROR(IF($C249="",-0.00001,SUMIFS(Database!L:L,Database!$E:$E,$C249)),-0.00001)</f>
        <v>-1.0000000000000001E-5</v>
      </c>
      <c r="K249" s="185">
        <f>IFERROR(IF($C249="",-0.00001,SUMIFS(Database!M:M,Database!$E:$E,$C249)),-0.00001)</f>
        <v>-1.0000000000000001E-5</v>
      </c>
      <c r="L249" s="185">
        <f>IFERROR(IF($C249="",-0.00001,SUMIFS(Database!N:N,Database!$E:$E,$C249)),-0.00001)</f>
        <v>-1.0000000000000001E-5</v>
      </c>
      <c r="M249" s="185">
        <f>IFERROR(IF($C249="",-0.00001,SUMIFS(Database!O:O,Database!$E:$E,$C249)),-0.00001)</f>
        <v>-1.0000000000000001E-5</v>
      </c>
      <c r="N249" s="185">
        <f>IFERROR(IF($C249="",-0.00001,SUMIFS(Database!P:P,Database!$E:$E,$C249)),-0.00001)</f>
        <v>-1.0000000000000001E-5</v>
      </c>
      <c r="O249" s="185">
        <f>IFERROR(IF($C249="",-0.00001,SUMIFS(Database!Q:Q,Database!$E:$E,$C249)),-0.00001)</f>
        <v>-1.0000000000000001E-5</v>
      </c>
      <c r="P249" s="186">
        <f t="shared" si="9"/>
        <v>-1.0000000000000001E-5</v>
      </c>
      <c r="Q249" s="185">
        <f>IFERROR(IF($C249="",-0.00001,SUMIFS(Database!S:S,Database!$E:$E,$C249)),-0.00001)</f>
        <v>-1.0000000000000001E-5</v>
      </c>
      <c r="R249" s="185">
        <f>IFERROR(IF($C249="",-0.00001,SUMIFS(Database!T:T,Database!$E:$E,$C249)),-0.00001)</f>
        <v>-1.0000000000000001E-5</v>
      </c>
      <c r="S249" s="186">
        <f t="shared" si="10"/>
        <v>-1.0000000000000001E-5</v>
      </c>
      <c r="T249" s="185">
        <f>IFERROR(IF($C249="",-0.00001,SUMIFS(Database!V:V,Database!$E:$E,$C249)),-0.00001)</f>
        <v>-1.0000000000000001E-5</v>
      </c>
      <c r="U249" s="185">
        <f>IFERROR(IF($C249="",-0.00001,SUMIFS(Database!W:W,Database!$E:$E,$C249)),-0.00001)</f>
        <v>-1.0000000000000001E-5</v>
      </c>
      <c r="V249" s="186">
        <f t="shared" si="11"/>
        <v>-1.0000000000000001E-5</v>
      </c>
      <c r="W249" s="187"/>
      <c r="X249" s="187"/>
      <c r="Y249" s="187"/>
      <c r="Z249" s="187"/>
      <c r="AA249" s="187"/>
      <c r="AB249" s="187"/>
      <c r="AC249" s="187"/>
      <c r="AD249" s="187"/>
      <c r="AE249" s="187"/>
    </row>
    <row r="250" spans="1:31" x14ac:dyDescent="0.25">
      <c r="A250" s="187"/>
      <c r="B250" s="187"/>
      <c r="C250" s="183"/>
      <c r="D250" s="187"/>
      <c r="E250" s="187"/>
      <c r="F250" s="187"/>
      <c r="G250" s="187"/>
      <c r="H250" s="187"/>
      <c r="I250" s="187"/>
      <c r="J250" s="187"/>
      <c r="K250" s="187"/>
      <c r="L250" s="187"/>
      <c r="M250" s="187"/>
      <c r="N250" s="187"/>
      <c r="O250" s="187"/>
      <c r="P250" s="187"/>
      <c r="Q250" s="187"/>
      <c r="R250" s="187"/>
      <c r="S250" s="187"/>
      <c r="T250" s="187"/>
      <c r="U250" s="187"/>
      <c r="V250" s="187"/>
      <c r="W250" s="187"/>
      <c r="X250" s="187"/>
      <c r="Y250" s="187"/>
      <c r="Z250" s="187"/>
      <c r="AA250" s="187"/>
      <c r="AB250" s="187"/>
      <c r="AC250" s="187"/>
      <c r="AD250" s="187"/>
      <c r="AE250" s="187"/>
    </row>
    <row r="251" spans="1:31" x14ac:dyDescent="0.25">
      <c r="A251" s="187"/>
      <c r="B251" s="187"/>
      <c r="C251" s="187"/>
      <c r="D251" s="187"/>
      <c r="E251" s="187"/>
      <c r="F251" s="187"/>
      <c r="G251" s="187"/>
      <c r="H251" s="187"/>
      <c r="I251" s="187"/>
      <c r="J251" s="187"/>
      <c r="K251" s="187"/>
      <c r="L251" s="187"/>
      <c r="M251" s="187"/>
      <c r="N251" s="187"/>
      <c r="O251" s="187"/>
      <c r="P251" s="187"/>
      <c r="Q251" s="187"/>
      <c r="R251" s="187"/>
      <c r="S251" s="187"/>
      <c r="T251" s="187"/>
      <c r="U251" s="187"/>
      <c r="V251" s="187"/>
      <c r="W251" s="187"/>
      <c r="X251" s="187"/>
      <c r="Y251" s="187"/>
      <c r="Z251" s="187"/>
      <c r="AA251" s="187"/>
      <c r="AB251" s="187"/>
      <c r="AC251" s="187"/>
      <c r="AD251" s="187"/>
      <c r="AE251" s="187"/>
    </row>
    <row r="252" spans="1:31" x14ac:dyDescent="0.25">
      <c r="G252"/>
      <c r="H252"/>
    </row>
    <row r="253" spans="1:31" x14ac:dyDescent="0.25">
      <c r="G253"/>
      <c r="H253"/>
    </row>
  </sheetData>
  <sheetProtection algorithmName="SHA-512" hashValue="YPi85KTWjPMS1qvWL3XzLvnUAA+XnlEL6864+6oyaKrrwlC+JvQk/pgWEZ0QFiYZggOqYPOc/IUWbxxAOK9oTQ==" saltValue="vhtHMqi9iwp98Qy9gLPgtA==" spinCount="100000" sheet="1" objects="1" scenarios="1" selectLockedCells="1"/>
  <mergeCells count="1">
    <mergeCell ref="C1:D1"/>
  </mergeCells>
  <conditionalFormatting sqref="E4:V249">
    <cfRule type="cellIs" dxfId="20" priority="4" operator="equal">
      <formula>-0.00001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CF7F7-1410-41E5-837D-02FDE70913F0}">
  <sheetPr codeName="Sheet20">
    <tabColor rgb="FF00B0F0"/>
  </sheetPr>
  <dimension ref="A1:AE254"/>
  <sheetViews>
    <sheetView showGridLines="0" showRowColHeaders="0" zoomScaleNormal="100" workbookViewId="0">
      <pane xSplit="4" ySplit="3" topLeftCell="E4" activePane="bottomRight" state="frozen"/>
      <selection activeCell="D4" sqref="D4"/>
      <selection pane="topRight" activeCell="D4" sqref="D4"/>
      <selection pane="bottomLeft" activeCell="D4" sqref="D4"/>
      <selection pane="bottomRight"/>
    </sheetView>
  </sheetViews>
  <sheetFormatPr defaultColWidth="8.85546875" defaultRowHeight="15" x14ac:dyDescent="0.25"/>
  <cols>
    <col min="1" max="2" width="2.85546875" customWidth="1"/>
    <col min="3" max="3" width="18.7109375" bestFit="1" customWidth="1"/>
    <col min="4" max="4" width="19.42578125" bestFit="1" customWidth="1"/>
    <col min="5" max="15" width="7.85546875" style="1" customWidth="1"/>
    <col min="16" max="16" width="7.85546875" style="105" customWidth="1"/>
    <col min="17" max="18" width="7.85546875" style="236" customWidth="1"/>
    <col min="19" max="19" width="7.85546875" style="105" customWidth="1"/>
    <col min="20" max="21" width="7.85546875" style="236" customWidth="1"/>
    <col min="22" max="22" width="7.85546875" style="105" customWidth="1"/>
  </cols>
  <sheetData>
    <row r="1" spans="1:31" ht="60" customHeight="1" x14ac:dyDescent="0.4">
      <c r="A1" s="187"/>
      <c r="B1" s="187"/>
      <c r="C1" s="437" t="s">
        <v>228</v>
      </c>
      <c r="D1" s="437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90"/>
      <c r="Q1" s="234"/>
      <c r="R1" s="234"/>
      <c r="S1" s="190"/>
      <c r="T1" s="234"/>
      <c r="U1" s="234"/>
      <c r="V1" s="190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 x14ac:dyDescent="0.25">
      <c r="A2" s="187"/>
      <c r="B2" s="187"/>
      <c r="C2" s="187"/>
      <c r="D2" s="187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90"/>
      <c r="Q2" s="234"/>
      <c r="R2" s="234"/>
      <c r="S2" s="190"/>
      <c r="T2" s="234"/>
      <c r="U2" s="234"/>
      <c r="V2" s="190"/>
      <c r="W2" s="187"/>
      <c r="X2" s="187"/>
      <c r="Y2" s="187"/>
      <c r="Z2" s="187"/>
      <c r="AA2" s="187"/>
      <c r="AB2" s="187"/>
      <c r="AC2" s="187"/>
      <c r="AD2" s="187"/>
      <c r="AE2" s="187"/>
    </row>
    <row r="3" spans="1:31" s="178" customFormat="1" ht="32.25" thickBot="1" x14ac:dyDescent="0.3">
      <c r="A3" s="188"/>
      <c r="B3" s="188"/>
      <c r="C3" s="179" t="s">
        <v>0</v>
      </c>
      <c r="D3" s="180" t="s">
        <v>70</v>
      </c>
      <c r="E3" s="180" t="s">
        <v>71</v>
      </c>
      <c r="F3" s="180" t="s">
        <v>72</v>
      </c>
      <c r="G3" s="180" t="s">
        <v>73</v>
      </c>
      <c r="H3" s="180" t="s">
        <v>74</v>
      </c>
      <c r="I3" s="180" t="s">
        <v>75</v>
      </c>
      <c r="J3" s="180" t="s">
        <v>76</v>
      </c>
      <c r="K3" s="180" t="s">
        <v>77</v>
      </c>
      <c r="L3" s="180" t="s">
        <v>78</v>
      </c>
      <c r="M3" s="180" t="s">
        <v>79</v>
      </c>
      <c r="N3" s="180" t="s">
        <v>80</v>
      </c>
      <c r="O3" s="180" t="s">
        <v>124</v>
      </c>
      <c r="P3" s="181" t="s">
        <v>82</v>
      </c>
      <c r="Q3" s="235" t="s">
        <v>125</v>
      </c>
      <c r="R3" s="235" t="s">
        <v>126</v>
      </c>
      <c r="S3" s="181" t="s">
        <v>85</v>
      </c>
      <c r="T3" s="235" t="s">
        <v>127</v>
      </c>
      <c r="U3" s="235" t="s">
        <v>128</v>
      </c>
      <c r="V3" s="182" t="s">
        <v>88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7"/>
      <c r="B4" s="187">
        <v>1</v>
      </c>
      <c r="C4" s="183" t="s">
        <v>8</v>
      </c>
      <c r="D4" s="184" t="str">
        <f>IFERROR(VLOOKUP($C4,Rosters!$C$4:$M$239,INDEX(Lists!$N$5:$O$80,MATCH($C4,Lists!$N$5:$N$80,FALSE),2)),"")</f>
        <v>Wombats</v>
      </c>
      <c r="E4" s="185">
        <f>IF($C4="",-0.00001,COUNTIF(Database!E:E,$C4))</f>
        <v>4</v>
      </c>
      <c r="F4" s="194">
        <f>IFERROR(IF($C4="",-0.00001,SUMIFS(Database!H:H,Database!$E:$E,$C4)/$E4),-0.00001)</f>
        <v>23.75</v>
      </c>
      <c r="G4" s="194">
        <f>IFERROR(IF($C4="",-0.00001,SUMIFS(Database!I:I,Database!$E:$E,$C4)/$E4),-0.00001)</f>
        <v>5.5</v>
      </c>
      <c r="H4" s="194">
        <f>IFERROR(IF($C4="",-0.00001,SUMIFS(Database!J:J,Database!$E:$E,$C4)/$E4),-0.00001)</f>
        <v>3.5</v>
      </c>
      <c r="I4" s="194">
        <f>IFERROR(IF($C4="",-0.00001,SUMIFS(Database!K:K,Database!$E:$E,$C4)/$E4),-0.00001)</f>
        <v>0.5</v>
      </c>
      <c r="J4" s="194">
        <f>IFERROR(IF($C4="",-0.00001,SUMIFS(Database!L:L,Database!$E:$E,$C4)/$E4),-0.00001)</f>
        <v>0</v>
      </c>
      <c r="K4" s="194">
        <f>IFERROR(IF($C4="",-0.00001,SUMIFS(Database!M:M,Database!$E:$E,$C4)/$E4),-0.00001)</f>
        <v>3.75</v>
      </c>
      <c r="L4" s="194">
        <f>IFERROR(IF($C4="",-0.00001,SUMIFS(Database!N:N,Database!$E:$E,$C4)/$E4),-0.00001)</f>
        <v>2.5</v>
      </c>
      <c r="M4" s="194">
        <f>IFERROR(IF($C4="",-0.00001,SUMIFS(Database!O:O,Database!$E:$E,$C4)/$E4),-0.00001)</f>
        <v>3</v>
      </c>
      <c r="N4" s="194">
        <f>IFERROR(IF($C4="",-0.00001,SUMIFS(Database!P:P,Database!$E:$E,$C4)/$E4),-0.00001)</f>
        <v>3</v>
      </c>
      <c r="O4" s="194">
        <f>IFERROR(IF($C4="",-0.00001,SUMIFS(Database!Q:Q,Database!$E:$E,$C4)/$E4),-0.00001)</f>
        <v>9.75</v>
      </c>
      <c r="P4" s="186">
        <f t="shared" ref="P4:P67" si="0">IFERROR(IF($C4="",-0.00001,$N4/$O4),-0.00001)</f>
        <v>0.30769230769230771</v>
      </c>
      <c r="Q4" s="194">
        <f>IFERROR(IF($C4="",-0.00001,SUMIFS(Database!S:S,Database!$E:$E,$C4)/$E4),-0.00001)</f>
        <v>9</v>
      </c>
      <c r="R4" s="194">
        <f>IFERROR(IF($C4="",-0.00001,SUMIFS(Database!T:T,Database!$E:$E,$C4)/$E4),-0.00001)</f>
        <v>23.75</v>
      </c>
      <c r="S4" s="186">
        <f t="shared" ref="S4:S67" si="1">IFERROR(IF($C4="",-0.00001,$Q4/$R4),-0.00001)</f>
        <v>0.37894736842105264</v>
      </c>
      <c r="T4" s="194">
        <f>IFERROR(IF($C4="",-0.00001,SUMIFS(Database!V:V,Database!$E:$E,$C4)/$E4),-0.00001)</f>
        <v>2.75</v>
      </c>
      <c r="U4" s="194">
        <f>IFERROR(IF($C4="",-0.00001,SUMIFS(Database!W:W,Database!$E:$E,$C4)/$E4),-0.00001)</f>
        <v>5.25</v>
      </c>
      <c r="V4" s="186">
        <f t="shared" ref="V4:V67" si="2">IFERROR(IF($C4="",-0.00001,$T4/$U4),-0.00001)</f>
        <v>0.52380952380952384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187"/>
      <c r="B5" s="187">
        <f>IF($C5="","",MAX($B$4:$B4)+1)</f>
        <v>2</v>
      </c>
      <c r="C5" s="183" t="s">
        <v>1</v>
      </c>
      <c r="D5" s="183" t="str">
        <f>IFERROR(VLOOKUP($C5,Rosters!$C$4:$M$239,INDEX(Lists!$N$5:$O$80,MATCH($C5,Lists!$N$5:$N$80,FALSE),2)),"")</f>
        <v>Mustangs</v>
      </c>
      <c r="E5" s="185">
        <f>IF($C5="",-0.00001,COUNTIF(Database!E:E,$C5))</f>
        <v>11</v>
      </c>
      <c r="F5" s="194">
        <f>IFERROR(IF($C5="",-0.00001,SUMIFS(Database!H:H,Database!$E:$E,$C5)/$E5),-0.00001)</f>
        <v>21.90909090909091</v>
      </c>
      <c r="G5" s="194">
        <f>IFERROR(IF($C5="",-0.00001,SUMIFS(Database!I:I,Database!$E:$E,$C5)/$E5),-0.00001)</f>
        <v>13</v>
      </c>
      <c r="H5" s="194">
        <f>IFERROR(IF($C5="",-0.00001,SUMIFS(Database!J:J,Database!$E:$E,$C5)/$E5),-0.00001)</f>
        <v>4.5454545454545459</v>
      </c>
      <c r="I5" s="194">
        <f>IFERROR(IF($C5="",-0.00001,SUMIFS(Database!K:K,Database!$E:$E,$C5)/$E5),-0.00001)</f>
        <v>1.9090909090909092</v>
      </c>
      <c r="J5" s="194">
        <f>IFERROR(IF($C5="",-0.00001,SUMIFS(Database!L:L,Database!$E:$E,$C5)/$E5),-0.00001)</f>
        <v>0.45454545454545453</v>
      </c>
      <c r="K5" s="194">
        <f>IFERROR(IF($C5="",-0.00001,SUMIFS(Database!M:M,Database!$E:$E,$C5)/$E5),-0.00001)</f>
        <v>5.5454545454545459</v>
      </c>
      <c r="L5" s="194">
        <f>IFERROR(IF($C5="",-0.00001,SUMIFS(Database!N:N,Database!$E:$E,$C5)/$E5),-0.00001)</f>
        <v>3.3636363636363638</v>
      </c>
      <c r="M5" s="194">
        <f>IFERROR(IF($C5="",-0.00001,SUMIFS(Database!O:O,Database!$E:$E,$C5)/$E5),-0.00001)</f>
        <v>8.0909090909090917</v>
      </c>
      <c r="N5" s="194">
        <f>IFERROR(IF($C5="",-0.00001,SUMIFS(Database!P:P,Database!$E:$E,$C5)/$E5),-0.00001)</f>
        <v>2.5454545454545454</v>
      </c>
      <c r="O5" s="194">
        <f>IFERROR(IF($C5="",-0.00001,SUMIFS(Database!Q:Q,Database!$E:$E,$C5)/$E5),-0.00001)</f>
        <v>8.1818181818181817</v>
      </c>
      <c r="P5" s="186">
        <f t="shared" si="0"/>
        <v>0.31111111111111112</v>
      </c>
      <c r="Q5" s="194">
        <f>IFERROR(IF($C5="",-0.00001,SUMIFS(Database!S:S,Database!$E:$E,$C5)/$E5),-0.00001)</f>
        <v>8.545454545454545</v>
      </c>
      <c r="R5" s="194">
        <f>IFERROR(IF($C5="",-0.00001,SUMIFS(Database!T:T,Database!$E:$E,$C5)/$E5),-0.00001)</f>
        <v>21.727272727272727</v>
      </c>
      <c r="S5" s="186">
        <f t="shared" si="1"/>
        <v>0.3933054393305439</v>
      </c>
      <c r="T5" s="194">
        <f>IFERROR(IF($C5="",-0.00001,SUMIFS(Database!V:V,Database!$E:$E,$C5)/$E5),-0.00001)</f>
        <v>2.1818181818181817</v>
      </c>
      <c r="U5" s="194">
        <f>IFERROR(IF($C5="",-0.00001,SUMIFS(Database!W:W,Database!$E:$E,$C5)/$E5),-0.00001)</f>
        <v>3.1818181818181817</v>
      </c>
      <c r="V5" s="186">
        <f t="shared" si="2"/>
        <v>0.68571428571428572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187"/>
      <c r="B6" s="187">
        <f>IF($C6="","",MAX($B$4:$B5)+1)</f>
        <v>3</v>
      </c>
      <c r="C6" s="183" t="s">
        <v>2</v>
      </c>
      <c r="D6" s="183" t="str">
        <f>IFERROR(VLOOKUP($C6,Rosters!$C$4:$M$239,INDEX(Lists!$N$5:$O$80,MATCH($C6,Lists!$N$5:$N$80,FALSE),2)),"")</f>
        <v>Mustangs</v>
      </c>
      <c r="E6" s="185">
        <f>IF($C6="",-0.00001,COUNTIF(Database!E:E,$C6))</f>
        <v>11</v>
      </c>
      <c r="F6" s="194">
        <f>IFERROR(IF($C6="",-0.00001,SUMIFS(Database!H:H,Database!$E:$E,$C6)/$E6),-0.00001)</f>
        <v>21</v>
      </c>
      <c r="G6" s="194">
        <f>IFERROR(IF($C6="",-0.00001,SUMIFS(Database!I:I,Database!$E:$E,$C6)/$E6),-0.00001)</f>
        <v>5.6363636363636367</v>
      </c>
      <c r="H6" s="194">
        <f>IFERROR(IF($C6="",-0.00001,SUMIFS(Database!J:J,Database!$E:$E,$C6)/$E6),-0.00001)</f>
        <v>2.3636363636363638</v>
      </c>
      <c r="I6" s="194">
        <f>IFERROR(IF($C6="",-0.00001,SUMIFS(Database!K:K,Database!$E:$E,$C6)/$E6),-0.00001)</f>
        <v>2.6363636363636362</v>
      </c>
      <c r="J6" s="194">
        <f>IFERROR(IF($C6="",-0.00001,SUMIFS(Database!L:L,Database!$E:$E,$C6)/$E6),-0.00001)</f>
        <v>0.18181818181818182</v>
      </c>
      <c r="K6" s="194">
        <f>IFERROR(IF($C6="",-0.00001,SUMIFS(Database!M:M,Database!$E:$E,$C6)/$E6),-0.00001)</f>
        <v>2.5454545454545454</v>
      </c>
      <c r="L6" s="194">
        <f>IFERROR(IF($C6="",-0.00001,SUMIFS(Database!N:N,Database!$E:$E,$C6)/$E6),-0.00001)</f>
        <v>1.3636363636363635</v>
      </c>
      <c r="M6" s="194">
        <f>IFERROR(IF($C6="",-0.00001,SUMIFS(Database!O:O,Database!$E:$E,$C6)/$E6),-0.00001)</f>
        <v>4</v>
      </c>
      <c r="N6" s="194">
        <f>IFERROR(IF($C6="",-0.00001,SUMIFS(Database!P:P,Database!$E:$E,$C6)/$E6),-0.00001)</f>
        <v>3.4545454545454546</v>
      </c>
      <c r="O6" s="194">
        <f>IFERROR(IF($C6="",-0.00001,SUMIFS(Database!Q:Q,Database!$E:$E,$C6)/$E6),-0.00001)</f>
        <v>8.454545454545455</v>
      </c>
      <c r="P6" s="186">
        <f t="shared" si="0"/>
        <v>0.40860215053763438</v>
      </c>
      <c r="Q6" s="194">
        <f>IFERROR(IF($C6="",-0.00001,SUMIFS(Database!S:S,Database!$E:$E,$C6)/$E6),-0.00001)</f>
        <v>8</v>
      </c>
      <c r="R6" s="194">
        <f>IFERROR(IF($C6="",-0.00001,SUMIFS(Database!T:T,Database!$E:$E,$C6)/$E6),-0.00001)</f>
        <v>16.545454545454547</v>
      </c>
      <c r="S6" s="186">
        <f t="shared" si="1"/>
        <v>0.48351648351648346</v>
      </c>
      <c r="T6" s="194">
        <f>IFERROR(IF($C6="",-0.00001,SUMIFS(Database!V:V,Database!$E:$E,$C6)/$E6),-0.00001)</f>
        <v>1.5454545454545454</v>
      </c>
      <c r="U6" s="194">
        <f>IFERROR(IF($C6="",-0.00001,SUMIFS(Database!W:W,Database!$E:$E,$C6)/$E6),-0.00001)</f>
        <v>2.2727272727272729</v>
      </c>
      <c r="V6" s="186">
        <f t="shared" si="2"/>
        <v>0.67999999999999994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187"/>
      <c r="B7" s="187">
        <f>IF($C7="","",MAX($B$4:$B6)+1)</f>
        <v>4</v>
      </c>
      <c r="C7" s="183" t="s">
        <v>26</v>
      </c>
      <c r="D7" s="183" t="str">
        <f>IFERROR(VLOOKUP($C7,Rosters!$C$4:$M$239,INDEX(Lists!$N$5:$O$80,MATCH($C7,Lists!$N$5:$N$80,FALSE),2)),"")</f>
        <v>Hoopers</v>
      </c>
      <c r="E7" s="185">
        <f>IF($C7="",-0.00001,COUNTIF(Database!E:E,$C7))</f>
        <v>4</v>
      </c>
      <c r="F7" s="194">
        <f>IFERROR(IF($C7="",-0.00001,SUMIFS(Database!H:H,Database!$E:$E,$C7)/$E7),-0.00001)</f>
        <v>19.5</v>
      </c>
      <c r="G7" s="194">
        <f>IFERROR(IF($C7="",-0.00001,SUMIFS(Database!I:I,Database!$E:$E,$C7)/$E7),-0.00001)</f>
        <v>6.75</v>
      </c>
      <c r="H7" s="194">
        <f>IFERROR(IF($C7="",-0.00001,SUMIFS(Database!J:J,Database!$E:$E,$C7)/$E7),-0.00001)</f>
        <v>2</v>
      </c>
      <c r="I7" s="194">
        <f>IFERROR(IF($C7="",-0.00001,SUMIFS(Database!K:K,Database!$E:$E,$C7)/$E7),-0.00001)</f>
        <v>0.5</v>
      </c>
      <c r="J7" s="194">
        <f>IFERROR(IF($C7="",-0.00001,SUMIFS(Database!L:L,Database!$E:$E,$C7)/$E7),-0.00001)</f>
        <v>0</v>
      </c>
      <c r="K7" s="194">
        <f>IFERROR(IF($C7="",-0.00001,SUMIFS(Database!M:M,Database!$E:$E,$C7)/$E7),-0.00001)</f>
        <v>1</v>
      </c>
      <c r="L7" s="194">
        <f>IFERROR(IF($C7="",-0.00001,SUMIFS(Database!N:N,Database!$E:$E,$C7)/$E7),-0.00001)</f>
        <v>3.25</v>
      </c>
      <c r="M7" s="194">
        <f>IFERROR(IF($C7="",-0.00001,SUMIFS(Database!O:O,Database!$E:$E,$C7)/$E7),-0.00001)</f>
        <v>3.5</v>
      </c>
      <c r="N7" s="194">
        <f>IFERROR(IF($C7="",-0.00001,SUMIFS(Database!P:P,Database!$E:$E,$C7)/$E7),-0.00001)</f>
        <v>3.75</v>
      </c>
      <c r="O7" s="194">
        <f>IFERROR(IF($C7="",-0.00001,SUMIFS(Database!Q:Q,Database!$E:$E,$C7)/$E7),-0.00001)</f>
        <v>10.5</v>
      </c>
      <c r="P7" s="186">
        <f t="shared" si="0"/>
        <v>0.35714285714285715</v>
      </c>
      <c r="Q7" s="194">
        <f>IFERROR(IF($C7="",-0.00001,SUMIFS(Database!S:S,Database!$E:$E,$C7)/$E7),-0.00001)</f>
        <v>7.5</v>
      </c>
      <c r="R7" s="194">
        <f>IFERROR(IF($C7="",-0.00001,SUMIFS(Database!T:T,Database!$E:$E,$C7)/$E7),-0.00001)</f>
        <v>22</v>
      </c>
      <c r="S7" s="186">
        <f t="shared" si="1"/>
        <v>0.34090909090909088</v>
      </c>
      <c r="T7" s="194">
        <f>IFERROR(IF($C7="",-0.00001,SUMIFS(Database!V:V,Database!$E:$E,$C7)/$E7),-0.00001)</f>
        <v>0.75</v>
      </c>
      <c r="U7" s="194">
        <f>IFERROR(IF($C7="",-0.00001,SUMIFS(Database!W:W,Database!$E:$E,$C7)/$E7),-0.00001)</f>
        <v>1</v>
      </c>
      <c r="V7" s="186">
        <f t="shared" si="2"/>
        <v>0.75</v>
      </c>
      <c r="W7" s="187"/>
      <c r="X7" s="187"/>
      <c r="Y7" s="187"/>
      <c r="Z7" s="187"/>
      <c r="AA7" s="187"/>
      <c r="AB7" s="187"/>
      <c r="AC7" s="187"/>
      <c r="AD7" s="187"/>
      <c r="AE7" s="187"/>
    </row>
    <row r="8" spans="1:31" x14ac:dyDescent="0.25">
      <c r="A8" s="187"/>
      <c r="B8" s="187">
        <f>IF($C8="","",MAX($B$4:$B7)+1)</f>
        <v>5</v>
      </c>
      <c r="C8" s="183" t="s">
        <v>31</v>
      </c>
      <c r="D8" s="183" t="str">
        <f>IFERROR(VLOOKUP($C8,Rosters!$C$4:$M$239,INDEX(Lists!$N$5:$O$80,MATCH($C8,Lists!$N$5:$N$80,FALSE),2)),"")</f>
        <v>Vandals</v>
      </c>
      <c r="E8" s="185">
        <f>IF($C8="",-0.00001,COUNTIF(Database!E:E,$C8))</f>
        <v>11</v>
      </c>
      <c r="F8" s="194">
        <f>IFERROR(IF($C8="",-0.00001,SUMIFS(Database!H:H,Database!$E:$E,$C8)/$E8),-0.00001)</f>
        <v>19.09090909090909</v>
      </c>
      <c r="G8" s="194">
        <f>IFERROR(IF($C8="",-0.00001,SUMIFS(Database!I:I,Database!$E:$E,$C8)/$E8),-0.00001)</f>
        <v>5.6363636363636367</v>
      </c>
      <c r="H8" s="194">
        <f>IFERROR(IF($C8="",-0.00001,SUMIFS(Database!J:J,Database!$E:$E,$C8)/$E8),-0.00001)</f>
        <v>1.7272727272727273</v>
      </c>
      <c r="I8" s="194">
        <f>IFERROR(IF($C8="",-0.00001,SUMIFS(Database!K:K,Database!$E:$E,$C8)/$E8),-0.00001)</f>
        <v>0.81818181818181823</v>
      </c>
      <c r="J8" s="194">
        <f>IFERROR(IF($C8="",-0.00001,SUMIFS(Database!L:L,Database!$E:$E,$C8)/$E8),-0.00001)</f>
        <v>0.54545454545454541</v>
      </c>
      <c r="K8" s="194">
        <f>IFERROR(IF($C8="",-0.00001,SUMIFS(Database!M:M,Database!$E:$E,$C8)/$E8),-0.00001)</f>
        <v>3.4545454545454546</v>
      </c>
      <c r="L8" s="194">
        <f>IFERROR(IF($C8="",-0.00001,SUMIFS(Database!N:N,Database!$E:$E,$C8)/$E8),-0.00001)</f>
        <v>1.5454545454545454</v>
      </c>
      <c r="M8" s="194">
        <f>IFERROR(IF($C8="",-0.00001,SUMIFS(Database!O:O,Database!$E:$E,$C8)/$E8),-0.00001)</f>
        <v>3.7272727272727271</v>
      </c>
      <c r="N8" s="194">
        <f>IFERROR(IF($C8="",-0.00001,SUMIFS(Database!P:P,Database!$E:$E,$C8)/$E8),-0.00001)</f>
        <v>1.6363636363636365</v>
      </c>
      <c r="O8" s="194">
        <f>IFERROR(IF($C8="",-0.00001,SUMIFS(Database!Q:Q,Database!$E:$E,$C8)/$E8),-0.00001)</f>
        <v>7.2727272727272725</v>
      </c>
      <c r="P8" s="186">
        <f t="shared" si="0"/>
        <v>0.22500000000000003</v>
      </c>
      <c r="Q8" s="194">
        <f>IFERROR(IF($C8="",-0.00001,SUMIFS(Database!S:S,Database!$E:$E,$C8)/$E8),-0.00001)</f>
        <v>7</v>
      </c>
      <c r="R8" s="194">
        <f>IFERROR(IF($C8="",-0.00001,SUMIFS(Database!T:T,Database!$E:$E,$C8)/$E8),-0.00001)</f>
        <v>19.181818181818183</v>
      </c>
      <c r="S8" s="186">
        <f t="shared" si="1"/>
        <v>0.36492890995260663</v>
      </c>
      <c r="T8" s="194">
        <f>IFERROR(IF($C8="",-0.00001,SUMIFS(Database!V:V,Database!$E:$E,$C8)/$E8),-0.00001)</f>
        <v>2.9090909090909092</v>
      </c>
      <c r="U8" s="194">
        <f>IFERROR(IF($C8="",-0.00001,SUMIFS(Database!W:W,Database!$E:$E,$C8)/$E8),-0.00001)</f>
        <v>4.4545454545454541</v>
      </c>
      <c r="V8" s="186">
        <f t="shared" si="2"/>
        <v>0.65306122448979598</v>
      </c>
      <c r="W8" s="187"/>
      <c r="X8" s="187"/>
      <c r="Y8" s="187"/>
      <c r="Z8" s="187"/>
      <c r="AA8" s="187"/>
      <c r="AB8" s="187"/>
      <c r="AC8" s="187"/>
      <c r="AD8" s="187"/>
      <c r="AE8" s="187"/>
    </row>
    <row r="9" spans="1:31" x14ac:dyDescent="0.25">
      <c r="A9" s="187"/>
      <c r="B9" s="187">
        <f>IF($C9="","",MAX($B$4:$B8)+1)</f>
        <v>6</v>
      </c>
      <c r="C9" s="183" t="s">
        <v>22</v>
      </c>
      <c r="D9" s="183" t="str">
        <f>IFERROR(VLOOKUP($C9,Rosters!$C$4:$M$239,INDEX(Lists!$N$5:$O$80,MATCH($C9,Lists!$N$5:$N$80,FALSE),2)),"")</f>
        <v>Lightning</v>
      </c>
      <c r="E9" s="185">
        <f>IF($C9="",-0.00001,COUNTIF(Database!E:E,$C9))</f>
        <v>2</v>
      </c>
      <c r="F9" s="194">
        <f>IFERROR(IF($C9="",-0.00001,SUMIFS(Database!H:H,Database!$E:$E,$C9)/$E9),-0.00001)</f>
        <v>17.5</v>
      </c>
      <c r="G9" s="194">
        <f>IFERROR(IF($C9="",-0.00001,SUMIFS(Database!I:I,Database!$E:$E,$C9)/$E9),-0.00001)</f>
        <v>7</v>
      </c>
      <c r="H9" s="194">
        <f>IFERROR(IF($C9="",-0.00001,SUMIFS(Database!J:J,Database!$E:$E,$C9)/$E9),-0.00001)</f>
        <v>3</v>
      </c>
      <c r="I9" s="194">
        <f>IFERROR(IF($C9="",-0.00001,SUMIFS(Database!K:K,Database!$E:$E,$C9)/$E9),-0.00001)</f>
        <v>2.5</v>
      </c>
      <c r="J9" s="194">
        <f>IFERROR(IF($C9="",-0.00001,SUMIFS(Database!L:L,Database!$E:$E,$C9)/$E9),-0.00001)</f>
        <v>0</v>
      </c>
      <c r="K9" s="194">
        <f>IFERROR(IF($C9="",-0.00001,SUMIFS(Database!M:M,Database!$E:$E,$C9)/$E9),-0.00001)</f>
        <v>2.5</v>
      </c>
      <c r="L9" s="194">
        <f>IFERROR(IF($C9="",-0.00001,SUMIFS(Database!N:N,Database!$E:$E,$C9)/$E9),-0.00001)</f>
        <v>1</v>
      </c>
      <c r="M9" s="194">
        <f>IFERROR(IF($C9="",-0.00001,SUMIFS(Database!O:O,Database!$E:$E,$C9)/$E9),-0.00001)</f>
        <v>6</v>
      </c>
      <c r="N9" s="194">
        <f>IFERROR(IF($C9="",-0.00001,SUMIFS(Database!P:P,Database!$E:$E,$C9)/$E9),-0.00001)</f>
        <v>4</v>
      </c>
      <c r="O9" s="194">
        <f>IFERROR(IF($C9="",-0.00001,SUMIFS(Database!Q:Q,Database!$E:$E,$C9)/$E9),-0.00001)</f>
        <v>11</v>
      </c>
      <c r="P9" s="186">
        <f t="shared" si="0"/>
        <v>0.36363636363636365</v>
      </c>
      <c r="Q9" s="194">
        <f>IFERROR(IF($C9="",-0.00001,SUMIFS(Database!S:S,Database!$E:$E,$C9)/$E9),-0.00001)</f>
        <v>6.5</v>
      </c>
      <c r="R9" s="194">
        <f>IFERROR(IF($C9="",-0.00001,SUMIFS(Database!T:T,Database!$E:$E,$C9)/$E9),-0.00001)</f>
        <v>16</v>
      </c>
      <c r="S9" s="186">
        <f t="shared" si="1"/>
        <v>0.40625</v>
      </c>
      <c r="T9" s="194">
        <f>IFERROR(IF($C9="",-0.00001,SUMIFS(Database!V:V,Database!$E:$E,$C9)/$E9),-0.00001)</f>
        <v>0.5</v>
      </c>
      <c r="U9" s="194">
        <f>IFERROR(IF($C9="",-0.00001,SUMIFS(Database!W:W,Database!$E:$E,$C9)/$E9),-0.00001)</f>
        <v>1</v>
      </c>
      <c r="V9" s="186">
        <f t="shared" si="2"/>
        <v>0.5</v>
      </c>
      <c r="W9" s="187"/>
      <c r="X9" s="187"/>
      <c r="Y9" s="187"/>
      <c r="Z9" s="187"/>
      <c r="AA9" s="187"/>
      <c r="AB9" s="187"/>
      <c r="AC9" s="187"/>
      <c r="AD9" s="187"/>
      <c r="AE9" s="187"/>
    </row>
    <row r="10" spans="1:31" x14ac:dyDescent="0.25">
      <c r="A10" s="187"/>
      <c r="B10" s="187">
        <f>IF($C10="","",MAX($B$4:$B9)+1)</f>
        <v>7</v>
      </c>
      <c r="C10" s="183" t="s">
        <v>19</v>
      </c>
      <c r="D10" s="183" t="str">
        <f>IFERROR(VLOOKUP($C10,Rosters!$C$4:$M$239,INDEX(Lists!$N$5:$O$80,MATCH($C10,Lists!$N$5:$N$80,FALSE),2)),"")</f>
        <v>Lightning</v>
      </c>
      <c r="E10" s="185">
        <f>IF($C10="",-0.00001,COUNTIF(Database!E:E,$C10))</f>
        <v>12</v>
      </c>
      <c r="F10" s="194">
        <f>IFERROR(IF($C10="",-0.00001,SUMIFS(Database!H:H,Database!$E:$E,$C10)/$E10),-0.00001)</f>
        <v>16.666666666666668</v>
      </c>
      <c r="G10" s="194">
        <f>IFERROR(IF($C10="",-0.00001,SUMIFS(Database!I:I,Database!$E:$E,$C10)/$E10),-0.00001)</f>
        <v>9.5</v>
      </c>
      <c r="H10" s="194">
        <f>IFERROR(IF($C10="",-0.00001,SUMIFS(Database!J:J,Database!$E:$E,$C10)/$E10),-0.00001)</f>
        <v>4</v>
      </c>
      <c r="I10" s="194">
        <f>IFERROR(IF($C10="",-0.00001,SUMIFS(Database!K:K,Database!$E:$E,$C10)/$E10),-0.00001)</f>
        <v>3.3333333333333335</v>
      </c>
      <c r="J10" s="194">
        <f>IFERROR(IF($C10="",-0.00001,SUMIFS(Database!L:L,Database!$E:$E,$C10)/$E10),-0.00001)</f>
        <v>2.25</v>
      </c>
      <c r="K10" s="194">
        <f>IFERROR(IF($C10="",-0.00001,SUMIFS(Database!M:M,Database!$E:$E,$C10)/$E10),-0.00001)</f>
        <v>2.5</v>
      </c>
      <c r="L10" s="194">
        <f>IFERROR(IF($C10="",-0.00001,SUMIFS(Database!N:N,Database!$E:$E,$C10)/$E10),-0.00001)</f>
        <v>2.5</v>
      </c>
      <c r="M10" s="194">
        <f>IFERROR(IF($C10="",-0.00001,SUMIFS(Database!O:O,Database!$E:$E,$C10)/$E10),-0.00001)</f>
        <v>7</v>
      </c>
      <c r="N10" s="194">
        <f>IFERROR(IF($C10="",-0.00001,SUMIFS(Database!P:P,Database!$E:$E,$C10)/$E10),-0.00001)</f>
        <v>0.75</v>
      </c>
      <c r="O10" s="194">
        <f>IFERROR(IF($C10="",-0.00001,SUMIFS(Database!Q:Q,Database!$E:$E,$C10)/$E10),-0.00001)</f>
        <v>2.75</v>
      </c>
      <c r="P10" s="186">
        <f t="shared" si="0"/>
        <v>0.27272727272727271</v>
      </c>
      <c r="Q10" s="194">
        <f>IFERROR(IF($C10="",-0.00001,SUMIFS(Database!S:S,Database!$E:$E,$C10)/$E10),-0.00001)</f>
        <v>6.333333333333333</v>
      </c>
      <c r="R10" s="194">
        <f>IFERROR(IF($C10="",-0.00001,SUMIFS(Database!T:T,Database!$E:$E,$C10)/$E10),-0.00001)</f>
        <v>13.75</v>
      </c>
      <c r="S10" s="186">
        <f t="shared" si="1"/>
        <v>0.46060606060606057</v>
      </c>
      <c r="T10" s="194">
        <f>IFERROR(IF($C10="",-0.00001,SUMIFS(Database!V:V,Database!$E:$E,$C10)/$E10),-0.00001)</f>
        <v>3.25</v>
      </c>
      <c r="U10" s="194">
        <f>IFERROR(IF($C10="",-0.00001,SUMIFS(Database!W:W,Database!$E:$E,$C10)/$E10),-0.00001)</f>
        <v>4.833333333333333</v>
      </c>
      <c r="V10" s="186">
        <f t="shared" si="2"/>
        <v>0.67241379310344829</v>
      </c>
      <c r="W10" s="187"/>
      <c r="X10" s="187"/>
      <c r="Y10" s="187"/>
      <c r="Z10" s="187"/>
      <c r="AA10" s="187"/>
      <c r="AB10" s="187"/>
      <c r="AC10" s="187"/>
      <c r="AD10" s="187"/>
      <c r="AE10" s="187"/>
    </row>
    <row r="11" spans="1:31" x14ac:dyDescent="0.25">
      <c r="A11" s="187"/>
      <c r="B11" s="187">
        <f>IF($C11="","",MAX($B$4:$B10)+1)</f>
        <v>8</v>
      </c>
      <c r="C11" s="183" t="s">
        <v>20</v>
      </c>
      <c r="D11" s="183" t="str">
        <f>IFERROR(VLOOKUP($C11,Rosters!$C$4:$M$239,INDEX(Lists!$N$5:$O$80,MATCH($C11,Lists!$N$5:$N$80,FALSE),2)),"")</f>
        <v>Lightning</v>
      </c>
      <c r="E11" s="185">
        <f>IF($C11="",-0.00001,COUNTIF(Database!E:E,$C11))</f>
        <v>4</v>
      </c>
      <c r="F11" s="194">
        <f>IFERROR(IF($C11="",-0.00001,SUMIFS(Database!H:H,Database!$E:$E,$C11)/$E11),-0.00001)</f>
        <v>15.5</v>
      </c>
      <c r="G11" s="194">
        <f>IFERROR(IF($C11="",-0.00001,SUMIFS(Database!I:I,Database!$E:$E,$C11)/$E11),-0.00001)</f>
        <v>5.25</v>
      </c>
      <c r="H11" s="194">
        <f>IFERROR(IF($C11="",-0.00001,SUMIFS(Database!J:J,Database!$E:$E,$C11)/$E11),-0.00001)</f>
        <v>2</v>
      </c>
      <c r="I11" s="194">
        <f>IFERROR(IF($C11="",-0.00001,SUMIFS(Database!K:K,Database!$E:$E,$C11)/$E11),-0.00001)</f>
        <v>2</v>
      </c>
      <c r="J11" s="194">
        <f>IFERROR(IF($C11="",-0.00001,SUMIFS(Database!L:L,Database!$E:$E,$C11)/$E11),-0.00001)</f>
        <v>0.25</v>
      </c>
      <c r="K11" s="194">
        <f>IFERROR(IF($C11="",-0.00001,SUMIFS(Database!M:M,Database!$E:$E,$C11)/$E11),-0.00001)</f>
        <v>0.75</v>
      </c>
      <c r="L11" s="194">
        <f>IFERROR(IF($C11="",-0.00001,SUMIFS(Database!N:N,Database!$E:$E,$C11)/$E11),-0.00001)</f>
        <v>2</v>
      </c>
      <c r="M11" s="194">
        <f>IFERROR(IF($C11="",-0.00001,SUMIFS(Database!O:O,Database!$E:$E,$C11)/$E11),-0.00001)</f>
        <v>3.25</v>
      </c>
      <c r="N11" s="194">
        <f>IFERROR(IF($C11="",-0.00001,SUMIFS(Database!P:P,Database!$E:$E,$C11)/$E11),-0.00001)</f>
        <v>1.75</v>
      </c>
      <c r="O11" s="194">
        <f>IFERROR(IF($C11="",-0.00001,SUMIFS(Database!Q:Q,Database!$E:$E,$C11)/$E11),-0.00001)</f>
        <v>6.25</v>
      </c>
      <c r="P11" s="186">
        <f t="shared" si="0"/>
        <v>0.28000000000000003</v>
      </c>
      <c r="Q11" s="194">
        <f>IFERROR(IF($C11="",-0.00001,SUMIFS(Database!S:S,Database!$E:$E,$C11)/$E11),-0.00001)</f>
        <v>6.75</v>
      </c>
      <c r="R11" s="194">
        <f>IFERROR(IF($C11="",-0.00001,SUMIFS(Database!T:T,Database!$E:$E,$C11)/$E11),-0.00001)</f>
        <v>17.5</v>
      </c>
      <c r="S11" s="186">
        <f t="shared" si="1"/>
        <v>0.38571428571428573</v>
      </c>
      <c r="T11" s="194">
        <f>IFERROR(IF($C11="",-0.00001,SUMIFS(Database!V:V,Database!$E:$E,$C11)/$E11),-0.00001)</f>
        <v>0.25</v>
      </c>
      <c r="U11" s="194">
        <f>IFERROR(IF($C11="",-0.00001,SUMIFS(Database!W:W,Database!$E:$E,$C11)/$E11),-0.00001)</f>
        <v>0.25</v>
      </c>
      <c r="V11" s="186">
        <f t="shared" si="2"/>
        <v>1</v>
      </c>
      <c r="W11" s="187"/>
      <c r="X11" s="187"/>
      <c r="Y11" s="187"/>
      <c r="Z11" s="187"/>
      <c r="AA11" s="187"/>
      <c r="AB11" s="187"/>
      <c r="AC11" s="187"/>
      <c r="AD11" s="187"/>
      <c r="AE11" s="187"/>
    </row>
    <row r="12" spans="1:31" x14ac:dyDescent="0.25">
      <c r="A12" s="187"/>
      <c r="B12" s="187">
        <f>IF($C12="","",MAX($B$4:$B11)+1)</f>
        <v>9</v>
      </c>
      <c r="C12" s="183" t="s">
        <v>7</v>
      </c>
      <c r="D12" s="183" t="str">
        <f>IFERROR(VLOOKUP($C12,Rosters!$C$4:$M$239,INDEX(Lists!$N$5:$O$80,MATCH($C12,Lists!$N$5:$N$80,FALSE),2)),"")</f>
        <v>Wombats</v>
      </c>
      <c r="E12" s="185">
        <f>IF($C12="",-0.00001,COUNTIF(Database!E:E,$C12))</f>
        <v>10</v>
      </c>
      <c r="F12" s="194">
        <f>IFERROR(IF($C12="",-0.00001,SUMIFS(Database!H:H,Database!$E:$E,$C12)/$E12),-0.00001)</f>
        <v>14.5</v>
      </c>
      <c r="G12" s="194">
        <f>IFERROR(IF($C12="",-0.00001,SUMIFS(Database!I:I,Database!$E:$E,$C12)/$E12),-0.00001)</f>
        <v>6</v>
      </c>
      <c r="H12" s="194">
        <f>IFERROR(IF($C12="",-0.00001,SUMIFS(Database!J:J,Database!$E:$E,$C12)/$E12),-0.00001)</f>
        <v>2.2999999999999998</v>
      </c>
      <c r="I12" s="194">
        <f>IFERROR(IF($C12="",-0.00001,SUMIFS(Database!K:K,Database!$E:$E,$C12)/$E12),-0.00001)</f>
        <v>1.5</v>
      </c>
      <c r="J12" s="194">
        <f>IFERROR(IF($C12="",-0.00001,SUMIFS(Database!L:L,Database!$E:$E,$C12)/$E12),-0.00001)</f>
        <v>0.2</v>
      </c>
      <c r="K12" s="194">
        <f>IFERROR(IF($C12="",-0.00001,SUMIFS(Database!M:M,Database!$E:$E,$C12)/$E12),-0.00001)</f>
        <v>2.5</v>
      </c>
      <c r="L12" s="194">
        <f>IFERROR(IF($C12="",-0.00001,SUMIFS(Database!N:N,Database!$E:$E,$C12)/$E12),-0.00001)</f>
        <v>1.7</v>
      </c>
      <c r="M12" s="194">
        <f>IFERROR(IF($C12="",-0.00001,SUMIFS(Database!O:O,Database!$E:$E,$C12)/$E12),-0.00001)</f>
        <v>4.3</v>
      </c>
      <c r="N12" s="194">
        <f>IFERROR(IF($C12="",-0.00001,SUMIFS(Database!P:P,Database!$E:$E,$C12)/$E12),-0.00001)</f>
        <v>1.9</v>
      </c>
      <c r="O12" s="194">
        <f>IFERROR(IF($C12="",-0.00001,SUMIFS(Database!Q:Q,Database!$E:$E,$C12)/$E12),-0.00001)</f>
        <v>4.9000000000000004</v>
      </c>
      <c r="P12" s="186">
        <f t="shared" si="0"/>
        <v>0.38775510204081626</v>
      </c>
      <c r="Q12" s="194">
        <f>IFERROR(IF($C12="",-0.00001,SUMIFS(Database!S:S,Database!$E:$E,$C12)/$E12),-0.00001)</f>
        <v>5.5</v>
      </c>
      <c r="R12" s="194">
        <f>IFERROR(IF($C12="",-0.00001,SUMIFS(Database!T:T,Database!$E:$E,$C12)/$E12),-0.00001)</f>
        <v>13.5</v>
      </c>
      <c r="S12" s="186">
        <f t="shared" si="1"/>
        <v>0.40740740740740738</v>
      </c>
      <c r="T12" s="194">
        <f>IFERROR(IF($C12="",-0.00001,SUMIFS(Database!V:V,Database!$E:$E,$C12)/$E12),-0.00001)</f>
        <v>1.6</v>
      </c>
      <c r="U12" s="194">
        <f>IFERROR(IF($C12="",-0.00001,SUMIFS(Database!W:W,Database!$E:$E,$C12)/$E12),-0.00001)</f>
        <v>2.9</v>
      </c>
      <c r="V12" s="186">
        <f t="shared" si="2"/>
        <v>0.55172413793103448</v>
      </c>
      <c r="W12" s="187"/>
      <c r="X12" s="187"/>
      <c r="Y12" s="187"/>
      <c r="Z12" s="187"/>
      <c r="AA12" s="187"/>
      <c r="AB12" s="187"/>
      <c r="AC12" s="187"/>
      <c r="AD12" s="187"/>
      <c r="AE12" s="187"/>
    </row>
    <row r="13" spans="1:31" x14ac:dyDescent="0.25">
      <c r="A13" s="187"/>
      <c r="B13" s="187">
        <f>IF($C13="","",MAX($B$4:$B12)+1)</f>
        <v>10</v>
      </c>
      <c r="C13" s="183" t="s">
        <v>9</v>
      </c>
      <c r="D13" s="183" t="str">
        <f>IFERROR(VLOOKUP($C13,Rosters!$C$4:$M$239,INDEX(Lists!$N$5:$O$80,MATCH($C13,Lists!$N$5:$N$80,FALSE),2)),"")</f>
        <v>Wombats</v>
      </c>
      <c r="E13" s="185">
        <f>IF($C13="",-0.00001,COUNTIF(Database!E:E,$C13))</f>
        <v>11</v>
      </c>
      <c r="F13" s="194">
        <f>IFERROR(IF($C13="",-0.00001,SUMIFS(Database!H:H,Database!$E:$E,$C13)/$E13),-0.00001)</f>
        <v>14.181818181818182</v>
      </c>
      <c r="G13" s="194">
        <f>IFERROR(IF($C13="",-0.00001,SUMIFS(Database!I:I,Database!$E:$E,$C13)/$E13),-0.00001)</f>
        <v>6.0909090909090908</v>
      </c>
      <c r="H13" s="194">
        <f>IFERROR(IF($C13="",-0.00001,SUMIFS(Database!J:J,Database!$E:$E,$C13)/$E13),-0.00001)</f>
        <v>1.6363636363636365</v>
      </c>
      <c r="I13" s="194">
        <f>IFERROR(IF($C13="",-0.00001,SUMIFS(Database!K:K,Database!$E:$E,$C13)/$E13),-0.00001)</f>
        <v>0.72727272727272729</v>
      </c>
      <c r="J13" s="194">
        <f>IFERROR(IF($C13="",-0.00001,SUMIFS(Database!L:L,Database!$E:$E,$C13)/$E13),-0.00001)</f>
        <v>0.36363636363636365</v>
      </c>
      <c r="K13" s="194">
        <f>IFERROR(IF($C13="",-0.00001,SUMIFS(Database!M:M,Database!$E:$E,$C13)/$E13),-0.00001)</f>
        <v>2.5454545454545454</v>
      </c>
      <c r="L13" s="194">
        <f>IFERROR(IF($C13="",-0.00001,SUMIFS(Database!N:N,Database!$E:$E,$C13)/$E13),-0.00001)</f>
        <v>1.1818181818181819</v>
      </c>
      <c r="M13" s="194">
        <f>IFERROR(IF($C13="",-0.00001,SUMIFS(Database!O:O,Database!$E:$E,$C13)/$E13),-0.00001)</f>
        <v>4.9090909090909092</v>
      </c>
      <c r="N13" s="194">
        <f>IFERROR(IF($C13="",-0.00001,SUMIFS(Database!P:P,Database!$E:$E,$C13)/$E13),-0.00001)</f>
        <v>2.6363636363636362</v>
      </c>
      <c r="O13" s="194">
        <f>IFERROR(IF($C13="",-0.00001,SUMIFS(Database!Q:Q,Database!$E:$E,$C13)/$E13),-0.00001)</f>
        <v>8.454545454545455</v>
      </c>
      <c r="P13" s="186">
        <f t="shared" si="0"/>
        <v>0.31182795698924726</v>
      </c>
      <c r="Q13" s="194">
        <f>IFERROR(IF($C13="",-0.00001,SUMIFS(Database!S:S,Database!$E:$E,$C13)/$E13),-0.00001)</f>
        <v>5.4545454545454541</v>
      </c>
      <c r="R13" s="194">
        <f>IFERROR(IF($C13="",-0.00001,SUMIFS(Database!T:T,Database!$E:$E,$C13)/$E13),-0.00001)</f>
        <v>13.909090909090908</v>
      </c>
      <c r="S13" s="186">
        <f t="shared" si="1"/>
        <v>0.39215686274509803</v>
      </c>
      <c r="T13" s="194">
        <f>IFERROR(IF($C13="",-0.00001,SUMIFS(Database!V:V,Database!$E:$E,$C13)/$E13),-0.00001)</f>
        <v>0.63636363636363635</v>
      </c>
      <c r="U13" s="194">
        <f>IFERROR(IF($C13="",-0.00001,SUMIFS(Database!W:W,Database!$E:$E,$C13)/$E13),-0.00001)</f>
        <v>1.4545454545454546</v>
      </c>
      <c r="V13" s="186">
        <f t="shared" si="2"/>
        <v>0.4375</v>
      </c>
      <c r="W13" s="187"/>
      <c r="X13" s="187"/>
      <c r="Y13" s="187"/>
      <c r="Z13" s="187"/>
      <c r="AA13" s="187"/>
      <c r="AB13" s="187"/>
      <c r="AC13" s="187"/>
      <c r="AD13" s="187"/>
      <c r="AE13" s="187"/>
    </row>
    <row r="14" spans="1:31" x14ac:dyDescent="0.25">
      <c r="A14" s="187"/>
      <c r="B14" s="187">
        <f>IF($C14="","",MAX($B$4:$B13)+1)</f>
        <v>11</v>
      </c>
      <c r="C14" s="183" t="s">
        <v>14</v>
      </c>
      <c r="D14" s="183" t="str">
        <f>IFERROR(VLOOKUP($C14,Rosters!$C$4:$M$239,INDEX(Lists!$N$5:$O$80,MATCH($C14,Lists!$N$5:$N$80,FALSE),2)),"")</f>
        <v>Pistons</v>
      </c>
      <c r="E14" s="185">
        <f>IF($C14="",-0.00001,COUNTIF(Database!E:E,$C14))</f>
        <v>3</v>
      </c>
      <c r="F14" s="194">
        <f>IFERROR(IF($C14="",-0.00001,SUMIFS(Database!H:H,Database!$E:$E,$C14)/$E14),-0.00001)</f>
        <v>14</v>
      </c>
      <c r="G14" s="194">
        <f>IFERROR(IF($C14="",-0.00001,SUMIFS(Database!I:I,Database!$E:$E,$C14)/$E14),-0.00001)</f>
        <v>7.333333333333333</v>
      </c>
      <c r="H14" s="194">
        <f>IFERROR(IF($C14="",-0.00001,SUMIFS(Database!J:J,Database!$E:$E,$C14)/$E14),-0.00001)</f>
        <v>1.6666666666666667</v>
      </c>
      <c r="I14" s="194">
        <f>IFERROR(IF($C14="",-0.00001,SUMIFS(Database!K:K,Database!$E:$E,$C14)/$E14),-0.00001)</f>
        <v>1</v>
      </c>
      <c r="J14" s="194">
        <f>IFERROR(IF($C14="",-0.00001,SUMIFS(Database!L:L,Database!$E:$E,$C14)/$E14),-0.00001)</f>
        <v>0.33333333333333331</v>
      </c>
      <c r="K14" s="194">
        <f>IFERROR(IF($C14="",-0.00001,SUMIFS(Database!M:M,Database!$E:$E,$C14)/$E14),-0.00001)</f>
        <v>0.66666666666666663</v>
      </c>
      <c r="L14" s="194">
        <f>IFERROR(IF($C14="",-0.00001,SUMIFS(Database!N:N,Database!$E:$E,$C14)/$E14),-0.00001)</f>
        <v>2.3333333333333335</v>
      </c>
      <c r="M14" s="194">
        <f>IFERROR(IF($C14="",-0.00001,SUMIFS(Database!O:O,Database!$E:$E,$C14)/$E14),-0.00001)</f>
        <v>5</v>
      </c>
      <c r="N14" s="194">
        <f>IFERROR(IF($C14="",-0.00001,SUMIFS(Database!P:P,Database!$E:$E,$C14)/$E14),-0.00001)</f>
        <v>3.3333333333333335</v>
      </c>
      <c r="O14" s="194">
        <f>IFERROR(IF($C14="",-0.00001,SUMIFS(Database!Q:Q,Database!$E:$E,$C14)/$E14),-0.00001)</f>
        <v>11</v>
      </c>
      <c r="P14" s="186">
        <f t="shared" si="0"/>
        <v>0.30303030303030304</v>
      </c>
      <c r="Q14" s="194">
        <f>IFERROR(IF($C14="",-0.00001,SUMIFS(Database!S:S,Database!$E:$E,$C14)/$E14),-0.00001)</f>
        <v>5.333333333333333</v>
      </c>
      <c r="R14" s="194">
        <f>IFERROR(IF($C14="",-0.00001,SUMIFS(Database!T:T,Database!$E:$E,$C14)/$E14),-0.00001)</f>
        <v>17.333333333333332</v>
      </c>
      <c r="S14" s="186">
        <f t="shared" si="1"/>
        <v>0.30769230769230771</v>
      </c>
      <c r="T14" s="194">
        <f>IFERROR(IF($C14="",-0.00001,SUMIFS(Database!V:V,Database!$E:$E,$C14)/$E14),-0.00001)</f>
        <v>0</v>
      </c>
      <c r="U14" s="194">
        <f>IFERROR(IF($C14="",-0.00001,SUMIFS(Database!W:W,Database!$E:$E,$C14)/$E14),-0.00001)</f>
        <v>0.33333333333333331</v>
      </c>
      <c r="V14" s="186">
        <f t="shared" si="2"/>
        <v>0</v>
      </c>
      <c r="W14" s="187"/>
      <c r="X14" s="187"/>
      <c r="Y14" s="187"/>
      <c r="Z14" s="187"/>
      <c r="AA14" s="187"/>
      <c r="AB14" s="187"/>
      <c r="AC14" s="187"/>
      <c r="AD14" s="187"/>
      <c r="AE14" s="187"/>
    </row>
    <row r="15" spans="1:31" x14ac:dyDescent="0.25">
      <c r="A15" s="187"/>
      <c r="B15" s="187">
        <f>IF($C15="","",MAX($B$4:$B14)+1)</f>
        <v>12</v>
      </c>
      <c r="C15" s="183" t="s">
        <v>34</v>
      </c>
      <c r="D15" s="183" t="str">
        <f>IFERROR(VLOOKUP($C15,Rosters!$C$4:$M$239,INDEX(Lists!$N$5:$O$80,MATCH($C15,Lists!$N$5:$N$80,FALSE),2)),"")</f>
        <v>Vandals</v>
      </c>
      <c r="E15" s="185">
        <f>IF($C15="",-0.00001,COUNTIF(Database!E:E,$C15))</f>
        <v>3</v>
      </c>
      <c r="F15" s="194">
        <f>IFERROR(IF($C15="",-0.00001,SUMIFS(Database!H:H,Database!$E:$E,$C15)/$E15),-0.00001)</f>
        <v>14</v>
      </c>
      <c r="G15" s="194">
        <f>IFERROR(IF($C15="",-0.00001,SUMIFS(Database!I:I,Database!$E:$E,$C15)/$E15),-0.00001)</f>
        <v>10</v>
      </c>
      <c r="H15" s="194">
        <f>IFERROR(IF($C15="",-0.00001,SUMIFS(Database!J:J,Database!$E:$E,$C15)/$E15),-0.00001)</f>
        <v>2</v>
      </c>
      <c r="I15" s="194">
        <f>IFERROR(IF($C15="",-0.00001,SUMIFS(Database!K:K,Database!$E:$E,$C15)/$E15),-0.00001)</f>
        <v>2.6666666666666665</v>
      </c>
      <c r="J15" s="194">
        <f>IFERROR(IF($C15="",-0.00001,SUMIFS(Database!L:L,Database!$E:$E,$C15)/$E15),-0.00001)</f>
        <v>0</v>
      </c>
      <c r="K15" s="194">
        <f>IFERROR(IF($C15="",-0.00001,SUMIFS(Database!M:M,Database!$E:$E,$C15)/$E15),-0.00001)</f>
        <v>4.333333333333333</v>
      </c>
      <c r="L15" s="194">
        <f>IFERROR(IF($C15="",-0.00001,SUMIFS(Database!N:N,Database!$E:$E,$C15)/$E15),-0.00001)</f>
        <v>2.3333333333333335</v>
      </c>
      <c r="M15" s="194">
        <f>IFERROR(IF($C15="",-0.00001,SUMIFS(Database!O:O,Database!$E:$E,$C15)/$E15),-0.00001)</f>
        <v>4</v>
      </c>
      <c r="N15" s="194">
        <f>IFERROR(IF($C15="",-0.00001,SUMIFS(Database!P:P,Database!$E:$E,$C15)/$E15),-0.00001)</f>
        <v>0.66666666666666663</v>
      </c>
      <c r="O15" s="194">
        <f>IFERROR(IF($C15="",-0.00001,SUMIFS(Database!Q:Q,Database!$E:$E,$C15)/$E15),-0.00001)</f>
        <v>2.6666666666666665</v>
      </c>
      <c r="P15" s="186">
        <f t="shared" si="0"/>
        <v>0.25</v>
      </c>
      <c r="Q15" s="194">
        <f>IFERROR(IF($C15="",-0.00001,SUMIFS(Database!S:S,Database!$E:$E,$C15)/$E15),-0.00001)</f>
        <v>5.666666666666667</v>
      </c>
      <c r="R15" s="194">
        <f>IFERROR(IF($C15="",-0.00001,SUMIFS(Database!T:T,Database!$E:$E,$C15)/$E15),-0.00001)</f>
        <v>14</v>
      </c>
      <c r="S15" s="186">
        <f t="shared" si="1"/>
        <v>0.40476190476190477</v>
      </c>
      <c r="T15" s="194">
        <f>IFERROR(IF($C15="",-0.00001,SUMIFS(Database!V:V,Database!$E:$E,$C15)/$E15),-0.00001)</f>
        <v>2</v>
      </c>
      <c r="U15" s="194">
        <f>IFERROR(IF($C15="",-0.00001,SUMIFS(Database!W:W,Database!$E:$E,$C15)/$E15),-0.00001)</f>
        <v>2.3333333333333335</v>
      </c>
      <c r="V15" s="186">
        <f t="shared" si="2"/>
        <v>0.8571428571428571</v>
      </c>
      <c r="W15" s="187"/>
      <c r="X15" s="187"/>
      <c r="Y15" s="187"/>
      <c r="Z15" s="187"/>
      <c r="AA15" s="187"/>
      <c r="AB15" s="187"/>
      <c r="AC15" s="187"/>
      <c r="AD15" s="187"/>
      <c r="AE15" s="187"/>
    </row>
    <row r="16" spans="1:31" x14ac:dyDescent="0.25">
      <c r="A16" s="187"/>
      <c r="B16" s="187">
        <f>IF($C16="","",MAX($B$4:$B15)+1)</f>
        <v>13</v>
      </c>
      <c r="C16" s="183" t="s">
        <v>15</v>
      </c>
      <c r="D16" s="183" t="str">
        <f>IFERROR(VLOOKUP($C16,Rosters!$C$4:$M$239,INDEX(Lists!$N$5:$O$80,MATCH($C16,Lists!$N$5:$N$80,FALSE),2)),"")</f>
        <v>Pistons</v>
      </c>
      <c r="E16" s="185">
        <f>IF($C16="",-0.00001,COUNTIF(Database!E:E,$C16))</f>
        <v>12</v>
      </c>
      <c r="F16" s="194">
        <f>IFERROR(IF($C16="",-0.00001,SUMIFS(Database!H:H,Database!$E:$E,$C16)/$E16),-0.00001)</f>
        <v>12.833333333333334</v>
      </c>
      <c r="G16" s="194">
        <f>IFERROR(IF($C16="",-0.00001,SUMIFS(Database!I:I,Database!$E:$E,$C16)/$E16),-0.00001)</f>
        <v>4.166666666666667</v>
      </c>
      <c r="H16" s="194">
        <f>IFERROR(IF($C16="",-0.00001,SUMIFS(Database!J:J,Database!$E:$E,$C16)/$E16),-0.00001)</f>
        <v>0.83333333333333337</v>
      </c>
      <c r="I16" s="194">
        <f>IFERROR(IF($C16="",-0.00001,SUMIFS(Database!K:K,Database!$E:$E,$C16)/$E16),-0.00001)</f>
        <v>1.8333333333333333</v>
      </c>
      <c r="J16" s="194">
        <f>IFERROR(IF($C16="",-0.00001,SUMIFS(Database!L:L,Database!$E:$E,$C16)/$E16),-0.00001)</f>
        <v>0.16666666666666666</v>
      </c>
      <c r="K16" s="194">
        <f>IFERROR(IF($C16="",-0.00001,SUMIFS(Database!M:M,Database!$E:$E,$C16)/$E16),-0.00001)</f>
        <v>1.3333333333333333</v>
      </c>
      <c r="L16" s="194">
        <f>IFERROR(IF($C16="",-0.00001,SUMIFS(Database!N:N,Database!$E:$E,$C16)/$E16),-0.00001)</f>
        <v>1.0833333333333333</v>
      </c>
      <c r="M16" s="194">
        <f>IFERROR(IF($C16="",-0.00001,SUMIFS(Database!O:O,Database!$E:$E,$C16)/$E16),-0.00001)</f>
        <v>3.0833333333333335</v>
      </c>
      <c r="N16" s="194">
        <f>IFERROR(IF($C16="",-0.00001,SUMIFS(Database!P:P,Database!$E:$E,$C16)/$E16),-0.00001)</f>
        <v>2</v>
      </c>
      <c r="O16" s="194">
        <f>IFERROR(IF($C16="",-0.00001,SUMIFS(Database!Q:Q,Database!$E:$E,$C16)/$E16),-0.00001)</f>
        <v>7.166666666666667</v>
      </c>
      <c r="P16" s="186">
        <f t="shared" si="0"/>
        <v>0.27906976744186046</v>
      </c>
      <c r="Q16" s="194">
        <f>IFERROR(IF($C16="",-0.00001,SUMIFS(Database!S:S,Database!$E:$E,$C16)/$E16),-0.00001)</f>
        <v>4.916666666666667</v>
      </c>
      <c r="R16" s="194">
        <f>IFERROR(IF($C16="",-0.00001,SUMIFS(Database!T:T,Database!$E:$E,$C16)/$E16),-0.00001)</f>
        <v>14.416666666666666</v>
      </c>
      <c r="S16" s="186">
        <f t="shared" si="1"/>
        <v>0.34104046242774572</v>
      </c>
      <c r="T16" s="194">
        <f>IFERROR(IF($C16="",-0.00001,SUMIFS(Database!V:V,Database!$E:$E,$C16)/$E16),-0.00001)</f>
        <v>0.66666666666666663</v>
      </c>
      <c r="U16" s="194">
        <f>IFERROR(IF($C16="",-0.00001,SUMIFS(Database!W:W,Database!$E:$E,$C16)/$E16),-0.00001)</f>
        <v>1.4166666666666667</v>
      </c>
      <c r="V16" s="186">
        <f t="shared" si="2"/>
        <v>0.47058823529411759</v>
      </c>
      <c r="W16" s="187"/>
      <c r="X16" s="187"/>
      <c r="Y16" s="187"/>
      <c r="Z16" s="187"/>
      <c r="AA16" s="187"/>
      <c r="AB16" s="187"/>
      <c r="AC16" s="187"/>
      <c r="AD16" s="187"/>
      <c r="AE16" s="187"/>
    </row>
    <row r="17" spans="1:31" x14ac:dyDescent="0.25">
      <c r="A17" s="187"/>
      <c r="B17" s="187">
        <f>IF($C17="","",MAX($B$4:$B16)+1)</f>
        <v>14</v>
      </c>
      <c r="C17" s="183" t="s">
        <v>33</v>
      </c>
      <c r="D17" s="183" t="str">
        <f>IFERROR(VLOOKUP($C17,Rosters!$C$4:$M$239,INDEX(Lists!$N$5:$O$80,MATCH($C17,Lists!$N$5:$N$80,FALSE),2)),"")</f>
        <v>Vandals</v>
      </c>
      <c r="E17" s="185">
        <f>IF($C17="",-0.00001,COUNTIF(Database!E:E,$C17))</f>
        <v>4</v>
      </c>
      <c r="F17" s="194">
        <f>IFERROR(IF($C17="",-0.00001,SUMIFS(Database!H:H,Database!$E:$E,$C17)/$E17),-0.00001)</f>
        <v>12.75</v>
      </c>
      <c r="G17" s="194">
        <f>IFERROR(IF($C17="",-0.00001,SUMIFS(Database!I:I,Database!$E:$E,$C17)/$E17),-0.00001)</f>
        <v>14.75</v>
      </c>
      <c r="H17" s="194">
        <f>IFERROR(IF($C17="",-0.00001,SUMIFS(Database!J:J,Database!$E:$E,$C17)/$E17),-0.00001)</f>
        <v>2.5</v>
      </c>
      <c r="I17" s="194">
        <f>IFERROR(IF($C17="",-0.00001,SUMIFS(Database!K:K,Database!$E:$E,$C17)/$E17),-0.00001)</f>
        <v>4.75</v>
      </c>
      <c r="J17" s="194">
        <f>IFERROR(IF($C17="",-0.00001,SUMIFS(Database!L:L,Database!$E:$E,$C17)/$E17),-0.00001)</f>
        <v>1</v>
      </c>
      <c r="K17" s="194">
        <f>IFERROR(IF($C17="",-0.00001,SUMIFS(Database!M:M,Database!$E:$E,$C17)/$E17),-0.00001)</f>
        <v>3.5</v>
      </c>
      <c r="L17" s="194">
        <f>IFERROR(IF($C17="",-0.00001,SUMIFS(Database!N:N,Database!$E:$E,$C17)/$E17),-0.00001)</f>
        <v>1.75</v>
      </c>
      <c r="M17" s="194">
        <f>IFERROR(IF($C17="",-0.00001,SUMIFS(Database!O:O,Database!$E:$E,$C17)/$E17),-0.00001)</f>
        <v>10.25</v>
      </c>
      <c r="N17" s="194">
        <f>IFERROR(IF($C17="",-0.00001,SUMIFS(Database!P:P,Database!$E:$E,$C17)/$E17),-0.00001)</f>
        <v>1.5</v>
      </c>
      <c r="O17" s="194">
        <f>IFERROR(IF($C17="",-0.00001,SUMIFS(Database!Q:Q,Database!$E:$E,$C17)/$E17),-0.00001)</f>
        <v>6</v>
      </c>
      <c r="P17" s="186">
        <f t="shared" si="0"/>
        <v>0.25</v>
      </c>
      <c r="Q17" s="194">
        <f>IFERROR(IF($C17="",-0.00001,SUMIFS(Database!S:S,Database!$E:$E,$C17)/$E17),-0.00001)</f>
        <v>5.5</v>
      </c>
      <c r="R17" s="194">
        <f>IFERROR(IF($C17="",-0.00001,SUMIFS(Database!T:T,Database!$E:$E,$C17)/$E17),-0.00001)</f>
        <v>15.75</v>
      </c>
      <c r="S17" s="186">
        <f t="shared" si="1"/>
        <v>0.34920634920634919</v>
      </c>
      <c r="T17" s="194">
        <f>IFERROR(IF($C17="",-0.00001,SUMIFS(Database!V:V,Database!$E:$E,$C17)/$E17),-0.00001)</f>
        <v>0.25</v>
      </c>
      <c r="U17" s="194">
        <f>IFERROR(IF($C17="",-0.00001,SUMIFS(Database!W:W,Database!$E:$E,$C17)/$E17),-0.00001)</f>
        <v>0.5</v>
      </c>
      <c r="V17" s="186">
        <f t="shared" si="2"/>
        <v>0.5</v>
      </c>
      <c r="W17" s="187"/>
      <c r="X17" s="187"/>
      <c r="Y17" s="187"/>
      <c r="Z17" s="187"/>
      <c r="AA17" s="187"/>
      <c r="AB17" s="187"/>
      <c r="AC17" s="187"/>
      <c r="AD17" s="187"/>
      <c r="AE17" s="187"/>
    </row>
    <row r="18" spans="1:31" x14ac:dyDescent="0.25">
      <c r="A18" s="187"/>
      <c r="B18" s="187">
        <f>IF($C18="","",MAX($B$4:$B17)+1)</f>
        <v>15</v>
      </c>
      <c r="C18" s="183" t="s">
        <v>32</v>
      </c>
      <c r="D18" s="183" t="str">
        <f>IFERROR(VLOOKUP($C18,Rosters!$C$4:$M$239,INDEX(Lists!$N$5:$O$80,MATCH($C18,Lists!$N$5:$N$80,FALSE),2)),"")</f>
        <v>Vandals</v>
      </c>
      <c r="E18" s="185">
        <f>IF($C18="",-0.00001,COUNTIF(Database!E:E,$C18))</f>
        <v>11</v>
      </c>
      <c r="F18" s="194">
        <f>IFERROR(IF($C18="",-0.00001,SUMIFS(Database!H:H,Database!$E:$E,$C18)/$E18),-0.00001)</f>
        <v>11.818181818181818</v>
      </c>
      <c r="G18" s="194">
        <f>IFERROR(IF($C18="",-0.00001,SUMIFS(Database!I:I,Database!$E:$E,$C18)/$E18),-0.00001)</f>
        <v>6.9090909090909092</v>
      </c>
      <c r="H18" s="194">
        <f>IFERROR(IF($C18="",-0.00001,SUMIFS(Database!J:J,Database!$E:$E,$C18)/$E18),-0.00001)</f>
        <v>2.5454545454545454</v>
      </c>
      <c r="I18" s="194">
        <f>IFERROR(IF($C18="",-0.00001,SUMIFS(Database!K:K,Database!$E:$E,$C18)/$E18),-0.00001)</f>
        <v>2</v>
      </c>
      <c r="J18" s="194">
        <f>IFERROR(IF($C18="",-0.00001,SUMIFS(Database!L:L,Database!$E:$E,$C18)/$E18),-0.00001)</f>
        <v>1.2727272727272727</v>
      </c>
      <c r="K18" s="194">
        <f>IFERROR(IF($C18="",-0.00001,SUMIFS(Database!M:M,Database!$E:$E,$C18)/$E18),-0.00001)</f>
        <v>1.6363636363636365</v>
      </c>
      <c r="L18" s="194">
        <f>IFERROR(IF($C18="",-0.00001,SUMIFS(Database!N:N,Database!$E:$E,$C18)/$E18),-0.00001)</f>
        <v>2.9090909090909092</v>
      </c>
      <c r="M18" s="194">
        <f>IFERROR(IF($C18="",-0.00001,SUMIFS(Database!O:O,Database!$E:$E,$C18)/$E18),-0.00001)</f>
        <v>4</v>
      </c>
      <c r="N18" s="194">
        <f>IFERROR(IF($C18="",-0.00001,SUMIFS(Database!P:P,Database!$E:$E,$C18)/$E18),-0.00001)</f>
        <v>1.2727272727272727</v>
      </c>
      <c r="O18" s="194">
        <f>IFERROR(IF($C18="",-0.00001,SUMIFS(Database!Q:Q,Database!$E:$E,$C18)/$E18),-0.00001)</f>
        <v>4.4545454545454541</v>
      </c>
      <c r="P18" s="186">
        <f t="shared" si="0"/>
        <v>0.28571428571428575</v>
      </c>
      <c r="Q18" s="194">
        <f>IFERROR(IF($C18="",-0.00001,SUMIFS(Database!S:S,Database!$E:$E,$C18)/$E18),-0.00001)</f>
        <v>4.5454545454545459</v>
      </c>
      <c r="R18" s="194">
        <f>IFERROR(IF($C18="",-0.00001,SUMIFS(Database!T:T,Database!$E:$E,$C18)/$E18),-0.00001)</f>
        <v>12.909090909090908</v>
      </c>
      <c r="S18" s="186">
        <f t="shared" si="1"/>
        <v>0.35211267605633806</v>
      </c>
      <c r="T18" s="194">
        <f>IFERROR(IF($C18="",-0.00001,SUMIFS(Database!V:V,Database!$E:$E,$C18)/$E18),-0.00001)</f>
        <v>1.4545454545454546</v>
      </c>
      <c r="U18" s="194">
        <f>IFERROR(IF($C18="",-0.00001,SUMIFS(Database!W:W,Database!$E:$E,$C18)/$E18),-0.00001)</f>
        <v>2.1818181818181817</v>
      </c>
      <c r="V18" s="186">
        <f t="shared" si="2"/>
        <v>0.66666666666666674</v>
      </c>
      <c r="W18" s="187"/>
      <c r="X18" s="187"/>
      <c r="Y18" s="187"/>
      <c r="Z18" s="187"/>
      <c r="AA18" s="187"/>
      <c r="AB18" s="187"/>
      <c r="AC18" s="187"/>
      <c r="AD18" s="187"/>
      <c r="AE18" s="187"/>
    </row>
    <row r="19" spans="1:31" x14ac:dyDescent="0.25">
      <c r="A19" s="187"/>
      <c r="B19" s="187">
        <f>IF($C19="","",MAX($B$4:$B18)+1)</f>
        <v>16</v>
      </c>
      <c r="C19" s="183" t="s">
        <v>3</v>
      </c>
      <c r="D19" s="183" t="str">
        <f>IFERROR(VLOOKUP($C19,Rosters!$C$4:$M$239,INDEX(Lists!$N$5:$O$80,MATCH($C19,Lists!$N$5:$N$80,FALSE),2)),"")</f>
        <v>Mustangs</v>
      </c>
      <c r="E19" s="185">
        <f>IF($C19="",-0.00001,COUNTIF(Database!E:E,$C19))</f>
        <v>3</v>
      </c>
      <c r="F19" s="194">
        <f>IFERROR(IF($C19="",-0.00001,SUMIFS(Database!H:H,Database!$E:$E,$C19)/$E19),-0.00001)</f>
        <v>11.666666666666666</v>
      </c>
      <c r="G19" s="194">
        <f>IFERROR(IF($C19="",-0.00001,SUMIFS(Database!I:I,Database!$E:$E,$C19)/$E19),-0.00001)</f>
        <v>5.333333333333333</v>
      </c>
      <c r="H19" s="194">
        <f>IFERROR(IF($C19="",-0.00001,SUMIFS(Database!J:J,Database!$E:$E,$C19)/$E19),-0.00001)</f>
        <v>2</v>
      </c>
      <c r="I19" s="194">
        <f>IFERROR(IF($C19="",-0.00001,SUMIFS(Database!K:K,Database!$E:$E,$C19)/$E19),-0.00001)</f>
        <v>2.3333333333333335</v>
      </c>
      <c r="J19" s="194">
        <f>IFERROR(IF($C19="",-0.00001,SUMIFS(Database!L:L,Database!$E:$E,$C19)/$E19),-0.00001)</f>
        <v>0.33333333333333331</v>
      </c>
      <c r="K19" s="194">
        <f>IFERROR(IF($C19="",-0.00001,SUMIFS(Database!M:M,Database!$E:$E,$C19)/$E19),-0.00001)</f>
        <v>1.3333333333333333</v>
      </c>
      <c r="L19" s="194">
        <f>IFERROR(IF($C19="",-0.00001,SUMIFS(Database!N:N,Database!$E:$E,$C19)/$E19),-0.00001)</f>
        <v>0.33333333333333331</v>
      </c>
      <c r="M19" s="194">
        <f>IFERROR(IF($C19="",-0.00001,SUMIFS(Database!O:O,Database!$E:$E,$C19)/$E19),-0.00001)</f>
        <v>3.6666666666666665</v>
      </c>
      <c r="N19" s="194">
        <f>IFERROR(IF($C19="",-0.00001,SUMIFS(Database!P:P,Database!$E:$E,$C19)/$E19),-0.00001)</f>
        <v>1.6666666666666667</v>
      </c>
      <c r="O19" s="194">
        <f>IFERROR(IF($C19="",-0.00001,SUMIFS(Database!Q:Q,Database!$E:$E,$C19)/$E19),-0.00001)</f>
        <v>8</v>
      </c>
      <c r="P19" s="186">
        <f t="shared" si="0"/>
        <v>0.20833333333333334</v>
      </c>
      <c r="Q19" s="194">
        <f>IFERROR(IF($C19="",-0.00001,SUMIFS(Database!S:S,Database!$E:$E,$C19)/$E19),-0.00001)</f>
        <v>5</v>
      </c>
      <c r="R19" s="194">
        <f>IFERROR(IF($C19="",-0.00001,SUMIFS(Database!T:T,Database!$E:$E,$C19)/$E19),-0.00001)</f>
        <v>14</v>
      </c>
      <c r="S19" s="186">
        <f t="shared" si="1"/>
        <v>0.35714285714285715</v>
      </c>
      <c r="T19" s="194">
        <f>IFERROR(IF($C19="",-0.00001,SUMIFS(Database!V:V,Database!$E:$E,$C19)/$E19),-0.00001)</f>
        <v>0</v>
      </c>
      <c r="U19" s="194">
        <f>IFERROR(IF($C19="",-0.00001,SUMIFS(Database!W:W,Database!$E:$E,$C19)/$E19),-0.00001)</f>
        <v>0</v>
      </c>
      <c r="V19" s="186">
        <f t="shared" si="2"/>
        <v>-1.0000000000000001E-5</v>
      </c>
      <c r="W19" s="187"/>
      <c r="X19" s="187"/>
      <c r="Y19" s="187"/>
      <c r="Z19" s="187"/>
      <c r="AA19" s="187"/>
      <c r="AB19" s="187"/>
      <c r="AC19" s="187"/>
      <c r="AD19" s="187"/>
      <c r="AE19" s="187"/>
    </row>
    <row r="20" spans="1:31" x14ac:dyDescent="0.25">
      <c r="A20" s="187"/>
      <c r="B20" s="187">
        <f>IF($C20="","",MAX($B$4:$B19)+1)</f>
        <v>17</v>
      </c>
      <c r="C20" s="183" t="s">
        <v>27</v>
      </c>
      <c r="D20" s="183" t="str">
        <f>IFERROR(VLOOKUP($C20,Rosters!$C$4:$M$239,INDEX(Lists!$N$5:$O$80,MATCH($C20,Lists!$N$5:$N$80,FALSE),2)),"")</f>
        <v>Hoopers</v>
      </c>
      <c r="E20" s="185">
        <f>IF($C20="",-0.00001,COUNTIF(Database!E:E,$C20))</f>
        <v>11</v>
      </c>
      <c r="F20" s="194">
        <f>IFERROR(IF($C20="",-0.00001,SUMIFS(Database!H:H,Database!$E:$E,$C20)/$E20),-0.00001)</f>
        <v>11.636363636363637</v>
      </c>
      <c r="G20" s="194">
        <f>IFERROR(IF($C20="",-0.00001,SUMIFS(Database!I:I,Database!$E:$E,$C20)/$E20),-0.00001)</f>
        <v>4.9090909090909092</v>
      </c>
      <c r="H20" s="194">
        <f>IFERROR(IF($C20="",-0.00001,SUMIFS(Database!J:J,Database!$E:$E,$C20)/$E20),-0.00001)</f>
        <v>1.2727272727272727</v>
      </c>
      <c r="I20" s="194">
        <f>IFERROR(IF($C20="",-0.00001,SUMIFS(Database!K:K,Database!$E:$E,$C20)/$E20),-0.00001)</f>
        <v>1.5454545454545454</v>
      </c>
      <c r="J20" s="194">
        <f>IFERROR(IF($C20="",-0.00001,SUMIFS(Database!L:L,Database!$E:$E,$C20)/$E20),-0.00001)</f>
        <v>0.18181818181818182</v>
      </c>
      <c r="K20" s="194">
        <f>IFERROR(IF($C20="",-0.00001,SUMIFS(Database!M:M,Database!$E:$E,$C20)/$E20),-0.00001)</f>
        <v>2.0909090909090908</v>
      </c>
      <c r="L20" s="194">
        <f>IFERROR(IF($C20="",-0.00001,SUMIFS(Database!N:N,Database!$E:$E,$C20)/$E20),-0.00001)</f>
        <v>2</v>
      </c>
      <c r="M20" s="194">
        <f>IFERROR(IF($C20="",-0.00001,SUMIFS(Database!O:O,Database!$E:$E,$C20)/$E20),-0.00001)</f>
        <v>2.9090909090909092</v>
      </c>
      <c r="N20" s="194">
        <f>IFERROR(IF($C20="",-0.00001,SUMIFS(Database!P:P,Database!$E:$E,$C20)/$E20),-0.00001)</f>
        <v>1.0909090909090908</v>
      </c>
      <c r="O20" s="194">
        <f>IFERROR(IF($C20="",-0.00001,SUMIFS(Database!Q:Q,Database!$E:$E,$C20)/$E20),-0.00001)</f>
        <v>5.7272727272727275</v>
      </c>
      <c r="P20" s="186">
        <f t="shared" si="0"/>
        <v>0.19047619047619047</v>
      </c>
      <c r="Q20" s="194">
        <f>IFERROR(IF($C20="",-0.00001,SUMIFS(Database!S:S,Database!$E:$E,$C20)/$E20),-0.00001)</f>
        <v>5</v>
      </c>
      <c r="R20" s="194">
        <f>IFERROR(IF($C20="",-0.00001,SUMIFS(Database!T:T,Database!$E:$E,$C20)/$E20),-0.00001)</f>
        <v>17.09090909090909</v>
      </c>
      <c r="S20" s="186">
        <f t="shared" si="1"/>
        <v>0.29255319148936171</v>
      </c>
      <c r="T20" s="194">
        <f>IFERROR(IF($C20="",-0.00001,SUMIFS(Database!V:V,Database!$E:$E,$C20)/$E20),-0.00001)</f>
        <v>0.54545454545454541</v>
      </c>
      <c r="U20" s="194">
        <f>IFERROR(IF($C20="",-0.00001,SUMIFS(Database!W:W,Database!$E:$E,$C20)/$E20),-0.00001)</f>
        <v>1.3636363636363635</v>
      </c>
      <c r="V20" s="186">
        <f t="shared" si="2"/>
        <v>0.4</v>
      </c>
      <c r="W20" s="187"/>
      <c r="X20" s="187"/>
      <c r="Y20" s="187"/>
      <c r="Z20" s="187"/>
      <c r="AA20" s="187"/>
      <c r="AB20" s="187"/>
      <c r="AC20" s="187"/>
      <c r="AD20" s="187"/>
      <c r="AE20" s="187"/>
    </row>
    <row r="21" spans="1:31" x14ac:dyDescent="0.25">
      <c r="A21" s="187"/>
      <c r="B21" s="187">
        <f>IF($C21="","",MAX($B$4:$B20)+1)</f>
        <v>18</v>
      </c>
      <c r="C21" s="183" t="s">
        <v>16</v>
      </c>
      <c r="D21" s="183" t="str">
        <f>IFERROR(VLOOKUP($C21,Rosters!$C$4:$M$239,INDEX(Lists!$N$5:$O$80,MATCH($C21,Lists!$N$5:$N$80,FALSE),2)),"")</f>
        <v>Pistons</v>
      </c>
      <c r="E21" s="185">
        <f>IF($C21="",-0.00001,COUNTIF(Database!E:E,$C21))</f>
        <v>7</v>
      </c>
      <c r="F21" s="194">
        <f>IFERROR(IF($C21="",-0.00001,SUMIFS(Database!H:H,Database!$E:$E,$C21)/$E21),-0.00001)</f>
        <v>10.285714285714286</v>
      </c>
      <c r="G21" s="194">
        <f>IFERROR(IF($C21="",-0.00001,SUMIFS(Database!I:I,Database!$E:$E,$C21)/$E21),-0.00001)</f>
        <v>6</v>
      </c>
      <c r="H21" s="194">
        <f>IFERROR(IF($C21="",-0.00001,SUMIFS(Database!J:J,Database!$E:$E,$C21)/$E21),-0.00001)</f>
        <v>1.2857142857142858</v>
      </c>
      <c r="I21" s="194">
        <f>IFERROR(IF($C21="",-0.00001,SUMIFS(Database!K:K,Database!$E:$E,$C21)/$E21),-0.00001)</f>
        <v>1.1428571428571428</v>
      </c>
      <c r="J21" s="194">
        <f>IFERROR(IF($C21="",-0.00001,SUMIFS(Database!L:L,Database!$E:$E,$C21)/$E21),-0.00001)</f>
        <v>1</v>
      </c>
      <c r="K21" s="194">
        <f>IFERROR(IF($C21="",-0.00001,SUMIFS(Database!M:M,Database!$E:$E,$C21)/$E21),-0.00001)</f>
        <v>1.1428571428571428</v>
      </c>
      <c r="L21" s="194">
        <f>IFERROR(IF($C21="",-0.00001,SUMIFS(Database!N:N,Database!$E:$E,$C21)/$E21),-0.00001)</f>
        <v>1.7142857142857142</v>
      </c>
      <c r="M21" s="194">
        <f>IFERROR(IF($C21="",-0.00001,SUMIFS(Database!O:O,Database!$E:$E,$C21)/$E21),-0.00001)</f>
        <v>4.2857142857142856</v>
      </c>
      <c r="N21" s="194">
        <f>IFERROR(IF($C21="",-0.00001,SUMIFS(Database!P:P,Database!$E:$E,$C21)/$E21),-0.00001)</f>
        <v>1</v>
      </c>
      <c r="O21" s="194">
        <f>IFERROR(IF($C21="",-0.00001,SUMIFS(Database!Q:Q,Database!$E:$E,$C21)/$E21),-0.00001)</f>
        <v>2.8571428571428572</v>
      </c>
      <c r="P21" s="186">
        <f t="shared" si="0"/>
        <v>0.35</v>
      </c>
      <c r="Q21" s="194">
        <f>IFERROR(IF($C21="",-0.00001,SUMIFS(Database!S:S,Database!$E:$E,$C21)/$E21),-0.00001)</f>
        <v>4.1428571428571432</v>
      </c>
      <c r="R21" s="194">
        <f>IFERROR(IF($C21="",-0.00001,SUMIFS(Database!T:T,Database!$E:$E,$C21)/$E21),-0.00001)</f>
        <v>8.8571428571428577</v>
      </c>
      <c r="S21" s="186">
        <f t="shared" si="1"/>
        <v>0.467741935483871</v>
      </c>
      <c r="T21" s="194">
        <f>IFERROR(IF($C21="",-0.00001,SUMIFS(Database!V:V,Database!$E:$E,$C21)/$E21),-0.00001)</f>
        <v>0.7142857142857143</v>
      </c>
      <c r="U21" s="194">
        <f>IFERROR(IF($C21="",-0.00001,SUMIFS(Database!W:W,Database!$E:$E,$C21)/$E21),-0.00001)</f>
        <v>1.1428571428571428</v>
      </c>
      <c r="V21" s="186">
        <f t="shared" si="2"/>
        <v>0.625</v>
      </c>
      <c r="W21" s="187"/>
      <c r="X21" s="187"/>
      <c r="Y21" s="187"/>
      <c r="Z21" s="187"/>
      <c r="AA21" s="187"/>
      <c r="AB21" s="187"/>
      <c r="AC21" s="187"/>
      <c r="AD21" s="187"/>
      <c r="AE21" s="187"/>
    </row>
    <row r="22" spans="1:31" x14ac:dyDescent="0.25">
      <c r="A22" s="187"/>
      <c r="B22" s="187">
        <f>IF($C22="","",MAX($B$4:$B21)+1)</f>
        <v>19</v>
      </c>
      <c r="C22" s="183" t="s">
        <v>13</v>
      </c>
      <c r="D22" s="183" t="str">
        <f>IFERROR(VLOOKUP($C22,Rosters!$C$4:$M$239,INDEX(Lists!$N$5:$O$80,MATCH($C22,Lists!$N$5:$N$80,FALSE),2)),"")</f>
        <v>Pistons</v>
      </c>
      <c r="E22" s="185">
        <f>IF($C22="",-0.00001,COUNTIF(Database!E:E,$C22))</f>
        <v>12</v>
      </c>
      <c r="F22" s="194">
        <f>IFERROR(IF($C22="",-0.00001,SUMIFS(Database!H:H,Database!$E:$E,$C22)/$E22),-0.00001)</f>
        <v>9.9166666666666661</v>
      </c>
      <c r="G22" s="194">
        <f>IFERROR(IF($C22="",-0.00001,SUMIFS(Database!I:I,Database!$E:$E,$C22)/$E22),-0.00001)</f>
        <v>3.8333333333333335</v>
      </c>
      <c r="H22" s="194">
        <f>IFERROR(IF($C22="",-0.00001,SUMIFS(Database!J:J,Database!$E:$E,$C22)/$E22),-0.00001)</f>
        <v>1.9166666666666667</v>
      </c>
      <c r="I22" s="194">
        <f>IFERROR(IF($C22="",-0.00001,SUMIFS(Database!K:K,Database!$E:$E,$C22)/$E22),-0.00001)</f>
        <v>1.1666666666666667</v>
      </c>
      <c r="J22" s="194">
        <f>IFERROR(IF($C22="",-0.00001,SUMIFS(Database!L:L,Database!$E:$E,$C22)/$E22),-0.00001)</f>
        <v>0</v>
      </c>
      <c r="K22" s="194">
        <f>IFERROR(IF($C22="",-0.00001,SUMIFS(Database!M:M,Database!$E:$E,$C22)/$E22),-0.00001)</f>
        <v>3.4166666666666665</v>
      </c>
      <c r="L22" s="194">
        <f>IFERROR(IF($C22="",-0.00001,SUMIFS(Database!N:N,Database!$E:$E,$C22)/$E22),-0.00001)</f>
        <v>0.91666666666666663</v>
      </c>
      <c r="M22" s="194">
        <f>IFERROR(IF($C22="",-0.00001,SUMIFS(Database!O:O,Database!$E:$E,$C22)/$E22),-0.00001)</f>
        <v>2.9166666666666665</v>
      </c>
      <c r="N22" s="194">
        <f>IFERROR(IF($C22="",-0.00001,SUMIFS(Database!P:P,Database!$E:$E,$C22)/$E22),-0.00001)</f>
        <v>0.83333333333333337</v>
      </c>
      <c r="O22" s="194">
        <f>IFERROR(IF($C22="",-0.00001,SUMIFS(Database!Q:Q,Database!$E:$E,$C22)/$E22),-0.00001)</f>
        <v>2.75</v>
      </c>
      <c r="P22" s="186">
        <f t="shared" si="0"/>
        <v>0.30303030303030304</v>
      </c>
      <c r="Q22" s="194">
        <f>IFERROR(IF($C22="",-0.00001,SUMIFS(Database!S:S,Database!$E:$E,$C22)/$E22),-0.00001)</f>
        <v>4.166666666666667</v>
      </c>
      <c r="R22" s="194">
        <f>IFERROR(IF($C22="",-0.00001,SUMIFS(Database!T:T,Database!$E:$E,$C22)/$E22),-0.00001)</f>
        <v>12.916666666666666</v>
      </c>
      <c r="S22" s="186">
        <f t="shared" si="1"/>
        <v>0.32258064516129037</v>
      </c>
      <c r="T22" s="194">
        <f>IFERROR(IF($C22="",-0.00001,SUMIFS(Database!V:V,Database!$E:$E,$C22)/$E22),-0.00001)</f>
        <v>0.75</v>
      </c>
      <c r="U22" s="194">
        <f>IFERROR(IF($C22="",-0.00001,SUMIFS(Database!W:W,Database!$E:$E,$C22)/$E22),-0.00001)</f>
        <v>1.25</v>
      </c>
      <c r="V22" s="186">
        <f t="shared" si="2"/>
        <v>0.6</v>
      </c>
      <c r="W22" s="187"/>
      <c r="X22" s="187"/>
      <c r="Y22" s="187"/>
      <c r="Z22" s="187"/>
      <c r="AA22" s="187"/>
      <c r="AB22" s="187"/>
      <c r="AC22" s="187"/>
      <c r="AD22" s="187"/>
      <c r="AE22" s="187"/>
    </row>
    <row r="23" spans="1:31" x14ac:dyDescent="0.25">
      <c r="A23" s="187"/>
      <c r="B23" s="187">
        <f>IF($C23="","",MAX($B$4:$B22)+1)</f>
        <v>20</v>
      </c>
      <c r="C23" s="183" t="s">
        <v>23</v>
      </c>
      <c r="D23" s="183" t="str">
        <f>IFERROR(VLOOKUP($C23,Rosters!$C$4:$M$239,INDEX(Lists!$N$5:$O$80,MATCH($C23,Lists!$N$5:$N$80,FALSE),2)),"")</f>
        <v>Lightning</v>
      </c>
      <c r="E23" s="185">
        <f>IF($C23="",-0.00001,COUNTIF(Database!E:E,$C23))</f>
        <v>4</v>
      </c>
      <c r="F23" s="194">
        <f>IFERROR(IF($C23="",-0.00001,SUMIFS(Database!H:H,Database!$E:$E,$C23)/$E23),-0.00001)</f>
        <v>9.25</v>
      </c>
      <c r="G23" s="194">
        <f>IFERROR(IF($C23="",-0.00001,SUMIFS(Database!I:I,Database!$E:$E,$C23)/$E23),-0.00001)</f>
        <v>5.25</v>
      </c>
      <c r="H23" s="194">
        <f>IFERROR(IF($C23="",-0.00001,SUMIFS(Database!J:J,Database!$E:$E,$C23)/$E23),-0.00001)</f>
        <v>2.75</v>
      </c>
      <c r="I23" s="194">
        <f>IFERROR(IF($C23="",-0.00001,SUMIFS(Database!K:K,Database!$E:$E,$C23)/$E23),-0.00001)</f>
        <v>2</v>
      </c>
      <c r="J23" s="194">
        <f>IFERROR(IF($C23="",-0.00001,SUMIFS(Database!L:L,Database!$E:$E,$C23)/$E23),-0.00001)</f>
        <v>0</v>
      </c>
      <c r="K23" s="194">
        <f>IFERROR(IF($C23="",-0.00001,SUMIFS(Database!M:M,Database!$E:$E,$C23)/$E23),-0.00001)</f>
        <v>2.25</v>
      </c>
      <c r="L23" s="194">
        <f>IFERROR(IF($C23="",-0.00001,SUMIFS(Database!N:N,Database!$E:$E,$C23)/$E23),-0.00001)</f>
        <v>1</v>
      </c>
      <c r="M23" s="194">
        <f>IFERROR(IF($C23="",-0.00001,SUMIFS(Database!O:O,Database!$E:$E,$C23)/$E23),-0.00001)</f>
        <v>4.25</v>
      </c>
      <c r="N23" s="194">
        <f>IFERROR(IF($C23="",-0.00001,SUMIFS(Database!P:P,Database!$E:$E,$C23)/$E23),-0.00001)</f>
        <v>1.25</v>
      </c>
      <c r="O23" s="194">
        <f>IFERROR(IF($C23="",-0.00001,SUMIFS(Database!Q:Q,Database!$E:$E,$C23)/$E23),-0.00001)</f>
        <v>4.75</v>
      </c>
      <c r="P23" s="186">
        <f t="shared" si="0"/>
        <v>0.26315789473684209</v>
      </c>
      <c r="Q23" s="194">
        <f>IFERROR(IF($C23="",-0.00001,SUMIFS(Database!S:S,Database!$E:$E,$C23)/$E23),-0.00001)</f>
        <v>4</v>
      </c>
      <c r="R23" s="194">
        <f>IFERROR(IF($C23="",-0.00001,SUMIFS(Database!T:T,Database!$E:$E,$C23)/$E23),-0.00001)</f>
        <v>10.25</v>
      </c>
      <c r="S23" s="186">
        <f t="shared" si="1"/>
        <v>0.3902439024390244</v>
      </c>
      <c r="T23" s="194">
        <f>IFERROR(IF($C23="",-0.00001,SUMIFS(Database!V:V,Database!$E:$E,$C23)/$E23),-0.00001)</f>
        <v>0</v>
      </c>
      <c r="U23" s="194">
        <f>IFERROR(IF($C23="",-0.00001,SUMIFS(Database!W:W,Database!$E:$E,$C23)/$E23),-0.00001)</f>
        <v>0</v>
      </c>
      <c r="V23" s="186">
        <f t="shared" si="2"/>
        <v>-1.0000000000000001E-5</v>
      </c>
      <c r="W23" s="187"/>
      <c r="X23" s="187"/>
      <c r="Y23" s="187"/>
      <c r="Z23" s="187"/>
      <c r="AA23" s="187"/>
      <c r="AB23" s="187"/>
      <c r="AC23" s="187"/>
      <c r="AD23" s="187"/>
      <c r="AE23" s="187"/>
    </row>
    <row r="24" spans="1:31" x14ac:dyDescent="0.25">
      <c r="A24" s="187"/>
      <c r="B24" s="187">
        <f>IF($C24="","",MAX($B$4:$B23)+1)</f>
        <v>21</v>
      </c>
      <c r="C24" s="183" t="s">
        <v>21</v>
      </c>
      <c r="D24" s="183" t="str">
        <f>IFERROR(VLOOKUP($C24,Rosters!$C$4:$M$239,INDEX(Lists!$N$5:$O$80,MATCH($C24,Lists!$N$5:$N$80,FALSE),2)),"")</f>
        <v>Lightning</v>
      </c>
      <c r="E24" s="185">
        <f>IF($C24="",-0.00001,COUNTIF(Database!E:E,$C24))</f>
        <v>4</v>
      </c>
      <c r="F24" s="194">
        <f>IFERROR(IF($C24="",-0.00001,SUMIFS(Database!H:H,Database!$E:$E,$C24)/$E24),-0.00001)</f>
        <v>9</v>
      </c>
      <c r="G24" s="194">
        <f>IFERROR(IF($C24="",-0.00001,SUMIFS(Database!I:I,Database!$E:$E,$C24)/$E24),-0.00001)</f>
        <v>7</v>
      </c>
      <c r="H24" s="194">
        <f>IFERROR(IF($C24="",-0.00001,SUMIFS(Database!J:J,Database!$E:$E,$C24)/$E24),-0.00001)</f>
        <v>0.5</v>
      </c>
      <c r="I24" s="194">
        <f>IFERROR(IF($C24="",-0.00001,SUMIFS(Database!K:K,Database!$E:$E,$C24)/$E24),-0.00001)</f>
        <v>0.5</v>
      </c>
      <c r="J24" s="194">
        <f>IFERROR(IF($C24="",-0.00001,SUMIFS(Database!L:L,Database!$E:$E,$C24)/$E24),-0.00001)</f>
        <v>0</v>
      </c>
      <c r="K24" s="194">
        <f>IFERROR(IF($C24="",-0.00001,SUMIFS(Database!M:M,Database!$E:$E,$C24)/$E24),-0.00001)</f>
        <v>1</v>
      </c>
      <c r="L24" s="194">
        <f>IFERROR(IF($C24="",-0.00001,SUMIFS(Database!N:N,Database!$E:$E,$C24)/$E24),-0.00001)</f>
        <v>2.5</v>
      </c>
      <c r="M24" s="194">
        <f>IFERROR(IF($C24="",-0.00001,SUMIFS(Database!O:O,Database!$E:$E,$C24)/$E24),-0.00001)</f>
        <v>4.5</v>
      </c>
      <c r="N24" s="194">
        <f>IFERROR(IF($C24="",-0.00001,SUMIFS(Database!P:P,Database!$E:$E,$C24)/$E24),-0.00001)</f>
        <v>0.25</v>
      </c>
      <c r="O24" s="194">
        <f>IFERROR(IF($C24="",-0.00001,SUMIFS(Database!Q:Q,Database!$E:$E,$C24)/$E24),-0.00001)</f>
        <v>1.25</v>
      </c>
      <c r="P24" s="186">
        <f t="shared" si="0"/>
        <v>0.2</v>
      </c>
      <c r="Q24" s="194">
        <f>IFERROR(IF($C24="",-0.00001,SUMIFS(Database!S:S,Database!$E:$E,$C24)/$E24),-0.00001)</f>
        <v>4</v>
      </c>
      <c r="R24" s="194">
        <f>IFERROR(IF($C24="",-0.00001,SUMIFS(Database!T:T,Database!$E:$E,$C24)/$E24),-0.00001)</f>
        <v>12.25</v>
      </c>
      <c r="S24" s="186">
        <f t="shared" si="1"/>
        <v>0.32653061224489793</v>
      </c>
      <c r="T24" s="194">
        <f>IFERROR(IF($C24="",-0.00001,SUMIFS(Database!V:V,Database!$E:$E,$C24)/$E24),-0.00001)</f>
        <v>0.75</v>
      </c>
      <c r="U24" s="194">
        <f>IFERROR(IF($C24="",-0.00001,SUMIFS(Database!W:W,Database!$E:$E,$C24)/$E24),-0.00001)</f>
        <v>0.75</v>
      </c>
      <c r="V24" s="186">
        <f t="shared" si="2"/>
        <v>1</v>
      </c>
      <c r="W24" s="187"/>
      <c r="X24" s="187"/>
      <c r="Y24" s="187"/>
      <c r="Z24" s="187"/>
      <c r="AA24" s="187"/>
      <c r="AB24" s="187"/>
      <c r="AC24" s="187"/>
      <c r="AD24" s="187"/>
      <c r="AE24" s="187"/>
    </row>
    <row r="25" spans="1:31" x14ac:dyDescent="0.25">
      <c r="A25" s="187"/>
      <c r="B25" s="187">
        <f>IF($C25="","",MAX($B$4:$B24)+1)</f>
        <v>22</v>
      </c>
      <c r="C25" s="183" t="s">
        <v>25</v>
      </c>
      <c r="D25" s="183" t="str">
        <f>IFERROR(VLOOKUP($C25,Rosters!$C$4:$M$239,INDEX(Lists!$N$5:$O$80,MATCH($C25,Lists!$N$5:$N$80,FALSE),2)),"")</f>
        <v>Hoopers</v>
      </c>
      <c r="E25" s="185">
        <f>IF($C25="",-0.00001,COUNTIF(Database!E:E,$C25))</f>
        <v>11</v>
      </c>
      <c r="F25" s="194">
        <f>IFERROR(IF($C25="",-0.00001,SUMIFS(Database!H:H,Database!$E:$E,$C25)/$E25),-0.00001)</f>
        <v>7.9090909090909092</v>
      </c>
      <c r="G25" s="194">
        <f>IFERROR(IF($C25="",-0.00001,SUMIFS(Database!I:I,Database!$E:$E,$C25)/$E25),-0.00001)</f>
        <v>6.6363636363636367</v>
      </c>
      <c r="H25" s="194">
        <f>IFERROR(IF($C25="",-0.00001,SUMIFS(Database!J:J,Database!$E:$E,$C25)/$E25),-0.00001)</f>
        <v>1.8181818181818181</v>
      </c>
      <c r="I25" s="194">
        <f>IFERROR(IF($C25="",-0.00001,SUMIFS(Database!K:K,Database!$E:$E,$C25)/$E25),-0.00001)</f>
        <v>2.3636363636363638</v>
      </c>
      <c r="J25" s="194">
        <f>IFERROR(IF($C25="",-0.00001,SUMIFS(Database!L:L,Database!$E:$E,$C25)/$E25),-0.00001)</f>
        <v>9.0909090909090912E-2</v>
      </c>
      <c r="K25" s="194">
        <f>IFERROR(IF($C25="",-0.00001,SUMIFS(Database!M:M,Database!$E:$E,$C25)/$E25),-0.00001)</f>
        <v>0.90909090909090906</v>
      </c>
      <c r="L25" s="194">
        <f>IFERROR(IF($C25="",-0.00001,SUMIFS(Database!N:N,Database!$E:$E,$C25)/$E25),-0.00001)</f>
        <v>0.45454545454545453</v>
      </c>
      <c r="M25" s="194">
        <f>IFERROR(IF($C25="",-0.00001,SUMIFS(Database!O:O,Database!$E:$E,$C25)/$E25),-0.00001)</f>
        <v>6.0909090909090908</v>
      </c>
      <c r="N25" s="194">
        <f>IFERROR(IF($C25="",-0.00001,SUMIFS(Database!P:P,Database!$E:$E,$C25)/$E25),-0.00001)</f>
        <v>1.2727272727272727</v>
      </c>
      <c r="O25" s="194">
        <f>IFERROR(IF($C25="",-0.00001,SUMIFS(Database!Q:Q,Database!$E:$E,$C25)/$E25),-0.00001)</f>
        <v>3.0909090909090908</v>
      </c>
      <c r="P25" s="186">
        <f t="shared" si="0"/>
        <v>0.41176470588235292</v>
      </c>
      <c r="Q25" s="194">
        <f>IFERROR(IF($C25="",-0.00001,SUMIFS(Database!S:S,Database!$E:$E,$C25)/$E25),-0.00001)</f>
        <v>3</v>
      </c>
      <c r="R25" s="194">
        <f>IFERROR(IF($C25="",-0.00001,SUMIFS(Database!T:T,Database!$E:$E,$C25)/$E25),-0.00001)</f>
        <v>7.7272727272727275</v>
      </c>
      <c r="S25" s="186">
        <f t="shared" si="1"/>
        <v>0.38823529411764707</v>
      </c>
      <c r="T25" s="194">
        <f>IFERROR(IF($C25="",-0.00001,SUMIFS(Database!V:V,Database!$E:$E,$C25)/$E25),-0.00001)</f>
        <v>0.72727272727272729</v>
      </c>
      <c r="U25" s="194">
        <f>IFERROR(IF($C25="",-0.00001,SUMIFS(Database!W:W,Database!$E:$E,$C25)/$E25),-0.00001)</f>
        <v>1.6363636363636365</v>
      </c>
      <c r="V25" s="186">
        <f t="shared" si="2"/>
        <v>0.44444444444444442</v>
      </c>
      <c r="W25" s="187"/>
      <c r="X25" s="187"/>
      <c r="Y25" s="187"/>
      <c r="Z25" s="187"/>
      <c r="AA25" s="187"/>
      <c r="AB25" s="187"/>
      <c r="AC25" s="187"/>
      <c r="AD25" s="187"/>
      <c r="AE25" s="187"/>
    </row>
    <row r="26" spans="1:31" x14ac:dyDescent="0.25">
      <c r="A26" s="187"/>
      <c r="B26" s="187">
        <f>IF($C26="","",MAX($B$4:$B25)+1)</f>
        <v>23</v>
      </c>
      <c r="C26" s="183" t="s">
        <v>5</v>
      </c>
      <c r="D26" s="183" t="str">
        <f>IFERROR(VLOOKUP($C26,Rosters!$C$4:$M$239,INDEX(Lists!$N$5:$O$80,MATCH($C26,Lists!$N$5:$N$80,FALSE),2)),"")</f>
        <v>Mustangs</v>
      </c>
      <c r="E26" s="185">
        <f>IF($C26="",-0.00001,COUNTIF(Database!E:E,$C26))</f>
        <v>4</v>
      </c>
      <c r="F26" s="194">
        <f>IFERROR(IF($C26="",-0.00001,SUMIFS(Database!H:H,Database!$E:$E,$C26)/$E26),-0.00001)</f>
        <v>7.5</v>
      </c>
      <c r="G26" s="194">
        <f>IFERROR(IF($C26="",-0.00001,SUMIFS(Database!I:I,Database!$E:$E,$C26)/$E26),-0.00001)</f>
        <v>4.25</v>
      </c>
      <c r="H26" s="194">
        <f>IFERROR(IF($C26="",-0.00001,SUMIFS(Database!J:J,Database!$E:$E,$C26)/$E26),-0.00001)</f>
        <v>0</v>
      </c>
      <c r="I26" s="194">
        <f>IFERROR(IF($C26="",-0.00001,SUMIFS(Database!K:K,Database!$E:$E,$C26)/$E26),-0.00001)</f>
        <v>1.5</v>
      </c>
      <c r="J26" s="194">
        <f>IFERROR(IF($C26="",-0.00001,SUMIFS(Database!L:L,Database!$E:$E,$C26)/$E26),-0.00001)</f>
        <v>0.75</v>
      </c>
      <c r="K26" s="194">
        <f>IFERROR(IF($C26="",-0.00001,SUMIFS(Database!M:M,Database!$E:$E,$C26)/$E26),-0.00001)</f>
        <v>0.5</v>
      </c>
      <c r="L26" s="194">
        <f>IFERROR(IF($C26="",-0.00001,SUMIFS(Database!N:N,Database!$E:$E,$C26)/$E26),-0.00001)</f>
        <v>0.75</v>
      </c>
      <c r="M26" s="194">
        <f>IFERROR(IF($C26="",-0.00001,SUMIFS(Database!O:O,Database!$E:$E,$C26)/$E26),-0.00001)</f>
        <v>2.5</v>
      </c>
      <c r="N26" s="194">
        <f>IFERROR(IF($C26="",-0.00001,SUMIFS(Database!P:P,Database!$E:$E,$C26)/$E26),-0.00001)</f>
        <v>0.5</v>
      </c>
      <c r="O26" s="194">
        <f>IFERROR(IF($C26="",-0.00001,SUMIFS(Database!Q:Q,Database!$E:$E,$C26)/$E26),-0.00001)</f>
        <v>2</v>
      </c>
      <c r="P26" s="186">
        <f t="shared" si="0"/>
        <v>0.25</v>
      </c>
      <c r="Q26" s="194">
        <f>IFERROR(IF($C26="",-0.00001,SUMIFS(Database!S:S,Database!$E:$E,$C26)/$E26),-0.00001)</f>
        <v>3</v>
      </c>
      <c r="R26" s="194">
        <f>IFERROR(IF($C26="",-0.00001,SUMIFS(Database!T:T,Database!$E:$E,$C26)/$E26),-0.00001)</f>
        <v>7</v>
      </c>
      <c r="S26" s="186">
        <f t="shared" si="1"/>
        <v>0.42857142857142855</v>
      </c>
      <c r="T26" s="194">
        <f>IFERROR(IF($C26="",-0.00001,SUMIFS(Database!V:V,Database!$E:$E,$C26)/$E26),-0.00001)</f>
        <v>1</v>
      </c>
      <c r="U26" s="194">
        <f>IFERROR(IF($C26="",-0.00001,SUMIFS(Database!W:W,Database!$E:$E,$C26)/$E26),-0.00001)</f>
        <v>1.25</v>
      </c>
      <c r="V26" s="186">
        <f t="shared" si="2"/>
        <v>0.8</v>
      </c>
      <c r="W26" s="187"/>
      <c r="X26" s="187"/>
      <c r="Y26" s="187"/>
      <c r="Z26" s="187"/>
      <c r="AA26" s="187"/>
      <c r="AB26" s="187"/>
      <c r="AC26" s="187"/>
      <c r="AD26" s="187"/>
      <c r="AE26" s="187"/>
    </row>
    <row r="27" spans="1:31" x14ac:dyDescent="0.25">
      <c r="A27" s="187"/>
      <c r="B27" s="187">
        <f>IF($C27="","",MAX($B$4:$B26)+1)</f>
        <v>24</v>
      </c>
      <c r="C27" s="183" t="s">
        <v>6</v>
      </c>
      <c r="D27" s="183" t="str">
        <f>IFERROR(VLOOKUP($C27,Rosters!$C$4:$M$239,INDEX(Lists!$N$5:$O$80,MATCH($C27,Lists!$N$5:$N$80,FALSE),2)),"")</f>
        <v>Mustangs</v>
      </c>
      <c r="E27" s="185">
        <f>IF($C27="",-0.00001,COUNTIF(Database!E:E,$C27))</f>
        <v>3</v>
      </c>
      <c r="F27" s="194">
        <f>IFERROR(IF($C27="",-0.00001,SUMIFS(Database!H:H,Database!$E:$E,$C27)/$E27),-0.00001)</f>
        <v>7.333333333333333</v>
      </c>
      <c r="G27" s="194">
        <f>IFERROR(IF($C27="",-0.00001,SUMIFS(Database!I:I,Database!$E:$E,$C27)/$E27),-0.00001)</f>
        <v>7</v>
      </c>
      <c r="H27" s="194">
        <f>IFERROR(IF($C27="",-0.00001,SUMIFS(Database!J:J,Database!$E:$E,$C27)/$E27),-0.00001)</f>
        <v>2.6666666666666665</v>
      </c>
      <c r="I27" s="194">
        <f>IFERROR(IF($C27="",-0.00001,SUMIFS(Database!K:K,Database!$E:$E,$C27)/$E27),-0.00001)</f>
        <v>0.33333333333333331</v>
      </c>
      <c r="J27" s="194">
        <f>IFERROR(IF($C27="",-0.00001,SUMIFS(Database!L:L,Database!$E:$E,$C27)/$E27),-0.00001)</f>
        <v>0</v>
      </c>
      <c r="K27" s="194">
        <f>IFERROR(IF($C27="",-0.00001,SUMIFS(Database!M:M,Database!$E:$E,$C27)/$E27),-0.00001)</f>
        <v>1</v>
      </c>
      <c r="L27" s="194">
        <f>IFERROR(IF($C27="",-0.00001,SUMIFS(Database!N:N,Database!$E:$E,$C27)/$E27),-0.00001)</f>
        <v>2.6666666666666665</v>
      </c>
      <c r="M27" s="194">
        <f>IFERROR(IF($C27="",-0.00001,SUMIFS(Database!O:O,Database!$E:$E,$C27)/$E27),-0.00001)</f>
        <v>4.333333333333333</v>
      </c>
      <c r="N27" s="194">
        <f>IFERROR(IF($C27="",-0.00001,SUMIFS(Database!P:P,Database!$E:$E,$C27)/$E27),-0.00001)</f>
        <v>0.66666666666666663</v>
      </c>
      <c r="O27" s="194">
        <f>IFERROR(IF($C27="",-0.00001,SUMIFS(Database!Q:Q,Database!$E:$E,$C27)/$E27),-0.00001)</f>
        <v>3.6666666666666665</v>
      </c>
      <c r="P27" s="186">
        <f t="shared" si="0"/>
        <v>0.18181818181818182</v>
      </c>
      <c r="Q27" s="194">
        <f>IFERROR(IF($C27="",-0.00001,SUMIFS(Database!S:S,Database!$E:$E,$C27)/$E27),-0.00001)</f>
        <v>3.3333333333333335</v>
      </c>
      <c r="R27" s="194">
        <f>IFERROR(IF($C27="",-0.00001,SUMIFS(Database!T:T,Database!$E:$E,$C27)/$E27),-0.00001)</f>
        <v>8.6666666666666661</v>
      </c>
      <c r="S27" s="186">
        <f t="shared" si="1"/>
        <v>0.38461538461538464</v>
      </c>
      <c r="T27" s="194">
        <f>IFERROR(IF($C27="",-0.00001,SUMIFS(Database!V:V,Database!$E:$E,$C27)/$E27),-0.00001)</f>
        <v>0</v>
      </c>
      <c r="U27" s="194">
        <f>IFERROR(IF($C27="",-0.00001,SUMIFS(Database!W:W,Database!$E:$E,$C27)/$E27),-0.00001)</f>
        <v>0</v>
      </c>
      <c r="V27" s="186">
        <f t="shared" si="2"/>
        <v>-1.0000000000000001E-5</v>
      </c>
      <c r="W27" s="187"/>
      <c r="X27" s="187"/>
      <c r="Y27" s="187"/>
      <c r="Z27" s="187"/>
      <c r="AA27" s="187"/>
      <c r="AB27" s="187"/>
      <c r="AC27" s="187"/>
      <c r="AD27" s="187"/>
      <c r="AE27" s="187"/>
    </row>
    <row r="28" spans="1:31" x14ac:dyDescent="0.25">
      <c r="A28" s="187"/>
      <c r="B28" s="187">
        <f>IF($C28="","",MAX($B$4:$B27)+1)</f>
        <v>25</v>
      </c>
      <c r="C28" s="183" t="s">
        <v>28</v>
      </c>
      <c r="D28" s="183" t="str">
        <f>IFERROR(VLOOKUP($C28,Rosters!$C$4:$M$239,INDEX(Lists!$N$5:$O$80,MATCH($C28,Lists!$N$5:$N$80,FALSE),2)),"")</f>
        <v>Hoopers</v>
      </c>
      <c r="E28" s="185">
        <f>IF($C28="",-0.00001,COUNTIF(Database!E:E,$C28))</f>
        <v>11</v>
      </c>
      <c r="F28" s="194">
        <f>IFERROR(IF($C28="",-0.00001,SUMIFS(Database!H:H,Database!$E:$E,$C28)/$E28),-0.00001)</f>
        <v>6.6363636363636367</v>
      </c>
      <c r="G28" s="194">
        <f>IFERROR(IF($C28="",-0.00001,SUMIFS(Database!I:I,Database!$E:$E,$C28)/$E28),-0.00001)</f>
        <v>3.5454545454545454</v>
      </c>
      <c r="H28" s="194">
        <f>IFERROR(IF($C28="",-0.00001,SUMIFS(Database!J:J,Database!$E:$E,$C28)/$E28),-0.00001)</f>
        <v>0.81818181818181823</v>
      </c>
      <c r="I28" s="194">
        <f>IFERROR(IF($C28="",-0.00001,SUMIFS(Database!K:K,Database!$E:$E,$C28)/$E28),-0.00001)</f>
        <v>1.0909090909090908</v>
      </c>
      <c r="J28" s="194">
        <f>IFERROR(IF($C28="",-0.00001,SUMIFS(Database!L:L,Database!$E:$E,$C28)/$E28),-0.00001)</f>
        <v>9.0909090909090912E-2</v>
      </c>
      <c r="K28" s="194">
        <f>IFERROR(IF($C28="",-0.00001,SUMIFS(Database!M:M,Database!$E:$E,$C28)/$E28),-0.00001)</f>
        <v>0.27272727272727271</v>
      </c>
      <c r="L28" s="194">
        <f>IFERROR(IF($C28="",-0.00001,SUMIFS(Database!N:N,Database!$E:$E,$C28)/$E28),-0.00001)</f>
        <v>0.72727272727272729</v>
      </c>
      <c r="M28" s="194">
        <f>IFERROR(IF($C28="",-0.00001,SUMIFS(Database!O:O,Database!$E:$E,$C28)/$E28),-0.00001)</f>
        <v>2.8181818181818183</v>
      </c>
      <c r="N28" s="194">
        <f>IFERROR(IF($C28="",-0.00001,SUMIFS(Database!P:P,Database!$E:$E,$C28)/$E28),-0.00001)</f>
        <v>1.8181818181818181</v>
      </c>
      <c r="O28" s="194">
        <f>IFERROR(IF($C28="",-0.00001,SUMIFS(Database!Q:Q,Database!$E:$E,$C28)/$E28),-0.00001)</f>
        <v>4.6363636363636367</v>
      </c>
      <c r="P28" s="186">
        <f t="shared" si="0"/>
        <v>0.39215686274509798</v>
      </c>
      <c r="Q28" s="194">
        <f>IFERROR(IF($C28="",-0.00001,SUMIFS(Database!S:S,Database!$E:$E,$C28)/$E28),-0.00001)</f>
        <v>2.0909090909090908</v>
      </c>
      <c r="R28" s="194">
        <f>IFERROR(IF($C28="",-0.00001,SUMIFS(Database!T:T,Database!$E:$E,$C28)/$E28),-0.00001)</f>
        <v>5.2727272727272725</v>
      </c>
      <c r="S28" s="186">
        <f t="shared" si="1"/>
        <v>0.39655172413793105</v>
      </c>
      <c r="T28" s="194">
        <f>IFERROR(IF($C28="",-0.00001,SUMIFS(Database!V:V,Database!$E:$E,$C28)/$E28),-0.00001)</f>
        <v>0.63636363636363635</v>
      </c>
      <c r="U28" s="194">
        <f>IFERROR(IF($C28="",-0.00001,SUMIFS(Database!W:W,Database!$E:$E,$C28)/$E28),-0.00001)</f>
        <v>1</v>
      </c>
      <c r="V28" s="186">
        <f t="shared" si="2"/>
        <v>0.63636363636363635</v>
      </c>
      <c r="W28" s="187"/>
      <c r="X28" s="187"/>
      <c r="Y28" s="187"/>
      <c r="Z28" s="187"/>
      <c r="AA28" s="187"/>
      <c r="AB28" s="187"/>
      <c r="AC28" s="187"/>
      <c r="AD28" s="187"/>
      <c r="AE28" s="187"/>
    </row>
    <row r="29" spans="1:31" x14ac:dyDescent="0.25">
      <c r="A29" s="187"/>
      <c r="B29" s="187">
        <f>IF($C29="","",MAX($B$4:$B28)+1)</f>
        <v>26</v>
      </c>
      <c r="C29" s="183" t="s">
        <v>99</v>
      </c>
      <c r="D29" s="183" t="str">
        <f>IFERROR(VLOOKUP($C29,Rosters!$C$4:$M$239,INDEX(Lists!$N$5:$O$80,MATCH($C29,Lists!$N$5:$N$80,FALSE),2)),"")</f>
        <v/>
      </c>
      <c r="E29" s="185">
        <f>IF($C29="",-0.00001,COUNTIF(Database!E:E,$C29))</f>
        <v>8</v>
      </c>
      <c r="F29" s="194">
        <f>IFERROR(IF($C29="",-0.00001,SUMIFS(Database!H:H,Database!$E:$E,$C29)/$E29),-0.00001)</f>
        <v>6.5</v>
      </c>
      <c r="G29" s="194">
        <f>IFERROR(IF($C29="",-0.00001,SUMIFS(Database!I:I,Database!$E:$E,$C29)/$E29),-0.00001)</f>
        <v>7.25</v>
      </c>
      <c r="H29" s="194">
        <f>IFERROR(IF($C29="",-0.00001,SUMIFS(Database!J:J,Database!$E:$E,$C29)/$E29),-0.00001)</f>
        <v>0.375</v>
      </c>
      <c r="I29" s="194">
        <f>IFERROR(IF($C29="",-0.00001,SUMIFS(Database!K:K,Database!$E:$E,$C29)/$E29),-0.00001)</f>
        <v>0.75</v>
      </c>
      <c r="J29" s="194">
        <f>IFERROR(IF($C29="",-0.00001,SUMIFS(Database!L:L,Database!$E:$E,$C29)/$E29),-0.00001)</f>
        <v>0.125</v>
      </c>
      <c r="K29" s="194">
        <f>IFERROR(IF($C29="",-0.00001,SUMIFS(Database!M:M,Database!$E:$E,$C29)/$E29),-0.00001)</f>
        <v>1.625</v>
      </c>
      <c r="L29" s="194">
        <f>IFERROR(IF($C29="",-0.00001,SUMIFS(Database!N:N,Database!$E:$E,$C29)/$E29),-0.00001)</f>
        <v>3</v>
      </c>
      <c r="M29" s="194">
        <f>IFERROR(IF($C29="",-0.00001,SUMIFS(Database!O:O,Database!$E:$E,$C29)/$E29),-0.00001)</f>
        <v>4.25</v>
      </c>
      <c r="N29" s="194">
        <f>IFERROR(IF($C29="",-0.00001,SUMIFS(Database!P:P,Database!$E:$E,$C29)/$E29),-0.00001)</f>
        <v>0</v>
      </c>
      <c r="O29" s="194">
        <f>IFERROR(IF($C29="",-0.00001,SUMIFS(Database!Q:Q,Database!$E:$E,$C29)/$E29),-0.00001)</f>
        <v>0.125</v>
      </c>
      <c r="P29" s="186">
        <f t="shared" si="0"/>
        <v>0</v>
      </c>
      <c r="Q29" s="194">
        <f>IFERROR(IF($C29="",-0.00001,SUMIFS(Database!S:S,Database!$E:$E,$C29)/$E29),-0.00001)</f>
        <v>3</v>
      </c>
      <c r="R29" s="194">
        <f>IFERROR(IF($C29="",-0.00001,SUMIFS(Database!T:T,Database!$E:$E,$C29)/$E29),-0.00001)</f>
        <v>7.125</v>
      </c>
      <c r="S29" s="186">
        <f t="shared" si="1"/>
        <v>0.42105263157894735</v>
      </c>
      <c r="T29" s="194">
        <f>IFERROR(IF($C29="",-0.00001,SUMIFS(Database!V:V,Database!$E:$E,$C29)/$E29),-0.00001)</f>
        <v>0.5</v>
      </c>
      <c r="U29" s="194">
        <f>IFERROR(IF($C29="",-0.00001,SUMIFS(Database!W:W,Database!$E:$E,$C29)/$E29),-0.00001)</f>
        <v>1.375</v>
      </c>
      <c r="V29" s="186">
        <f t="shared" si="2"/>
        <v>0.36363636363636365</v>
      </c>
      <c r="W29" s="187"/>
      <c r="X29" s="187"/>
      <c r="Y29" s="187"/>
      <c r="Z29" s="187"/>
      <c r="AA29" s="187"/>
      <c r="AB29" s="187"/>
      <c r="AC29" s="187"/>
      <c r="AD29" s="187"/>
      <c r="AE29" s="187"/>
    </row>
    <row r="30" spans="1:31" x14ac:dyDescent="0.25">
      <c r="A30" s="187"/>
      <c r="B30" s="187">
        <f>IF($C30="","",MAX($B$4:$B29)+1)</f>
        <v>27</v>
      </c>
      <c r="C30" s="183" t="s">
        <v>4</v>
      </c>
      <c r="D30" s="183" t="str">
        <f>IFERROR(VLOOKUP($C30,Rosters!$C$4:$M$239,INDEX(Lists!$N$5:$O$80,MATCH($C30,Lists!$N$5:$N$80,FALSE),2)),"")</f>
        <v>Mustangs</v>
      </c>
      <c r="E30" s="185">
        <f>IF($C30="",-0.00001,COUNTIF(Database!E:E,$C30))</f>
        <v>12</v>
      </c>
      <c r="F30" s="194">
        <f>IFERROR(IF($C30="",-0.00001,SUMIFS(Database!H:H,Database!$E:$E,$C30)/$E30),-0.00001)</f>
        <v>6.166666666666667</v>
      </c>
      <c r="G30" s="194">
        <f>IFERROR(IF($C30="",-0.00001,SUMIFS(Database!I:I,Database!$E:$E,$C30)/$E30),-0.00001)</f>
        <v>5.583333333333333</v>
      </c>
      <c r="H30" s="194">
        <f>IFERROR(IF($C30="",-0.00001,SUMIFS(Database!J:J,Database!$E:$E,$C30)/$E30),-0.00001)</f>
        <v>2.1666666666666665</v>
      </c>
      <c r="I30" s="194">
        <f>IFERROR(IF($C30="",-0.00001,SUMIFS(Database!K:K,Database!$E:$E,$C30)/$E30),-0.00001)</f>
        <v>0.66666666666666663</v>
      </c>
      <c r="J30" s="194">
        <f>IFERROR(IF($C30="",-0.00001,SUMIFS(Database!L:L,Database!$E:$E,$C30)/$E30),-0.00001)</f>
        <v>8.3333333333333329E-2</v>
      </c>
      <c r="K30" s="194">
        <f>IFERROR(IF($C30="",-0.00001,SUMIFS(Database!M:M,Database!$E:$E,$C30)/$E30),-0.00001)</f>
        <v>2.0833333333333335</v>
      </c>
      <c r="L30" s="194">
        <f>IFERROR(IF($C30="",-0.00001,SUMIFS(Database!N:N,Database!$E:$E,$C30)/$E30),-0.00001)</f>
        <v>1.1666666666666667</v>
      </c>
      <c r="M30" s="194">
        <f>IFERROR(IF($C30="",-0.00001,SUMIFS(Database!O:O,Database!$E:$E,$C30)/$E30),-0.00001)</f>
        <v>3.6666666666666665</v>
      </c>
      <c r="N30" s="194">
        <f>IFERROR(IF($C30="",-0.00001,SUMIFS(Database!P:P,Database!$E:$E,$C30)/$E30),-0.00001)</f>
        <v>1.1666666666666667</v>
      </c>
      <c r="O30" s="194">
        <f>IFERROR(IF($C30="",-0.00001,SUMIFS(Database!Q:Q,Database!$E:$E,$C30)/$E30),-0.00001)</f>
        <v>4.916666666666667</v>
      </c>
      <c r="P30" s="186">
        <f t="shared" si="0"/>
        <v>0.23728813559322035</v>
      </c>
      <c r="Q30" s="194">
        <f>IFERROR(IF($C30="",-0.00001,SUMIFS(Database!S:S,Database!$E:$E,$C30)/$E30),-0.00001)</f>
        <v>2.5</v>
      </c>
      <c r="R30" s="194">
        <f>IFERROR(IF($C30="",-0.00001,SUMIFS(Database!T:T,Database!$E:$E,$C30)/$E30),-0.00001)</f>
        <v>7.75</v>
      </c>
      <c r="S30" s="186">
        <f t="shared" si="1"/>
        <v>0.32258064516129031</v>
      </c>
      <c r="T30" s="194">
        <f>IFERROR(IF($C30="",-0.00001,SUMIFS(Database!V:V,Database!$E:$E,$C30)/$E30),-0.00001)</f>
        <v>0.16666666666666666</v>
      </c>
      <c r="U30" s="194">
        <f>IFERROR(IF($C30="",-0.00001,SUMIFS(Database!W:W,Database!$E:$E,$C30)/$E30),-0.00001)</f>
        <v>0.41666666666666669</v>
      </c>
      <c r="V30" s="186">
        <f t="shared" si="2"/>
        <v>0.39999999999999997</v>
      </c>
      <c r="W30" s="187"/>
      <c r="X30" s="187"/>
      <c r="Y30" s="187"/>
      <c r="Z30" s="187"/>
      <c r="AA30" s="187"/>
      <c r="AB30" s="187"/>
      <c r="AC30" s="187"/>
      <c r="AD30" s="187"/>
      <c r="AE30" s="187"/>
    </row>
    <row r="31" spans="1:31" x14ac:dyDescent="0.25">
      <c r="A31" s="187"/>
      <c r="B31" s="187">
        <f>IF($C31="","",MAX($B$4:$B30)+1)</f>
        <v>28</v>
      </c>
      <c r="C31" s="183" t="s">
        <v>230</v>
      </c>
      <c r="D31" s="183" t="str">
        <f>IFERROR(VLOOKUP($C31,Rosters!$C$4:$M$239,INDEX(Lists!$N$5:$O$80,MATCH($C31,Lists!$N$5:$N$80,FALSE),2)),"")</f>
        <v>Pistons</v>
      </c>
      <c r="E31" s="185">
        <f>IF($C31="",-0.00001,COUNTIF(Database!E:E,$C31))</f>
        <v>2</v>
      </c>
      <c r="F31" s="194">
        <f>IFERROR(IF($C31="",-0.00001,SUMIFS(Database!H:H,Database!$E:$E,$C31)/$E31),-0.00001)</f>
        <v>5</v>
      </c>
      <c r="G31" s="194">
        <f>IFERROR(IF($C31="",-0.00001,SUMIFS(Database!I:I,Database!$E:$E,$C31)/$E31),-0.00001)</f>
        <v>10</v>
      </c>
      <c r="H31" s="194">
        <f>IFERROR(IF($C31="",-0.00001,SUMIFS(Database!J:J,Database!$E:$E,$C31)/$E31),-0.00001)</f>
        <v>0</v>
      </c>
      <c r="I31" s="194">
        <f>IFERROR(IF($C31="",-0.00001,SUMIFS(Database!K:K,Database!$E:$E,$C31)/$E31),-0.00001)</f>
        <v>0</v>
      </c>
      <c r="J31" s="194">
        <f>IFERROR(IF($C31="",-0.00001,SUMIFS(Database!L:L,Database!$E:$E,$C31)/$E31),-0.00001)</f>
        <v>0.5</v>
      </c>
      <c r="K31" s="194">
        <f>IFERROR(IF($C31="",-0.00001,SUMIFS(Database!M:M,Database!$E:$E,$C31)/$E31),-0.00001)</f>
        <v>3.5</v>
      </c>
      <c r="L31" s="194">
        <f>IFERROR(IF($C31="",-0.00001,SUMIFS(Database!N:N,Database!$E:$E,$C31)/$E31),-0.00001)</f>
        <v>4</v>
      </c>
      <c r="M31" s="194">
        <f>IFERROR(IF($C31="",-0.00001,SUMIFS(Database!O:O,Database!$E:$E,$C31)/$E31),-0.00001)</f>
        <v>6</v>
      </c>
      <c r="N31" s="194">
        <f>IFERROR(IF($C31="",-0.00001,SUMIFS(Database!P:P,Database!$E:$E,$C31)/$E31),-0.00001)</f>
        <v>0</v>
      </c>
      <c r="O31" s="194">
        <f>IFERROR(IF($C31="",-0.00001,SUMIFS(Database!Q:Q,Database!$E:$E,$C31)/$E31),-0.00001)</f>
        <v>0</v>
      </c>
      <c r="P31" s="186">
        <f t="shared" si="0"/>
        <v>-1.0000000000000001E-5</v>
      </c>
      <c r="Q31" s="194">
        <f>IFERROR(IF($C31="",-0.00001,SUMIFS(Database!S:S,Database!$E:$E,$C31)/$E31),-0.00001)</f>
        <v>2.5</v>
      </c>
      <c r="R31" s="194">
        <f>IFERROR(IF($C31="",-0.00001,SUMIFS(Database!T:T,Database!$E:$E,$C31)/$E31),-0.00001)</f>
        <v>9</v>
      </c>
      <c r="S31" s="186">
        <f t="shared" si="1"/>
        <v>0.27777777777777779</v>
      </c>
      <c r="T31" s="194">
        <f>IFERROR(IF($C31="",-0.00001,SUMIFS(Database!V:V,Database!$E:$E,$C31)/$E31),-0.00001)</f>
        <v>0</v>
      </c>
      <c r="U31" s="194">
        <f>IFERROR(IF($C31="",-0.00001,SUMIFS(Database!W:W,Database!$E:$E,$C31)/$E31),-0.00001)</f>
        <v>1</v>
      </c>
      <c r="V31" s="186">
        <f t="shared" si="2"/>
        <v>0</v>
      </c>
      <c r="W31" s="187"/>
      <c r="X31" s="187"/>
      <c r="Y31" s="187"/>
      <c r="Z31" s="187"/>
      <c r="AA31" s="187"/>
      <c r="AB31" s="187"/>
      <c r="AC31" s="187"/>
      <c r="AD31" s="187"/>
      <c r="AE31" s="187"/>
    </row>
    <row r="32" spans="1:31" x14ac:dyDescent="0.25">
      <c r="A32" s="187"/>
      <c r="B32" s="187">
        <f>IF($C32="","",MAX($B$4:$B31)+1)</f>
        <v>29</v>
      </c>
      <c r="C32" s="183" t="s">
        <v>29</v>
      </c>
      <c r="D32" s="183" t="str">
        <f>IFERROR(VLOOKUP($C32,Rosters!$C$4:$M$239,INDEX(Lists!$N$5:$O$80,MATCH($C32,Lists!$N$5:$N$80,FALSE),2)),"")</f>
        <v>Hoopers</v>
      </c>
      <c r="E32" s="185">
        <f>IF($C32="",-0.00001,COUNTIF(Database!E:E,$C32))</f>
        <v>3</v>
      </c>
      <c r="F32" s="194">
        <f>IFERROR(IF($C32="",-0.00001,SUMIFS(Database!H:H,Database!$E:$E,$C32)/$E32),-0.00001)</f>
        <v>5</v>
      </c>
      <c r="G32" s="194">
        <f>IFERROR(IF($C32="",-0.00001,SUMIFS(Database!I:I,Database!$E:$E,$C32)/$E32),-0.00001)</f>
        <v>9.3333333333333339</v>
      </c>
      <c r="H32" s="194">
        <f>IFERROR(IF($C32="",-0.00001,SUMIFS(Database!J:J,Database!$E:$E,$C32)/$E32),-0.00001)</f>
        <v>2</v>
      </c>
      <c r="I32" s="194">
        <f>IFERROR(IF($C32="",-0.00001,SUMIFS(Database!K:K,Database!$E:$E,$C32)/$E32),-0.00001)</f>
        <v>1.3333333333333333</v>
      </c>
      <c r="J32" s="194">
        <f>IFERROR(IF($C32="",-0.00001,SUMIFS(Database!L:L,Database!$E:$E,$C32)/$E32),-0.00001)</f>
        <v>0.33333333333333331</v>
      </c>
      <c r="K32" s="194">
        <f>IFERROR(IF($C32="",-0.00001,SUMIFS(Database!M:M,Database!$E:$E,$C32)/$E32),-0.00001)</f>
        <v>3</v>
      </c>
      <c r="L32" s="194">
        <f>IFERROR(IF($C32="",-0.00001,SUMIFS(Database!N:N,Database!$E:$E,$C32)/$E32),-0.00001)</f>
        <v>4.666666666666667</v>
      </c>
      <c r="M32" s="194">
        <f>IFERROR(IF($C32="",-0.00001,SUMIFS(Database!O:O,Database!$E:$E,$C32)/$E32),-0.00001)</f>
        <v>4.666666666666667</v>
      </c>
      <c r="N32" s="194">
        <f>IFERROR(IF($C32="",-0.00001,SUMIFS(Database!P:P,Database!$E:$E,$C32)/$E32),-0.00001)</f>
        <v>0.33333333333333331</v>
      </c>
      <c r="O32" s="194">
        <f>IFERROR(IF($C32="",-0.00001,SUMIFS(Database!Q:Q,Database!$E:$E,$C32)/$E32),-0.00001)</f>
        <v>2.3333333333333335</v>
      </c>
      <c r="P32" s="186">
        <f t="shared" si="0"/>
        <v>0.14285714285714285</v>
      </c>
      <c r="Q32" s="194">
        <f>IFERROR(IF($C32="",-0.00001,SUMIFS(Database!S:S,Database!$E:$E,$C32)/$E32),-0.00001)</f>
        <v>2.3333333333333335</v>
      </c>
      <c r="R32" s="194">
        <f>IFERROR(IF($C32="",-0.00001,SUMIFS(Database!T:T,Database!$E:$E,$C32)/$E32),-0.00001)</f>
        <v>9.3333333333333339</v>
      </c>
      <c r="S32" s="186">
        <f t="shared" si="1"/>
        <v>0.25</v>
      </c>
      <c r="T32" s="194">
        <f>IFERROR(IF($C32="",-0.00001,SUMIFS(Database!V:V,Database!$E:$E,$C32)/$E32),-0.00001)</f>
        <v>0</v>
      </c>
      <c r="U32" s="194">
        <f>IFERROR(IF($C32="",-0.00001,SUMIFS(Database!W:W,Database!$E:$E,$C32)/$E32),-0.00001)</f>
        <v>1.3333333333333333</v>
      </c>
      <c r="V32" s="186">
        <f t="shared" si="2"/>
        <v>0</v>
      </c>
      <c r="W32" s="187"/>
      <c r="X32" s="187"/>
      <c r="Y32" s="187"/>
      <c r="Z32" s="187"/>
      <c r="AA32" s="187"/>
      <c r="AB32" s="187"/>
      <c r="AC32" s="187"/>
      <c r="AD32" s="187"/>
      <c r="AE32" s="187"/>
    </row>
    <row r="33" spans="1:31" x14ac:dyDescent="0.25">
      <c r="A33" s="187"/>
      <c r="B33" s="187">
        <f>IF($C33="","",MAX($B$4:$B32)+1)</f>
        <v>30</v>
      </c>
      <c r="C33" s="183" t="s">
        <v>24</v>
      </c>
      <c r="D33" s="183" t="str">
        <f>IFERROR(VLOOKUP($C33,Rosters!$C$4:$M$239,INDEX(Lists!$N$5:$O$80,MATCH($C33,Lists!$N$5:$N$80,FALSE),2)),"")</f>
        <v>Lightning</v>
      </c>
      <c r="E33" s="185">
        <f>IF($C33="",-0.00001,COUNTIF(Database!E:E,$C33))</f>
        <v>10</v>
      </c>
      <c r="F33" s="194">
        <f>IFERROR(IF($C33="",-0.00001,SUMIFS(Database!H:H,Database!$E:$E,$C33)/$E33),-0.00001)</f>
        <v>4.8</v>
      </c>
      <c r="G33" s="194">
        <f>IFERROR(IF($C33="",-0.00001,SUMIFS(Database!I:I,Database!$E:$E,$C33)/$E33),-0.00001)</f>
        <v>3.6</v>
      </c>
      <c r="H33" s="194">
        <f>IFERROR(IF($C33="",-0.00001,SUMIFS(Database!J:J,Database!$E:$E,$C33)/$E33),-0.00001)</f>
        <v>1</v>
      </c>
      <c r="I33" s="194">
        <f>IFERROR(IF($C33="",-0.00001,SUMIFS(Database!K:K,Database!$E:$E,$C33)/$E33),-0.00001)</f>
        <v>0.4</v>
      </c>
      <c r="J33" s="194">
        <f>IFERROR(IF($C33="",-0.00001,SUMIFS(Database!L:L,Database!$E:$E,$C33)/$E33),-0.00001)</f>
        <v>0.1</v>
      </c>
      <c r="K33" s="194">
        <f>IFERROR(IF($C33="",-0.00001,SUMIFS(Database!M:M,Database!$E:$E,$C33)/$E33),-0.00001)</f>
        <v>1.5</v>
      </c>
      <c r="L33" s="194">
        <f>IFERROR(IF($C33="",-0.00001,SUMIFS(Database!N:N,Database!$E:$E,$C33)/$E33),-0.00001)</f>
        <v>1.1000000000000001</v>
      </c>
      <c r="M33" s="194">
        <f>IFERROR(IF($C33="",-0.00001,SUMIFS(Database!O:O,Database!$E:$E,$C33)/$E33),-0.00001)</f>
        <v>2.5</v>
      </c>
      <c r="N33" s="194">
        <f>IFERROR(IF($C33="",-0.00001,SUMIFS(Database!P:P,Database!$E:$E,$C33)/$E33),-0.00001)</f>
        <v>0</v>
      </c>
      <c r="O33" s="194">
        <f>IFERROR(IF($C33="",-0.00001,SUMIFS(Database!Q:Q,Database!$E:$E,$C33)/$E33),-0.00001)</f>
        <v>0</v>
      </c>
      <c r="P33" s="186">
        <f t="shared" si="0"/>
        <v>-1.0000000000000001E-5</v>
      </c>
      <c r="Q33" s="194">
        <f>IFERROR(IF($C33="",-0.00001,SUMIFS(Database!S:S,Database!$E:$E,$C33)/$E33),-0.00001)</f>
        <v>2.5</v>
      </c>
      <c r="R33" s="194">
        <f>IFERROR(IF($C33="",-0.00001,SUMIFS(Database!T:T,Database!$E:$E,$C33)/$E33),-0.00001)</f>
        <v>4.9000000000000004</v>
      </c>
      <c r="S33" s="186">
        <f t="shared" si="1"/>
        <v>0.51020408163265307</v>
      </c>
      <c r="T33" s="194">
        <f>IFERROR(IF($C33="",-0.00001,SUMIFS(Database!V:V,Database!$E:$E,$C33)/$E33),-0.00001)</f>
        <v>0</v>
      </c>
      <c r="U33" s="194">
        <f>IFERROR(IF($C33="",-0.00001,SUMIFS(Database!W:W,Database!$E:$E,$C33)/$E33),-0.00001)</f>
        <v>0.9</v>
      </c>
      <c r="V33" s="186">
        <f t="shared" si="2"/>
        <v>0</v>
      </c>
      <c r="W33" s="187"/>
      <c r="X33" s="187"/>
      <c r="Y33" s="187"/>
      <c r="Z33" s="187"/>
      <c r="AA33" s="187"/>
      <c r="AB33" s="187"/>
      <c r="AC33" s="187"/>
      <c r="AD33" s="187"/>
      <c r="AE33" s="187"/>
    </row>
    <row r="34" spans="1:31" x14ac:dyDescent="0.25">
      <c r="A34" s="187"/>
      <c r="B34" s="187">
        <f>IF($C34="","",MAX($B$4:$B33)+1)</f>
        <v>31</v>
      </c>
      <c r="C34" s="183" t="s">
        <v>10</v>
      </c>
      <c r="D34" s="183" t="str">
        <f>IFERROR(VLOOKUP($C34,Rosters!$C$4:$M$239,INDEX(Lists!$N$5:$O$80,MATCH($C34,Lists!$N$5:$N$80,FALSE),2)),"")</f>
        <v>Wombats</v>
      </c>
      <c r="E34" s="185">
        <f>IF($C34="",-0.00001,COUNTIF(Database!E:E,$C34))</f>
        <v>4</v>
      </c>
      <c r="F34" s="194">
        <f>IFERROR(IF($C34="",-0.00001,SUMIFS(Database!H:H,Database!$E:$E,$C34)/$E34),-0.00001)</f>
        <v>4.5</v>
      </c>
      <c r="G34" s="194">
        <f>IFERROR(IF($C34="",-0.00001,SUMIFS(Database!I:I,Database!$E:$E,$C34)/$E34),-0.00001)</f>
        <v>3.75</v>
      </c>
      <c r="H34" s="194">
        <f>IFERROR(IF($C34="",-0.00001,SUMIFS(Database!J:J,Database!$E:$E,$C34)/$E34),-0.00001)</f>
        <v>1</v>
      </c>
      <c r="I34" s="194">
        <f>IFERROR(IF($C34="",-0.00001,SUMIFS(Database!K:K,Database!$E:$E,$C34)/$E34),-0.00001)</f>
        <v>0.75</v>
      </c>
      <c r="J34" s="194">
        <f>IFERROR(IF($C34="",-0.00001,SUMIFS(Database!L:L,Database!$E:$E,$C34)/$E34),-0.00001)</f>
        <v>0</v>
      </c>
      <c r="K34" s="194">
        <f>IFERROR(IF($C34="",-0.00001,SUMIFS(Database!M:M,Database!$E:$E,$C34)/$E34),-0.00001)</f>
        <v>1.75</v>
      </c>
      <c r="L34" s="194">
        <f>IFERROR(IF($C34="",-0.00001,SUMIFS(Database!N:N,Database!$E:$E,$C34)/$E34),-0.00001)</f>
        <v>1</v>
      </c>
      <c r="M34" s="194">
        <f>IFERROR(IF($C34="",-0.00001,SUMIFS(Database!O:O,Database!$E:$E,$C34)/$E34),-0.00001)</f>
        <v>2.75</v>
      </c>
      <c r="N34" s="194">
        <f>IFERROR(IF($C34="",-0.00001,SUMIFS(Database!P:P,Database!$E:$E,$C34)/$E34),-0.00001)</f>
        <v>1.5</v>
      </c>
      <c r="O34" s="194">
        <f>IFERROR(IF($C34="",-0.00001,SUMIFS(Database!Q:Q,Database!$E:$E,$C34)/$E34),-0.00001)</f>
        <v>4.75</v>
      </c>
      <c r="P34" s="186">
        <f t="shared" si="0"/>
        <v>0.31578947368421051</v>
      </c>
      <c r="Q34" s="194">
        <f>IFERROR(IF($C34="",-0.00001,SUMIFS(Database!S:S,Database!$E:$E,$C34)/$E34),-0.00001)</f>
        <v>1.5</v>
      </c>
      <c r="R34" s="194">
        <f>IFERROR(IF($C34="",-0.00001,SUMIFS(Database!T:T,Database!$E:$E,$C34)/$E34),-0.00001)</f>
        <v>7.25</v>
      </c>
      <c r="S34" s="186">
        <f t="shared" si="1"/>
        <v>0.20689655172413793</v>
      </c>
      <c r="T34" s="194">
        <f>IFERROR(IF($C34="",-0.00001,SUMIFS(Database!V:V,Database!$E:$E,$C34)/$E34),-0.00001)</f>
        <v>0</v>
      </c>
      <c r="U34" s="194">
        <f>IFERROR(IF($C34="",-0.00001,SUMIFS(Database!W:W,Database!$E:$E,$C34)/$E34),-0.00001)</f>
        <v>0</v>
      </c>
      <c r="V34" s="186">
        <f t="shared" si="2"/>
        <v>-1.0000000000000001E-5</v>
      </c>
      <c r="W34" s="187"/>
      <c r="X34" s="187"/>
      <c r="Y34" s="187"/>
      <c r="Z34" s="187"/>
      <c r="AA34" s="187"/>
      <c r="AB34" s="187"/>
      <c r="AC34" s="187"/>
      <c r="AD34" s="187"/>
      <c r="AE34" s="187"/>
    </row>
    <row r="35" spans="1:31" x14ac:dyDescent="0.25">
      <c r="A35" s="187"/>
      <c r="B35" s="187">
        <f>IF($C35="","",MAX($B$4:$B34)+1)</f>
        <v>32</v>
      </c>
      <c r="C35" s="183" t="s">
        <v>35</v>
      </c>
      <c r="D35" s="183" t="str">
        <f>IFERROR(VLOOKUP($C35,Rosters!$C$4:$M$239,INDEX(Lists!$N$5:$O$80,MATCH($C35,Lists!$N$5:$N$80,FALSE),2)),"")</f>
        <v>Vandals</v>
      </c>
      <c r="E35" s="185">
        <f>IF($C35="",-0.00001,COUNTIF(Database!E:E,$C35))</f>
        <v>11</v>
      </c>
      <c r="F35" s="194">
        <f>IFERROR(IF($C35="",-0.00001,SUMIFS(Database!H:H,Database!$E:$E,$C35)/$E35),-0.00001)</f>
        <v>3.6363636363636362</v>
      </c>
      <c r="G35" s="194">
        <f>IFERROR(IF($C35="",-0.00001,SUMIFS(Database!I:I,Database!$E:$E,$C35)/$E35),-0.00001)</f>
        <v>4.6363636363636367</v>
      </c>
      <c r="H35" s="194">
        <f>IFERROR(IF($C35="",-0.00001,SUMIFS(Database!J:J,Database!$E:$E,$C35)/$E35),-0.00001)</f>
        <v>1</v>
      </c>
      <c r="I35" s="194">
        <f>IFERROR(IF($C35="",-0.00001,SUMIFS(Database!K:K,Database!$E:$E,$C35)/$E35),-0.00001)</f>
        <v>0.54545454545454541</v>
      </c>
      <c r="J35" s="194">
        <f>IFERROR(IF($C35="",-0.00001,SUMIFS(Database!L:L,Database!$E:$E,$C35)/$E35),-0.00001)</f>
        <v>0.18181818181818182</v>
      </c>
      <c r="K35" s="194">
        <f>IFERROR(IF($C35="",-0.00001,SUMIFS(Database!M:M,Database!$E:$E,$C35)/$E35),-0.00001)</f>
        <v>0.54545454545454541</v>
      </c>
      <c r="L35" s="194">
        <f>IFERROR(IF($C35="",-0.00001,SUMIFS(Database!N:N,Database!$E:$E,$C35)/$E35),-0.00001)</f>
        <v>0.54545454545454541</v>
      </c>
      <c r="M35" s="194">
        <f>IFERROR(IF($C35="",-0.00001,SUMIFS(Database!O:O,Database!$E:$E,$C35)/$E35),-0.00001)</f>
        <v>3.9090909090909092</v>
      </c>
      <c r="N35" s="194">
        <f>IFERROR(IF($C35="",-0.00001,SUMIFS(Database!P:P,Database!$E:$E,$C35)/$E35),-0.00001)</f>
        <v>0.54545454545454541</v>
      </c>
      <c r="O35" s="194">
        <f>IFERROR(IF($C35="",-0.00001,SUMIFS(Database!Q:Q,Database!$E:$E,$C35)/$E35),-0.00001)</f>
        <v>2.4545454545454546</v>
      </c>
      <c r="P35" s="186">
        <f t="shared" si="0"/>
        <v>0.22222222222222221</v>
      </c>
      <c r="Q35" s="194">
        <f>IFERROR(IF($C35="",-0.00001,SUMIFS(Database!S:S,Database!$E:$E,$C35)/$E35),-0.00001)</f>
        <v>1.5454545454545454</v>
      </c>
      <c r="R35" s="194">
        <f>IFERROR(IF($C35="",-0.00001,SUMIFS(Database!T:T,Database!$E:$E,$C35)/$E35),-0.00001)</f>
        <v>4.1818181818181817</v>
      </c>
      <c r="S35" s="186">
        <f t="shared" si="1"/>
        <v>0.36956521739130438</v>
      </c>
      <c r="T35" s="194">
        <f>IFERROR(IF($C35="",-0.00001,SUMIFS(Database!V:V,Database!$E:$E,$C35)/$E35),-0.00001)</f>
        <v>9.0909090909090912E-2</v>
      </c>
      <c r="U35" s="194">
        <f>IFERROR(IF($C35="",-0.00001,SUMIFS(Database!W:W,Database!$E:$E,$C35)/$E35),-0.00001)</f>
        <v>9.0909090909090912E-2</v>
      </c>
      <c r="V35" s="186">
        <f t="shared" si="2"/>
        <v>1</v>
      </c>
      <c r="W35" s="187"/>
      <c r="X35" s="187"/>
      <c r="Y35" s="187"/>
      <c r="Z35" s="187"/>
      <c r="AA35" s="187"/>
      <c r="AB35" s="187"/>
      <c r="AC35" s="187"/>
      <c r="AD35" s="187"/>
      <c r="AE35" s="187"/>
    </row>
    <row r="36" spans="1:31" x14ac:dyDescent="0.25">
      <c r="A36" s="187"/>
      <c r="B36" s="187">
        <f>IF($C36="","",MAX($B$4:$B35)+1)</f>
        <v>33</v>
      </c>
      <c r="C36" s="183" t="s">
        <v>11</v>
      </c>
      <c r="D36" s="183" t="str">
        <f>IFERROR(VLOOKUP($C36,Rosters!$C$4:$M$239,INDEX(Lists!$N$5:$O$80,MATCH($C36,Lists!$N$5:$N$80,FALSE),2)),"")</f>
        <v>Wombats</v>
      </c>
      <c r="E36" s="185">
        <f>IF($C36="",-0.00001,COUNTIF(Database!E:E,$C36))</f>
        <v>10</v>
      </c>
      <c r="F36" s="194">
        <f>IFERROR(IF($C36="",-0.00001,SUMIFS(Database!H:H,Database!$E:$E,$C36)/$E36),-0.00001)</f>
        <v>3.1</v>
      </c>
      <c r="G36" s="194">
        <f>IFERROR(IF($C36="",-0.00001,SUMIFS(Database!I:I,Database!$E:$E,$C36)/$E36),-0.00001)</f>
        <v>5.2</v>
      </c>
      <c r="H36" s="194">
        <f>IFERROR(IF($C36="",-0.00001,SUMIFS(Database!J:J,Database!$E:$E,$C36)/$E36),-0.00001)</f>
        <v>0.9</v>
      </c>
      <c r="I36" s="194">
        <f>IFERROR(IF($C36="",-0.00001,SUMIFS(Database!K:K,Database!$E:$E,$C36)/$E36),-0.00001)</f>
        <v>1</v>
      </c>
      <c r="J36" s="194">
        <f>IFERROR(IF($C36="",-0.00001,SUMIFS(Database!L:L,Database!$E:$E,$C36)/$E36),-0.00001)</f>
        <v>0.5</v>
      </c>
      <c r="K36" s="194">
        <f>IFERROR(IF($C36="",-0.00001,SUMIFS(Database!M:M,Database!$E:$E,$C36)/$E36),-0.00001)</f>
        <v>1</v>
      </c>
      <c r="L36" s="194">
        <f>IFERROR(IF($C36="",-0.00001,SUMIFS(Database!N:N,Database!$E:$E,$C36)/$E36),-0.00001)</f>
        <v>1</v>
      </c>
      <c r="M36" s="194">
        <f>IFERROR(IF($C36="",-0.00001,SUMIFS(Database!O:O,Database!$E:$E,$C36)/$E36),-0.00001)</f>
        <v>4.2</v>
      </c>
      <c r="N36" s="194">
        <f>IFERROR(IF($C36="",-0.00001,SUMIFS(Database!P:P,Database!$E:$E,$C36)/$E36),-0.00001)</f>
        <v>0.5</v>
      </c>
      <c r="O36" s="194">
        <f>IFERROR(IF($C36="",-0.00001,SUMIFS(Database!Q:Q,Database!$E:$E,$C36)/$E36),-0.00001)</f>
        <v>2.2999999999999998</v>
      </c>
      <c r="P36" s="186">
        <f t="shared" si="0"/>
        <v>0.21739130434782611</v>
      </c>
      <c r="Q36" s="194">
        <f>IFERROR(IF($C36="",-0.00001,SUMIFS(Database!S:S,Database!$E:$E,$C36)/$E36),-0.00001)</f>
        <v>1.3</v>
      </c>
      <c r="R36" s="194">
        <f>IFERROR(IF($C36="",-0.00001,SUMIFS(Database!T:T,Database!$E:$E,$C36)/$E36),-0.00001)</f>
        <v>3.8</v>
      </c>
      <c r="S36" s="186">
        <f t="shared" si="1"/>
        <v>0.34210526315789475</v>
      </c>
      <c r="T36" s="194">
        <f>IFERROR(IF($C36="",-0.00001,SUMIFS(Database!V:V,Database!$E:$E,$C36)/$E36),-0.00001)</f>
        <v>0.1</v>
      </c>
      <c r="U36" s="194">
        <f>IFERROR(IF($C36="",-0.00001,SUMIFS(Database!W:W,Database!$E:$E,$C36)/$E36),-0.00001)</f>
        <v>0.2</v>
      </c>
      <c r="V36" s="186">
        <f t="shared" si="2"/>
        <v>0.5</v>
      </c>
      <c r="W36" s="187"/>
      <c r="X36" s="187"/>
      <c r="Y36" s="187"/>
      <c r="Z36" s="187"/>
      <c r="AA36" s="187"/>
      <c r="AB36" s="187"/>
      <c r="AC36" s="187"/>
      <c r="AD36" s="187"/>
      <c r="AE36" s="187"/>
    </row>
    <row r="37" spans="1:31" x14ac:dyDescent="0.25">
      <c r="A37" s="187"/>
      <c r="B37" s="187">
        <f>IF($C37="","",MAX($B$4:$B36)+1)</f>
        <v>34</v>
      </c>
      <c r="C37" s="183" t="s">
        <v>17</v>
      </c>
      <c r="D37" s="183" t="str">
        <f>IFERROR(VLOOKUP($C37,Rosters!$C$4:$M$239,INDEX(Lists!$N$5:$O$80,MATCH($C37,Lists!$N$5:$N$80,FALSE),2)),"")</f>
        <v>Pistons</v>
      </c>
      <c r="E37" s="185">
        <f>IF($C37="",-0.00001,COUNTIF(Database!E:E,$C37))</f>
        <v>4</v>
      </c>
      <c r="F37" s="194">
        <f>IFERROR(IF($C37="",-0.00001,SUMIFS(Database!H:H,Database!$E:$E,$C37)/$E37),-0.00001)</f>
        <v>3</v>
      </c>
      <c r="G37" s="194">
        <f>IFERROR(IF($C37="",-0.00001,SUMIFS(Database!I:I,Database!$E:$E,$C37)/$E37),-0.00001)</f>
        <v>8.25</v>
      </c>
      <c r="H37" s="194">
        <f>IFERROR(IF($C37="",-0.00001,SUMIFS(Database!J:J,Database!$E:$E,$C37)/$E37),-0.00001)</f>
        <v>0.25</v>
      </c>
      <c r="I37" s="194">
        <f>IFERROR(IF($C37="",-0.00001,SUMIFS(Database!K:K,Database!$E:$E,$C37)/$E37),-0.00001)</f>
        <v>0.75</v>
      </c>
      <c r="J37" s="194">
        <f>IFERROR(IF($C37="",-0.00001,SUMIFS(Database!L:L,Database!$E:$E,$C37)/$E37),-0.00001)</f>
        <v>0.5</v>
      </c>
      <c r="K37" s="194">
        <f>IFERROR(IF($C37="",-0.00001,SUMIFS(Database!M:M,Database!$E:$E,$C37)/$E37),-0.00001)</f>
        <v>1.25</v>
      </c>
      <c r="L37" s="194">
        <f>IFERROR(IF($C37="",-0.00001,SUMIFS(Database!N:N,Database!$E:$E,$C37)/$E37),-0.00001)</f>
        <v>0.5</v>
      </c>
      <c r="M37" s="194">
        <f>IFERROR(IF($C37="",-0.00001,SUMIFS(Database!O:O,Database!$E:$E,$C37)/$E37),-0.00001)</f>
        <v>7.75</v>
      </c>
      <c r="N37" s="194">
        <f>IFERROR(IF($C37="",-0.00001,SUMIFS(Database!P:P,Database!$E:$E,$C37)/$E37),-0.00001)</f>
        <v>0</v>
      </c>
      <c r="O37" s="194">
        <f>IFERROR(IF($C37="",-0.00001,SUMIFS(Database!Q:Q,Database!$E:$E,$C37)/$E37),-0.00001)</f>
        <v>1.5</v>
      </c>
      <c r="P37" s="186">
        <f t="shared" si="0"/>
        <v>0</v>
      </c>
      <c r="Q37" s="194">
        <f>IFERROR(IF($C37="",-0.00001,SUMIFS(Database!S:S,Database!$E:$E,$C37)/$E37),-0.00001)</f>
        <v>1.5</v>
      </c>
      <c r="R37" s="194">
        <f>IFERROR(IF($C37="",-0.00001,SUMIFS(Database!T:T,Database!$E:$E,$C37)/$E37),-0.00001)</f>
        <v>4.75</v>
      </c>
      <c r="S37" s="186">
        <f t="shared" si="1"/>
        <v>0.31578947368421051</v>
      </c>
      <c r="T37" s="194">
        <f>IFERROR(IF($C37="",-0.00001,SUMIFS(Database!V:V,Database!$E:$E,$C37)/$E37),-0.00001)</f>
        <v>0</v>
      </c>
      <c r="U37" s="194">
        <f>IFERROR(IF($C37="",-0.00001,SUMIFS(Database!W:W,Database!$E:$E,$C37)/$E37),-0.00001)</f>
        <v>0</v>
      </c>
      <c r="V37" s="186">
        <f t="shared" si="2"/>
        <v>-1.0000000000000001E-5</v>
      </c>
      <c r="W37" s="187"/>
      <c r="X37" s="187"/>
      <c r="Y37" s="187"/>
      <c r="Z37" s="187"/>
      <c r="AA37" s="187"/>
      <c r="AB37" s="187"/>
      <c r="AC37" s="187"/>
      <c r="AD37" s="187"/>
      <c r="AE37" s="187"/>
    </row>
    <row r="38" spans="1:31" x14ac:dyDescent="0.25">
      <c r="A38" s="187"/>
      <c r="B38" s="187">
        <f>IF($C38="","",MAX($B$4:$B37)+1)</f>
        <v>35</v>
      </c>
      <c r="C38" s="183" t="s">
        <v>30</v>
      </c>
      <c r="D38" s="183" t="str">
        <f>IFERROR(VLOOKUP($C38,Rosters!$C$4:$M$239,INDEX(Lists!$N$5:$O$80,MATCH($C38,Lists!$N$5:$N$80,FALSE),2)),"")</f>
        <v>Wombats</v>
      </c>
      <c r="E38" s="185">
        <f>IF($C38="",-0.00001,COUNTIF(Database!E:E,$C38))</f>
        <v>11</v>
      </c>
      <c r="F38" s="194">
        <f>IFERROR(IF($C38="",-0.00001,SUMIFS(Database!H:H,Database!$E:$E,$C38)/$E38),-0.00001)</f>
        <v>2.7272727272727271</v>
      </c>
      <c r="G38" s="194">
        <f>IFERROR(IF($C38="",-0.00001,SUMIFS(Database!I:I,Database!$E:$E,$C38)/$E38),-0.00001)</f>
        <v>2.8181818181818183</v>
      </c>
      <c r="H38" s="194">
        <f>IFERROR(IF($C38="",-0.00001,SUMIFS(Database!J:J,Database!$E:$E,$C38)/$E38),-0.00001)</f>
        <v>0.54545454545454541</v>
      </c>
      <c r="I38" s="194">
        <f>IFERROR(IF($C38="",-0.00001,SUMIFS(Database!K:K,Database!$E:$E,$C38)/$E38),-0.00001)</f>
        <v>0.27272727272727271</v>
      </c>
      <c r="J38" s="194">
        <f>IFERROR(IF($C38="",-0.00001,SUMIFS(Database!L:L,Database!$E:$E,$C38)/$E38),-0.00001)</f>
        <v>9.0909090909090912E-2</v>
      </c>
      <c r="K38" s="194">
        <f>IFERROR(IF($C38="",-0.00001,SUMIFS(Database!M:M,Database!$E:$E,$C38)/$E38),-0.00001)</f>
        <v>1.1818181818181819</v>
      </c>
      <c r="L38" s="194">
        <f>IFERROR(IF($C38="",-0.00001,SUMIFS(Database!N:N,Database!$E:$E,$C38)/$E38),-0.00001)</f>
        <v>0.72727272727272729</v>
      </c>
      <c r="M38" s="194">
        <f>IFERROR(IF($C38="",-0.00001,SUMIFS(Database!O:O,Database!$E:$E,$C38)/$E38),-0.00001)</f>
        <v>2.0909090909090908</v>
      </c>
      <c r="N38" s="194">
        <f>IFERROR(IF($C38="",-0.00001,SUMIFS(Database!P:P,Database!$E:$E,$C38)/$E38),-0.00001)</f>
        <v>0.54545454545454541</v>
      </c>
      <c r="O38" s="194">
        <f>IFERROR(IF($C38="",-0.00001,SUMIFS(Database!Q:Q,Database!$E:$E,$C38)/$E38),-0.00001)</f>
        <v>3</v>
      </c>
      <c r="P38" s="186">
        <f t="shared" si="0"/>
        <v>0.1818181818181818</v>
      </c>
      <c r="Q38" s="194">
        <f>IFERROR(IF($C38="",-0.00001,SUMIFS(Database!S:S,Database!$E:$E,$C38)/$E38),-0.00001)</f>
        <v>1.0909090909090908</v>
      </c>
      <c r="R38" s="194">
        <f>IFERROR(IF($C38="",-0.00001,SUMIFS(Database!T:T,Database!$E:$E,$C38)/$E38),-0.00001)</f>
        <v>4.1818181818181817</v>
      </c>
      <c r="S38" s="186">
        <f t="shared" si="1"/>
        <v>0.2608695652173913</v>
      </c>
      <c r="T38" s="194">
        <f>IFERROR(IF($C38="",-0.00001,SUMIFS(Database!V:V,Database!$E:$E,$C38)/$E38),-0.00001)</f>
        <v>0</v>
      </c>
      <c r="U38" s="194">
        <f>IFERROR(IF($C38="",-0.00001,SUMIFS(Database!W:W,Database!$E:$E,$C38)/$E38),-0.00001)</f>
        <v>0.18181818181818182</v>
      </c>
      <c r="V38" s="186">
        <f t="shared" si="2"/>
        <v>0</v>
      </c>
      <c r="W38" s="187"/>
      <c r="X38" s="187"/>
      <c r="Y38" s="187"/>
      <c r="Z38" s="187"/>
      <c r="AA38" s="187"/>
      <c r="AB38" s="187"/>
      <c r="AC38" s="187"/>
      <c r="AD38" s="187"/>
      <c r="AE38" s="187"/>
    </row>
    <row r="39" spans="1:31" x14ac:dyDescent="0.25">
      <c r="A39" s="187"/>
      <c r="B39" s="187">
        <f>IF($C39="","",MAX($B$4:$B38)+1)</f>
        <v>36</v>
      </c>
      <c r="C39" s="183" t="s">
        <v>18</v>
      </c>
      <c r="D39" s="183" t="str">
        <f>IFERROR(VLOOKUP($C39,Rosters!$C$4:$M$239,INDEX(Lists!$N$5:$O$80,MATCH($C39,Lists!$N$5:$N$80,FALSE),2)),"")</f>
        <v>Pistons</v>
      </c>
      <c r="E39" s="185">
        <f>IF($C39="",-0.00001,COUNTIF(Database!E:E,$C39))</f>
        <v>11</v>
      </c>
      <c r="F39" s="194">
        <f>IFERROR(IF($C39="",-0.00001,SUMIFS(Database!H:H,Database!$E:$E,$C39)/$E39),-0.00001)</f>
        <v>2.5454545454545454</v>
      </c>
      <c r="G39" s="194">
        <f>IFERROR(IF($C39="",-0.00001,SUMIFS(Database!I:I,Database!$E:$E,$C39)/$E39),-0.00001)</f>
        <v>4.5454545454545459</v>
      </c>
      <c r="H39" s="194">
        <f>IFERROR(IF($C39="",-0.00001,SUMIFS(Database!J:J,Database!$E:$E,$C39)/$E39),-0.00001)</f>
        <v>0.27272727272727271</v>
      </c>
      <c r="I39" s="194">
        <f>IFERROR(IF($C39="",-0.00001,SUMIFS(Database!K:K,Database!$E:$E,$C39)/$E39),-0.00001)</f>
        <v>0.45454545454545453</v>
      </c>
      <c r="J39" s="194">
        <f>IFERROR(IF($C39="",-0.00001,SUMIFS(Database!L:L,Database!$E:$E,$C39)/$E39),-0.00001)</f>
        <v>9.0909090909090912E-2</v>
      </c>
      <c r="K39" s="194">
        <f>IFERROR(IF($C39="",-0.00001,SUMIFS(Database!M:M,Database!$E:$E,$C39)/$E39),-0.00001)</f>
        <v>1.2727272727272727</v>
      </c>
      <c r="L39" s="194">
        <f>IFERROR(IF($C39="",-0.00001,SUMIFS(Database!N:N,Database!$E:$E,$C39)/$E39),-0.00001)</f>
        <v>1.3636363636363635</v>
      </c>
      <c r="M39" s="194">
        <f>IFERROR(IF($C39="",-0.00001,SUMIFS(Database!O:O,Database!$E:$E,$C39)/$E39),-0.00001)</f>
        <v>3.1818181818181817</v>
      </c>
      <c r="N39" s="194">
        <f>IFERROR(IF($C39="",-0.00001,SUMIFS(Database!P:P,Database!$E:$E,$C39)/$E39),-0.00001)</f>
        <v>0.18181818181818182</v>
      </c>
      <c r="O39" s="194">
        <f>IFERROR(IF($C39="",-0.00001,SUMIFS(Database!Q:Q,Database!$E:$E,$C39)/$E39),-0.00001)</f>
        <v>1.7272727272727273</v>
      </c>
      <c r="P39" s="186">
        <f t="shared" si="0"/>
        <v>0.10526315789473685</v>
      </c>
      <c r="Q39" s="194">
        <f>IFERROR(IF($C39="",-0.00001,SUMIFS(Database!S:S,Database!$E:$E,$C39)/$E39),-0.00001)</f>
        <v>1.1818181818181819</v>
      </c>
      <c r="R39" s="194">
        <f>IFERROR(IF($C39="",-0.00001,SUMIFS(Database!T:T,Database!$E:$E,$C39)/$E39),-0.00001)</f>
        <v>3.6363636363636362</v>
      </c>
      <c r="S39" s="186">
        <f t="shared" si="1"/>
        <v>0.32500000000000001</v>
      </c>
      <c r="T39" s="194">
        <f>IFERROR(IF($C39="",-0.00001,SUMIFS(Database!V:V,Database!$E:$E,$C39)/$E39),-0.00001)</f>
        <v>0</v>
      </c>
      <c r="U39" s="194">
        <f>IFERROR(IF($C39="",-0.00001,SUMIFS(Database!W:W,Database!$E:$E,$C39)/$E39),-0.00001)</f>
        <v>0</v>
      </c>
      <c r="V39" s="186">
        <f t="shared" si="2"/>
        <v>-1.0000000000000001E-5</v>
      </c>
      <c r="W39" s="187"/>
      <c r="X39" s="187"/>
      <c r="Y39" s="187"/>
      <c r="Z39" s="187"/>
      <c r="AA39" s="187"/>
      <c r="AB39" s="187"/>
      <c r="AC39" s="187"/>
      <c r="AD39" s="187"/>
      <c r="AE39" s="187"/>
    </row>
    <row r="40" spans="1:31" x14ac:dyDescent="0.25">
      <c r="A40" s="187"/>
      <c r="B40" s="187">
        <f>IF($C40="","",MAX($B$4:$B39)+1)</f>
        <v>37</v>
      </c>
      <c r="C40" s="183" t="s">
        <v>101</v>
      </c>
      <c r="D40" s="183" t="str">
        <f>IFERROR(VLOOKUP($C40,Rosters!$C$4:$M$239,INDEX(Lists!$N$5:$O$80,MATCH($C40,Lists!$N$5:$N$80,FALSE),2)),"")</f>
        <v/>
      </c>
      <c r="E40" s="185">
        <f>IF($C40="",-0.00001,COUNTIF(Database!E:E,$C40))</f>
        <v>6</v>
      </c>
      <c r="F40" s="194">
        <f>IFERROR(IF($C40="",-0.00001,SUMIFS(Database!H:H,Database!$E:$E,$C40)/$E40),-0.00001)</f>
        <v>2.5</v>
      </c>
      <c r="G40" s="194">
        <f>IFERROR(IF($C40="",-0.00001,SUMIFS(Database!I:I,Database!$E:$E,$C40)/$E40),-0.00001)</f>
        <v>3.5</v>
      </c>
      <c r="H40" s="194">
        <f>IFERROR(IF($C40="",-0.00001,SUMIFS(Database!J:J,Database!$E:$E,$C40)/$E40),-0.00001)</f>
        <v>0.16666666666666666</v>
      </c>
      <c r="I40" s="194">
        <f>IFERROR(IF($C40="",-0.00001,SUMIFS(Database!K:K,Database!$E:$E,$C40)/$E40),-0.00001)</f>
        <v>0.66666666666666663</v>
      </c>
      <c r="J40" s="194">
        <f>IFERROR(IF($C40="",-0.00001,SUMIFS(Database!L:L,Database!$E:$E,$C40)/$E40),-0.00001)</f>
        <v>0.33333333333333331</v>
      </c>
      <c r="K40" s="194">
        <f>IFERROR(IF($C40="",-0.00001,SUMIFS(Database!M:M,Database!$E:$E,$C40)/$E40),-0.00001)</f>
        <v>0.66666666666666663</v>
      </c>
      <c r="L40" s="194">
        <f>IFERROR(IF($C40="",-0.00001,SUMIFS(Database!N:N,Database!$E:$E,$C40)/$E40),-0.00001)</f>
        <v>0.33333333333333331</v>
      </c>
      <c r="M40" s="194">
        <f>IFERROR(IF($C40="",-0.00001,SUMIFS(Database!O:O,Database!$E:$E,$C40)/$E40),-0.00001)</f>
        <v>3.1666666666666665</v>
      </c>
      <c r="N40" s="194">
        <f>IFERROR(IF($C40="",-0.00001,SUMIFS(Database!P:P,Database!$E:$E,$C40)/$E40),-0.00001)</f>
        <v>0.33333333333333331</v>
      </c>
      <c r="O40" s="194">
        <f>IFERROR(IF($C40="",-0.00001,SUMIFS(Database!Q:Q,Database!$E:$E,$C40)/$E40),-0.00001)</f>
        <v>1.1666666666666667</v>
      </c>
      <c r="P40" s="186">
        <f t="shared" si="0"/>
        <v>0.2857142857142857</v>
      </c>
      <c r="Q40" s="194">
        <f>IFERROR(IF($C40="",-0.00001,SUMIFS(Database!S:S,Database!$E:$E,$C40)/$E40),-0.00001)</f>
        <v>1</v>
      </c>
      <c r="R40" s="194">
        <f>IFERROR(IF($C40="",-0.00001,SUMIFS(Database!T:T,Database!$E:$E,$C40)/$E40),-0.00001)</f>
        <v>3.3333333333333335</v>
      </c>
      <c r="S40" s="186">
        <f t="shared" si="1"/>
        <v>0.3</v>
      </c>
      <c r="T40" s="194">
        <f>IFERROR(IF($C40="",-0.00001,SUMIFS(Database!V:V,Database!$E:$E,$C40)/$E40),-0.00001)</f>
        <v>0.16666666666666666</v>
      </c>
      <c r="U40" s="194">
        <f>IFERROR(IF($C40="",-0.00001,SUMIFS(Database!W:W,Database!$E:$E,$C40)/$E40),-0.00001)</f>
        <v>0.33333333333333331</v>
      </c>
      <c r="V40" s="186">
        <f t="shared" si="2"/>
        <v>0.5</v>
      </c>
      <c r="W40" s="187"/>
      <c r="X40" s="187"/>
      <c r="Y40" s="187"/>
      <c r="Z40" s="187"/>
      <c r="AA40" s="187"/>
      <c r="AB40" s="187"/>
      <c r="AC40" s="187"/>
      <c r="AD40" s="187"/>
      <c r="AE40" s="187"/>
    </row>
    <row r="41" spans="1:31" x14ac:dyDescent="0.25">
      <c r="A41" s="187"/>
      <c r="B41" s="187">
        <f>IF($C41="","",MAX($B$4:$B40)+1)</f>
        <v>38</v>
      </c>
      <c r="C41" s="183" t="s">
        <v>100</v>
      </c>
      <c r="D41" s="183" t="str">
        <f>IFERROR(VLOOKUP($C41,Rosters!$C$4:$M$239,INDEX(Lists!$N$5:$O$80,MATCH($C41,Lists!$N$5:$N$80,FALSE),2)),"")</f>
        <v>Lightning</v>
      </c>
      <c r="E41" s="185">
        <f>IF($C41="",-0.00001,COUNTIF(Database!E:E,$C41))</f>
        <v>8</v>
      </c>
      <c r="F41" s="194">
        <f>IFERROR(IF($C41="",-0.00001,SUMIFS(Database!H:H,Database!$E:$E,$C41)/$E41),-0.00001)</f>
        <v>2.25</v>
      </c>
      <c r="G41" s="194">
        <f>IFERROR(IF($C41="",-0.00001,SUMIFS(Database!I:I,Database!$E:$E,$C41)/$E41),-0.00001)</f>
        <v>3</v>
      </c>
      <c r="H41" s="194">
        <f>IFERROR(IF($C41="",-0.00001,SUMIFS(Database!J:J,Database!$E:$E,$C41)/$E41),-0.00001)</f>
        <v>0.375</v>
      </c>
      <c r="I41" s="194">
        <f>IFERROR(IF($C41="",-0.00001,SUMIFS(Database!K:K,Database!$E:$E,$C41)/$E41),-0.00001)</f>
        <v>1.625</v>
      </c>
      <c r="J41" s="194">
        <f>IFERROR(IF($C41="",-0.00001,SUMIFS(Database!L:L,Database!$E:$E,$C41)/$E41),-0.00001)</f>
        <v>0.875</v>
      </c>
      <c r="K41" s="194">
        <f>IFERROR(IF($C41="",-0.00001,SUMIFS(Database!M:M,Database!$E:$E,$C41)/$E41),-0.00001)</f>
        <v>1.375</v>
      </c>
      <c r="L41" s="194">
        <f>IFERROR(IF($C41="",-0.00001,SUMIFS(Database!N:N,Database!$E:$E,$C41)/$E41),-0.00001)</f>
        <v>1.25</v>
      </c>
      <c r="M41" s="194">
        <f>IFERROR(IF($C41="",-0.00001,SUMIFS(Database!O:O,Database!$E:$E,$C41)/$E41),-0.00001)</f>
        <v>1.75</v>
      </c>
      <c r="N41" s="194">
        <f>IFERROR(IF($C41="",-0.00001,SUMIFS(Database!P:P,Database!$E:$E,$C41)/$E41),-0.00001)</f>
        <v>0.25</v>
      </c>
      <c r="O41" s="194">
        <f>IFERROR(IF($C41="",-0.00001,SUMIFS(Database!Q:Q,Database!$E:$E,$C41)/$E41),-0.00001)</f>
        <v>1.375</v>
      </c>
      <c r="P41" s="186">
        <f t="shared" si="0"/>
        <v>0.18181818181818182</v>
      </c>
      <c r="Q41" s="194">
        <f>IFERROR(IF($C41="",-0.00001,SUMIFS(Database!S:S,Database!$E:$E,$C41)/$E41),-0.00001)</f>
        <v>1</v>
      </c>
      <c r="R41" s="194">
        <f>IFERROR(IF($C41="",-0.00001,SUMIFS(Database!T:T,Database!$E:$E,$C41)/$E41),-0.00001)</f>
        <v>3.5</v>
      </c>
      <c r="S41" s="186">
        <f t="shared" si="1"/>
        <v>0.2857142857142857</v>
      </c>
      <c r="T41" s="194">
        <f>IFERROR(IF($C41="",-0.00001,SUMIFS(Database!V:V,Database!$E:$E,$C41)/$E41),-0.00001)</f>
        <v>0</v>
      </c>
      <c r="U41" s="194">
        <f>IFERROR(IF($C41="",-0.00001,SUMIFS(Database!W:W,Database!$E:$E,$C41)/$E41),-0.00001)</f>
        <v>0</v>
      </c>
      <c r="V41" s="186">
        <f t="shared" si="2"/>
        <v>-1.0000000000000001E-5</v>
      </c>
      <c r="W41" s="187"/>
      <c r="X41" s="187"/>
      <c r="Y41" s="187"/>
      <c r="Z41" s="187"/>
      <c r="AA41" s="187"/>
      <c r="AB41" s="187"/>
      <c r="AC41" s="187"/>
      <c r="AD41" s="187"/>
      <c r="AE41" s="187"/>
    </row>
    <row r="42" spans="1:31" x14ac:dyDescent="0.25">
      <c r="A42" s="187"/>
      <c r="B42" s="187">
        <f>IF($C42="","",MAX($B$4:$B41)+1)</f>
        <v>39</v>
      </c>
      <c r="C42" s="183" t="s">
        <v>36</v>
      </c>
      <c r="D42" s="183" t="str">
        <f>IFERROR(VLOOKUP($C42,Rosters!$C$4:$M$239,INDEX(Lists!$N$5:$O$80,MATCH($C42,Lists!$N$5:$N$80,FALSE),2)),"")</f>
        <v>Vandals</v>
      </c>
      <c r="E42" s="185">
        <f>IF($C42="",-0.00001,COUNTIF(Database!E:E,$C42))</f>
        <v>11</v>
      </c>
      <c r="F42" s="194">
        <f>IFERROR(IF($C42="",-0.00001,SUMIFS(Database!H:H,Database!$E:$E,$C42)/$E42),-0.00001)</f>
        <v>2</v>
      </c>
      <c r="G42" s="194">
        <f>IFERROR(IF($C42="",-0.00001,SUMIFS(Database!I:I,Database!$E:$E,$C42)/$E42),-0.00001)</f>
        <v>3.2727272727272729</v>
      </c>
      <c r="H42" s="194">
        <f>IFERROR(IF($C42="",-0.00001,SUMIFS(Database!J:J,Database!$E:$E,$C42)/$E42),-0.00001)</f>
        <v>0.81818181818181823</v>
      </c>
      <c r="I42" s="194">
        <f>IFERROR(IF($C42="",-0.00001,SUMIFS(Database!K:K,Database!$E:$E,$C42)/$E42),-0.00001)</f>
        <v>0.45454545454545453</v>
      </c>
      <c r="J42" s="194">
        <f>IFERROR(IF($C42="",-0.00001,SUMIFS(Database!L:L,Database!$E:$E,$C42)/$E42),-0.00001)</f>
        <v>0.27272727272727271</v>
      </c>
      <c r="K42" s="194">
        <f>IFERROR(IF($C42="",-0.00001,SUMIFS(Database!M:M,Database!$E:$E,$C42)/$E42),-0.00001)</f>
        <v>1.7272727272727273</v>
      </c>
      <c r="L42" s="194">
        <f>IFERROR(IF($C42="",-0.00001,SUMIFS(Database!N:N,Database!$E:$E,$C42)/$E42),-0.00001)</f>
        <v>0.72727272727272729</v>
      </c>
      <c r="M42" s="194">
        <f>IFERROR(IF($C42="",-0.00001,SUMIFS(Database!O:O,Database!$E:$E,$C42)/$E42),-0.00001)</f>
        <v>2</v>
      </c>
      <c r="N42" s="194">
        <f>IFERROR(IF($C42="",-0.00001,SUMIFS(Database!P:P,Database!$E:$E,$C42)/$E42),-0.00001)</f>
        <v>0.36363636363636365</v>
      </c>
      <c r="O42" s="194">
        <f>IFERROR(IF($C42="",-0.00001,SUMIFS(Database!Q:Q,Database!$E:$E,$C42)/$E42),-0.00001)</f>
        <v>2.6363636363636362</v>
      </c>
      <c r="P42" s="186">
        <f t="shared" si="0"/>
        <v>0.13793103448275862</v>
      </c>
      <c r="Q42" s="194">
        <f>IFERROR(IF($C42="",-0.00001,SUMIFS(Database!S:S,Database!$E:$E,$C42)/$E42),-0.00001)</f>
        <v>0.81818181818181823</v>
      </c>
      <c r="R42" s="194">
        <f>IFERROR(IF($C42="",-0.00001,SUMIFS(Database!T:T,Database!$E:$E,$C42)/$E42),-0.00001)</f>
        <v>3.3636363636363638</v>
      </c>
      <c r="S42" s="186">
        <f t="shared" si="1"/>
        <v>0.24324324324324326</v>
      </c>
      <c r="T42" s="194">
        <f>IFERROR(IF($C42="",-0.00001,SUMIFS(Database!V:V,Database!$E:$E,$C42)/$E42),-0.00001)</f>
        <v>0</v>
      </c>
      <c r="U42" s="194">
        <f>IFERROR(IF($C42="",-0.00001,SUMIFS(Database!W:W,Database!$E:$E,$C42)/$E42),-0.00001)</f>
        <v>0</v>
      </c>
      <c r="V42" s="186">
        <f t="shared" si="2"/>
        <v>-1.0000000000000001E-5</v>
      </c>
      <c r="W42" s="187"/>
      <c r="X42" s="187"/>
      <c r="Y42" s="187"/>
      <c r="Z42" s="187"/>
      <c r="AA42" s="187"/>
      <c r="AB42" s="187"/>
      <c r="AC42" s="187"/>
      <c r="AD42" s="187"/>
      <c r="AE42" s="187"/>
    </row>
    <row r="43" spans="1:31" x14ac:dyDescent="0.25">
      <c r="A43" s="187"/>
      <c r="B43" s="187">
        <f>IF($C43="","",MAX($B$4:$B42)+1)</f>
        <v>40</v>
      </c>
      <c r="C43" s="183" t="s">
        <v>12</v>
      </c>
      <c r="D43" s="183" t="str">
        <f>IFERROR(VLOOKUP($C43,Rosters!$C$4:$M$239,INDEX(Lists!$N$5:$O$80,MATCH($C43,Lists!$N$5:$N$80,FALSE),2)),"")</f>
        <v>Hoopers</v>
      </c>
      <c r="E43" s="185">
        <f>IF($C43="",-0.00001,COUNTIF(Database!E:E,$C43))</f>
        <v>10</v>
      </c>
      <c r="F43" s="194">
        <f>IFERROR(IF($C43="",-0.00001,SUMIFS(Database!H:H,Database!$E:$E,$C43)/$E43),-0.00001)</f>
        <v>1.5</v>
      </c>
      <c r="G43" s="194">
        <f>IFERROR(IF($C43="",-0.00001,SUMIFS(Database!I:I,Database!$E:$E,$C43)/$E43),-0.00001)</f>
        <v>3.7</v>
      </c>
      <c r="H43" s="194">
        <f>IFERROR(IF($C43="",-0.00001,SUMIFS(Database!J:J,Database!$E:$E,$C43)/$E43),-0.00001)</f>
        <v>0.4</v>
      </c>
      <c r="I43" s="194">
        <f>IFERROR(IF($C43="",-0.00001,SUMIFS(Database!K:K,Database!$E:$E,$C43)/$E43),-0.00001)</f>
        <v>0.5</v>
      </c>
      <c r="J43" s="194">
        <f>IFERROR(IF($C43="",-0.00001,SUMIFS(Database!L:L,Database!$E:$E,$C43)/$E43),-0.00001)</f>
        <v>0.6</v>
      </c>
      <c r="K43" s="194">
        <f>IFERROR(IF($C43="",-0.00001,SUMIFS(Database!M:M,Database!$E:$E,$C43)/$E43),-0.00001)</f>
        <v>1.4</v>
      </c>
      <c r="L43" s="194">
        <f>IFERROR(IF($C43="",-0.00001,SUMIFS(Database!N:N,Database!$E:$E,$C43)/$E43),-0.00001)</f>
        <v>2</v>
      </c>
      <c r="M43" s="194">
        <f>IFERROR(IF($C43="",-0.00001,SUMIFS(Database!O:O,Database!$E:$E,$C43)/$E43),-0.00001)</f>
        <v>1.7</v>
      </c>
      <c r="N43" s="194">
        <f>IFERROR(IF($C43="",-0.00001,SUMIFS(Database!P:P,Database!$E:$E,$C43)/$E43),-0.00001)</f>
        <v>0.1</v>
      </c>
      <c r="O43" s="194">
        <f>IFERROR(IF($C43="",-0.00001,SUMIFS(Database!Q:Q,Database!$E:$E,$C43)/$E43),-0.00001)</f>
        <v>0.5</v>
      </c>
      <c r="P43" s="186">
        <f t="shared" si="0"/>
        <v>0.2</v>
      </c>
      <c r="Q43" s="194">
        <f>IFERROR(IF($C43="",-0.00001,SUMIFS(Database!S:S,Database!$E:$E,$C43)/$E43),-0.00001)</f>
        <v>0.6</v>
      </c>
      <c r="R43" s="194">
        <f>IFERROR(IF($C43="",-0.00001,SUMIFS(Database!T:T,Database!$E:$E,$C43)/$E43),-0.00001)</f>
        <v>2.4</v>
      </c>
      <c r="S43" s="186">
        <f t="shared" si="1"/>
        <v>0.25</v>
      </c>
      <c r="T43" s="194">
        <f>IFERROR(IF($C43="",-0.00001,SUMIFS(Database!V:V,Database!$E:$E,$C43)/$E43),-0.00001)</f>
        <v>0.2</v>
      </c>
      <c r="U43" s="194">
        <f>IFERROR(IF($C43="",-0.00001,SUMIFS(Database!W:W,Database!$E:$E,$C43)/$E43),-0.00001)</f>
        <v>0.2</v>
      </c>
      <c r="V43" s="186">
        <f t="shared" si="2"/>
        <v>1</v>
      </c>
      <c r="W43" s="187"/>
      <c r="X43" s="187"/>
      <c r="Y43" s="187"/>
      <c r="Z43" s="187"/>
      <c r="AA43" s="187"/>
      <c r="AB43" s="187"/>
      <c r="AC43" s="187"/>
      <c r="AD43" s="187"/>
      <c r="AE43" s="187"/>
    </row>
    <row r="44" spans="1:31" x14ac:dyDescent="0.25">
      <c r="A44" s="187"/>
      <c r="B44" s="187">
        <f>IF($C44="","",MAX($B$4:$B43)+1)</f>
        <v>41</v>
      </c>
      <c r="C44" s="183" t="s">
        <v>102</v>
      </c>
      <c r="D44" s="183" t="str">
        <f>IFERROR(VLOOKUP($C44,Rosters!$C$4:$M$239,INDEX(Lists!$N$5:$O$80,MATCH($C44,Lists!$N$5:$N$80,FALSE),2)),"")</f>
        <v/>
      </c>
      <c r="E44" s="185">
        <f>IF($C44="",-0.00001,COUNTIF(Database!E:E,$C44))</f>
        <v>8</v>
      </c>
      <c r="F44" s="194">
        <f>IFERROR(IF($C44="",-0.00001,SUMIFS(Database!H:H,Database!$E:$E,$C44)/$E44),-0.00001)</f>
        <v>1.125</v>
      </c>
      <c r="G44" s="194">
        <f>IFERROR(IF($C44="",-0.00001,SUMIFS(Database!I:I,Database!$E:$E,$C44)/$E44),-0.00001)</f>
        <v>4.75</v>
      </c>
      <c r="H44" s="194">
        <f>IFERROR(IF($C44="",-0.00001,SUMIFS(Database!J:J,Database!$E:$E,$C44)/$E44),-0.00001)</f>
        <v>0.25</v>
      </c>
      <c r="I44" s="194">
        <f>IFERROR(IF($C44="",-0.00001,SUMIFS(Database!K:K,Database!$E:$E,$C44)/$E44),-0.00001)</f>
        <v>0.125</v>
      </c>
      <c r="J44" s="194">
        <f>IFERROR(IF($C44="",-0.00001,SUMIFS(Database!L:L,Database!$E:$E,$C44)/$E44),-0.00001)</f>
        <v>0.25</v>
      </c>
      <c r="K44" s="194">
        <f>IFERROR(IF($C44="",-0.00001,SUMIFS(Database!M:M,Database!$E:$E,$C44)/$E44),-0.00001)</f>
        <v>0.5</v>
      </c>
      <c r="L44" s="194">
        <f>IFERROR(IF($C44="",-0.00001,SUMIFS(Database!N:N,Database!$E:$E,$C44)/$E44),-0.00001)</f>
        <v>1.125</v>
      </c>
      <c r="M44" s="194">
        <f>IFERROR(IF($C44="",-0.00001,SUMIFS(Database!O:O,Database!$E:$E,$C44)/$E44),-0.00001)</f>
        <v>3.625</v>
      </c>
      <c r="N44" s="194">
        <f>IFERROR(IF($C44="",-0.00001,SUMIFS(Database!P:P,Database!$E:$E,$C44)/$E44),-0.00001)</f>
        <v>0.125</v>
      </c>
      <c r="O44" s="194">
        <f>IFERROR(IF($C44="",-0.00001,SUMIFS(Database!Q:Q,Database!$E:$E,$C44)/$E44),-0.00001)</f>
        <v>1.25</v>
      </c>
      <c r="P44" s="186">
        <f t="shared" si="0"/>
        <v>0.1</v>
      </c>
      <c r="Q44" s="194">
        <f>IFERROR(IF($C44="",-0.00001,SUMIFS(Database!S:S,Database!$E:$E,$C44)/$E44),-0.00001)</f>
        <v>0.5</v>
      </c>
      <c r="R44" s="194">
        <f>IFERROR(IF($C44="",-0.00001,SUMIFS(Database!T:T,Database!$E:$E,$C44)/$E44),-0.00001)</f>
        <v>2.5</v>
      </c>
      <c r="S44" s="186">
        <f t="shared" si="1"/>
        <v>0.2</v>
      </c>
      <c r="T44" s="194">
        <f>IFERROR(IF($C44="",-0.00001,SUMIFS(Database!V:V,Database!$E:$E,$C44)/$E44),-0.00001)</f>
        <v>0</v>
      </c>
      <c r="U44" s="194">
        <f>IFERROR(IF($C44="",-0.00001,SUMIFS(Database!W:W,Database!$E:$E,$C44)/$E44),-0.00001)</f>
        <v>0</v>
      </c>
      <c r="V44" s="186">
        <f t="shared" si="2"/>
        <v>-1.0000000000000001E-5</v>
      </c>
      <c r="W44" s="187"/>
      <c r="X44" s="187"/>
      <c r="Y44" s="187"/>
      <c r="Z44" s="187"/>
      <c r="AA44" s="187"/>
      <c r="AB44" s="187"/>
      <c r="AC44" s="187"/>
      <c r="AD44" s="187"/>
      <c r="AE44" s="187"/>
    </row>
    <row r="45" spans="1:31" x14ac:dyDescent="0.25">
      <c r="A45" s="187"/>
      <c r="B45" s="187" t="str">
        <f>IF($C45="","",MAX($B$4:$B44)+1)</f>
        <v/>
      </c>
      <c r="C45" s="183"/>
      <c r="D45" s="183" t="str">
        <f>IFERROR(VLOOKUP($C45,Rosters!$C$4:$M$239,INDEX(Lists!$N$5:$O$80,MATCH($C45,Lists!$N$5:$N$80,FALSE),2)),"")</f>
        <v/>
      </c>
      <c r="E45" s="185">
        <f>IF($C45="",-0.00001,COUNTIF(Database!E:E,$C45))</f>
        <v>-1.0000000000000001E-5</v>
      </c>
      <c r="F45" s="194">
        <f>IFERROR(IF($C45="",-0.00001,SUMIFS(Database!H:H,Database!$E:$E,$C45)/$E45),-0.00001)</f>
        <v>-1.0000000000000001E-5</v>
      </c>
      <c r="G45" s="194">
        <f>IFERROR(IF($C45="",-0.00001,SUMIFS(Database!I:I,Database!$E:$E,$C45)/$E45),-0.00001)</f>
        <v>-1.0000000000000001E-5</v>
      </c>
      <c r="H45" s="194">
        <f>IFERROR(IF($C45="",-0.00001,SUMIFS(Database!J:J,Database!$E:$E,$C45)/$E45),-0.00001)</f>
        <v>-1.0000000000000001E-5</v>
      </c>
      <c r="I45" s="194">
        <f>IFERROR(IF($C45="",-0.00001,SUMIFS(Database!K:K,Database!$E:$E,$C45)/$E45),-0.00001)</f>
        <v>-1.0000000000000001E-5</v>
      </c>
      <c r="J45" s="194">
        <f>IFERROR(IF($C45="",-0.00001,SUMIFS(Database!L:L,Database!$E:$E,$C45)/$E45),-0.00001)</f>
        <v>-1.0000000000000001E-5</v>
      </c>
      <c r="K45" s="194">
        <f>IFERROR(IF($C45="",-0.00001,SUMIFS(Database!M:M,Database!$E:$E,$C45)/$E45),-0.00001)</f>
        <v>-1.0000000000000001E-5</v>
      </c>
      <c r="L45" s="194">
        <f>IFERROR(IF($C45="",-0.00001,SUMIFS(Database!N:N,Database!$E:$E,$C45)/$E45),-0.00001)</f>
        <v>-1.0000000000000001E-5</v>
      </c>
      <c r="M45" s="194">
        <f>IFERROR(IF($C45="",-0.00001,SUMIFS(Database!O:O,Database!$E:$E,$C45)/$E45),-0.00001)</f>
        <v>-1.0000000000000001E-5</v>
      </c>
      <c r="N45" s="194">
        <f>IFERROR(IF($C45="",-0.00001,SUMIFS(Database!P:P,Database!$E:$E,$C45)/$E45),-0.00001)</f>
        <v>-1.0000000000000001E-5</v>
      </c>
      <c r="O45" s="194">
        <f>IFERROR(IF($C45="",-0.00001,SUMIFS(Database!Q:Q,Database!$E:$E,$C45)/$E45),-0.00001)</f>
        <v>-1.0000000000000001E-5</v>
      </c>
      <c r="P45" s="186">
        <f t="shared" si="0"/>
        <v>-1.0000000000000001E-5</v>
      </c>
      <c r="Q45" s="194">
        <f>IFERROR(IF($C45="",-0.00001,SUMIFS(Database!S:S,Database!$E:$E,$C45)/$E45),-0.00001)</f>
        <v>-1.0000000000000001E-5</v>
      </c>
      <c r="R45" s="194">
        <f>IFERROR(IF($C45="",-0.00001,SUMIFS(Database!T:T,Database!$E:$E,$C45)/$E45),-0.00001)</f>
        <v>-1.0000000000000001E-5</v>
      </c>
      <c r="S45" s="186">
        <f t="shared" si="1"/>
        <v>-1.0000000000000001E-5</v>
      </c>
      <c r="T45" s="194">
        <f>IFERROR(IF($C45="",-0.00001,SUMIFS(Database!V:V,Database!$E:$E,$C45)/$E45),-0.00001)</f>
        <v>-1.0000000000000001E-5</v>
      </c>
      <c r="U45" s="194">
        <f>IFERROR(IF($C45="",-0.00001,SUMIFS(Database!W:W,Database!$E:$E,$C45)/$E45),-0.00001)</f>
        <v>-1.0000000000000001E-5</v>
      </c>
      <c r="V45" s="186">
        <f t="shared" si="2"/>
        <v>-1.0000000000000001E-5</v>
      </c>
      <c r="W45" s="187"/>
      <c r="X45" s="187"/>
      <c r="Y45" s="187"/>
      <c r="Z45" s="187"/>
      <c r="AA45" s="187"/>
      <c r="AB45" s="187"/>
      <c r="AC45" s="187"/>
      <c r="AD45" s="187"/>
      <c r="AE45" s="187"/>
    </row>
    <row r="46" spans="1:31" x14ac:dyDescent="0.25">
      <c r="A46" s="187"/>
      <c r="B46" s="187" t="str">
        <f>IF($C46="","",MAX($B$4:$B45)+1)</f>
        <v/>
      </c>
      <c r="C46" s="183"/>
      <c r="D46" s="183" t="str">
        <f>IFERROR(VLOOKUP($C46,Rosters!$C$4:$M$239,INDEX(Lists!$N$5:$O$80,MATCH($C46,Lists!$N$5:$N$80,FALSE),2)),"")</f>
        <v/>
      </c>
      <c r="E46" s="185">
        <f>IF($C46="",-0.00001,COUNTIF(Database!E:E,$C46))</f>
        <v>-1.0000000000000001E-5</v>
      </c>
      <c r="F46" s="194">
        <f>IFERROR(IF($C46="",-0.00001,SUMIFS(Database!H:H,Database!$E:$E,$C46)/$E46),-0.00001)</f>
        <v>-1.0000000000000001E-5</v>
      </c>
      <c r="G46" s="194">
        <f>IFERROR(IF($C46="",-0.00001,SUMIFS(Database!I:I,Database!$E:$E,$C46)/$E46),-0.00001)</f>
        <v>-1.0000000000000001E-5</v>
      </c>
      <c r="H46" s="194">
        <f>IFERROR(IF($C46="",-0.00001,SUMIFS(Database!J:J,Database!$E:$E,$C46)/$E46),-0.00001)</f>
        <v>-1.0000000000000001E-5</v>
      </c>
      <c r="I46" s="194">
        <f>IFERROR(IF($C46="",-0.00001,SUMIFS(Database!K:K,Database!$E:$E,$C46)/$E46),-0.00001)</f>
        <v>-1.0000000000000001E-5</v>
      </c>
      <c r="J46" s="194">
        <f>IFERROR(IF($C46="",-0.00001,SUMIFS(Database!L:L,Database!$E:$E,$C46)/$E46),-0.00001)</f>
        <v>-1.0000000000000001E-5</v>
      </c>
      <c r="K46" s="194">
        <f>IFERROR(IF($C46="",-0.00001,SUMIFS(Database!M:M,Database!$E:$E,$C46)/$E46),-0.00001)</f>
        <v>-1.0000000000000001E-5</v>
      </c>
      <c r="L46" s="194">
        <f>IFERROR(IF($C46="",-0.00001,SUMIFS(Database!N:N,Database!$E:$E,$C46)/$E46),-0.00001)</f>
        <v>-1.0000000000000001E-5</v>
      </c>
      <c r="M46" s="194">
        <f>IFERROR(IF($C46="",-0.00001,SUMIFS(Database!O:O,Database!$E:$E,$C46)/$E46),-0.00001)</f>
        <v>-1.0000000000000001E-5</v>
      </c>
      <c r="N46" s="194">
        <f>IFERROR(IF($C46="",-0.00001,SUMIFS(Database!P:P,Database!$E:$E,$C46)/$E46),-0.00001)</f>
        <v>-1.0000000000000001E-5</v>
      </c>
      <c r="O46" s="194">
        <f>IFERROR(IF($C46="",-0.00001,SUMIFS(Database!Q:Q,Database!$E:$E,$C46)/$E46),-0.00001)</f>
        <v>-1.0000000000000001E-5</v>
      </c>
      <c r="P46" s="186">
        <f t="shared" si="0"/>
        <v>-1.0000000000000001E-5</v>
      </c>
      <c r="Q46" s="194">
        <f>IFERROR(IF($C46="",-0.00001,SUMIFS(Database!S:S,Database!$E:$E,$C46)/$E46),-0.00001)</f>
        <v>-1.0000000000000001E-5</v>
      </c>
      <c r="R46" s="194">
        <f>IFERROR(IF($C46="",-0.00001,SUMIFS(Database!T:T,Database!$E:$E,$C46)/$E46),-0.00001)</f>
        <v>-1.0000000000000001E-5</v>
      </c>
      <c r="S46" s="186">
        <f t="shared" si="1"/>
        <v>-1.0000000000000001E-5</v>
      </c>
      <c r="T46" s="194">
        <f>IFERROR(IF($C46="",-0.00001,SUMIFS(Database!V:V,Database!$E:$E,$C46)/$E46),-0.00001)</f>
        <v>-1.0000000000000001E-5</v>
      </c>
      <c r="U46" s="194">
        <f>IFERROR(IF($C46="",-0.00001,SUMIFS(Database!W:W,Database!$E:$E,$C46)/$E46),-0.00001)</f>
        <v>-1.0000000000000001E-5</v>
      </c>
      <c r="V46" s="186">
        <f t="shared" si="2"/>
        <v>-1.0000000000000001E-5</v>
      </c>
      <c r="W46" s="187"/>
      <c r="X46" s="187"/>
      <c r="Y46" s="187"/>
      <c r="Z46" s="187"/>
      <c r="AA46" s="187"/>
      <c r="AB46" s="187"/>
      <c r="AC46" s="187"/>
      <c r="AD46" s="187"/>
      <c r="AE46" s="187"/>
    </row>
    <row r="47" spans="1:31" x14ac:dyDescent="0.25">
      <c r="A47" s="187"/>
      <c r="B47" s="187" t="str">
        <f>IF($C47="","",MAX($B$4:$B46)+1)</f>
        <v/>
      </c>
      <c r="C47" s="183"/>
      <c r="D47" s="183" t="str">
        <f>IFERROR(VLOOKUP($C47,Rosters!$C$4:$M$239,INDEX(Lists!$N$5:$O$80,MATCH($C47,Lists!$N$5:$N$80,FALSE),2)),"")</f>
        <v/>
      </c>
      <c r="E47" s="185">
        <f>IF($C47="",-0.00001,COUNTIF(Database!E:E,$C47))</f>
        <v>-1.0000000000000001E-5</v>
      </c>
      <c r="F47" s="194">
        <f>IFERROR(IF($C47="",-0.00001,SUMIFS(Database!H:H,Database!$E:$E,$C47)/$E47),-0.00001)</f>
        <v>-1.0000000000000001E-5</v>
      </c>
      <c r="G47" s="194">
        <f>IFERROR(IF($C47="",-0.00001,SUMIFS(Database!I:I,Database!$E:$E,$C47)/$E47),-0.00001)</f>
        <v>-1.0000000000000001E-5</v>
      </c>
      <c r="H47" s="194">
        <f>IFERROR(IF($C47="",-0.00001,SUMIFS(Database!J:J,Database!$E:$E,$C47)/$E47),-0.00001)</f>
        <v>-1.0000000000000001E-5</v>
      </c>
      <c r="I47" s="194">
        <f>IFERROR(IF($C47="",-0.00001,SUMIFS(Database!K:K,Database!$E:$E,$C47)/$E47),-0.00001)</f>
        <v>-1.0000000000000001E-5</v>
      </c>
      <c r="J47" s="194">
        <f>IFERROR(IF($C47="",-0.00001,SUMIFS(Database!L:L,Database!$E:$E,$C47)/$E47),-0.00001)</f>
        <v>-1.0000000000000001E-5</v>
      </c>
      <c r="K47" s="194">
        <f>IFERROR(IF($C47="",-0.00001,SUMIFS(Database!M:M,Database!$E:$E,$C47)/$E47),-0.00001)</f>
        <v>-1.0000000000000001E-5</v>
      </c>
      <c r="L47" s="194">
        <f>IFERROR(IF($C47="",-0.00001,SUMIFS(Database!N:N,Database!$E:$E,$C47)/$E47),-0.00001)</f>
        <v>-1.0000000000000001E-5</v>
      </c>
      <c r="M47" s="194">
        <f>IFERROR(IF($C47="",-0.00001,SUMIFS(Database!O:O,Database!$E:$E,$C47)/$E47),-0.00001)</f>
        <v>-1.0000000000000001E-5</v>
      </c>
      <c r="N47" s="194">
        <f>IFERROR(IF($C47="",-0.00001,SUMIFS(Database!P:P,Database!$E:$E,$C47)/$E47),-0.00001)</f>
        <v>-1.0000000000000001E-5</v>
      </c>
      <c r="O47" s="194">
        <f>IFERROR(IF($C47="",-0.00001,SUMIFS(Database!Q:Q,Database!$E:$E,$C47)/$E47),-0.00001)</f>
        <v>-1.0000000000000001E-5</v>
      </c>
      <c r="P47" s="186">
        <f t="shared" si="0"/>
        <v>-1.0000000000000001E-5</v>
      </c>
      <c r="Q47" s="194">
        <f>IFERROR(IF($C47="",-0.00001,SUMIFS(Database!S:S,Database!$E:$E,$C47)/$E47),-0.00001)</f>
        <v>-1.0000000000000001E-5</v>
      </c>
      <c r="R47" s="194">
        <f>IFERROR(IF($C47="",-0.00001,SUMIFS(Database!T:T,Database!$E:$E,$C47)/$E47),-0.00001)</f>
        <v>-1.0000000000000001E-5</v>
      </c>
      <c r="S47" s="186">
        <f t="shared" si="1"/>
        <v>-1.0000000000000001E-5</v>
      </c>
      <c r="T47" s="194">
        <f>IFERROR(IF($C47="",-0.00001,SUMIFS(Database!V:V,Database!$E:$E,$C47)/$E47),-0.00001)</f>
        <v>-1.0000000000000001E-5</v>
      </c>
      <c r="U47" s="194">
        <f>IFERROR(IF($C47="",-0.00001,SUMIFS(Database!W:W,Database!$E:$E,$C47)/$E47),-0.00001)</f>
        <v>-1.0000000000000001E-5</v>
      </c>
      <c r="V47" s="186">
        <f t="shared" si="2"/>
        <v>-1.0000000000000001E-5</v>
      </c>
      <c r="W47" s="187"/>
      <c r="X47" s="187"/>
      <c r="Y47" s="187"/>
      <c r="Z47" s="187"/>
      <c r="AA47" s="187"/>
      <c r="AB47" s="187"/>
      <c r="AC47" s="187"/>
      <c r="AD47" s="187"/>
      <c r="AE47" s="187"/>
    </row>
    <row r="48" spans="1:31" x14ac:dyDescent="0.25">
      <c r="A48" s="187"/>
      <c r="B48" s="187" t="str">
        <f>IF($C48="","",MAX($B$4:$B47)+1)</f>
        <v/>
      </c>
      <c r="C48" s="183"/>
      <c r="D48" s="183" t="str">
        <f>IFERROR(VLOOKUP($C48,Rosters!$C$4:$M$239,INDEX(Lists!$N$5:$O$80,MATCH($C48,Lists!$N$5:$N$80,FALSE),2)),"")</f>
        <v/>
      </c>
      <c r="E48" s="185">
        <f>IF($C48="",-0.00001,COUNTIF(Database!E:E,$C48))</f>
        <v>-1.0000000000000001E-5</v>
      </c>
      <c r="F48" s="194">
        <f>IFERROR(IF($C48="",-0.00001,SUMIFS(Database!H:H,Database!$E:$E,$C48)/$E48),-0.00001)</f>
        <v>-1.0000000000000001E-5</v>
      </c>
      <c r="G48" s="194">
        <f>IFERROR(IF($C48="",-0.00001,SUMIFS(Database!I:I,Database!$E:$E,$C48)/$E48),-0.00001)</f>
        <v>-1.0000000000000001E-5</v>
      </c>
      <c r="H48" s="194">
        <f>IFERROR(IF($C48="",-0.00001,SUMIFS(Database!J:J,Database!$E:$E,$C48)/$E48),-0.00001)</f>
        <v>-1.0000000000000001E-5</v>
      </c>
      <c r="I48" s="194">
        <f>IFERROR(IF($C48="",-0.00001,SUMIFS(Database!K:K,Database!$E:$E,$C48)/$E48),-0.00001)</f>
        <v>-1.0000000000000001E-5</v>
      </c>
      <c r="J48" s="194">
        <f>IFERROR(IF($C48="",-0.00001,SUMIFS(Database!L:L,Database!$E:$E,$C48)/$E48),-0.00001)</f>
        <v>-1.0000000000000001E-5</v>
      </c>
      <c r="K48" s="194">
        <f>IFERROR(IF($C48="",-0.00001,SUMIFS(Database!M:M,Database!$E:$E,$C48)/$E48),-0.00001)</f>
        <v>-1.0000000000000001E-5</v>
      </c>
      <c r="L48" s="194">
        <f>IFERROR(IF($C48="",-0.00001,SUMIFS(Database!N:N,Database!$E:$E,$C48)/$E48),-0.00001)</f>
        <v>-1.0000000000000001E-5</v>
      </c>
      <c r="M48" s="194">
        <f>IFERROR(IF($C48="",-0.00001,SUMIFS(Database!O:O,Database!$E:$E,$C48)/$E48),-0.00001)</f>
        <v>-1.0000000000000001E-5</v>
      </c>
      <c r="N48" s="194">
        <f>IFERROR(IF($C48="",-0.00001,SUMIFS(Database!P:P,Database!$E:$E,$C48)/$E48),-0.00001)</f>
        <v>-1.0000000000000001E-5</v>
      </c>
      <c r="O48" s="194">
        <f>IFERROR(IF($C48="",-0.00001,SUMIFS(Database!Q:Q,Database!$E:$E,$C48)/$E48),-0.00001)</f>
        <v>-1.0000000000000001E-5</v>
      </c>
      <c r="P48" s="186">
        <f t="shared" si="0"/>
        <v>-1.0000000000000001E-5</v>
      </c>
      <c r="Q48" s="194">
        <f>IFERROR(IF($C48="",-0.00001,SUMIFS(Database!S:S,Database!$E:$E,$C48)/$E48),-0.00001)</f>
        <v>-1.0000000000000001E-5</v>
      </c>
      <c r="R48" s="194">
        <f>IFERROR(IF($C48="",-0.00001,SUMIFS(Database!T:T,Database!$E:$E,$C48)/$E48),-0.00001)</f>
        <v>-1.0000000000000001E-5</v>
      </c>
      <c r="S48" s="186">
        <f t="shared" si="1"/>
        <v>-1.0000000000000001E-5</v>
      </c>
      <c r="T48" s="194">
        <f>IFERROR(IF($C48="",-0.00001,SUMIFS(Database!V:V,Database!$E:$E,$C48)/$E48),-0.00001)</f>
        <v>-1.0000000000000001E-5</v>
      </c>
      <c r="U48" s="194">
        <f>IFERROR(IF($C48="",-0.00001,SUMIFS(Database!W:W,Database!$E:$E,$C48)/$E48),-0.00001)</f>
        <v>-1.0000000000000001E-5</v>
      </c>
      <c r="V48" s="186">
        <f t="shared" si="2"/>
        <v>-1.0000000000000001E-5</v>
      </c>
      <c r="W48" s="187"/>
      <c r="X48" s="187"/>
      <c r="Y48" s="187"/>
      <c r="Z48" s="187"/>
      <c r="AA48" s="187"/>
      <c r="AB48" s="187"/>
      <c r="AC48" s="187"/>
      <c r="AD48" s="187"/>
      <c r="AE48" s="187"/>
    </row>
    <row r="49" spans="1:31" x14ac:dyDescent="0.25">
      <c r="A49" s="187"/>
      <c r="B49" s="187" t="str">
        <f>IF($C49="","",MAX($B$4:$B48)+1)</f>
        <v/>
      </c>
      <c r="C49" s="183"/>
      <c r="D49" s="183" t="str">
        <f>IFERROR(VLOOKUP($C49,Rosters!$C$4:$M$239,INDEX(Lists!$N$5:$O$80,MATCH($C49,Lists!$N$5:$N$80,FALSE),2)),"")</f>
        <v/>
      </c>
      <c r="E49" s="185">
        <f>IF($C49="",-0.00001,COUNTIF(Database!E:E,$C49))</f>
        <v>-1.0000000000000001E-5</v>
      </c>
      <c r="F49" s="194">
        <f>IFERROR(IF($C49="",-0.00001,SUMIFS(Database!H:H,Database!$E:$E,$C49)/$E49),-0.00001)</f>
        <v>-1.0000000000000001E-5</v>
      </c>
      <c r="G49" s="194">
        <f>IFERROR(IF($C49="",-0.00001,SUMIFS(Database!I:I,Database!$E:$E,$C49)/$E49),-0.00001)</f>
        <v>-1.0000000000000001E-5</v>
      </c>
      <c r="H49" s="194">
        <f>IFERROR(IF($C49="",-0.00001,SUMIFS(Database!J:J,Database!$E:$E,$C49)/$E49),-0.00001)</f>
        <v>-1.0000000000000001E-5</v>
      </c>
      <c r="I49" s="194">
        <f>IFERROR(IF($C49="",-0.00001,SUMIFS(Database!K:K,Database!$E:$E,$C49)/$E49),-0.00001)</f>
        <v>-1.0000000000000001E-5</v>
      </c>
      <c r="J49" s="194">
        <f>IFERROR(IF($C49="",-0.00001,SUMIFS(Database!L:L,Database!$E:$E,$C49)/$E49),-0.00001)</f>
        <v>-1.0000000000000001E-5</v>
      </c>
      <c r="K49" s="194">
        <f>IFERROR(IF($C49="",-0.00001,SUMIFS(Database!M:M,Database!$E:$E,$C49)/$E49),-0.00001)</f>
        <v>-1.0000000000000001E-5</v>
      </c>
      <c r="L49" s="194">
        <f>IFERROR(IF($C49="",-0.00001,SUMIFS(Database!N:N,Database!$E:$E,$C49)/$E49),-0.00001)</f>
        <v>-1.0000000000000001E-5</v>
      </c>
      <c r="M49" s="194">
        <f>IFERROR(IF($C49="",-0.00001,SUMIFS(Database!O:O,Database!$E:$E,$C49)/$E49),-0.00001)</f>
        <v>-1.0000000000000001E-5</v>
      </c>
      <c r="N49" s="194">
        <f>IFERROR(IF($C49="",-0.00001,SUMIFS(Database!P:P,Database!$E:$E,$C49)/$E49),-0.00001)</f>
        <v>-1.0000000000000001E-5</v>
      </c>
      <c r="O49" s="194">
        <f>IFERROR(IF($C49="",-0.00001,SUMIFS(Database!Q:Q,Database!$E:$E,$C49)/$E49),-0.00001)</f>
        <v>-1.0000000000000001E-5</v>
      </c>
      <c r="P49" s="186">
        <f t="shared" si="0"/>
        <v>-1.0000000000000001E-5</v>
      </c>
      <c r="Q49" s="194">
        <f>IFERROR(IF($C49="",-0.00001,SUMIFS(Database!S:S,Database!$E:$E,$C49)/$E49),-0.00001)</f>
        <v>-1.0000000000000001E-5</v>
      </c>
      <c r="R49" s="194">
        <f>IFERROR(IF($C49="",-0.00001,SUMIFS(Database!T:T,Database!$E:$E,$C49)/$E49),-0.00001)</f>
        <v>-1.0000000000000001E-5</v>
      </c>
      <c r="S49" s="186">
        <f t="shared" si="1"/>
        <v>-1.0000000000000001E-5</v>
      </c>
      <c r="T49" s="194">
        <f>IFERROR(IF($C49="",-0.00001,SUMIFS(Database!V:V,Database!$E:$E,$C49)/$E49),-0.00001)</f>
        <v>-1.0000000000000001E-5</v>
      </c>
      <c r="U49" s="194">
        <f>IFERROR(IF($C49="",-0.00001,SUMIFS(Database!W:W,Database!$E:$E,$C49)/$E49),-0.00001)</f>
        <v>-1.0000000000000001E-5</v>
      </c>
      <c r="V49" s="186">
        <f t="shared" si="2"/>
        <v>-1.0000000000000001E-5</v>
      </c>
      <c r="W49" s="187"/>
      <c r="X49" s="187"/>
      <c r="Y49" s="187"/>
      <c r="Z49" s="187"/>
      <c r="AA49" s="187"/>
      <c r="AB49" s="187"/>
      <c r="AC49" s="187"/>
      <c r="AD49" s="187"/>
      <c r="AE49" s="187"/>
    </row>
    <row r="50" spans="1:31" x14ac:dyDescent="0.25">
      <c r="A50" s="187"/>
      <c r="B50" s="187" t="str">
        <f>IF($C50="","",MAX($B$4:$B49)+1)</f>
        <v/>
      </c>
      <c r="C50" s="183"/>
      <c r="D50" s="183" t="str">
        <f>IFERROR(VLOOKUP($C50,Rosters!$C$4:$M$239,INDEX(Lists!$N$5:$O$80,MATCH($C50,Lists!$N$5:$N$80,FALSE),2)),"")</f>
        <v/>
      </c>
      <c r="E50" s="185">
        <f>IF($C50="",-0.00001,COUNTIF(Database!E:E,$C50))</f>
        <v>-1.0000000000000001E-5</v>
      </c>
      <c r="F50" s="194">
        <f>IFERROR(IF($C50="",-0.00001,SUMIFS(Database!H:H,Database!$E:$E,$C50)/$E50),-0.00001)</f>
        <v>-1.0000000000000001E-5</v>
      </c>
      <c r="G50" s="194">
        <f>IFERROR(IF($C50="",-0.00001,SUMIFS(Database!I:I,Database!$E:$E,$C50)/$E50),-0.00001)</f>
        <v>-1.0000000000000001E-5</v>
      </c>
      <c r="H50" s="194">
        <f>IFERROR(IF($C50="",-0.00001,SUMIFS(Database!J:J,Database!$E:$E,$C50)/$E50),-0.00001)</f>
        <v>-1.0000000000000001E-5</v>
      </c>
      <c r="I50" s="194">
        <f>IFERROR(IF($C50="",-0.00001,SUMIFS(Database!K:K,Database!$E:$E,$C50)/$E50),-0.00001)</f>
        <v>-1.0000000000000001E-5</v>
      </c>
      <c r="J50" s="194">
        <f>IFERROR(IF($C50="",-0.00001,SUMIFS(Database!L:L,Database!$E:$E,$C50)/$E50),-0.00001)</f>
        <v>-1.0000000000000001E-5</v>
      </c>
      <c r="K50" s="194">
        <f>IFERROR(IF($C50="",-0.00001,SUMIFS(Database!M:M,Database!$E:$E,$C50)/$E50),-0.00001)</f>
        <v>-1.0000000000000001E-5</v>
      </c>
      <c r="L50" s="194">
        <f>IFERROR(IF($C50="",-0.00001,SUMIFS(Database!N:N,Database!$E:$E,$C50)/$E50),-0.00001)</f>
        <v>-1.0000000000000001E-5</v>
      </c>
      <c r="M50" s="194">
        <f>IFERROR(IF($C50="",-0.00001,SUMIFS(Database!O:O,Database!$E:$E,$C50)/$E50),-0.00001)</f>
        <v>-1.0000000000000001E-5</v>
      </c>
      <c r="N50" s="194">
        <f>IFERROR(IF($C50="",-0.00001,SUMIFS(Database!P:P,Database!$E:$E,$C50)/$E50),-0.00001)</f>
        <v>-1.0000000000000001E-5</v>
      </c>
      <c r="O50" s="194">
        <f>IFERROR(IF($C50="",-0.00001,SUMIFS(Database!Q:Q,Database!$E:$E,$C50)/$E50),-0.00001)</f>
        <v>-1.0000000000000001E-5</v>
      </c>
      <c r="P50" s="186">
        <f t="shared" si="0"/>
        <v>-1.0000000000000001E-5</v>
      </c>
      <c r="Q50" s="194">
        <f>IFERROR(IF($C50="",-0.00001,SUMIFS(Database!S:S,Database!$E:$E,$C50)/$E50),-0.00001)</f>
        <v>-1.0000000000000001E-5</v>
      </c>
      <c r="R50" s="194">
        <f>IFERROR(IF($C50="",-0.00001,SUMIFS(Database!T:T,Database!$E:$E,$C50)/$E50),-0.00001)</f>
        <v>-1.0000000000000001E-5</v>
      </c>
      <c r="S50" s="186">
        <f t="shared" si="1"/>
        <v>-1.0000000000000001E-5</v>
      </c>
      <c r="T50" s="194">
        <f>IFERROR(IF($C50="",-0.00001,SUMIFS(Database!V:V,Database!$E:$E,$C50)/$E50),-0.00001)</f>
        <v>-1.0000000000000001E-5</v>
      </c>
      <c r="U50" s="194">
        <f>IFERROR(IF($C50="",-0.00001,SUMIFS(Database!W:W,Database!$E:$E,$C50)/$E50),-0.00001)</f>
        <v>-1.0000000000000001E-5</v>
      </c>
      <c r="V50" s="186">
        <f t="shared" si="2"/>
        <v>-1.0000000000000001E-5</v>
      </c>
      <c r="W50" s="187"/>
      <c r="X50" s="187"/>
      <c r="Y50" s="187"/>
      <c r="Z50" s="187"/>
      <c r="AA50" s="187"/>
      <c r="AB50" s="187"/>
      <c r="AC50" s="187"/>
      <c r="AD50" s="187"/>
      <c r="AE50" s="187"/>
    </row>
    <row r="51" spans="1:31" x14ac:dyDescent="0.25">
      <c r="A51" s="187"/>
      <c r="B51" s="187" t="str">
        <f>IF($C51="","",MAX($B$4:$B50)+1)</f>
        <v/>
      </c>
      <c r="C51" s="183"/>
      <c r="D51" s="183" t="str">
        <f>IFERROR(VLOOKUP($C51,Rosters!$C$4:$M$239,INDEX(Lists!$N$5:$O$80,MATCH($C51,Lists!$N$5:$N$80,FALSE),2)),"")</f>
        <v/>
      </c>
      <c r="E51" s="185">
        <f>IF($C51="",-0.00001,COUNTIF(Database!E:E,$C51))</f>
        <v>-1.0000000000000001E-5</v>
      </c>
      <c r="F51" s="194">
        <f>IFERROR(IF($C51="",-0.00001,SUMIFS(Database!H:H,Database!$E:$E,$C51)/$E51),-0.00001)</f>
        <v>-1.0000000000000001E-5</v>
      </c>
      <c r="G51" s="194">
        <f>IFERROR(IF($C51="",-0.00001,SUMIFS(Database!I:I,Database!$E:$E,$C51)/$E51),-0.00001)</f>
        <v>-1.0000000000000001E-5</v>
      </c>
      <c r="H51" s="194">
        <f>IFERROR(IF($C51="",-0.00001,SUMIFS(Database!J:J,Database!$E:$E,$C51)/$E51),-0.00001)</f>
        <v>-1.0000000000000001E-5</v>
      </c>
      <c r="I51" s="194">
        <f>IFERROR(IF($C51="",-0.00001,SUMIFS(Database!K:K,Database!$E:$E,$C51)/$E51),-0.00001)</f>
        <v>-1.0000000000000001E-5</v>
      </c>
      <c r="J51" s="194">
        <f>IFERROR(IF($C51="",-0.00001,SUMIFS(Database!L:L,Database!$E:$E,$C51)/$E51),-0.00001)</f>
        <v>-1.0000000000000001E-5</v>
      </c>
      <c r="K51" s="194">
        <f>IFERROR(IF($C51="",-0.00001,SUMIFS(Database!M:M,Database!$E:$E,$C51)/$E51),-0.00001)</f>
        <v>-1.0000000000000001E-5</v>
      </c>
      <c r="L51" s="194">
        <f>IFERROR(IF($C51="",-0.00001,SUMIFS(Database!N:N,Database!$E:$E,$C51)/$E51),-0.00001)</f>
        <v>-1.0000000000000001E-5</v>
      </c>
      <c r="M51" s="194">
        <f>IFERROR(IF($C51="",-0.00001,SUMIFS(Database!O:O,Database!$E:$E,$C51)/$E51),-0.00001)</f>
        <v>-1.0000000000000001E-5</v>
      </c>
      <c r="N51" s="194">
        <f>IFERROR(IF($C51="",-0.00001,SUMIFS(Database!P:P,Database!$E:$E,$C51)/$E51),-0.00001)</f>
        <v>-1.0000000000000001E-5</v>
      </c>
      <c r="O51" s="194">
        <f>IFERROR(IF($C51="",-0.00001,SUMIFS(Database!Q:Q,Database!$E:$E,$C51)/$E51),-0.00001)</f>
        <v>-1.0000000000000001E-5</v>
      </c>
      <c r="P51" s="186">
        <f t="shared" si="0"/>
        <v>-1.0000000000000001E-5</v>
      </c>
      <c r="Q51" s="194">
        <f>IFERROR(IF($C51="",-0.00001,SUMIFS(Database!S:S,Database!$E:$E,$C51)/$E51),-0.00001)</f>
        <v>-1.0000000000000001E-5</v>
      </c>
      <c r="R51" s="194">
        <f>IFERROR(IF($C51="",-0.00001,SUMIFS(Database!T:T,Database!$E:$E,$C51)/$E51),-0.00001)</f>
        <v>-1.0000000000000001E-5</v>
      </c>
      <c r="S51" s="186">
        <f t="shared" si="1"/>
        <v>-1.0000000000000001E-5</v>
      </c>
      <c r="T51" s="194">
        <f>IFERROR(IF($C51="",-0.00001,SUMIFS(Database!V:V,Database!$E:$E,$C51)/$E51),-0.00001)</f>
        <v>-1.0000000000000001E-5</v>
      </c>
      <c r="U51" s="194">
        <f>IFERROR(IF($C51="",-0.00001,SUMIFS(Database!W:W,Database!$E:$E,$C51)/$E51),-0.00001)</f>
        <v>-1.0000000000000001E-5</v>
      </c>
      <c r="V51" s="186">
        <f t="shared" si="2"/>
        <v>-1.0000000000000001E-5</v>
      </c>
      <c r="W51" s="187"/>
      <c r="X51" s="187"/>
      <c r="Y51" s="187"/>
      <c r="Z51" s="187"/>
      <c r="AA51" s="187"/>
      <c r="AB51" s="187"/>
      <c r="AC51" s="187"/>
      <c r="AD51" s="187"/>
      <c r="AE51" s="187"/>
    </row>
    <row r="52" spans="1:31" x14ac:dyDescent="0.25">
      <c r="A52" s="187"/>
      <c r="B52" s="187" t="str">
        <f>IF($C52="","",MAX($B$4:$B51)+1)</f>
        <v/>
      </c>
      <c r="C52" s="183"/>
      <c r="D52" s="183" t="str">
        <f>IFERROR(VLOOKUP($C52,Rosters!$C$4:$M$239,INDEX(Lists!$N$5:$O$80,MATCH($C52,Lists!$N$5:$N$80,FALSE),2)),"")</f>
        <v/>
      </c>
      <c r="E52" s="185">
        <f>IF($C52="",-0.00001,COUNTIF(Database!E:E,$C52))</f>
        <v>-1.0000000000000001E-5</v>
      </c>
      <c r="F52" s="194">
        <f>IFERROR(IF($C52="",-0.00001,SUMIFS(Database!H:H,Database!$E:$E,$C52)/$E52),-0.00001)</f>
        <v>-1.0000000000000001E-5</v>
      </c>
      <c r="G52" s="194">
        <f>IFERROR(IF($C52="",-0.00001,SUMIFS(Database!I:I,Database!$E:$E,$C52)/$E52),-0.00001)</f>
        <v>-1.0000000000000001E-5</v>
      </c>
      <c r="H52" s="194">
        <f>IFERROR(IF($C52="",-0.00001,SUMIFS(Database!J:J,Database!$E:$E,$C52)/$E52),-0.00001)</f>
        <v>-1.0000000000000001E-5</v>
      </c>
      <c r="I52" s="194">
        <f>IFERROR(IF($C52="",-0.00001,SUMIFS(Database!K:K,Database!$E:$E,$C52)/$E52),-0.00001)</f>
        <v>-1.0000000000000001E-5</v>
      </c>
      <c r="J52" s="194">
        <f>IFERROR(IF($C52="",-0.00001,SUMIFS(Database!L:L,Database!$E:$E,$C52)/$E52),-0.00001)</f>
        <v>-1.0000000000000001E-5</v>
      </c>
      <c r="K52" s="194">
        <f>IFERROR(IF($C52="",-0.00001,SUMIFS(Database!M:M,Database!$E:$E,$C52)/$E52),-0.00001)</f>
        <v>-1.0000000000000001E-5</v>
      </c>
      <c r="L52" s="194">
        <f>IFERROR(IF($C52="",-0.00001,SUMIFS(Database!N:N,Database!$E:$E,$C52)/$E52),-0.00001)</f>
        <v>-1.0000000000000001E-5</v>
      </c>
      <c r="M52" s="194">
        <f>IFERROR(IF($C52="",-0.00001,SUMIFS(Database!O:O,Database!$E:$E,$C52)/$E52),-0.00001)</f>
        <v>-1.0000000000000001E-5</v>
      </c>
      <c r="N52" s="194">
        <f>IFERROR(IF($C52="",-0.00001,SUMIFS(Database!P:P,Database!$E:$E,$C52)/$E52),-0.00001)</f>
        <v>-1.0000000000000001E-5</v>
      </c>
      <c r="O52" s="194">
        <f>IFERROR(IF($C52="",-0.00001,SUMIFS(Database!Q:Q,Database!$E:$E,$C52)/$E52),-0.00001)</f>
        <v>-1.0000000000000001E-5</v>
      </c>
      <c r="P52" s="186">
        <f t="shared" si="0"/>
        <v>-1.0000000000000001E-5</v>
      </c>
      <c r="Q52" s="194">
        <f>IFERROR(IF($C52="",-0.00001,SUMIFS(Database!S:S,Database!$E:$E,$C52)/$E52),-0.00001)</f>
        <v>-1.0000000000000001E-5</v>
      </c>
      <c r="R52" s="194">
        <f>IFERROR(IF($C52="",-0.00001,SUMIFS(Database!T:T,Database!$E:$E,$C52)/$E52),-0.00001)</f>
        <v>-1.0000000000000001E-5</v>
      </c>
      <c r="S52" s="186">
        <f t="shared" si="1"/>
        <v>-1.0000000000000001E-5</v>
      </c>
      <c r="T52" s="194">
        <f>IFERROR(IF($C52="",-0.00001,SUMIFS(Database!V:V,Database!$E:$E,$C52)/$E52),-0.00001)</f>
        <v>-1.0000000000000001E-5</v>
      </c>
      <c r="U52" s="194">
        <f>IFERROR(IF($C52="",-0.00001,SUMIFS(Database!W:W,Database!$E:$E,$C52)/$E52),-0.00001)</f>
        <v>-1.0000000000000001E-5</v>
      </c>
      <c r="V52" s="186">
        <f t="shared" si="2"/>
        <v>-1.0000000000000001E-5</v>
      </c>
      <c r="W52" s="187"/>
      <c r="X52" s="187"/>
      <c r="Y52" s="187"/>
      <c r="Z52" s="187"/>
      <c r="AA52" s="187"/>
      <c r="AB52" s="187"/>
      <c r="AC52" s="187"/>
      <c r="AD52" s="187"/>
      <c r="AE52" s="187"/>
    </row>
    <row r="53" spans="1:31" x14ac:dyDescent="0.25">
      <c r="A53" s="187"/>
      <c r="B53" s="187" t="str">
        <f>IF($C53="","",MAX($B$4:$B52)+1)</f>
        <v/>
      </c>
      <c r="C53" s="183"/>
      <c r="D53" s="183" t="str">
        <f>IFERROR(VLOOKUP($C53,Rosters!$C$4:$M$239,INDEX(Lists!$N$5:$O$80,MATCH($C53,Lists!$N$5:$N$80,FALSE),2)),"")</f>
        <v/>
      </c>
      <c r="E53" s="185">
        <f>IF($C53="",-0.00001,COUNTIF(Database!E:E,$C53))</f>
        <v>-1.0000000000000001E-5</v>
      </c>
      <c r="F53" s="194">
        <f>IFERROR(IF($C53="",-0.00001,SUMIFS(Database!H:H,Database!$E:$E,$C53)/$E53),-0.00001)</f>
        <v>-1.0000000000000001E-5</v>
      </c>
      <c r="G53" s="194">
        <f>IFERROR(IF($C53="",-0.00001,SUMIFS(Database!I:I,Database!$E:$E,$C53)/$E53),-0.00001)</f>
        <v>-1.0000000000000001E-5</v>
      </c>
      <c r="H53" s="194">
        <f>IFERROR(IF($C53="",-0.00001,SUMIFS(Database!J:J,Database!$E:$E,$C53)/$E53),-0.00001)</f>
        <v>-1.0000000000000001E-5</v>
      </c>
      <c r="I53" s="194">
        <f>IFERROR(IF($C53="",-0.00001,SUMIFS(Database!K:K,Database!$E:$E,$C53)/$E53),-0.00001)</f>
        <v>-1.0000000000000001E-5</v>
      </c>
      <c r="J53" s="194">
        <f>IFERROR(IF($C53="",-0.00001,SUMIFS(Database!L:L,Database!$E:$E,$C53)/$E53),-0.00001)</f>
        <v>-1.0000000000000001E-5</v>
      </c>
      <c r="K53" s="194">
        <f>IFERROR(IF($C53="",-0.00001,SUMIFS(Database!M:M,Database!$E:$E,$C53)/$E53),-0.00001)</f>
        <v>-1.0000000000000001E-5</v>
      </c>
      <c r="L53" s="194">
        <f>IFERROR(IF($C53="",-0.00001,SUMIFS(Database!N:N,Database!$E:$E,$C53)/$E53),-0.00001)</f>
        <v>-1.0000000000000001E-5</v>
      </c>
      <c r="M53" s="194">
        <f>IFERROR(IF($C53="",-0.00001,SUMIFS(Database!O:O,Database!$E:$E,$C53)/$E53),-0.00001)</f>
        <v>-1.0000000000000001E-5</v>
      </c>
      <c r="N53" s="194">
        <f>IFERROR(IF($C53="",-0.00001,SUMIFS(Database!P:P,Database!$E:$E,$C53)/$E53),-0.00001)</f>
        <v>-1.0000000000000001E-5</v>
      </c>
      <c r="O53" s="194">
        <f>IFERROR(IF($C53="",-0.00001,SUMIFS(Database!Q:Q,Database!$E:$E,$C53)/$E53),-0.00001)</f>
        <v>-1.0000000000000001E-5</v>
      </c>
      <c r="P53" s="186">
        <f t="shared" si="0"/>
        <v>-1.0000000000000001E-5</v>
      </c>
      <c r="Q53" s="194">
        <f>IFERROR(IF($C53="",-0.00001,SUMIFS(Database!S:S,Database!$E:$E,$C53)/$E53),-0.00001)</f>
        <v>-1.0000000000000001E-5</v>
      </c>
      <c r="R53" s="194">
        <f>IFERROR(IF($C53="",-0.00001,SUMIFS(Database!T:T,Database!$E:$E,$C53)/$E53),-0.00001)</f>
        <v>-1.0000000000000001E-5</v>
      </c>
      <c r="S53" s="186">
        <f t="shared" si="1"/>
        <v>-1.0000000000000001E-5</v>
      </c>
      <c r="T53" s="194">
        <f>IFERROR(IF($C53="",-0.00001,SUMIFS(Database!V:V,Database!$E:$E,$C53)/$E53),-0.00001)</f>
        <v>-1.0000000000000001E-5</v>
      </c>
      <c r="U53" s="194">
        <f>IFERROR(IF($C53="",-0.00001,SUMIFS(Database!W:W,Database!$E:$E,$C53)/$E53),-0.00001)</f>
        <v>-1.0000000000000001E-5</v>
      </c>
      <c r="V53" s="186">
        <f t="shared" si="2"/>
        <v>-1.0000000000000001E-5</v>
      </c>
      <c r="W53" s="187"/>
      <c r="X53" s="187"/>
      <c r="Y53" s="187"/>
      <c r="Z53" s="187"/>
      <c r="AA53" s="187"/>
      <c r="AB53" s="187"/>
      <c r="AC53" s="187"/>
      <c r="AD53" s="187"/>
      <c r="AE53" s="187"/>
    </row>
    <row r="54" spans="1:31" x14ac:dyDescent="0.25">
      <c r="A54" s="187"/>
      <c r="B54" s="187" t="str">
        <f>IF($C54="","",MAX($B$4:$B53)+1)</f>
        <v/>
      </c>
      <c r="C54" s="183"/>
      <c r="D54" s="183" t="str">
        <f>IFERROR(VLOOKUP($C54,Rosters!$C$4:$M$239,INDEX(Lists!$N$5:$O$80,MATCH($C54,Lists!$N$5:$N$80,FALSE),2)),"")</f>
        <v/>
      </c>
      <c r="E54" s="185">
        <f>IF($C54="",-0.00001,COUNTIF(Database!E:E,$C54))</f>
        <v>-1.0000000000000001E-5</v>
      </c>
      <c r="F54" s="194">
        <f>IFERROR(IF($C54="",-0.00001,SUMIFS(Database!H:H,Database!$E:$E,$C54)/$E54),-0.00001)</f>
        <v>-1.0000000000000001E-5</v>
      </c>
      <c r="G54" s="194">
        <f>IFERROR(IF($C54="",-0.00001,SUMIFS(Database!I:I,Database!$E:$E,$C54)/$E54),-0.00001)</f>
        <v>-1.0000000000000001E-5</v>
      </c>
      <c r="H54" s="194">
        <f>IFERROR(IF($C54="",-0.00001,SUMIFS(Database!J:J,Database!$E:$E,$C54)/$E54),-0.00001)</f>
        <v>-1.0000000000000001E-5</v>
      </c>
      <c r="I54" s="194">
        <f>IFERROR(IF($C54="",-0.00001,SUMIFS(Database!K:K,Database!$E:$E,$C54)/$E54),-0.00001)</f>
        <v>-1.0000000000000001E-5</v>
      </c>
      <c r="J54" s="194">
        <f>IFERROR(IF($C54="",-0.00001,SUMIFS(Database!L:L,Database!$E:$E,$C54)/$E54),-0.00001)</f>
        <v>-1.0000000000000001E-5</v>
      </c>
      <c r="K54" s="194">
        <f>IFERROR(IF($C54="",-0.00001,SUMIFS(Database!M:M,Database!$E:$E,$C54)/$E54),-0.00001)</f>
        <v>-1.0000000000000001E-5</v>
      </c>
      <c r="L54" s="194">
        <f>IFERROR(IF($C54="",-0.00001,SUMIFS(Database!N:N,Database!$E:$E,$C54)/$E54),-0.00001)</f>
        <v>-1.0000000000000001E-5</v>
      </c>
      <c r="M54" s="194">
        <f>IFERROR(IF($C54="",-0.00001,SUMIFS(Database!O:O,Database!$E:$E,$C54)/$E54),-0.00001)</f>
        <v>-1.0000000000000001E-5</v>
      </c>
      <c r="N54" s="194">
        <f>IFERROR(IF($C54="",-0.00001,SUMIFS(Database!P:P,Database!$E:$E,$C54)/$E54),-0.00001)</f>
        <v>-1.0000000000000001E-5</v>
      </c>
      <c r="O54" s="194">
        <f>IFERROR(IF($C54="",-0.00001,SUMIFS(Database!Q:Q,Database!$E:$E,$C54)/$E54),-0.00001)</f>
        <v>-1.0000000000000001E-5</v>
      </c>
      <c r="P54" s="186">
        <f t="shared" si="0"/>
        <v>-1.0000000000000001E-5</v>
      </c>
      <c r="Q54" s="194">
        <f>IFERROR(IF($C54="",-0.00001,SUMIFS(Database!S:S,Database!$E:$E,$C54)/$E54),-0.00001)</f>
        <v>-1.0000000000000001E-5</v>
      </c>
      <c r="R54" s="194">
        <f>IFERROR(IF($C54="",-0.00001,SUMIFS(Database!T:T,Database!$E:$E,$C54)/$E54),-0.00001)</f>
        <v>-1.0000000000000001E-5</v>
      </c>
      <c r="S54" s="186">
        <f t="shared" si="1"/>
        <v>-1.0000000000000001E-5</v>
      </c>
      <c r="T54" s="194">
        <f>IFERROR(IF($C54="",-0.00001,SUMIFS(Database!V:V,Database!$E:$E,$C54)/$E54),-0.00001)</f>
        <v>-1.0000000000000001E-5</v>
      </c>
      <c r="U54" s="194">
        <f>IFERROR(IF($C54="",-0.00001,SUMIFS(Database!W:W,Database!$E:$E,$C54)/$E54),-0.00001)</f>
        <v>-1.0000000000000001E-5</v>
      </c>
      <c r="V54" s="186">
        <f t="shared" si="2"/>
        <v>-1.0000000000000001E-5</v>
      </c>
      <c r="W54" s="187"/>
      <c r="X54" s="187"/>
      <c r="Y54" s="187"/>
      <c r="Z54" s="187"/>
      <c r="AA54" s="187"/>
      <c r="AB54" s="187"/>
      <c r="AC54" s="187"/>
      <c r="AD54" s="187"/>
      <c r="AE54" s="187"/>
    </row>
    <row r="55" spans="1:31" x14ac:dyDescent="0.25">
      <c r="A55" s="187"/>
      <c r="B55" s="187" t="str">
        <f>IF($C55="","",MAX($B$4:$B54)+1)</f>
        <v/>
      </c>
      <c r="C55" s="183"/>
      <c r="D55" s="183" t="str">
        <f>IFERROR(VLOOKUP($C55,Rosters!$C$4:$M$239,INDEX(Lists!$N$5:$O$80,MATCH($C55,Lists!$N$5:$N$80,FALSE),2)),"")</f>
        <v/>
      </c>
      <c r="E55" s="185">
        <f>IF($C55="",-0.00001,COUNTIF(Database!E:E,$C55))</f>
        <v>-1.0000000000000001E-5</v>
      </c>
      <c r="F55" s="194">
        <f>IFERROR(IF($C55="",-0.00001,SUMIFS(Database!H:H,Database!$E:$E,$C55)/$E55),-0.00001)</f>
        <v>-1.0000000000000001E-5</v>
      </c>
      <c r="G55" s="194">
        <f>IFERROR(IF($C55="",-0.00001,SUMIFS(Database!I:I,Database!$E:$E,$C55)/$E55),-0.00001)</f>
        <v>-1.0000000000000001E-5</v>
      </c>
      <c r="H55" s="194">
        <f>IFERROR(IF($C55="",-0.00001,SUMIFS(Database!J:J,Database!$E:$E,$C55)/$E55),-0.00001)</f>
        <v>-1.0000000000000001E-5</v>
      </c>
      <c r="I55" s="194">
        <f>IFERROR(IF($C55="",-0.00001,SUMIFS(Database!K:K,Database!$E:$E,$C55)/$E55),-0.00001)</f>
        <v>-1.0000000000000001E-5</v>
      </c>
      <c r="J55" s="194">
        <f>IFERROR(IF($C55="",-0.00001,SUMIFS(Database!L:L,Database!$E:$E,$C55)/$E55),-0.00001)</f>
        <v>-1.0000000000000001E-5</v>
      </c>
      <c r="K55" s="194">
        <f>IFERROR(IF($C55="",-0.00001,SUMIFS(Database!M:M,Database!$E:$E,$C55)/$E55),-0.00001)</f>
        <v>-1.0000000000000001E-5</v>
      </c>
      <c r="L55" s="194">
        <f>IFERROR(IF($C55="",-0.00001,SUMIFS(Database!N:N,Database!$E:$E,$C55)/$E55),-0.00001)</f>
        <v>-1.0000000000000001E-5</v>
      </c>
      <c r="M55" s="194">
        <f>IFERROR(IF($C55="",-0.00001,SUMIFS(Database!O:O,Database!$E:$E,$C55)/$E55),-0.00001)</f>
        <v>-1.0000000000000001E-5</v>
      </c>
      <c r="N55" s="194">
        <f>IFERROR(IF($C55="",-0.00001,SUMIFS(Database!P:P,Database!$E:$E,$C55)/$E55),-0.00001)</f>
        <v>-1.0000000000000001E-5</v>
      </c>
      <c r="O55" s="194">
        <f>IFERROR(IF($C55="",-0.00001,SUMIFS(Database!Q:Q,Database!$E:$E,$C55)/$E55),-0.00001)</f>
        <v>-1.0000000000000001E-5</v>
      </c>
      <c r="P55" s="186">
        <f t="shared" si="0"/>
        <v>-1.0000000000000001E-5</v>
      </c>
      <c r="Q55" s="194">
        <f>IFERROR(IF($C55="",-0.00001,SUMIFS(Database!S:S,Database!$E:$E,$C55)/$E55),-0.00001)</f>
        <v>-1.0000000000000001E-5</v>
      </c>
      <c r="R55" s="194">
        <f>IFERROR(IF($C55="",-0.00001,SUMIFS(Database!T:T,Database!$E:$E,$C55)/$E55),-0.00001)</f>
        <v>-1.0000000000000001E-5</v>
      </c>
      <c r="S55" s="186">
        <f t="shared" si="1"/>
        <v>-1.0000000000000001E-5</v>
      </c>
      <c r="T55" s="194">
        <f>IFERROR(IF($C55="",-0.00001,SUMIFS(Database!V:V,Database!$E:$E,$C55)/$E55),-0.00001)</f>
        <v>-1.0000000000000001E-5</v>
      </c>
      <c r="U55" s="194">
        <f>IFERROR(IF($C55="",-0.00001,SUMIFS(Database!W:W,Database!$E:$E,$C55)/$E55),-0.00001)</f>
        <v>-1.0000000000000001E-5</v>
      </c>
      <c r="V55" s="186">
        <f t="shared" si="2"/>
        <v>-1.0000000000000001E-5</v>
      </c>
      <c r="W55" s="187"/>
      <c r="X55" s="187"/>
      <c r="Y55" s="187"/>
      <c r="Z55" s="187"/>
      <c r="AA55" s="187"/>
      <c r="AB55" s="187"/>
      <c r="AC55" s="187"/>
      <c r="AD55" s="187"/>
      <c r="AE55" s="187"/>
    </row>
    <row r="56" spans="1:31" x14ac:dyDescent="0.25">
      <c r="A56" s="187"/>
      <c r="B56" s="187" t="str">
        <f>IF($C56="","",MAX($B$4:$B55)+1)</f>
        <v/>
      </c>
      <c r="C56" s="183"/>
      <c r="D56" s="183" t="str">
        <f>IFERROR(VLOOKUP($C56,Rosters!$C$4:$M$239,INDEX(Lists!$N$5:$O$80,MATCH($C56,Lists!$N$5:$N$80,FALSE),2)),"")</f>
        <v/>
      </c>
      <c r="E56" s="185">
        <f>IF($C56="",-0.00001,COUNTIF(Database!E:E,$C56))</f>
        <v>-1.0000000000000001E-5</v>
      </c>
      <c r="F56" s="194">
        <f>IFERROR(IF($C56="",-0.00001,SUMIFS(Database!H:H,Database!$E:$E,$C56)/$E56),-0.00001)</f>
        <v>-1.0000000000000001E-5</v>
      </c>
      <c r="G56" s="194">
        <f>IFERROR(IF($C56="",-0.00001,SUMIFS(Database!I:I,Database!$E:$E,$C56)/$E56),-0.00001)</f>
        <v>-1.0000000000000001E-5</v>
      </c>
      <c r="H56" s="194">
        <f>IFERROR(IF($C56="",-0.00001,SUMIFS(Database!J:J,Database!$E:$E,$C56)/$E56),-0.00001)</f>
        <v>-1.0000000000000001E-5</v>
      </c>
      <c r="I56" s="194">
        <f>IFERROR(IF($C56="",-0.00001,SUMIFS(Database!K:K,Database!$E:$E,$C56)/$E56),-0.00001)</f>
        <v>-1.0000000000000001E-5</v>
      </c>
      <c r="J56" s="194">
        <f>IFERROR(IF($C56="",-0.00001,SUMIFS(Database!L:L,Database!$E:$E,$C56)/$E56),-0.00001)</f>
        <v>-1.0000000000000001E-5</v>
      </c>
      <c r="K56" s="194">
        <f>IFERROR(IF($C56="",-0.00001,SUMIFS(Database!M:M,Database!$E:$E,$C56)/$E56),-0.00001)</f>
        <v>-1.0000000000000001E-5</v>
      </c>
      <c r="L56" s="194">
        <f>IFERROR(IF($C56="",-0.00001,SUMIFS(Database!N:N,Database!$E:$E,$C56)/$E56),-0.00001)</f>
        <v>-1.0000000000000001E-5</v>
      </c>
      <c r="M56" s="194">
        <f>IFERROR(IF($C56="",-0.00001,SUMIFS(Database!O:O,Database!$E:$E,$C56)/$E56),-0.00001)</f>
        <v>-1.0000000000000001E-5</v>
      </c>
      <c r="N56" s="194">
        <f>IFERROR(IF($C56="",-0.00001,SUMIFS(Database!P:P,Database!$E:$E,$C56)/$E56),-0.00001)</f>
        <v>-1.0000000000000001E-5</v>
      </c>
      <c r="O56" s="194">
        <f>IFERROR(IF($C56="",-0.00001,SUMIFS(Database!Q:Q,Database!$E:$E,$C56)/$E56),-0.00001)</f>
        <v>-1.0000000000000001E-5</v>
      </c>
      <c r="P56" s="186">
        <f t="shared" si="0"/>
        <v>-1.0000000000000001E-5</v>
      </c>
      <c r="Q56" s="194">
        <f>IFERROR(IF($C56="",-0.00001,SUMIFS(Database!S:S,Database!$E:$E,$C56)/$E56),-0.00001)</f>
        <v>-1.0000000000000001E-5</v>
      </c>
      <c r="R56" s="194">
        <f>IFERROR(IF($C56="",-0.00001,SUMIFS(Database!T:T,Database!$E:$E,$C56)/$E56),-0.00001)</f>
        <v>-1.0000000000000001E-5</v>
      </c>
      <c r="S56" s="186">
        <f t="shared" si="1"/>
        <v>-1.0000000000000001E-5</v>
      </c>
      <c r="T56" s="194">
        <f>IFERROR(IF($C56="",-0.00001,SUMIFS(Database!V:V,Database!$E:$E,$C56)/$E56),-0.00001)</f>
        <v>-1.0000000000000001E-5</v>
      </c>
      <c r="U56" s="194">
        <f>IFERROR(IF($C56="",-0.00001,SUMIFS(Database!W:W,Database!$E:$E,$C56)/$E56),-0.00001)</f>
        <v>-1.0000000000000001E-5</v>
      </c>
      <c r="V56" s="186">
        <f t="shared" si="2"/>
        <v>-1.0000000000000001E-5</v>
      </c>
      <c r="W56" s="187"/>
      <c r="X56" s="187"/>
      <c r="Y56" s="187"/>
      <c r="Z56" s="187"/>
      <c r="AA56" s="187"/>
      <c r="AB56" s="187"/>
      <c r="AC56" s="187"/>
      <c r="AD56" s="187"/>
      <c r="AE56" s="187"/>
    </row>
    <row r="57" spans="1:31" x14ac:dyDescent="0.25">
      <c r="A57" s="187"/>
      <c r="B57" s="187" t="str">
        <f>IF($C57="","",MAX($B$4:$B56)+1)</f>
        <v/>
      </c>
      <c r="C57" s="183"/>
      <c r="D57" s="183" t="str">
        <f>IFERROR(VLOOKUP($C57,Rosters!$C$4:$M$239,INDEX(Lists!$N$5:$O$80,MATCH($C57,Lists!$N$5:$N$80,FALSE),2)),"")</f>
        <v/>
      </c>
      <c r="E57" s="185">
        <f>IF($C57="",-0.00001,COUNTIF(Database!E:E,$C57))</f>
        <v>-1.0000000000000001E-5</v>
      </c>
      <c r="F57" s="194">
        <f>IFERROR(IF($C57="",-0.00001,SUMIFS(Database!H:H,Database!$E:$E,$C57)/$E57),-0.00001)</f>
        <v>-1.0000000000000001E-5</v>
      </c>
      <c r="G57" s="194">
        <f>IFERROR(IF($C57="",-0.00001,SUMIFS(Database!I:I,Database!$E:$E,$C57)/$E57),-0.00001)</f>
        <v>-1.0000000000000001E-5</v>
      </c>
      <c r="H57" s="194">
        <f>IFERROR(IF($C57="",-0.00001,SUMIFS(Database!J:J,Database!$E:$E,$C57)/$E57),-0.00001)</f>
        <v>-1.0000000000000001E-5</v>
      </c>
      <c r="I57" s="194">
        <f>IFERROR(IF($C57="",-0.00001,SUMIFS(Database!K:K,Database!$E:$E,$C57)/$E57),-0.00001)</f>
        <v>-1.0000000000000001E-5</v>
      </c>
      <c r="J57" s="194">
        <f>IFERROR(IF($C57="",-0.00001,SUMIFS(Database!L:L,Database!$E:$E,$C57)/$E57),-0.00001)</f>
        <v>-1.0000000000000001E-5</v>
      </c>
      <c r="K57" s="194">
        <f>IFERROR(IF($C57="",-0.00001,SUMIFS(Database!M:M,Database!$E:$E,$C57)/$E57),-0.00001)</f>
        <v>-1.0000000000000001E-5</v>
      </c>
      <c r="L57" s="194">
        <f>IFERROR(IF($C57="",-0.00001,SUMIFS(Database!N:N,Database!$E:$E,$C57)/$E57),-0.00001)</f>
        <v>-1.0000000000000001E-5</v>
      </c>
      <c r="M57" s="194">
        <f>IFERROR(IF($C57="",-0.00001,SUMIFS(Database!O:O,Database!$E:$E,$C57)/$E57),-0.00001)</f>
        <v>-1.0000000000000001E-5</v>
      </c>
      <c r="N57" s="194">
        <f>IFERROR(IF($C57="",-0.00001,SUMIFS(Database!P:P,Database!$E:$E,$C57)/$E57),-0.00001)</f>
        <v>-1.0000000000000001E-5</v>
      </c>
      <c r="O57" s="194">
        <f>IFERROR(IF($C57="",-0.00001,SUMIFS(Database!Q:Q,Database!$E:$E,$C57)/$E57),-0.00001)</f>
        <v>-1.0000000000000001E-5</v>
      </c>
      <c r="P57" s="186">
        <f t="shared" si="0"/>
        <v>-1.0000000000000001E-5</v>
      </c>
      <c r="Q57" s="194">
        <f>IFERROR(IF($C57="",-0.00001,SUMIFS(Database!S:S,Database!$E:$E,$C57)/$E57),-0.00001)</f>
        <v>-1.0000000000000001E-5</v>
      </c>
      <c r="R57" s="194">
        <f>IFERROR(IF($C57="",-0.00001,SUMIFS(Database!T:T,Database!$E:$E,$C57)/$E57),-0.00001)</f>
        <v>-1.0000000000000001E-5</v>
      </c>
      <c r="S57" s="186">
        <f t="shared" si="1"/>
        <v>-1.0000000000000001E-5</v>
      </c>
      <c r="T57" s="194">
        <f>IFERROR(IF($C57="",-0.00001,SUMIFS(Database!V:V,Database!$E:$E,$C57)/$E57),-0.00001)</f>
        <v>-1.0000000000000001E-5</v>
      </c>
      <c r="U57" s="194">
        <f>IFERROR(IF($C57="",-0.00001,SUMIFS(Database!W:W,Database!$E:$E,$C57)/$E57),-0.00001)</f>
        <v>-1.0000000000000001E-5</v>
      </c>
      <c r="V57" s="186">
        <f t="shared" si="2"/>
        <v>-1.0000000000000001E-5</v>
      </c>
      <c r="W57" s="187"/>
      <c r="X57" s="187"/>
      <c r="Y57" s="187"/>
      <c r="Z57" s="187"/>
      <c r="AA57" s="187"/>
      <c r="AB57" s="187"/>
      <c r="AC57" s="187"/>
      <c r="AD57" s="187"/>
      <c r="AE57" s="187"/>
    </row>
    <row r="58" spans="1:31" x14ac:dyDescent="0.25">
      <c r="A58" s="187"/>
      <c r="B58" s="187" t="str">
        <f>IF($C58="","",MAX($B$4:$B57)+1)</f>
        <v/>
      </c>
      <c r="C58" s="183"/>
      <c r="D58" s="183" t="str">
        <f>IFERROR(VLOOKUP($C58,Rosters!$C$4:$M$239,INDEX(Lists!$N$5:$O$80,MATCH($C58,Lists!$N$5:$N$80,FALSE),2)),"")</f>
        <v/>
      </c>
      <c r="E58" s="185">
        <f>IF($C58="",-0.00001,COUNTIF(Database!E:E,$C58))</f>
        <v>-1.0000000000000001E-5</v>
      </c>
      <c r="F58" s="194">
        <f>IFERROR(IF($C58="",-0.00001,SUMIFS(Database!H:H,Database!$E:$E,$C58)/$E58),-0.00001)</f>
        <v>-1.0000000000000001E-5</v>
      </c>
      <c r="G58" s="194">
        <f>IFERROR(IF($C58="",-0.00001,SUMIFS(Database!I:I,Database!$E:$E,$C58)/$E58),-0.00001)</f>
        <v>-1.0000000000000001E-5</v>
      </c>
      <c r="H58" s="194">
        <f>IFERROR(IF($C58="",-0.00001,SUMIFS(Database!J:J,Database!$E:$E,$C58)/$E58),-0.00001)</f>
        <v>-1.0000000000000001E-5</v>
      </c>
      <c r="I58" s="194">
        <f>IFERROR(IF($C58="",-0.00001,SUMIFS(Database!K:K,Database!$E:$E,$C58)/$E58),-0.00001)</f>
        <v>-1.0000000000000001E-5</v>
      </c>
      <c r="J58" s="194">
        <f>IFERROR(IF($C58="",-0.00001,SUMIFS(Database!L:L,Database!$E:$E,$C58)/$E58),-0.00001)</f>
        <v>-1.0000000000000001E-5</v>
      </c>
      <c r="K58" s="194">
        <f>IFERROR(IF($C58="",-0.00001,SUMIFS(Database!M:M,Database!$E:$E,$C58)/$E58),-0.00001)</f>
        <v>-1.0000000000000001E-5</v>
      </c>
      <c r="L58" s="194">
        <f>IFERROR(IF($C58="",-0.00001,SUMIFS(Database!N:N,Database!$E:$E,$C58)/$E58),-0.00001)</f>
        <v>-1.0000000000000001E-5</v>
      </c>
      <c r="M58" s="194">
        <f>IFERROR(IF($C58="",-0.00001,SUMIFS(Database!O:O,Database!$E:$E,$C58)/$E58),-0.00001)</f>
        <v>-1.0000000000000001E-5</v>
      </c>
      <c r="N58" s="194">
        <f>IFERROR(IF($C58="",-0.00001,SUMIFS(Database!P:P,Database!$E:$E,$C58)/$E58),-0.00001)</f>
        <v>-1.0000000000000001E-5</v>
      </c>
      <c r="O58" s="194">
        <f>IFERROR(IF($C58="",-0.00001,SUMIFS(Database!Q:Q,Database!$E:$E,$C58)/$E58),-0.00001)</f>
        <v>-1.0000000000000001E-5</v>
      </c>
      <c r="P58" s="186">
        <f t="shared" si="0"/>
        <v>-1.0000000000000001E-5</v>
      </c>
      <c r="Q58" s="194">
        <f>IFERROR(IF($C58="",-0.00001,SUMIFS(Database!S:S,Database!$E:$E,$C58)/$E58),-0.00001)</f>
        <v>-1.0000000000000001E-5</v>
      </c>
      <c r="R58" s="194">
        <f>IFERROR(IF($C58="",-0.00001,SUMIFS(Database!T:T,Database!$E:$E,$C58)/$E58),-0.00001)</f>
        <v>-1.0000000000000001E-5</v>
      </c>
      <c r="S58" s="186">
        <f t="shared" si="1"/>
        <v>-1.0000000000000001E-5</v>
      </c>
      <c r="T58" s="194">
        <f>IFERROR(IF($C58="",-0.00001,SUMIFS(Database!V:V,Database!$E:$E,$C58)/$E58),-0.00001)</f>
        <v>-1.0000000000000001E-5</v>
      </c>
      <c r="U58" s="194">
        <f>IFERROR(IF($C58="",-0.00001,SUMIFS(Database!W:W,Database!$E:$E,$C58)/$E58),-0.00001)</f>
        <v>-1.0000000000000001E-5</v>
      </c>
      <c r="V58" s="186">
        <f t="shared" si="2"/>
        <v>-1.0000000000000001E-5</v>
      </c>
      <c r="W58" s="187"/>
      <c r="X58" s="187"/>
      <c r="Y58" s="187"/>
      <c r="Z58" s="187"/>
      <c r="AA58" s="187"/>
      <c r="AB58" s="187"/>
      <c r="AC58" s="187"/>
      <c r="AD58" s="187"/>
      <c r="AE58" s="187"/>
    </row>
    <row r="59" spans="1:31" x14ac:dyDescent="0.25">
      <c r="A59" s="187"/>
      <c r="B59" s="187" t="str">
        <f>IF($C59="","",MAX($B$4:$B58)+1)</f>
        <v/>
      </c>
      <c r="C59" s="183"/>
      <c r="D59" s="183" t="str">
        <f>IFERROR(VLOOKUP($C59,Rosters!$C$4:$M$239,INDEX(Lists!$N$5:$O$80,MATCH($C59,Lists!$N$5:$N$80,FALSE),2)),"")</f>
        <v/>
      </c>
      <c r="E59" s="185">
        <f>IF($C59="",-0.00001,COUNTIF(Database!E:E,$C59))</f>
        <v>-1.0000000000000001E-5</v>
      </c>
      <c r="F59" s="194">
        <f>IFERROR(IF($C59="",-0.00001,SUMIFS(Database!H:H,Database!$E:$E,$C59)/$E59),-0.00001)</f>
        <v>-1.0000000000000001E-5</v>
      </c>
      <c r="G59" s="194">
        <f>IFERROR(IF($C59="",-0.00001,SUMIFS(Database!I:I,Database!$E:$E,$C59)/$E59),-0.00001)</f>
        <v>-1.0000000000000001E-5</v>
      </c>
      <c r="H59" s="194">
        <f>IFERROR(IF($C59="",-0.00001,SUMIFS(Database!J:J,Database!$E:$E,$C59)/$E59),-0.00001)</f>
        <v>-1.0000000000000001E-5</v>
      </c>
      <c r="I59" s="194">
        <f>IFERROR(IF($C59="",-0.00001,SUMIFS(Database!K:K,Database!$E:$E,$C59)/$E59),-0.00001)</f>
        <v>-1.0000000000000001E-5</v>
      </c>
      <c r="J59" s="194">
        <f>IFERROR(IF($C59="",-0.00001,SUMIFS(Database!L:L,Database!$E:$E,$C59)/$E59),-0.00001)</f>
        <v>-1.0000000000000001E-5</v>
      </c>
      <c r="K59" s="194">
        <f>IFERROR(IF($C59="",-0.00001,SUMIFS(Database!M:M,Database!$E:$E,$C59)/$E59),-0.00001)</f>
        <v>-1.0000000000000001E-5</v>
      </c>
      <c r="L59" s="194">
        <f>IFERROR(IF($C59="",-0.00001,SUMIFS(Database!N:N,Database!$E:$E,$C59)/$E59),-0.00001)</f>
        <v>-1.0000000000000001E-5</v>
      </c>
      <c r="M59" s="194">
        <f>IFERROR(IF($C59="",-0.00001,SUMIFS(Database!O:O,Database!$E:$E,$C59)/$E59),-0.00001)</f>
        <v>-1.0000000000000001E-5</v>
      </c>
      <c r="N59" s="194">
        <f>IFERROR(IF($C59="",-0.00001,SUMIFS(Database!P:P,Database!$E:$E,$C59)/$E59),-0.00001)</f>
        <v>-1.0000000000000001E-5</v>
      </c>
      <c r="O59" s="194">
        <f>IFERROR(IF($C59="",-0.00001,SUMIFS(Database!Q:Q,Database!$E:$E,$C59)/$E59),-0.00001)</f>
        <v>-1.0000000000000001E-5</v>
      </c>
      <c r="P59" s="186">
        <f t="shared" si="0"/>
        <v>-1.0000000000000001E-5</v>
      </c>
      <c r="Q59" s="194">
        <f>IFERROR(IF($C59="",-0.00001,SUMIFS(Database!S:S,Database!$E:$E,$C59)/$E59),-0.00001)</f>
        <v>-1.0000000000000001E-5</v>
      </c>
      <c r="R59" s="194">
        <f>IFERROR(IF($C59="",-0.00001,SUMIFS(Database!T:T,Database!$E:$E,$C59)/$E59),-0.00001)</f>
        <v>-1.0000000000000001E-5</v>
      </c>
      <c r="S59" s="186">
        <f t="shared" si="1"/>
        <v>-1.0000000000000001E-5</v>
      </c>
      <c r="T59" s="194">
        <f>IFERROR(IF($C59="",-0.00001,SUMIFS(Database!V:V,Database!$E:$E,$C59)/$E59),-0.00001)</f>
        <v>-1.0000000000000001E-5</v>
      </c>
      <c r="U59" s="194">
        <f>IFERROR(IF($C59="",-0.00001,SUMIFS(Database!W:W,Database!$E:$E,$C59)/$E59),-0.00001)</f>
        <v>-1.0000000000000001E-5</v>
      </c>
      <c r="V59" s="186">
        <f t="shared" si="2"/>
        <v>-1.0000000000000001E-5</v>
      </c>
      <c r="W59" s="187"/>
      <c r="X59" s="187"/>
      <c r="Y59" s="187"/>
      <c r="Z59" s="187"/>
      <c r="AA59" s="187"/>
      <c r="AB59" s="187"/>
      <c r="AC59" s="187"/>
      <c r="AD59" s="187"/>
      <c r="AE59" s="187"/>
    </row>
    <row r="60" spans="1:31" x14ac:dyDescent="0.25">
      <c r="A60" s="187"/>
      <c r="B60" s="187" t="str">
        <f>IF($C60="","",MAX($B$4:$B59)+1)</f>
        <v/>
      </c>
      <c r="C60" s="183"/>
      <c r="D60" s="183" t="str">
        <f>IFERROR(VLOOKUP($C60,Rosters!$C$4:$M$239,INDEX(Lists!$N$5:$O$80,MATCH($C60,Lists!$N$5:$N$80,FALSE),2)),"")</f>
        <v/>
      </c>
      <c r="E60" s="185">
        <f>IF($C60="",-0.00001,COUNTIF(Database!E:E,$C60))</f>
        <v>-1.0000000000000001E-5</v>
      </c>
      <c r="F60" s="194">
        <f>IFERROR(IF($C60="",-0.00001,SUMIFS(Database!H:H,Database!$E:$E,$C60)/$E60),-0.00001)</f>
        <v>-1.0000000000000001E-5</v>
      </c>
      <c r="G60" s="194">
        <f>IFERROR(IF($C60="",-0.00001,SUMIFS(Database!I:I,Database!$E:$E,$C60)/$E60),-0.00001)</f>
        <v>-1.0000000000000001E-5</v>
      </c>
      <c r="H60" s="194">
        <f>IFERROR(IF($C60="",-0.00001,SUMIFS(Database!J:J,Database!$E:$E,$C60)/$E60),-0.00001)</f>
        <v>-1.0000000000000001E-5</v>
      </c>
      <c r="I60" s="194">
        <f>IFERROR(IF($C60="",-0.00001,SUMIFS(Database!K:K,Database!$E:$E,$C60)/$E60),-0.00001)</f>
        <v>-1.0000000000000001E-5</v>
      </c>
      <c r="J60" s="194">
        <f>IFERROR(IF($C60="",-0.00001,SUMIFS(Database!L:L,Database!$E:$E,$C60)/$E60),-0.00001)</f>
        <v>-1.0000000000000001E-5</v>
      </c>
      <c r="K60" s="194">
        <f>IFERROR(IF($C60="",-0.00001,SUMIFS(Database!M:M,Database!$E:$E,$C60)/$E60),-0.00001)</f>
        <v>-1.0000000000000001E-5</v>
      </c>
      <c r="L60" s="194">
        <f>IFERROR(IF($C60="",-0.00001,SUMIFS(Database!N:N,Database!$E:$E,$C60)/$E60),-0.00001)</f>
        <v>-1.0000000000000001E-5</v>
      </c>
      <c r="M60" s="194">
        <f>IFERROR(IF($C60="",-0.00001,SUMIFS(Database!O:O,Database!$E:$E,$C60)/$E60),-0.00001)</f>
        <v>-1.0000000000000001E-5</v>
      </c>
      <c r="N60" s="194">
        <f>IFERROR(IF($C60="",-0.00001,SUMIFS(Database!P:P,Database!$E:$E,$C60)/$E60),-0.00001)</f>
        <v>-1.0000000000000001E-5</v>
      </c>
      <c r="O60" s="194">
        <f>IFERROR(IF($C60="",-0.00001,SUMIFS(Database!Q:Q,Database!$E:$E,$C60)/$E60),-0.00001)</f>
        <v>-1.0000000000000001E-5</v>
      </c>
      <c r="P60" s="186">
        <f t="shared" si="0"/>
        <v>-1.0000000000000001E-5</v>
      </c>
      <c r="Q60" s="194">
        <f>IFERROR(IF($C60="",-0.00001,SUMIFS(Database!S:S,Database!$E:$E,$C60)/$E60),-0.00001)</f>
        <v>-1.0000000000000001E-5</v>
      </c>
      <c r="R60" s="194">
        <f>IFERROR(IF($C60="",-0.00001,SUMIFS(Database!T:T,Database!$E:$E,$C60)/$E60),-0.00001)</f>
        <v>-1.0000000000000001E-5</v>
      </c>
      <c r="S60" s="186">
        <f t="shared" si="1"/>
        <v>-1.0000000000000001E-5</v>
      </c>
      <c r="T60" s="194">
        <f>IFERROR(IF($C60="",-0.00001,SUMIFS(Database!V:V,Database!$E:$E,$C60)/$E60),-0.00001)</f>
        <v>-1.0000000000000001E-5</v>
      </c>
      <c r="U60" s="194">
        <f>IFERROR(IF($C60="",-0.00001,SUMIFS(Database!W:W,Database!$E:$E,$C60)/$E60),-0.00001)</f>
        <v>-1.0000000000000001E-5</v>
      </c>
      <c r="V60" s="186">
        <f t="shared" si="2"/>
        <v>-1.0000000000000001E-5</v>
      </c>
      <c r="W60" s="187"/>
      <c r="X60" s="187"/>
      <c r="Y60" s="187"/>
      <c r="Z60" s="187"/>
      <c r="AA60" s="187"/>
      <c r="AB60" s="187"/>
      <c r="AC60" s="187"/>
      <c r="AD60" s="187"/>
      <c r="AE60" s="187"/>
    </row>
    <row r="61" spans="1:31" x14ac:dyDescent="0.25">
      <c r="A61" s="187"/>
      <c r="B61" s="187" t="str">
        <f>IF($C61="","",MAX($B$4:$B60)+1)</f>
        <v/>
      </c>
      <c r="C61" s="183"/>
      <c r="D61" s="183" t="str">
        <f>IFERROR(VLOOKUP($C61,Rosters!$C$4:$M$239,INDEX(Lists!$N$5:$O$80,MATCH($C61,Lists!$N$5:$N$80,FALSE),2)),"")</f>
        <v/>
      </c>
      <c r="E61" s="185">
        <f>IF($C61="",-0.00001,COUNTIF(Database!E:E,$C61))</f>
        <v>-1.0000000000000001E-5</v>
      </c>
      <c r="F61" s="194">
        <f>IFERROR(IF($C61="",-0.00001,SUMIFS(Database!H:H,Database!$E:$E,$C61)/$E61),-0.00001)</f>
        <v>-1.0000000000000001E-5</v>
      </c>
      <c r="G61" s="194">
        <f>IFERROR(IF($C61="",-0.00001,SUMIFS(Database!I:I,Database!$E:$E,$C61)/$E61),-0.00001)</f>
        <v>-1.0000000000000001E-5</v>
      </c>
      <c r="H61" s="194">
        <f>IFERROR(IF($C61="",-0.00001,SUMIFS(Database!J:J,Database!$E:$E,$C61)/$E61),-0.00001)</f>
        <v>-1.0000000000000001E-5</v>
      </c>
      <c r="I61" s="194">
        <f>IFERROR(IF($C61="",-0.00001,SUMIFS(Database!K:K,Database!$E:$E,$C61)/$E61),-0.00001)</f>
        <v>-1.0000000000000001E-5</v>
      </c>
      <c r="J61" s="194">
        <f>IFERROR(IF($C61="",-0.00001,SUMIFS(Database!L:L,Database!$E:$E,$C61)/$E61),-0.00001)</f>
        <v>-1.0000000000000001E-5</v>
      </c>
      <c r="K61" s="194">
        <f>IFERROR(IF($C61="",-0.00001,SUMIFS(Database!M:M,Database!$E:$E,$C61)/$E61),-0.00001)</f>
        <v>-1.0000000000000001E-5</v>
      </c>
      <c r="L61" s="194">
        <f>IFERROR(IF($C61="",-0.00001,SUMIFS(Database!N:N,Database!$E:$E,$C61)/$E61),-0.00001)</f>
        <v>-1.0000000000000001E-5</v>
      </c>
      <c r="M61" s="194">
        <f>IFERROR(IF($C61="",-0.00001,SUMIFS(Database!O:O,Database!$E:$E,$C61)/$E61),-0.00001)</f>
        <v>-1.0000000000000001E-5</v>
      </c>
      <c r="N61" s="194">
        <f>IFERROR(IF($C61="",-0.00001,SUMIFS(Database!P:P,Database!$E:$E,$C61)/$E61),-0.00001)</f>
        <v>-1.0000000000000001E-5</v>
      </c>
      <c r="O61" s="194">
        <f>IFERROR(IF($C61="",-0.00001,SUMIFS(Database!Q:Q,Database!$E:$E,$C61)/$E61),-0.00001)</f>
        <v>-1.0000000000000001E-5</v>
      </c>
      <c r="P61" s="186">
        <f t="shared" si="0"/>
        <v>-1.0000000000000001E-5</v>
      </c>
      <c r="Q61" s="194">
        <f>IFERROR(IF($C61="",-0.00001,SUMIFS(Database!S:S,Database!$E:$E,$C61)/$E61),-0.00001)</f>
        <v>-1.0000000000000001E-5</v>
      </c>
      <c r="R61" s="194">
        <f>IFERROR(IF($C61="",-0.00001,SUMIFS(Database!T:T,Database!$E:$E,$C61)/$E61),-0.00001)</f>
        <v>-1.0000000000000001E-5</v>
      </c>
      <c r="S61" s="186">
        <f t="shared" si="1"/>
        <v>-1.0000000000000001E-5</v>
      </c>
      <c r="T61" s="194">
        <f>IFERROR(IF($C61="",-0.00001,SUMIFS(Database!V:V,Database!$E:$E,$C61)/$E61),-0.00001)</f>
        <v>-1.0000000000000001E-5</v>
      </c>
      <c r="U61" s="194">
        <f>IFERROR(IF($C61="",-0.00001,SUMIFS(Database!W:W,Database!$E:$E,$C61)/$E61),-0.00001)</f>
        <v>-1.0000000000000001E-5</v>
      </c>
      <c r="V61" s="186">
        <f t="shared" si="2"/>
        <v>-1.0000000000000001E-5</v>
      </c>
      <c r="W61" s="187"/>
      <c r="X61" s="187"/>
      <c r="Y61" s="187"/>
      <c r="Z61" s="187"/>
      <c r="AA61" s="187"/>
      <c r="AB61" s="187"/>
      <c r="AC61" s="187"/>
      <c r="AD61" s="187"/>
      <c r="AE61" s="187"/>
    </row>
    <row r="62" spans="1:31" x14ac:dyDescent="0.25">
      <c r="A62" s="187"/>
      <c r="B62" s="187" t="str">
        <f>IF($C62="","",MAX($B$4:$B61)+1)</f>
        <v/>
      </c>
      <c r="C62" s="183"/>
      <c r="D62" s="183" t="str">
        <f>IFERROR(VLOOKUP($C62,Rosters!$C$4:$M$239,INDEX(Lists!$N$5:$O$80,MATCH($C62,Lists!$N$5:$N$80,FALSE),2)),"")</f>
        <v/>
      </c>
      <c r="E62" s="185">
        <f>IF($C62="",-0.00001,COUNTIF(Database!E:E,$C62))</f>
        <v>-1.0000000000000001E-5</v>
      </c>
      <c r="F62" s="194">
        <f>IFERROR(IF($C62="",-0.00001,SUMIFS(Database!H:H,Database!$E:$E,$C62)/$E62),-0.00001)</f>
        <v>-1.0000000000000001E-5</v>
      </c>
      <c r="G62" s="194">
        <f>IFERROR(IF($C62="",-0.00001,SUMIFS(Database!I:I,Database!$E:$E,$C62)/$E62),-0.00001)</f>
        <v>-1.0000000000000001E-5</v>
      </c>
      <c r="H62" s="194">
        <f>IFERROR(IF($C62="",-0.00001,SUMIFS(Database!J:J,Database!$E:$E,$C62)/$E62),-0.00001)</f>
        <v>-1.0000000000000001E-5</v>
      </c>
      <c r="I62" s="194">
        <f>IFERROR(IF($C62="",-0.00001,SUMIFS(Database!K:K,Database!$E:$E,$C62)/$E62),-0.00001)</f>
        <v>-1.0000000000000001E-5</v>
      </c>
      <c r="J62" s="194">
        <f>IFERROR(IF($C62="",-0.00001,SUMIFS(Database!L:L,Database!$E:$E,$C62)/$E62),-0.00001)</f>
        <v>-1.0000000000000001E-5</v>
      </c>
      <c r="K62" s="194">
        <f>IFERROR(IF($C62="",-0.00001,SUMIFS(Database!M:M,Database!$E:$E,$C62)/$E62),-0.00001)</f>
        <v>-1.0000000000000001E-5</v>
      </c>
      <c r="L62" s="194">
        <f>IFERROR(IF($C62="",-0.00001,SUMIFS(Database!N:N,Database!$E:$E,$C62)/$E62),-0.00001)</f>
        <v>-1.0000000000000001E-5</v>
      </c>
      <c r="M62" s="194">
        <f>IFERROR(IF($C62="",-0.00001,SUMIFS(Database!O:O,Database!$E:$E,$C62)/$E62),-0.00001)</f>
        <v>-1.0000000000000001E-5</v>
      </c>
      <c r="N62" s="194">
        <f>IFERROR(IF($C62="",-0.00001,SUMIFS(Database!P:P,Database!$E:$E,$C62)/$E62),-0.00001)</f>
        <v>-1.0000000000000001E-5</v>
      </c>
      <c r="O62" s="194">
        <f>IFERROR(IF($C62="",-0.00001,SUMIFS(Database!Q:Q,Database!$E:$E,$C62)/$E62),-0.00001)</f>
        <v>-1.0000000000000001E-5</v>
      </c>
      <c r="P62" s="186">
        <f t="shared" si="0"/>
        <v>-1.0000000000000001E-5</v>
      </c>
      <c r="Q62" s="194">
        <f>IFERROR(IF($C62="",-0.00001,SUMIFS(Database!S:S,Database!$E:$E,$C62)/$E62),-0.00001)</f>
        <v>-1.0000000000000001E-5</v>
      </c>
      <c r="R62" s="194">
        <f>IFERROR(IF($C62="",-0.00001,SUMIFS(Database!T:T,Database!$E:$E,$C62)/$E62),-0.00001)</f>
        <v>-1.0000000000000001E-5</v>
      </c>
      <c r="S62" s="186">
        <f t="shared" si="1"/>
        <v>-1.0000000000000001E-5</v>
      </c>
      <c r="T62" s="194">
        <f>IFERROR(IF($C62="",-0.00001,SUMIFS(Database!V:V,Database!$E:$E,$C62)/$E62),-0.00001)</f>
        <v>-1.0000000000000001E-5</v>
      </c>
      <c r="U62" s="194">
        <f>IFERROR(IF($C62="",-0.00001,SUMIFS(Database!W:W,Database!$E:$E,$C62)/$E62),-0.00001)</f>
        <v>-1.0000000000000001E-5</v>
      </c>
      <c r="V62" s="186">
        <f t="shared" si="2"/>
        <v>-1.0000000000000001E-5</v>
      </c>
      <c r="W62" s="187"/>
      <c r="X62" s="187"/>
      <c r="Y62" s="187"/>
      <c r="Z62" s="187"/>
      <c r="AA62" s="187"/>
      <c r="AB62" s="187"/>
      <c r="AC62" s="187"/>
      <c r="AD62" s="187"/>
      <c r="AE62" s="187"/>
    </row>
    <row r="63" spans="1:31" x14ac:dyDescent="0.25">
      <c r="A63" s="187"/>
      <c r="B63" s="187" t="str">
        <f>IF($C63="","",MAX($B$4:$B62)+1)</f>
        <v/>
      </c>
      <c r="C63" s="183"/>
      <c r="D63" s="183" t="str">
        <f>IFERROR(VLOOKUP($C63,Rosters!$C$4:$M$239,INDEX(Lists!$N$5:$O$80,MATCH($C63,Lists!$N$5:$N$80,FALSE),2)),"")</f>
        <v/>
      </c>
      <c r="E63" s="185">
        <f>IF($C63="",-0.00001,COUNTIF(Database!E:E,$C63))</f>
        <v>-1.0000000000000001E-5</v>
      </c>
      <c r="F63" s="194">
        <f>IFERROR(IF($C63="",-0.00001,SUMIFS(Database!H:H,Database!$E:$E,$C63)/$E63),-0.00001)</f>
        <v>-1.0000000000000001E-5</v>
      </c>
      <c r="G63" s="194">
        <f>IFERROR(IF($C63="",-0.00001,SUMIFS(Database!I:I,Database!$E:$E,$C63)/$E63),-0.00001)</f>
        <v>-1.0000000000000001E-5</v>
      </c>
      <c r="H63" s="194">
        <f>IFERROR(IF($C63="",-0.00001,SUMIFS(Database!J:J,Database!$E:$E,$C63)/$E63),-0.00001)</f>
        <v>-1.0000000000000001E-5</v>
      </c>
      <c r="I63" s="194">
        <f>IFERROR(IF($C63="",-0.00001,SUMIFS(Database!K:K,Database!$E:$E,$C63)/$E63),-0.00001)</f>
        <v>-1.0000000000000001E-5</v>
      </c>
      <c r="J63" s="194">
        <f>IFERROR(IF($C63="",-0.00001,SUMIFS(Database!L:L,Database!$E:$E,$C63)/$E63),-0.00001)</f>
        <v>-1.0000000000000001E-5</v>
      </c>
      <c r="K63" s="194">
        <f>IFERROR(IF($C63="",-0.00001,SUMIFS(Database!M:M,Database!$E:$E,$C63)/$E63),-0.00001)</f>
        <v>-1.0000000000000001E-5</v>
      </c>
      <c r="L63" s="194">
        <f>IFERROR(IF($C63="",-0.00001,SUMIFS(Database!N:N,Database!$E:$E,$C63)/$E63),-0.00001)</f>
        <v>-1.0000000000000001E-5</v>
      </c>
      <c r="M63" s="194">
        <f>IFERROR(IF($C63="",-0.00001,SUMIFS(Database!O:O,Database!$E:$E,$C63)/$E63),-0.00001)</f>
        <v>-1.0000000000000001E-5</v>
      </c>
      <c r="N63" s="194">
        <f>IFERROR(IF($C63="",-0.00001,SUMIFS(Database!P:P,Database!$E:$E,$C63)/$E63),-0.00001)</f>
        <v>-1.0000000000000001E-5</v>
      </c>
      <c r="O63" s="194">
        <f>IFERROR(IF($C63="",-0.00001,SUMIFS(Database!Q:Q,Database!$E:$E,$C63)/$E63),-0.00001)</f>
        <v>-1.0000000000000001E-5</v>
      </c>
      <c r="P63" s="186">
        <f t="shared" si="0"/>
        <v>-1.0000000000000001E-5</v>
      </c>
      <c r="Q63" s="194">
        <f>IFERROR(IF($C63="",-0.00001,SUMIFS(Database!S:S,Database!$E:$E,$C63)/$E63),-0.00001)</f>
        <v>-1.0000000000000001E-5</v>
      </c>
      <c r="R63" s="194">
        <f>IFERROR(IF($C63="",-0.00001,SUMIFS(Database!T:T,Database!$E:$E,$C63)/$E63),-0.00001)</f>
        <v>-1.0000000000000001E-5</v>
      </c>
      <c r="S63" s="186">
        <f t="shared" si="1"/>
        <v>-1.0000000000000001E-5</v>
      </c>
      <c r="T63" s="194">
        <f>IFERROR(IF($C63="",-0.00001,SUMIFS(Database!V:V,Database!$E:$E,$C63)/$E63),-0.00001)</f>
        <v>-1.0000000000000001E-5</v>
      </c>
      <c r="U63" s="194">
        <f>IFERROR(IF($C63="",-0.00001,SUMIFS(Database!W:W,Database!$E:$E,$C63)/$E63),-0.00001)</f>
        <v>-1.0000000000000001E-5</v>
      </c>
      <c r="V63" s="186">
        <f t="shared" si="2"/>
        <v>-1.0000000000000001E-5</v>
      </c>
      <c r="W63" s="187"/>
      <c r="X63" s="187"/>
      <c r="Y63" s="187"/>
      <c r="Z63" s="187"/>
      <c r="AA63" s="187"/>
      <c r="AB63" s="187"/>
      <c r="AC63" s="187"/>
      <c r="AD63" s="187"/>
      <c r="AE63" s="187"/>
    </row>
    <row r="64" spans="1:31" x14ac:dyDescent="0.25">
      <c r="A64" s="187"/>
      <c r="B64" s="187" t="str">
        <f>IF($C64="","",MAX($B$4:$B63)+1)</f>
        <v/>
      </c>
      <c r="C64" s="183"/>
      <c r="D64" s="183" t="str">
        <f>IFERROR(VLOOKUP($C64,Rosters!$C$4:$M$239,INDEX(Lists!$N$5:$O$80,MATCH($C64,Lists!$N$5:$N$80,FALSE),2)),"")</f>
        <v/>
      </c>
      <c r="E64" s="185">
        <f>IF($C64="",-0.00001,COUNTIF(Database!E:E,$C64))</f>
        <v>-1.0000000000000001E-5</v>
      </c>
      <c r="F64" s="194">
        <f>IFERROR(IF($C64="",-0.00001,SUMIFS(Database!H:H,Database!$E:$E,$C64)/$E64),-0.00001)</f>
        <v>-1.0000000000000001E-5</v>
      </c>
      <c r="G64" s="194">
        <f>IFERROR(IF($C64="",-0.00001,SUMIFS(Database!I:I,Database!$E:$E,$C64)/$E64),-0.00001)</f>
        <v>-1.0000000000000001E-5</v>
      </c>
      <c r="H64" s="194">
        <f>IFERROR(IF($C64="",-0.00001,SUMIFS(Database!J:J,Database!$E:$E,$C64)/$E64),-0.00001)</f>
        <v>-1.0000000000000001E-5</v>
      </c>
      <c r="I64" s="194">
        <f>IFERROR(IF($C64="",-0.00001,SUMIFS(Database!K:K,Database!$E:$E,$C64)/$E64),-0.00001)</f>
        <v>-1.0000000000000001E-5</v>
      </c>
      <c r="J64" s="194">
        <f>IFERROR(IF($C64="",-0.00001,SUMIFS(Database!L:L,Database!$E:$E,$C64)/$E64),-0.00001)</f>
        <v>-1.0000000000000001E-5</v>
      </c>
      <c r="K64" s="194">
        <f>IFERROR(IF($C64="",-0.00001,SUMIFS(Database!M:M,Database!$E:$E,$C64)/$E64),-0.00001)</f>
        <v>-1.0000000000000001E-5</v>
      </c>
      <c r="L64" s="194">
        <f>IFERROR(IF($C64="",-0.00001,SUMIFS(Database!N:N,Database!$E:$E,$C64)/$E64),-0.00001)</f>
        <v>-1.0000000000000001E-5</v>
      </c>
      <c r="M64" s="194">
        <f>IFERROR(IF($C64="",-0.00001,SUMIFS(Database!O:O,Database!$E:$E,$C64)/$E64),-0.00001)</f>
        <v>-1.0000000000000001E-5</v>
      </c>
      <c r="N64" s="194">
        <f>IFERROR(IF($C64="",-0.00001,SUMIFS(Database!P:P,Database!$E:$E,$C64)/$E64),-0.00001)</f>
        <v>-1.0000000000000001E-5</v>
      </c>
      <c r="O64" s="194">
        <f>IFERROR(IF($C64="",-0.00001,SUMIFS(Database!Q:Q,Database!$E:$E,$C64)/$E64),-0.00001)</f>
        <v>-1.0000000000000001E-5</v>
      </c>
      <c r="P64" s="186">
        <f t="shared" si="0"/>
        <v>-1.0000000000000001E-5</v>
      </c>
      <c r="Q64" s="194">
        <f>IFERROR(IF($C64="",-0.00001,SUMIFS(Database!S:S,Database!$E:$E,$C64)/$E64),-0.00001)</f>
        <v>-1.0000000000000001E-5</v>
      </c>
      <c r="R64" s="194">
        <f>IFERROR(IF($C64="",-0.00001,SUMIFS(Database!T:T,Database!$E:$E,$C64)/$E64),-0.00001)</f>
        <v>-1.0000000000000001E-5</v>
      </c>
      <c r="S64" s="186">
        <f t="shared" si="1"/>
        <v>-1.0000000000000001E-5</v>
      </c>
      <c r="T64" s="194">
        <f>IFERROR(IF($C64="",-0.00001,SUMIFS(Database!V:V,Database!$E:$E,$C64)/$E64),-0.00001)</f>
        <v>-1.0000000000000001E-5</v>
      </c>
      <c r="U64" s="194">
        <f>IFERROR(IF($C64="",-0.00001,SUMIFS(Database!W:W,Database!$E:$E,$C64)/$E64),-0.00001)</f>
        <v>-1.0000000000000001E-5</v>
      </c>
      <c r="V64" s="186">
        <f t="shared" si="2"/>
        <v>-1.0000000000000001E-5</v>
      </c>
      <c r="W64" s="187"/>
      <c r="X64" s="187"/>
      <c r="Y64" s="187"/>
      <c r="Z64" s="187"/>
      <c r="AA64" s="187"/>
      <c r="AB64" s="187"/>
      <c r="AC64" s="187"/>
      <c r="AD64" s="187"/>
      <c r="AE64" s="187"/>
    </row>
    <row r="65" spans="1:31" x14ac:dyDescent="0.25">
      <c r="A65" s="187"/>
      <c r="B65" s="187" t="str">
        <f>IF($C65="","",MAX($B$4:$B64)+1)</f>
        <v/>
      </c>
      <c r="C65" s="183"/>
      <c r="D65" s="183" t="str">
        <f>IFERROR(VLOOKUP($C65,Rosters!$C$4:$M$239,INDEX(Lists!$N$5:$O$80,MATCH($C65,Lists!$N$5:$N$80,FALSE),2)),"")</f>
        <v/>
      </c>
      <c r="E65" s="185">
        <f>IF($C65="",-0.00001,COUNTIF(Database!E:E,$C65))</f>
        <v>-1.0000000000000001E-5</v>
      </c>
      <c r="F65" s="194">
        <f>IFERROR(IF($C65="",-0.00001,SUMIFS(Database!H:H,Database!$E:$E,$C65)/$E65),-0.00001)</f>
        <v>-1.0000000000000001E-5</v>
      </c>
      <c r="G65" s="194">
        <f>IFERROR(IF($C65="",-0.00001,SUMIFS(Database!I:I,Database!$E:$E,$C65)/$E65),-0.00001)</f>
        <v>-1.0000000000000001E-5</v>
      </c>
      <c r="H65" s="194">
        <f>IFERROR(IF($C65="",-0.00001,SUMIFS(Database!J:J,Database!$E:$E,$C65)/$E65),-0.00001)</f>
        <v>-1.0000000000000001E-5</v>
      </c>
      <c r="I65" s="194">
        <f>IFERROR(IF($C65="",-0.00001,SUMIFS(Database!K:K,Database!$E:$E,$C65)/$E65),-0.00001)</f>
        <v>-1.0000000000000001E-5</v>
      </c>
      <c r="J65" s="194">
        <f>IFERROR(IF($C65="",-0.00001,SUMIFS(Database!L:L,Database!$E:$E,$C65)/$E65),-0.00001)</f>
        <v>-1.0000000000000001E-5</v>
      </c>
      <c r="K65" s="194">
        <f>IFERROR(IF($C65="",-0.00001,SUMIFS(Database!M:M,Database!$E:$E,$C65)/$E65),-0.00001)</f>
        <v>-1.0000000000000001E-5</v>
      </c>
      <c r="L65" s="194">
        <f>IFERROR(IF($C65="",-0.00001,SUMIFS(Database!N:N,Database!$E:$E,$C65)/$E65),-0.00001)</f>
        <v>-1.0000000000000001E-5</v>
      </c>
      <c r="M65" s="194">
        <f>IFERROR(IF($C65="",-0.00001,SUMIFS(Database!O:O,Database!$E:$E,$C65)/$E65),-0.00001)</f>
        <v>-1.0000000000000001E-5</v>
      </c>
      <c r="N65" s="194">
        <f>IFERROR(IF($C65="",-0.00001,SUMIFS(Database!P:P,Database!$E:$E,$C65)/$E65),-0.00001)</f>
        <v>-1.0000000000000001E-5</v>
      </c>
      <c r="O65" s="194">
        <f>IFERROR(IF($C65="",-0.00001,SUMIFS(Database!Q:Q,Database!$E:$E,$C65)/$E65),-0.00001)</f>
        <v>-1.0000000000000001E-5</v>
      </c>
      <c r="P65" s="186">
        <f t="shared" si="0"/>
        <v>-1.0000000000000001E-5</v>
      </c>
      <c r="Q65" s="194">
        <f>IFERROR(IF($C65="",-0.00001,SUMIFS(Database!S:S,Database!$E:$E,$C65)/$E65),-0.00001)</f>
        <v>-1.0000000000000001E-5</v>
      </c>
      <c r="R65" s="194">
        <f>IFERROR(IF($C65="",-0.00001,SUMIFS(Database!T:T,Database!$E:$E,$C65)/$E65),-0.00001)</f>
        <v>-1.0000000000000001E-5</v>
      </c>
      <c r="S65" s="186">
        <f t="shared" si="1"/>
        <v>-1.0000000000000001E-5</v>
      </c>
      <c r="T65" s="194">
        <f>IFERROR(IF($C65="",-0.00001,SUMIFS(Database!V:V,Database!$E:$E,$C65)/$E65),-0.00001)</f>
        <v>-1.0000000000000001E-5</v>
      </c>
      <c r="U65" s="194">
        <f>IFERROR(IF($C65="",-0.00001,SUMIFS(Database!W:W,Database!$E:$E,$C65)/$E65),-0.00001)</f>
        <v>-1.0000000000000001E-5</v>
      </c>
      <c r="V65" s="186">
        <f t="shared" si="2"/>
        <v>-1.0000000000000001E-5</v>
      </c>
      <c r="W65" s="187"/>
      <c r="X65" s="187"/>
      <c r="Y65" s="187"/>
      <c r="Z65" s="187"/>
      <c r="AA65" s="187"/>
      <c r="AB65" s="187"/>
      <c r="AC65" s="187"/>
      <c r="AD65" s="187"/>
      <c r="AE65" s="187"/>
    </row>
    <row r="66" spans="1:31" x14ac:dyDescent="0.25">
      <c r="A66" s="187"/>
      <c r="B66" s="187" t="str">
        <f>IF($C66="","",MAX($B$4:$B65)+1)</f>
        <v/>
      </c>
      <c r="C66" s="183"/>
      <c r="D66" s="183" t="str">
        <f>IFERROR(VLOOKUP($C66,Rosters!$C$4:$M$239,INDEX(Lists!$N$5:$O$80,MATCH($C66,Lists!$N$5:$N$80,FALSE),2)),"")</f>
        <v/>
      </c>
      <c r="E66" s="185">
        <f>IF($C66="",-0.00001,COUNTIF(Database!E:E,$C66))</f>
        <v>-1.0000000000000001E-5</v>
      </c>
      <c r="F66" s="194">
        <f>IFERROR(IF($C66="",-0.00001,SUMIFS(Database!H:H,Database!$E:$E,$C66)/$E66),-0.00001)</f>
        <v>-1.0000000000000001E-5</v>
      </c>
      <c r="G66" s="194">
        <f>IFERROR(IF($C66="",-0.00001,SUMIFS(Database!I:I,Database!$E:$E,$C66)/$E66),-0.00001)</f>
        <v>-1.0000000000000001E-5</v>
      </c>
      <c r="H66" s="194">
        <f>IFERROR(IF($C66="",-0.00001,SUMIFS(Database!J:J,Database!$E:$E,$C66)/$E66),-0.00001)</f>
        <v>-1.0000000000000001E-5</v>
      </c>
      <c r="I66" s="194">
        <f>IFERROR(IF($C66="",-0.00001,SUMIFS(Database!K:K,Database!$E:$E,$C66)/$E66),-0.00001)</f>
        <v>-1.0000000000000001E-5</v>
      </c>
      <c r="J66" s="194">
        <f>IFERROR(IF($C66="",-0.00001,SUMIFS(Database!L:L,Database!$E:$E,$C66)/$E66),-0.00001)</f>
        <v>-1.0000000000000001E-5</v>
      </c>
      <c r="K66" s="194">
        <f>IFERROR(IF($C66="",-0.00001,SUMIFS(Database!M:M,Database!$E:$E,$C66)/$E66),-0.00001)</f>
        <v>-1.0000000000000001E-5</v>
      </c>
      <c r="L66" s="194">
        <f>IFERROR(IF($C66="",-0.00001,SUMIFS(Database!N:N,Database!$E:$E,$C66)/$E66),-0.00001)</f>
        <v>-1.0000000000000001E-5</v>
      </c>
      <c r="M66" s="194">
        <f>IFERROR(IF($C66="",-0.00001,SUMIFS(Database!O:O,Database!$E:$E,$C66)/$E66),-0.00001)</f>
        <v>-1.0000000000000001E-5</v>
      </c>
      <c r="N66" s="194">
        <f>IFERROR(IF($C66="",-0.00001,SUMIFS(Database!P:P,Database!$E:$E,$C66)/$E66),-0.00001)</f>
        <v>-1.0000000000000001E-5</v>
      </c>
      <c r="O66" s="194">
        <f>IFERROR(IF($C66="",-0.00001,SUMIFS(Database!Q:Q,Database!$E:$E,$C66)/$E66),-0.00001)</f>
        <v>-1.0000000000000001E-5</v>
      </c>
      <c r="P66" s="186">
        <f t="shared" si="0"/>
        <v>-1.0000000000000001E-5</v>
      </c>
      <c r="Q66" s="194">
        <f>IFERROR(IF($C66="",-0.00001,SUMIFS(Database!S:S,Database!$E:$E,$C66)/$E66),-0.00001)</f>
        <v>-1.0000000000000001E-5</v>
      </c>
      <c r="R66" s="194">
        <f>IFERROR(IF($C66="",-0.00001,SUMIFS(Database!T:T,Database!$E:$E,$C66)/$E66),-0.00001)</f>
        <v>-1.0000000000000001E-5</v>
      </c>
      <c r="S66" s="186">
        <f t="shared" si="1"/>
        <v>-1.0000000000000001E-5</v>
      </c>
      <c r="T66" s="194">
        <f>IFERROR(IF($C66="",-0.00001,SUMIFS(Database!V:V,Database!$E:$E,$C66)/$E66),-0.00001)</f>
        <v>-1.0000000000000001E-5</v>
      </c>
      <c r="U66" s="194">
        <f>IFERROR(IF($C66="",-0.00001,SUMIFS(Database!W:W,Database!$E:$E,$C66)/$E66),-0.00001)</f>
        <v>-1.0000000000000001E-5</v>
      </c>
      <c r="V66" s="186">
        <f t="shared" si="2"/>
        <v>-1.0000000000000001E-5</v>
      </c>
      <c r="W66" s="187"/>
      <c r="X66" s="187"/>
      <c r="Y66" s="187"/>
      <c r="Z66" s="187"/>
      <c r="AA66" s="187"/>
      <c r="AB66" s="187"/>
      <c r="AC66" s="187"/>
      <c r="AD66" s="187"/>
      <c r="AE66" s="187"/>
    </row>
    <row r="67" spans="1:31" x14ac:dyDescent="0.25">
      <c r="A67" s="187"/>
      <c r="B67" s="187" t="str">
        <f>IF($C67="","",MAX($B$4:$B66)+1)</f>
        <v/>
      </c>
      <c r="C67" s="183"/>
      <c r="D67" s="183" t="str">
        <f>IFERROR(VLOOKUP($C67,Rosters!$C$4:$M$239,INDEX(Lists!$N$5:$O$80,MATCH($C67,Lists!$N$5:$N$80,FALSE),2)),"")</f>
        <v/>
      </c>
      <c r="E67" s="185">
        <f>IF($C67="",-0.00001,COUNTIF(Database!E:E,$C67))</f>
        <v>-1.0000000000000001E-5</v>
      </c>
      <c r="F67" s="194">
        <f>IFERROR(IF($C67="",-0.00001,SUMIFS(Database!H:H,Database!$E:$E,$C67)/$E67),-0.00001)</f>
        <v>-1.0000000000000001E-5</v>
      </c>
      <c r="G67" s="194">
        <f>IFERROR(IF($C67="",-0.00001,SUMIFS(Database!I:I,Database!$E:$E,$C67)/$E67),-0.00001)</f>
        <v>-1.0000000000000001E-5</v>
      </c>
      <c r="H67" s="194">
        <f>IFERROR(IF($C67="",-0.00001,SUMIFS(Database!J:J,Database!$E:$E,$C67)/$E67),-0.00001)</f>
        <v>-1.0000000000000001E-5</v>
      </c>
      <c r="I67" s="194">
        <f>IFERROR(IF($C67="",-0.00001,SUMIFS(Database!K:K,Database!$E:$E,$C67)/$E67),-0.00001)</f>
        <v>-1.0000000000000001E-5</v>
      </c>
      <c r="J67" s="194">
        <f>IFERROR(IF($C67="",-0.00001,SUMIFS(Database!L:L,Database!$E:$E,$C67)/$E67),-0.00001)</f>
        <v>-1.0000000000000001E-5</v>
      </c>
      <c r="K67" s="194">
        <f>IFERROR(IF($C67="",-0.00001,SUMIFS(Database!M:M,Database!$E:$E,$C67)/$E67),-0.00001)</f>
        <v>-1.0000000000000001E-5</v>
      </c>
      <c r="L67" s="194">
        <f>IFERROR(IF($C67="",-0.00001,SUMIFS(Database!N:N,Database!$E:$E,$C67)/$E67),-0.00001)</f>
        <v>-1.0000000000000001E-5</v>
      </c>
      <c r="M67" s="194">
        <f>IFERROR(IF($C67="",-0.00001,SUMIFS(Database!O:O,Database!$E:$E,$C67)/$E67),-0.00001)</f>
        <v>-1.0000000000000001E-5</v>
      </c>
      <c r="N67" s="194">
        <f>IFERROR(IF($C67="",-0.00001,SUMIFS(Database!P:P,Database!$E:$E,$C67)/$E67),-0.00001)</f>
        <v>-1.0000000000000001E-5</v>
      </c>
      <c r="O67" s="194">
        <f>IFERROR(IF($C67="",-0.00001,SUMIFS(Database!Q:Q,Database!$E:$E,$C67)/$E67),-0.00001)</f>
        <v>-1.0000000000000001E-5</v>
      </c>
      <c r="P67" s="186">
        <f t="shared" si="0"/>
        <v>-1.0000000000000001E-5</v>
      </c>
      <c r="Q67" s="194">
        <f>IFERROR(IF($C67="",-0.00001,SUMIFS(Database!S:S,Database!$E:$E,$C67)/$E67),-0.00001)</f>
        <v>-1.0000000000000001E-5</v>
      </c>
      <c r="R67" s="194">
        <f>IFERROR(IF($C67="",-0.00001,SUMIFS(Database!T:T,Database!$E:$E,$C67)/$E67),-0.00001)</f>
        <v>-1.0000000000000001E-5</v>
      </c>
      <c r="S67" s="186">
        <f t="shared" si="1"/>
        <v>-1.0000000000000001E-5</v>
      </c>
      <c r="T67" s="194">
        <f>IFERROR(IF($C67="",-0.00001,SUMIFS(Database!V:V,Database!$E:$E,$C67)/$E67),-0.00001)</f>
        <v>-1.0000000000000001E-5</v>
      </c>
      <c r="U67" s="194">
        <f>IFERROR(IF($C67="",-0.00001,SUMIFS(Database!W:W,Database!$E:$E,$C67)/$E67),-0.00001)</f>
        <v>-1.0000000000000001E-5</v>
      </c>
      <c r="V67" s="186">
        <f t="shared" si="2"/>
        <v>-1.0000000000000001E-5</v>
      </c>
      <c r="W67" s="187"/>
      <c r="X67" s="187"/>
      <c r="Y67" s="187"/>
      <c r="Z67" s="187"/>
      <c r="AA67" s="187"/>
      <c r="AB67" s="187"/>
      <c r="AC67" s="187"/>
      <c r="AD67" s="187"/>
      <c r="AE67" s="187"/>
    </row>
    <row r="68" spans="1:31" x14ac:dyDescent="0.25">
      <c r="A68" s="187"/>
      <c r="B68" s="187" t="str">
        <f>IF($C68="","",MAX($B$4:$B67)+1)</f>
        <v/>
      </c>
      <c r="C68" s="183"/>
      <c r="D68" s="183" t="str">
        <f>IFERROR(VLOOKUP($C68,Rosters!$C$4:$M$239,INDEX(Lists!$N$5:$O$80,MATCH($C68,Lists!$N$5:$N$80,FALSE),2)),"")</f>
        <v/>
      </c>
      <c r="E68" s="185">
        <f>IF($C68="",-0.00001,COUNTIF(Database!E:E,$C68))</f>
        <v>-1.0000000000000001E-5</v>
      </c>
      <c r="F68" s="194">
        <f>IFERROR(IF($C68="",-0.00001,SUMIFS(Database!H:H,Database!$E:$E,$C68)/$E68),-0.00001)</f>
        <v>-1.0000000000000001E-5</v>
      </c>
      <c r="G68" s="194">
        <f>IFERROR(IF($C68="",-0.00001,SUMIFS(Database!I:I,Database!$E:$E,$C68)/$E68),-0.00001)</f>
        <v>-1.0000000000000001E-5</v>
      </c>
      <c r="H68" s="194">
        <f>IFERROR(IF($C68="",-0.00001,SUMIFS(Database!J:J,Database!$E:$E,$C68)/$E68),-0.00001)</f>
        <v>-1.0000000000000001E-5</v>
      </c>
      <c r="I68" s="194">
        <f>IFERROR(IF($C68="",-0.00001,SUMIFS(Database!K:K,Database!$E:$E,$C68)/$E68),-0.00001)</f>
        <v>-1.0000000000000001E-5</v>
      </c>
      <c r="J68" s="194">
        <f>IFERROR(IF($C68="",-0.00001,SUMIFS(Database!L:L,Database!$E:$E,$C68)/$E68),-0.00001)</f>
        <v>-1.0000000000000001E-5</v>
      </c>
      <c r="K68" s="194">
        <f>IFERROR(IF($C68="",-0.00001,SUMIFS(Database!M:M,Database!$E:$E,$C68)/$E68),-0.00001)</f>
        <v>-1.0000000000000001E-5</v>
      </c>
      <c r="L68" s="194">
        <f>IFERROR(IF($C68="",-0.00001,SUMIFS(Database!N:N,Database!$E:$E,$C68)/$E68),-0.00001)</f>
        <v>-1.0000000000000001E-5</v>
      </c>
      <c r="M68" s="194">
        <f>IFERROR(IF($C68="",-0.00001,SUMIFS(Database!O:O,Database!$E:$E,$C68)/$E68),-0.00001)</f>
        <v>-1.0000000000000001E-5</v>
      </c>
      <c r="N68" s="194">
        <f>IFERROR(IF($C68="",-0.00001,SUMIFS(Database!P:P,Database!$E:$E,$C68)/$E68),-0.00001)</f>
        <v>-1.0000000000000001E-5</v>
      </c>
      <c r="O68" s="194">
        <f>IFERROR(IF($C68="",-0.00001,SUMIFS(Database!Q:Q,Database!$E:$E,$C68)/$E68),-0.00001)</f>
        <v>-1.0000000000000001E-5</v>
      </c>
      <c r="P68" s="186">
        <f t="shared" ref="P68:P131" si="3">IFERROR(IF($C68="",-0.00001,$N68/$O68),-0.00001)</f>
        <v>-1.0000000000000001E-5</v>
      </c>
      <c r="Q68" s="194">
        <f>IFERROR(IF($C68="",-0.00001,SUMIFS(Database!S:S,Database!$E:$E,$C68)/$E68),-0.00001)</f>
        <v>-1.0000000000000001E-5</v>
      </c>
      <c r="R68" s="194">
        <f>IFERROR(IF($C68="",-0.00001,SUMIFS(Database!T:T,Database!$E:$E,$C68)/$E68),-0.00001)</f>
        <v>-1.0000000000000001E-5</v>
      </c>
      <c r="S68" s="186">
        <f t="shared" ref="S68:S131" si="4">IFERROR(IF($C68="",-0.00001,$Q68/$R68),-0.00001)</f>
        <v>-1.0000000000000001E-5</v>
      </c>
      <c r="T68" s="194">
        <f>IFERROR(IF($C68="",-0.00001,SUMIFS(Database!V:V,Database!$E:$E,$C68)/$E68),-0.00001)</f>
        <v>-1.0000000000000001E-5</v>
      </c>
      <c r="U68" s="194">
        <f>IFERROR(IF($C68="",-0.00001,SUMIFS(Database!W:W,Database!$E:$E,$C68)/$E68),-0.00001)</f>
        <v>-1.0000000000000001E-5</v>
      </c>
      <c r="V68" s="186">
        <f t="shared" ref="V68:V131" si="5">IFERROR(IF($C68="",-0.00001,$T68/$U68),-0.00001)</f>
        <v>-1.0000000000000001E-5</v>
      </c>
      <c r="W68" s="187"/>
      <c r="X68" s="187"/>
      <c r="Y68" s="187"/>
      <c r="Z68" s="187"/>
      <c r="AA68" s="187"/>
      <c r="AB68" s="187"/>
      <c r="AC68" s="187"/>
      <c r="AD68" s="187"/>
      <c r="AE68" s="187"/>
    </row>
    <row r="69" spans="1:31" x14ac:dyDescent="0.25">
      <c r="A69" s="187"/>
      <c r="B69" s="187" t="str">
        <f>IF($C69="","",MAX($B$4:$B68)+1)</f>
        <v/>
      </c>
      <c r="C69" s="183"/>
      <c r="D69" s="183" t="str">
        <f>IFERROR(VLOOKUP($C69,Rosters!$C$4:$M$239,INDEX(Lists!$N$5:$O$80,MATCH($C69,Lists!$N$5:$N$80,FALSE),2)),"")</f>
        <v/>
      </c>
      <c r="E69" s="185">
        <f>IF($C69="",-0.00001,COUNTIF(Database!E:E,$C69))</f>
        <v>-1.0000000000000001E-5</v>
      </c>
      <c r="F69" s="194">
        <f>IFERROR(IF($C69="",-0.00001,SUMIFS(Database!H:H,Database!$E:$E,$C69)/$E69),-0.00001)</f>
        <v>-1.0000000000000001E-5</v>
      </c>
      <c r="G69" s="194">
        <f>IFERROR(IF($C69="",-0.00001,SUMIFS(Database!I:I,Database!$E:$E,$C69)/$E69),-0.00001)</f>
        <v>-1.0000000000000001E-5</v>
      </c>
      <c r="H69" s="194">
        <f>IFERROR(IF($C69="",-0.00001,SUMIFS(Database!J:J,Database!$E:$E,$C69)/$E69),-0.00001)</f>
        <v>-1.0000000000000001E-5</v>
      </c>
      <c r="I69" s="194">
        <f>IFERROR(IF($C69="",-0.00001,SUMIFS(Database!K:K,Database!$E:$E,$C69)/$E69),-0.00001)</f>
        <v>-1.0000000000000001E-5</v>
      </c>
      <c r="J69" s="194">
        <f>IFERROR(IF($C69="",-0.00001,SUMIFS(Database!L:L,Database!$E:$E,$C69)/$E69),-0.00001)</f>
        <v>-1.0000000000000001E-5</v>
      </c>
      <c r="K69" s="194">
        <f>IFERROR(IF($C69="",-0.00001,SUMIFS(Database!M:M,Database!$E:$E,$C69)/$E69),-0.00001)</f>
        <v>-1.0000000000000001E-5</v>
      </c>
      <c r="L69" s="194">
        <f>IFERROR(IF($C69="",-0.00001,SUMIFS(Database!N:N,Database!$E:$E,$C69)/$E69),-0.00001)</f>
        <v>-1.0000000000000001E-5</v>
      </c>
      <c r="M69" s="194">
        <f>IFERROR(IF($C69="",-0.00001,SUMIFS(Database!O:O,Database!$E:$E,$C69)/$E69),-0.00001)</f>
        <v>-1.0000000000000001E-5</v>
      </c>
      <c r="N69" s="194">
        <f>IFERROR(IF($C69="",-0.00001,SUMIFS(Database!P:P,Database!$E:$E,$C69)/$E69),-0.00001)</f>
        <v>-1.0000000000000001E-5</v>
      </c>
      <c r="O69" s="194">
        <f>IFERROR(IF($C69="",-0.00001,SUMIFS(Database!Q:Q,Database!$E:$E,$C69)/$E69),-0.00001)</f>
        <v>-1.0000000000000001E-5</v>
      </c>
      <c r="P69" s="186">
        <f t="shared" si="3"/>
        <v>-1.0000000000000001E-5</v>
      </c>
      <c r="Q69" s="194">
        <f>IFERROR(IF($C69="",-0.00001,SUMIFS(Database!S:S,Database!$E:$E,$C69)/$E69),-0.00001)</f>
        <v>-1.0000000000000001E-5</v>
      </c>
      <c r="R69" s="194">
        <f>IFERROR(IF($C69="",-0.00001,SUMIFS(Database!T:T,Database!$E:$E,$C69)/$E69),-0.00001)</f>
        <v>-1.0000000000000001E-5</v>
      </c>
      <c r="S69" s="186">
        <f t="shared" si="4"/>
        <v>-1.0000000000000001E-5</v>
      </c>
      <c r="T69" s="194">
        <f>IFERROR(IF($C69="",-0.00001,SUMIFS(Database!V:V,Database!$E:$E,$C69)/$E69),-0.00001)</f>
        <v>-1.0000000000000001E-5</v>
      </c>
      <c r="U69" s="194">
        <f>IFERROR(IF($C69="",-0.00001,SUMIFS(Database!W:W,Database!$E:$E,$C69)/$E69),-0.00001)</f>
        <v>-1.0000000000000001E-5</v>
      </c>
      <c r="V69" s="186">
        <f t="shared" si="5"/>
        <v>-1.0000000000000001E-5</v>
      </c>
      <c r="W69" s="187"/>
      <c r="X69" s="187"/>
      <c r="Y69" s="187"/>
      <c r="Z69" s="187"/>
      <c r="AA69" s="187"/>
      <c r="AB69" s="187"/>
      <c r="AC69" s="187"/>
      <c r="AD69" s="187"/>
      <c r="AE69" s="187"/>
    </row>
    <row r="70" spans="1:31" x14ac:dyDescent="0.25">
      <c r="A70" s="187"/>
      <c r="B70" s="187" t="str">
        <f>IF($C70="","",MAX($B$4:$B69)+1)</f>
        <v/>
      </c>
      <c r="C70" s="183"/>
      <c r="D70" s="183" t="str">
        <f>IFERROR(VLOOKUP($C70,Rosters!$C$4:$M$239,INDEX(Lists!$N$5:$O$80,MATCH($C70,Lists!$N$5:$N$80,FALSE),2)),"")</f>
        <v/>
      </c>
      <c r="E70" s="185">
        <f>IF($C70="",-0.00001,COUNTIF(Database!E:E,$C70))</f>
        <v>-1.0000000000000001E-5</v>
      </c>
      <c r="F70" s="194">
        <f>IFERROR(IF($C70="",-0.00001,SUMIFS(Database!H:H,Database!$E:$E,$C70)/$E70),-0.00001)</f>
        <v>-1.0000000000000001E-5</v>
      </c>
      <c r="G70" s="194">
        <f>IFERROR(IF($C70="",-0.00001,SUMIFS(Database!I:I,Database!$E:$E,$C70)/$E70),-0.00001)</f>
        <v>-1.0000000000000001E-5</v>
      </c>
      <c r="H70" s="194">
        <f>IFERROR(IF($C70="",-0.00001,SUMIFS(Database!J:J,Database!$E:$E,$C70)/$E70),-0.00001)</f>
        <v>-1.0000000000000001E-5</v>
      </c>
      <c r="I70" s="194">
        <f>IFERROR(IF($C70="",-0.00001,SUMIFS(Database!K:K,Database!$E:$E,$C70)/$E70),-0.00001)</f>
        <v>-1.0000000000000001E-5</v>
      </c>
      <c r="J70" s="194">
        <f>IFERROR(IF($C70="",-0.00001,SUMIFS(Database!L:L,Database!$E:$E,$C70)/$E70),-0.00001)</f>
        <v>-1.0000000000000001E-5</v>
      </c>
      <c r="K70" s="194">
        <f>IFERROR(IF($C70="",-0.00001,SUMIFS(Database!M:M,Database!$E:$E,$C70)/$E70),-0.00001)</f>
        <v>-1.0000000000000001E-5</v>
      </c>
      <c r="L70" s="194">
        <f>IFERROR(IF($C70="",-0.00001,SUMIFS(Database!N:N,Database!$E:$E,$C70)/$E70),-0.00001)</f>
        <v>-1.0000000000000001E-5</v>
      </c>
      <c r="M70" s="194">
        <f>IFERROR(IF($C70="",-0.00001,SUMIFS(Database!O:O,Database!$E:$E,$C70)/$E70),-0.00001)</f>
        <v>-1.0000000000000001E-5</v>
      </c>
      <c r="N70" s="194">
        <f>IFERROR(IF($C70="",-0.00001,SUMIFS(Database!P:P,Database!$E:$E,$C70)/$E70),-0.00001)</f>
        <v>-1.0000000000000001E-5</v>
      </c>
      <c r="O70" s="194">
        <f>IFERROR(IF($C70="",-0.00001,SUMIFS(Database!Q:Q,Database!$E:$E,$C70)/$E70),-0.00001)</f>
        <v>-1.0000000000000001E-5</v>
      </c>
      <c r="P70" s="186">
        <f t="shared" si="3"/>
        <v>-1.0000000000000001E-5</v>
      </c>
      <c r="Q70" s="194">
        <f>IFERROR(IF($C70="",-0.00001,SUMIFS(Database!S:S,Database!$E:$E,$C70)/$E70),-0.00001)</f>
        <v>-1.0000000000000001E-5</v>
      </c>
      <c r="R70" s="194">
        <f>IFERROR(IF($C70="",-0.00001,SUMIFS(Database!T:T,Database!$E:$E,$C70)/$E70),-0.00001)</f>
        <v>-1.0000000000000001E-5</v>
      </c>
      <c r="S70" s="186">
        <f t="shared" si="4"/>
        <v>-1.0000000000000001E-5</v>
      </c>
      <c r="T70" s="194">
        <f>IFERROR(IF($C70="",-0.00001,SUMIFS(Database!V:V,Database!$E:$E,$C70)/$E70),-0.00001)</f>
        <v>-1.0000000000000001E-5</v>
      </c>
      <c r="U70" s="194">
        <f>IFERROR(IF($C70="",-0.00001,SUMIFS(Database!W:W,Database!$E:$E,$C70)/$E70),-0.00001)</f>
        <v>-1.0000000000000001E-5</v>
      </c>
      <c r="V70" s="186">
        <f t="shared" si="5"/>
        <v>-1.0000000000000001E-5</v>
      </c>
      <c r="W70" s="187"/>
      <c r="X70" s="187"/>
      <c r="Y70" s="187"/>
      <c r="Z70" s="187"/>
      <c r="AA70" s="187"/>
      <c r="AB70" s="187"/>
      <c r="AC70" s="187"/>
      <c r="AD70" s="187"/>
      <c r="AE70" s="187"/>
    </row>
    <row r="71" spans="1:31" x14ac:dyDescent="0.25">
      <c r="A71" s="187"/>
      <c r="B71" s="187" t="str">
        <f>IF($C71="","",MAX($B$4:$B70)+1)</f>
        <v/>
      </c>
      <c r="C71" s="183"/>
      <c r="D71" s="183" t="str">
        <f>IFERROR(VLOOKUP($C71,Rosters!$C$4:$M$239,INDEX(Lists!$N$5:$O$80,MATCH($C71,Lists!$N$5:$N$80,FALSE),2)),"")</f>
        <v/>
      </c>
      <c r="E71" s="185">
        <f>IF($C71="",-0.00001,COUNTIF(Database!E:E,$C71))</f>
        <v>-1.0000000000000001E-5</v>
      </c>
      <c r="F71" s="194">
        <f>IFERROR(IF($C71="",-0.00001,SUMIFS(Database!H:H,Database!$E:$E,$C71)/$E71),-0.00001)</f>
        <v>-1.0000000000000001E-5</v>
      </c>
      <c r="G71" s="194">
        <f>IFERROR(IF($C71="",-0.00001,SUMIFS(Database!I:I,Database!$E:$E,$C71)/$E71),-0.00001)</f>
        <v>-1.0000000000000001E-5</v>
      </c>
      <c r="H71" s="194">
        <f>IFERROR(IF($C71="",-0.00001,SUMIFS(Database!J:J,Database!$E:$E,$C71)/$E71),-0.00001)</f>
        <v>-1.0000000000000001E-5</v>
      </c>
      <c r="I71" s="194">
        <f>IFERROR(IF($C71="",-0.00001,SUMIFS(Database!K:K,Database!$E:$E,$C71)/$E71),-0.00001)</f>
        <v>-1.0000000000000001E-5</v>
      </c>
      <c r="J71" s="194">
        <f>IFERROR(IF($C71="",-0.00001,SUMIFS(Database!L:L,Database!$E:$E,$C71)/$E71),-0.00001)</f>
        <v>-1.0000000000000001E-5</v>
      </c>
      <c r="K71" s="194">
        <f>IFERROR(IF($C71="",-0.00001,SUMIFS(Database!M:M,Database!$E:$E,$C71)/$E71),-0.00001)</f>
        <v>-1.0000000000000001E-5</v>
      </c>
      <c r="L71" s="194">
        <f>IFERROR(IF($C71="",-0.00001,SUMIFS(Database!N:N,Database!$E:$E,$C71)/$E71),-0.00001)</f>
        <v>-1.0000000000000001E-5</v>
      </c>
      <c r="M71" s="194">
        <f>IFERROR(IF($C71="",-0.00001,SUMIFS(Database!O:O,Database!$E:$E,$C71)/$E71),-0.00001)</f>
        <v>-1.0000000000000001E-5</v>
      </c>
      <c r="N71" s="194">
        <f>IFERROR(IF($C71="",-0.00001,SUMIFS(Database!P:P,Database!$E:$E,$C71)/$E71),-0.00001)</f>
        <v>-1.0000000000000001E-5</v>
      </c>
      <c r="O71" s="194">
        <f>IFERROR(IF($C71="",-0.00001,SUMIFS(Database!Q:Q,Database!$E:$E,$C71)/$E71),-0.00001)</f>
        <v>-1.0000000000000001E-5</v>
      </c>
      <c r="P71" s="186">
        <f t="shared" si="3"/>
        <v>-1.0000000000000001E-5</v>
      </c>
      <c r="Q71" s="194">
        <f>IFERROR(IF($C71="",-0.00001,SUMIFS(Database!S:S,Database!$E:$E,$C71)/$E71),-0.00001)</f>
        <v>-1.0000000000000001E-5</v>
      </c>
      <c r="R71" s="194">
        <f>IFERROR(IF($C71="",-0.00001,SUMIFS(Database!T:T,Database!$E:$E,$C71)/$E71),-0.00001)</f>
        <v>-1.0000000000000001E-5</v>
      </c>
      <c r="S71" s="186">
        <f t="shared" si="4"/>
        <v>-1.0000000000000001E-5</v>
      </c>
      <c r="T71" s="194">
        <f>IFERROR(IF($C71="",-0.00001,SUMIFS(Database!V:V,Database!$E:$E,$C71)/$E71),-0.00001)</f>
        <v>-1.0000000000000001E-5</v>
      </c>
      <c r="U71" s="194">
        <f>IFERROR(IF($C71="",-0.00001,SUMIFS(Database!W:W,Database!$E:$E,$C71)/$E71),-0.00001)</f>
        <v>-1.0000000000000001E-5</v>
      </c>
      <c r="V71" s="186">
        <f t="shared" si="5"/>
        <v>-1.0000000000000001E-5</v>
      </c>
      <c r="W71" s="187"/>
      <c r="X71" s="187"/>
      <c r="Y71" s="187"/>
      <c r="Z71" s="187"/>
      <c r="AA71" s="187"/>
      <c r="AB71" s="187"/>
      <c r="AC71" s="187"/>
      <c r="AD71" s="187"/>
      <c r="AE71" s="187"/>
    </row>
    <row r="72" spans="1:31" x14ac:dyDescent="0.25">
      <c r="A72" s="187"/>
      <c r="B72" s="187" t="str">
        <f>IF($C72="","",MAX($B$4:$B71)+1)</f>
        <v/>
      </c>
      <c r="C72" s="183"/>
      <c r="D72" s="183" t="str">
        <f>IFERROR(VLOOKUP($C72,Rosters!$C$4:$M$239,INDEX(Lists!$N$5:$O$80,MATCH($C72,Lists!$N$5:$N$80,FALSE),2)),"")</f>
        <v/>
      </c>
      <c r="E72" s="185">
        <f>IF($C72="",-0.00001,COUNTIF(Database!E:E,$C72))</f>
        <v>-1.0000000000000001E-5</v>
      </c>
      <c r="F72" s="194">
        <f>IFERROR(IF($C72="",-0.00001,SUMIFS(Database!H:H,Database!$E:$E,$C72)/$E72),-0.00001)</f>
        <v>-1.0000000000000001E-5</v>
      </c>
      <c r="G72" s="194">
        <f>IFERROR(IF($C72="",-0.00001,SUMIFS(Database!I:I,Database!$E:$E,$C72)/$E72),-0.00001)</f>
        <v>-1.0000000000000001E-5</v>
      </c>
      <c r="H72" s="194">
        <f>IFERROR(IF($C72="",-0.00001,SUMIFS(Database!J:J,Database!$E:$E,$C72)/$E72),-0.00001)</f>
        <v>-1.0000000000000001E-5</v>
      </c>
      <c r="I72" s="194">
        <f>IFERROR(IF($C72="",-0.00001,SUMIFS(Database!K:K,Database!$E:$E,$C72)/$E72),-0.00001)</f>
        <v>-1.0000000000000001E-5</v>
      </c>
      <c r="J72" s="194">
        <f>IFERROR(IF($C72="",-0.00001,SUMIFS(Database!L:L,Database!$E:$E,$C72)/$E72),-0.00001)</f>
        <v>-1.0000000000000001E-5</v>
      </c>
      <c r="K72" s="194">
        <f>IFERROR(IF($C72="",-0.00001,SUMIFS(Database!M:M,Database!$E:$E,$C72)/$E72),-0.00001)</f>
        <v>-1.0000000000000001E-5</v>
      </c>
      <c r="L72" s="194">
        <f>IFERROR(IF($C72="",-0.00001,SUMIFS(Database!N:N,Database!$E:$E,$C72)/$E72),-0.00001)</f>
        <v>-1.0000000000000001E-5</v>
      </c>
      <c r="M72" s="194">
        <f>IFERROR(IF($C72="",-0.00001,SUMIFS(Database!O:O,Database!$E:$E,$C72)/$E72),-0.00001)</f>
        <v>-1.0000000000000001E-5</v>
      </c>
      <c r="N72" s="194">
        <f>IFERROR(IF($C72="",-0.00001,SUMIFS(Database!P:P,Database!$E:$E,$C72)/$E72),-0.00001)</f>
        <v>-1.0000000000000001E-5</v>
      </c>
      <c r="O72" s="194">
        <f>IFERROR(IF($C72="",-0.00001,SUMIFS(Database!Q:Q,Database!$E:$E,$C72)/$E72),-0.00001)</f>
        <v>-1.0000000000000001E-5</v>
      </c>
      <c r="P72" s="186">
        <f t="shared" si="3"/>
        <v>-1.0000000000000001E-5</v>
      </c>
      <c r="Q72" s="194">
        <f>IFERROR(IF($C72="",-0.00001,SUMIFS(Database!S:S,Database!$E:$E,$C72)/$E72),-0.00001)</f>
        <v>-1.0000000000000001E-5</v>
      </c>
      <c r="R72" s="194">
        <f>IFERROR(IF($C72="",-0.00001,SUMIFS(Database!T:T,Database!$E:$E,$C72)/$E72),-0.00001)</f>
        <v>-1.0000000000000001E-5</v>
      </c>
      <c r="S72" s="186">
        <f t="shared" si="4"/>
        <v>-1.0000000000000001E-5</v>
      </c>
      <c r="T72" s="194">
        <f>IFERROR(IF($C72="",-0.00001,SUMIFS(Database!V:V,Database!$E:$E,$C72)/$E72),-0.00001)</f>
        <v>-1.0000000000000001E-5</v>
      </c>
      <c r="U72" s="194">
        <f>IFERROR(IF($C72="",-0.00001,SUMIFS(Database!W:W,Database!$E:$E,$C72)/$E72),-0.00001)</f>
        <v>-1.0000000000000001E-5</v>
      </c>
      <c r="V72" s="186">
        <f t="shared" si="5"/>
        <v>-1.0000000000000001E-5</v>
      </c>
      <c r="W72" s="187"/>
      <c r="X72" s="187"/>
      <c r="Y72" s="187"/>
      <c r="Z72" s="187"/>
      <c r="AA72" s="187"/>
      <c r="AB72" s="187"/>
      <c r="AC72" s="187"/>
      <c r="AD72" s="187"/>
      <c r="AE72" s="187"/>
    </row>
    <row r="73" spans="1:31" x14ac:dyDescent="0.25">
      <c r="A73" s="187"/>
      <c r="B73" s="187" t="str">
        <f>IF($C73="","",MAX($B$4:$B72)+1)</f>
        <v/>
      </c>
      <c r="C73" s="183"/>
      <c r="D73" s="183" t="str">
        <f>IFERROR(VLOOKUP($C73,Rosters!$C$4:$M$239,INDEX(Lists!$N$5:$O$80,MATCH($C73,Lists!$N$5:$N$80,FALSE),2)),"")</f>
        <v/>
      </c>
      <c r="E73" s="185">
        <f>IF($C73="",-0.00001,COUNTIF(Database!E:E,$C73))</f>
        <v>-1.0000000000000001E-5</v>
      </c>
      <c r="F73" s="194">
        <f>IFERROR(IF($C73="",-0.00001,SUMIFS(Database!H:H,Database!$E:$E,$C73)/$E73),-0.00001)</f>
        <v>-1.0000000000000001E-5</v>
      </c>
      <c r="G73" s="194">
        <f>IFERROR(IF($C73="",-0.00001,SUMIFS(Database!I:I,Database!$E:$E,$C73)/$E73),-0.00001)</f>
        <v>-1.0000000000000001E-5</v>
      </c>
      <c r="H73" s="194">
        <f>IFERROR(IF($C73="",-0.00001,SUMIFS(Database!J:J,Database!$E:$E,$C73)/$E73),-0.00001)</f>
        <v>-1.0000000000000001E-5</v>
      </c>
      <c r="I73" s="194">
        <f>IFERROR(IF($C73="",-0.00001,SUMIFS(Database!K:K,Database!$E:$E,$C73)/$E73),-0.00001)</f>
        <v>-1.0000000000000001E-5</v>
      </c>
      <c r="J73" s="194">
        <f>IFERROR(IF($C73="",-0.00001,SUMIFS(Database!L:L,Database!$E:$E,$C73)/$E73),-0.00001)</f>
        <v>-1.0000000000000001E-5</v>
      </c>
      <c r="K73" s="194">
        <f>IFERROR(IF($C73="",-0.00001,SUMIFS(Database!M:M,Database!$E:$E,$C73)/$E73),-0.00001)</f>
        <v>-1.0000000000000001E-5</v>
      </c>
      <c r="L73" s="194">
        <f>IFERROR(IF($C73="",-0.00001,SUMIFS(Database!N:N,Database!$E:$E,$C73)/$E73),-0.00001)</f>
        <v>-1.0000000000000001E-5</v>
      </c>
      <c r="M73" s="194">
        <f>IFERROR(IF($C73="",-0.00001,SUMIFS(Database!O:O,Database!$E:$E,$C73)/$E73),-0.00001)</f>
        <v>-1.0000000000000001E-5</v>
      </c>
      <c r="N73" s="194">
        <f>IFERROR(IF($C73="",-0.00001,SUMIFS(Database!P:P,Database!$E:$E,$C73)/$E73),-0.00001)</f>
        <v>-1.0000000000000001E-5</v>
      </c>
      <c r="O73" s="194">
        <f>IFERROR(IF($C73="",-0.00001,SUMIFS(Database!Q:Q,Database!$E:$E,$C73)/$E73),-0.00001)</f>
        <v>-1.0000000000000001E-5</v>
      </c>
      <c r="P73" s="186">
        <f t="shared" si="3"/>
        <v>-1.0000000000000001E-5</v>
      </c>
      <c r="Q73" s="194">
        <f>IFERROR(IF($C73="",-0.00001,SUMIFS(Database!S:S,Database!$E:$E,$C73)/$E73),-0.00001)</f>
        <v>-1.0000000000000001E-5</v>
      </c>
      <c r="R73" s="194">
        <f>IFERROR(IF($C73="",-0.00001,SUMIFS(Database!T:T,Database!$E:$E,$C73)/$E73),-0.00001)</f>
        <v>-1.0000000000000001E-5</v>
      </c>
      <c r="S73" s="186">
        <f t="shared" si="4"/>
        <v>-1.0000000000000001E-5</v>
      </c>
      <c r="T73" s="194">
        <f>IFERROR(IF($C73="",-0.00001,SUMIFS(Database!V:V,Database!$E:$E,$C73)/$E73),-0.00001)</f>
        <v>-1.0000000000000001E-5</v>
      </c>
      <c r="U73" s="194">
        <f>IFERROR(IF($C73="",-0.00001,SUMIFS(Database!W:W,Database!$E:$E,$C73)/$E73),-0.00001)</f>
        <v>-1.0000000000000001E-5</v>
      </c>
      <c r="V73" s="186">
        <f t="shared" si="5"/>
        <v>-1.0000000000000001E-5</v>
      </c>
      <c r="W73" s="187"/>
      <c r="X73" s="187"/>
      <c r="Y73" s="187"/>
      <c r="Z73" s="187"/>
      <c r="AA73" s="187"/>
      <c r="AB73" s="187"/>
      <c r="AC73" s="187"/>
      <c r="AD73" s="187"/>
      <c r="AE73" s="187"/>
    </row>
    <row r="74" spans="1:31" x14ac:dyDescent="0.25">
      <c r="A74" s="187"/>
      <c r="B74" s="187" t="str">
        <f>IF($C74="","",MAX($B$4:$B73)+1)</f>
        <v/>
      </c>
      <c r="C74" s="183"/>
      <c r="D74" s="183" t="str">
        <f>IFERROR(VLOOKUP($C74,Rosters!$C$4:$M$239,INDEX(Lists!$N$5:$O$80,MATCH($C74,Lists!$N$5:$N$80,FALSE),2)),"")</f>
        <v/>
      </c>
      <c r="E74" s="185">
        <f>IF($C74="",-0.00001,COUNTIF(Database!E:E,$C74))</f>
        <v>-1.0000000000000001E-5</v>
      </c>
      <c r="F74" s="194">
        <f>IFERROR(IF($C74="",-0.00001,SUMIFS(Database!H:H,Database!$E:$E,$C74)/$E74),-0.00001)</f>
        <v>-1.0000000000000001E-5</v>
      </c>
      <c r="G74" s="194">
        <f>IFERROR(IF($C74="",-0.00001,SUMIFS(Database!I:I,Database!$E:$E,$C74)/$E74),-0.00001)</f>
        <v>-1.0000000000000001E-5</v>
      </c>
      <c r="H74" s="194">
        <f>IFERROR(IF($C74="",-0.00001,SUMIFS(Database!J:J,Database!$E:$E,$C74)/$E74),-0.00001)</f>
        <v>-1.0000000000000001E-5</v>
      </c>
      <c r="I74" s="194">
        <f>IFERROR(IF($C74="",-0.00001,SUMIFS(Database!K:K,Database!$E:$E,$C74)/$E74),-0.00001)</f>
        <v>-1.0000000000000001E-5</v>
      </c>
      <c r="J74" s="194">
        <f>IFERROR(IF($C74="",-0.00001,SUMIFS(Database!L:L,Database!$E:$E,$C74)/$E74),-0.00001)</f>
        <v>-1.0000000000000001E-5</v>
      </c>
      <c r="K74" s="194">
        <f>IFERROR(IF($C74="",-0.00001,SUMIFS(Database!M:M,Database!$E:$E,$C74)/$E74),-0.00001)</f>
        <v>-1.0000000000000001E-5</v>
      </c>
      <c r="L74" s="194">
        <f>IFERROR(IF($C74="",-0.00001,SUMIFS(Database!N:N,Database!$E:$E,$C74)/$E74),-0.00001)</f>
        <v>-1.0000000000000001E-5</v>
      </c>
      <c r="M74" s="194">
        <f>IFERROR(IF($C74="",-0.00001,SUMIFS(Database!O:O,Database!$E:$E,$C74)/$E74),-0.00001)</f>
        <v>-1.0000000000000001E-5</v>
      </c>
      <c r="N74" s="194">
        <f>IFERROR(IF($C74="",-0.00001,SUMIFS(Database!P:P,Database!$E:$E,$C74)/$E74),-0.00001)</f>
        <v>-1.0000000000000001E-5</v>
      </c>
      <c r="O74" s="194">
        <f>IFERROR(IF($C74="",-0.00001,SUMIFS(Database!Q:Q,Database!$E:$E,$C74)/$E74),-0.00001)</f>
        <v>-1.0000000000000001E-5</v>
      </c>
      <c r="P74" s="186">
        <f t="shared" si="3"/>
        <v>-1.0000000000000001E-5</v>
      </c>
      <c r="Q74" s="194">
        <f>IFERROR(IF($C74="",-0.00001,SUMIFS(Database!S:S,Database!$E:$E,$C74)/$E74),-0.00001)</f>
        <v>-1.0000000000000001E-5</v>
      </c>
      <c r="R74" s="194">
        <f>IFERROR(IF($C74="",-0.00001,SUMIFS(Database!T:T,Database!$E:$E,$C74)/$E74),-0.00001)</f>
        <v>-1.0000000000000001E-5</v>
      </c>
      <c r="S74" s="186">
        <f t="shared" si="4"/>
        <v>-1.0000000000000001E-5</v>
      </c>
      <c r="T74" s="194">
        <f>IFERROR(IF($C74="",-0.00001,SUMIFS(Database!V:V,Database!$E:$E,$C74)/$E74),-0.00001)</f>
        <v>-1.0000000000000001E-5</v>
      </c>
      <c r="U74" s="194">
        <f>IFERROR(IF($C74="",-0.00001,SUMIFS(Database!W:W,Database!$E:$E,$C74)/$E74),-0.00001)</f>
        <v>-1.0000000000000001E-5</v>
      </c>
      <c r="V74" s="186">
        <f t="shared" si="5"/>
        <v>-1.0000000000000001E-5</v>
      </c>
      <c r="W74" s="187"/>
      <c r="X74" s="187"/>
      <c r="Y74" s="187"/>
      <c r="Z74" s="187"/>
      <c r="AA74" s="187"/>
      <c r="AB74" s="187"/>
      <c r="AC74" s="187"/>
      <c r="AD74" s="187"/>
      <c r="AE74" s="187"/>
    </row>
    <row r="75" spans="1:31" x14ac:dyDescent="0.25">
      <c r="A75" s="187"/>
      <c r="B75" s="187" t="str">
        <f>IF($C75="","",MAX($B$4:$B74)+1)</f>
        <v/>
      </c>
      <c r="C75" s="183"/>
      <c r="D75" s="183" t="str">
        <f>IFERROR(VLOOKUP($C75,Rosters!$C$4:$M$239,INDEX(Lists!$N$5:$O$80,MATCH($C75,Lists!$N$5:$N$80,FALSE),2)),"")</f>
        <v/>
      </c>
      <c r="E75" s="185">
        <f>IF($C75="",-0.00001,COUNTIF(Database!E:E,$C75))</f>
        <v>-1.0000000000000001E-5</v>
      </c>
      <c r="F75" s="194">
        <f>IFERROR(IF($C75="",-0.00001,SUMIFS(Database!H:H,Database!$E:$E,$C75)/$E75),-0.00001)</f>
        <v>-1.0000000000000001E-5</v>
      </c>
      <c r="G75" s="194">
        <f>IFERROR(IF($C75="",-0.00001,SUMIFS(Database!I:I,Database!$E:$E,$C75)/$E75),-0.00001)</f>
        <v>-1.0000000000000001E-5</v>
      </c>
      <c r="H75" s="194">
        <f>IFERROR(IF($C75="",-0.00001,SUMIFS(Database!J:J,Database!$E:$E,$C75)/$E75),-0.00001)</f>
        <v>-1.0000000000000001E-5</v>
      </c>
      <c r="I75" s="194">
        <f>IFERROR(IF($C75="",-0.00001,SUMIFS(Database!K:K,Database!$E:$E,$C75)/$E75),-0.00001)</f>
        <v>-1.0000000000000001E-5</v>
      </c>
      <c r="J75" s="194">
        <f>IFERROR(IF($C75="",-0.00001,SUMIFS(Database!L:L,Database!$E:$E,$C75)/$E75),-0.00001)</f>
        <v>-1.0000000000000001E-5</v>
      </c>
      <c r="K75" s="194">
        <f>IFERROR(IF($C75="",-0.00001,SUMIFS(Database!M:M,Database!$E:$E,$C75)/$E75),-0.00001)</f>
        <v>-1.0000000000000001E-5</v>
      </c>
      <c r="L75" s="194">
        <f>IFERROR(IF($C75="",-0.00001,SUMIFS(Database!N:N,Database!$E:$E,$C75)/$E75),-0.00001)</f>
        <v>-1.0000000000000001E-5</v>
      </c>
      <c r="M75" s="194">
        <f>IFERROR(IF($C75="",-0.00001,SUMIFS(Database!O:O,Database!$E:$E,$C75)/$E75),-0.00001)</f>
        <v>-1.0000000000000001E-5</v>
      </c>
      <c r="N75" s="194">
        <f>IFERROR(IF($C75="",-0.00001,SUMIFS(Database!P:P,Database!$E:$E,$C75)/$E75),-0.00001)</f>
        <v>-1.0000000000000001E-5</v>
      </c>
      <c r="O75" s="194">
        <f>IFERROR(IF($C75="",-0.00001,SUMIFS(Database!Q:Q,Database!$E:$E,$C75)/$E75),-0.00001)</f>
        <v>-1.0000000000000001E-5</v>
      </c>
      <c r="P75" s="186">
        <f t="shared" si="3"/>
        <v>-1.0000000000000001E-5</v>
      </c>
      <c r="Q75" s="194">
        <f>IFERROR(IF($C75="",-0.00001,SUMIFS(Database!S:S,Database!$E:$E,$C75)/$E75),-0.00001)</f>
        <v>-1.0000000000000001E-5</v>
      </c>
      <c r="R75" s="194">
        <f>IFERROR(IF($C75="",-0.00001,SUMIFS(Database!T:T,Database!$E:$E,$C75)/$E75),-0.00001)</f>
        <v>-1.0000000000000001E-5</v>
      </c>
      <c r="S75" s="186">
        <f t="shared" si="4"/>
        <v>-1.0000000000000001E-5</v>
      </c>
      <c r="T75" s="194">
        <f>IFERROR(IF($C75="",-0.00001,SUMIFS(Database!V:V,Database!$E:$E,$C75)/$E75),-0.00001)</f>
        <v>-1.0000000000000001E-5</v>
      </c>
      <c r="U75" s="194">
        <f>IFERROR(IF($C75="",-0.00001,SUMIFS(Database!W:W,Database!$E:$E,$C75)/$E75),-0.00001)</f>
        <v>-1.0000000000000001E-5</v>
      </c>
      <c r="V75" s="186">
        <f t="shared" si="5"/>
        <v>-1.0000000000000001E-5</v>
      </c>
      <c r="W75" s="187"/>
      <c r="X75" s="187"/>
      <c r="Y75" s="187"/>
      <c r="Z75" s="187"/>
      <c r="AA75" s="187"/>
      <c r="AB75" s="187"/>
      <c r="AC75" s="187"/>
      <c r="AD75" s="187"/>
      <c r="AE75" s="187"/>
    </row>
    <row r="76" spans="1:31" x14ac:dyDescent="0.25">
      <c r="A76" s="187"/>
      <c r="B76" s="187" t="str">
        <f>IF($C76="","",MAX($B$4:$B75)+1)</f>
        <v/>
      </c>
      <c r="C76" s="183"/>
      <c r="D76" s="183" t="str">
        <f>IFERROR(VLOOKUP($C76,Rosters!$C$4:$M$239,INDEX(Lists!$N$5:$O$80,MATCH($C76,Lists!$N$5:$N$80,FALSE),2)),"")</f>
        <v/>
      </c>
      <c r="E76" s="185">
        <f>IF($C76="",-0.00001,COUNTIF(Database!E:E,$C76))</f>
        <v>-1.0000000000000001E-5</v>
      </c>
      <c r="F76" s="194">
        <f>IFERROR(IF($C76="",-0.00001,SUMIFS(Database!H:H,Database!$E:$E,$C76)/$E76),-0.00001)</f>
        <v>-1.0000000000000001E-5</v>
      </c>
      <c r="G76" s="194">
        <f>IFERROR(IF($C76="",-0.00001,SUMIFS(Database!I:I,Database!$E:$E,$C76)/$E76),-0.00001)</f>
        <v>-1.0000000000000001E-5</v>
      </c>
      <c r="H76" s="194">
        <f>IFERROR(IF($C76="",-0.00001,SUMIFS(Database!J:J,Database!$E:$E,$C76)/$E76),-0.00001)</f>
        <v>-1.0000000000000001E-5</v>
      </c>
      <c r="I76" s="194">
        <f>IFERROR(IF($C76="",-0.00001,SUMIFS(Database!K:K,Database!$E:$E,$C76)/$E76),-0.00001)</f>
        <v>-1.0000000000000001E-5</v>
      </c>
      <c r="J76" s="194">
        <f>IFERROR(IF($C76="",-0.00001,SUMIFS(Database!L:L,Database!$E:$E,$C76)/$E76),-0.00001)</f>
        <v>-1.0000000000000001E-5</v>
      </c>
      <c r="K76" s="194">
        <f>IFERROR(IF($C76="",-0.00001,SUMIFS(Database!M:M,Database!$E:$E,$C76)/$E76),-0.00001)</f>
        <v>-1.0000000000000001E-5</v>
      </c>
      <c r="L76" s="194">
        <f>IFERROR(IF($C76="",-0.00001,SUMIFS(Database!N:N,Database!$E:$E,$C76)/$E76),-0.00001)</f>
        <v>-1.0000000000000001E-5</v>
      </c>
      <c r="M76" s="194">
        <f>IFERROR(IF($C76="",-0.00001,SUMIFS(Database!O:O,Database!$E:$E,$C76)/$E76),-0.00001)</f>
        <v>-1.0000000000000001E-5</v>
      </c>
      <c r="N76" s="194">
        <f>IFERROR(IF($C76="",-0.00001,SUMIFS(Database!P:P,Database!$E:$E,$C76)/$E76),-0.00001)</f>
        <v>-1.0000000000000001E-5</v>
      </c>
      <c r="O76" s="194">
        <f>IFERROR(IF($C76="",-0.00001,SUMIFS(Database!Q:Q,Database!$E:$E,$C76)/$E76),-0.00001)</f>
        <v>-1.0000000000000001E-5</v>
      </c>
      <c r="P76" s="186">
        <f t="shared" si="3"/>
        <v>-1.0000000000000001E-5</v>
      </c>
      <c r="Q76" s="194">
        <f>IFERROR(IF($C76="",-0.00001,SUMIFS(Database!S:S,Database!$E:$E,$C76)/$E76),-0.00001)</f>
        <v>-1.0000000000000001E-5</v>
      </c>
      <c r="R76" s="194">
        <f>IFERROR(IF($C76="",-0.00001,SUMIFS(Database!T:T,Database!$E:$E,$C76)/$E76),-0.00001)</f>
        <v>-1.0000000000000001E-5</v>
      </c>
      <c r="S76" s="186">
        <f t="shared" si="4"/>
        <v>-1.0000000000000001E-5</v>
      </c>
      <c r="T76" s="194">
        <f>IFERROR(IF($C76="",-0.00001,SUMIFS(Database!V:V,Database!$E:$E,$C76)/$E76),-0.00001)</f>
        <v>-1.0000000000000001E-5</v>
      </c>
      <c r="U76" s="194">
        <f>IFERROR(IF($C76="",-0.00001,SUMIFS(Database!W:W,Database!$E:$E,$C76)/$E76),-0.00001)</f>
        <v>-1.0000000000000001E-5</v>
      </c>
      <c r="V76" s="186">
        <f t="shared" si="5"/>
        <v>-1.0000000000000001E-5</v>
      </c>
      <c r="W76" s="187"/>
      <c r="X76" s="187"/>
      <c r="Y76" s="187"/>
      <c r="Z76" s="187"/>
      <c r="AA76" s="187"/>
      <c r="AB76" s="187"/>
      <c r="AC76" s="187"/>
      <c r="AD76" s="187"/>
      <c r="AE76" s="187"/>
    </row>
    <row r="77" spans="1:31" x14ac:dyDescent="0.25">
      <c r="A77" s="187"/>
      <c r="B77" s="187" t="str">
        <f>IF($C77="","",MAX($B$4:$B76)+1)</f>
        <v/>
      </c>
      <c r="C77" s="183"/>
      <c r="D77" s="183" t="str">
        <f>IFERROR(VLOOKUP($C77,Rosters!$C$4:$M$239,INDEX(Lists!$N$5:$O$80,MATCH($C77,Lists!$N$5:$N$80,FALSE),2)),"")</f>
        <v/>
      </c>
      <c r="E77" s="185">
        <f>IF($C77="",-0.00001,COUNTIF(Database!E:E,$C77))</f>
        <v>-1.0000000000000001E-5</v>
      </c>
      <c r="F77" s="194">
        <f>IFERROR(IF($C77="",-0.00001,SUMIFS(Database!H:H,Database!$E:$E,$C77)/$E77),-0.00001)</f>
        <v>-1.0000000000000001E-5</v>
      </c>
      <c r="G77" s="194">
        <f>IFERROR(IF($C77="",-0.00001,SUMIFS(Database!I:I,Database!$E:$E,$C77)/$E77),-0.00001)</f>
        <v>-1.0000000000000001E-5</v>
      </c>
      <c r="H77" s="194">
        <f>IFERROR(IF($C77="",-0.00001,SUMIFS(Database!J:J,Database!$E:$E,$C77)/$E77),-0.00001)</f>
        <v>-1.0000000000000001E-5</v>
      </c>
      <c r="I77" s="194">
        <f>IFERROR(IF($C77="",-0.00001,SUMIFS(Database!K:K,Database!$E:$E,$C77)/$E77),-0.00001)</f>
        <v>-1.0000000000000001E-5</v>
      </c>
      <c r="J77" s="194">
        <f>IFERROR(IF($C77="",-0.00001,SUMIFS(Database!L:L,Database!$E:$E,$C77)/$E77),-0.00001)</f>
        <v>-1.0000000000000001E-5</v>
      </c>
      <c r="K77" s="194">
        <f>IFERROR(IF($C77="",-0.00001,SUMIFS(Database!M:M,Database!$E:$E,$C77)/$E77),-0.00001)</f>
        <v>-1.0000000000000001E-5</v>
      </c>
      <c r="L77" s="194">
        <f>IFERROR(IF($C77="",-0.00001,SUMIFS(Database!N:N,Database!$E:$E,$C77)/$E77),-0.00001)</f>
        <v>-1.0000000000000001E-5</v>
      </c>
      <c r="M77" s="194">
        <f>IFERROR(IF($C77="",-0.00001,SUMIFS(Database!O:O,Database!$E:$E,$C77)/$E77),-0.00001)</f>
        <v>-1.0000000000000001E-5</v>
      </c>
      <c r="N77" s="194">
        <f>IFERROR(IF($C77="",-0.00001,SUMIFS(Database!P:P,Database!$E:$E,$C77)/$E77),-0.00001)</f>
        <v>-1.0000000000000001E-5</v>
      </c>
      <c r="O77" s="194">
        <f>IFERROR(IF($C77="",-0.00001,SUMIFS(Database!Q:Q,Database!$E:$E,$C77)/$E77),-0.00001)</f>
        <v>-1.0000000000000001E-5</v>
      </c>
      <c r="P77" s="186">
        <f t="shared" si="3"/>
        <v>-1.0000000000000001E-5</v>
      </c>
      <c r="Q77" s="194">
        <f>IFERROR(IF($C77="",-0.00001,SUMIFS(Database!S:S,Database!$E:$E,$C77)/$E77),-0.00001)</f>
        <v>-1.0000000000000001E-5</v>
      </c>
      <c r="R77" s="194">
        <f>IFERROR(IF($C77="",-0.00001,SUMIFS(Database!T:T,Database!$E:$E,$C77)/$E77),-0.00001)</f>
        <v>-1.0000000000000001E-5</v>
      </c>
      <c r="S77" s="186">
        <f t="shared" si="4"/>
        <v>-1.0000000000000001E-5</v>
      </c>
      <c r="T77" s="194">
        <f>IFERROR(IF($C77="",-0.00001,SUMIFS(Database!V:V,Database!$E:$E,$C77)/$E77),-0.00001)</f>
        <v>-1.0000000000000001E-5</v>
      </c>
      <c r="U77" s="194">
        <f>IFERROR(IF($C77="",-0.00001,SUMIFS(Database!W:W,Database!$E:$E,$C77)/$E77),-0.00001)</f>
        <v>-1.0000000000000001E-5</v>
      </c>
      <c r="V77" s="186">
        <f t="shared" si="5"/>
        <v>-1.0000000000000001E-5</v>
      </c>
      <c r="W77" s="187"/>
      <c r="X77" s="187"/>
      <c r="Y77" s="187"/>
      <c r="Z77" s="187"/>
      <c r="AA77" s="187"/>
      <c r="AB77" s="187"/>
      <c r="AC77" s="187"/>
      <c r="AD77" s="187"/>
      <c r="AE77" s="187"/>
    </row>
    <row r="78" spans="1:31" x14ac:dyDescent="0.25">
      <c r="A78" s="187"/>
      <c r="B78" s="187" t="str">
        <f>IF($C78="","",MAX($B$4:$B77)+1)</f>
        <v/>
      </c>
      <c r="C78" s="183"/>
      <c r="D78" s="183" t="str">
        <f>IFERROR(VLOOKUP($C78,Rosters!$C$4:$M$239,INDEX(Lists!$N$5:$O$80,MATCH($C78,Lists!$N$5:$N$80,FALSE),2)),"")</f>
        <v/>
      </c>
      <c r="E78" s="185">
        <f>IF($C78="",-0.00001,COUNTIF(Database!E:E,$C78))</f>
        <v>-1.0000000000000001E-5</v>
      </c>
      <c r="F78" s="194">
        <f>IFERROR(IF($C78="",-0.00001,SUMIFS(Database!H:H,Database!$E:$E,$C78)/$E78),-0.00001)</f>
        <v>-1.0000000000000001E-5</v>
      </c>
      <c r="G78" s="194">
        <f>IFERROR(IF($C78="",-0.00001,SUMIFS(Database!I:I,Database!$E:$E,$C78)/$E78),-0.00001)</f>
        <v>-1.0000000000000001E-5</v>
      </c>
      <c r="H78" s="194">
        <f>IFERROR(IF($C78="",-0.00001,SUMIFS(Database!J:J,Database!$E:$E,$C78)/$E78),-0.00001)</f>
        <v>-1.0000000000000001E-5</v>
      </c>
      <c r="I78" s="194">
        <f>IFERROR(IF($C78="",-0.00001,SUMIFS(Database!K:K,Database!$E:$E,$C78)/$E78),-0.00001)</f>
        <v>-1.0000000000000001E-5</v>
      </c>
      <c r="J78" s="194">
        <f>IFERROR(IF($C78="",-0.00001,SUMIFS(Database!L:L,Database!$E:$E,$C78)/$E78),-0.00001)</f>
        <v>-1.0000000000000001E-5</v>
      </c>
      <c r="K78" s="194">
        <f>IFERROR(IF($C78="",-0.00001,SUMIFS(Database!M:M,Database!$E:$E,$C78)/$E78),-0.00001)</f>
        <v>-1.0000000000000001E-5</v>
      </c>
      <c r="L78" s="194">
        <f>IFERROR(IF($C78="",-0.00001,SUMIFS(Database!N:N,Database!$E:$E,$C78)/$E78),-0.00001)</f>
        <v>-1.0000000000000001E-5</v>
      </c>
      <c r="M78" s="194">
        <f>IFERROR(IF($C78="",-0.00001,SUMIFS(Database!O:O,Database!$E:$E,$C78)/$E78),-0.00001)</f>
        <v>-1.0000000000000001E-5</v>
      </c>
      <c r="N78" s="194">
        <f>IFERROR(IF($C78="",-0.00001,SUMIFS(Database!P:P,Database!$E:$E,$C78)/$E78),-0.00001)</f>
        <v>-1.0000000000000001E-5</v>
      </c>
      <c r="O78" s="194">
        <f>IFERROR(IF($C78="",-0.00001,SUMIFS(Database!Q:Q,Database!$E:$E,$C78)/$E78),-0.00001)</f>
        <v>-1.0000000000000001E-5</v>
      </c>
      <c r="P78" s="186">
        <f t="shared" si="3"/>
        <v>-1.0000000000000001E-5</v>
      </c>
      <c r="Q78" s="194">
        <f>IFERROR(IF($C78="",-0.00001,SUMIFS(Database!S:S,Database!$E:$E,$C78)/$E78),-0.00001)</f>
        <v>-1.0000000000000001E-5</v>
      </c>
      <c r="R78" s="194">
        <f>IFERROR(IF($C78="",-0.00001,SUMIFS(Database!T:T,Database!$E:$E,$C78)/$E78),-0.00001)</f>
        <v>-1.0000000000000001E-5</v>
      </c>
      <c r="S78" s="186">
        <f t="shared" si="4"/>
        <v>-1.0000000000000001E-5</v>
      </c>
      <c r="T78" s="194">
        <f>IFERROR(IF($C78="",-0.00001,SUMIFS(Database!V:V,Database!$E:$E,$C78)/$E78),-0.00001)</f>
        <v>-1.0000000000000001E-5</v>
      </c>
      <c r="U78" s="194">
        <f>IFERROR(IF($C78="",-0.00001,SUMIFS(Database!W:W,Database!$E:$E,$C78)/$E78),-0.00001)</f>
        <v>-1.0000000000000001E-5</v>
      </c>
      <c r="V78" s="186">
        <f t="shared" si="5"/>
        <v>-1.0000000000000001E-5</v>
      </c>
      <c r="W78" s="187"/>
      <c r="X78" s="187"/>
      <c r="Y78" s="187"/>
      <c r="Z78" s="187"/>
      <c r="AA78" s="187"/>
      <c r="AB78" s="187"/>
      <c r="AC78" s="187"/>
      <c r="AD78" s="187"/>
      <c r="AE78" s="187"/>
    </row>
    <row r="79" spans="1:31" x14ac:dyDescent="0.25">
      <c r="A79" s="187"/>
      <c r="B79" s="187" t="str">
        <f>IF($C79="","",MAX($B$4:$B78)+1)</f>
        <v/>
      </c>
      <c r="C79" s="183"/>
      <c r="D79" s="183" t="str">
        <f>IFERROR(VLOOKUP($C79,Rosters!$C$4:$M$239,INDEX(Lists!$N$5:$O$80,MATCH($C79,Lists!$N$5:$N$80,FALSE),2)),"")</f>
        <v/>
      </c>
      <c r="E79" s="185">
        <f>IF($C79="",-0.00001,COUNTIF(Database!E:E,$C79))</f>
        <v>-1.0000000000000001E-5</v>
      </c>
      <c r="F79" s="194">
        <f>IFERROR(IF($C79="",-0.00001,SUMIFS(Database!H:H,Database!$E:$E,$C79)/$E79),-0.00001)</f>
        <v>-1.0000000000000001E-5</v>
      </c>
      <c r="G79" s="194">
        <f>IFERROR(IF($C79="",-0.00001,SUMIFS(Database!I:I,Database!$E:$E,$C79)/$E79),-0.00001)</f>
        <v>-1.0000000000000001E-5</v>
      </c>
      <c r="H79" s="194">
        <f>IFERROR(IF($C79="",-0.00001,SUMIFS(Database!J:J,Database!$E:$E,$C79)/$E79),-0.00001)</f>
        <v>-1.0000000000000001E-5</v>
      </c>
      <c r="I79" s="194">
        <f>IFERROR(IF($C79="",-0.00001,SUMIFS(Database!K:K,Database!$E:$E,$C79)/$E79),-0.00001)</f>
        <v>-1.0000000000000001E-5</v>
      </c>
      <c r="J79" s="194">
        <f>IFERROR(IF($C79="",-0.00001,SUMIFS(Database!L:L,Database!$E:$E,$C79)/$E79),-0.00001)</f>
        <v>-1.0000000000000001E-5</v>
      </c>
      <c r="K79" s="194">
        <f>IFERROR(IF($C79="",-0.00001,SUMIFS(Database!M:M,Database!$E:$E,$C79)/$E79),-0.00001)</f>
        <v>-1.0000000000000001E-5</v>
      </c>
      <c r="L79" s="194">
        <f>IFERROR(IF($C79="",-0.00001,SUMIFS(Database!N:N,Database!$E:$E,$C79)/$E79),-0.00001)</f>
        <v>-1.0000000000000001E-5</v>
      </c>
      <c r="M79" s="194">
        <f>IFERROR(IF($C79="",-0.00001,SUMIFS(Database!O:O,Database!$E:$E,$C79)/$E79),-0.00001)</f>
        <v>-1.0000000000000001E-5</v>
      </c>
      <c r="N79" s="194">
        <f>IFERROR(IF($C79="",-0.00001,SUMIFS(Database!P:P,Database!$E:$E,$C79)/$E79),-0.00001)</f>
        <v>-1.0000000000000001E-5</v>
      </c>
      <c r="O79" s="194">
        <f>IFERROR(IF($C79="",-0.00001,SUMIFS(Database!Q:Q,Database!$E:$E,$C79)/$E79),-0.00001)</f>
        <v>-1.0000000000000001E-5</v>
      </c>
      <c r="P79" s="186">
        <f t="shared" si="3"/>
        <v>-1.0000000000000001E-5</v>
      </c>
      <c r="Q79" s="194">
        <f>IFERROR(IF($C79="",-0.00001,SUMIFS(Database!S:S,Database!$E:$E,$C79)/$E79),-0.00001)</f>
        <v>-1.0000000000000001E-5</v>
      </c>
      <c r="R79" s="194">
        <f>IFERROR(IF($C79="",-0.00001,SUMIFS(Database!T:T,Database!$E:$E,$C79)/$E79),-0.00001)</f>
        <v>-1.0000000000000001E-5</v>
      </c>
      <c r="S79" s="186">
        <f t="shared" si="4"/>
        <v>-1.0000000000000001E-5</v>
      </c>
      <c r="T79" s="194">
        <f>IFERROR(IF($C79="",-0.00001,SUMIFS(Database!V:V,Database!$E:$E,$C79)/$E79),-0.00001)</f>
        <v>-1.0000000000000001E-5</v>
      </c>
      <c r="U79" s="194">
        <f>IFERROR(IF($C79="",-0.00001,SUMIFS(Database!W:W,Database!$E:$E,$C79)/$E79),-0.00001)</f>
        <v>-1.0000000000000001E-5</v>
      </c>
      <c r="V79" s="186">
        <f t="shared" si="5"/>
        <v>-1.0000000000000001E-5</v>
      </c>
      <c r="W79" s="187"/>
      <c r="X79" s="187"/>
      <c r="Y79" s="187"/>
      <c r="Z79" s="187"/>
      <c r="AA79" s="187"/>
      <c r="AB79" s="187"/>
      <c r="AC79" s="187"/>
      <c r="AD79" s="187"/>
      <c r="AE79" s="187"/>
    </row>
    <row r="80" spans="1:31" x14ac:dyDescent="0.25">
      <c r="A80" s="187"/>
      <c r="B80" s="187" t="str">
        <f>IF($C80="","",MAX($B$4:$B79)+1)</f>
        <v/>
      </c>
      <c r="C80" s="183"/>
      <c r="D80" s="183" t="str">
        <f>IFERROR(VLOOKUP($C80,Rosters!$C$4:$M$239,INDEX(Lists!$N$5:$O$80,MATCH($C80,Lists!$N$5:$N$80,FALSE),2)),"")</f>
        <v/>
      </c>
      <c r="E80" s="185">
        <f>IF($C80="",-0.00001,COUNTIF(Database!E:E,$C80))</f>
        <v>-1.0000000000000001E-5</v>
      </c>
      <c r="F80" s="194">
        <f>IFERROR(IF($C80="",-0.00001,SUMIFS(Database!H:H,Database!$E:$E,$C80)/$E80),-0.00001)</f>
        <v>-1.0000000000000001E-5</v>
      </c>
      <c r="G80" s="194">
        <f>IFERROR(IF($C80="",-0.00001,SUMIFS(Database!I:I,Database!$E:$E,$C80)/$E80),-0.00001)</f>
        <v>-1.0000000000000001E-5</v>
      </c>
      <c r="H80" s="194">
        <f>IFERROR(IF($C80="",-0.00001,SUMIFS(Database!J:J,Database!$E:$E,$C80)/$E80),-0.00001)</f>
        <v>-1.0000000000000001E-5</v>
      </c>
      <c r="I80" s="194">
        <f>IFERROR(IF($C80="",-0.00001,SUMIFS(Database!K:K,Database!$E:$E,$C80)/$E80),-0.00001)</f>
        <v>-1.0000000000000001E-5</v>
      </c>
      <c r="J80" s="194">
        <f>IFERROR(IF($C80="",-0.00001,SUMIFS(Database!L:L,Database!$E:$E,$C80)/$E80),-0.00001)</f>
        <v>-1.0000000000000001E-5</v>
      </c>
      <c r="K80" s="194">
        <f>IFERROR(IF($C80="",-0.00001,SUMIFS(Database!M:M,Database!$E:$E,$C80)/$E80),-0.00001)</f>
        <v>-1.0000000000000001E-5</v>
      </c>
      <c r="L80" s="194">
        <f>IFERROR(IF($C80="",-0.00001,SUMIFS(Database!N:N,Database!$E:$E,$C80)/$E80),-0.00001)</f>
        <v>-1.0000000000000001E-5</v>
      </c>
      <c r="M80" s="194">
        <f>IFERROR(IF($C80="",-0.00001,SUMIFS(Database!O:O,Database!$E:$E,$C80)/$E80),-0.00001)</f>
        <v>-1.0000000000000001E-5</v>
      </c>
      <c r="N80" s="194">
        <f>IFERROR(IF($C80="",-0.00001,SUMIFS(Database!P:P,Database!$E:$E,$C80)/$E80),-0.00001)</f>
        <v>-1.0000000000000001E-5</v>
      </c>
      <c r="O80" s="194">
        <f>IFERROR(IF($C80="",-0.00001,SUMIFS(Database!Q:Q,Database!$E:$E,$C80)/$E80),-0.00001)</f>
        <v>-1.0000000000000001E-5</v>
      </c>
      <c r="P80" s="186">
        <f t="shared" si="3"/>
        <v>-1.0000000000000001E-5</v>
      </c>
      <c r="Q80" s="194">
        <f>IFERROR(IF($C80="",-0.00001,SUMIFS(Database!S:S,Database!$E:$E,$C80)/$E80),-0.00001)</f>
        <v>-1.0000000000000001E-5</v>
      </c>
      <c r="R80" s="194">
        <f>IFERROR(IF($C80="",-0.00001,SUMIFS(Database!T:T,Database!$E:$E,$C80)/$E80),-0.00001)</f>
        <v>-1.0000000000000001E-5</v>
      </c>
      <c r="S80" s="186">
        <f t="shared" si="4"/>
        <v>-1.0000000000000001E-5</v>
      </c>
      <c r="T80" s="194">
        <f>IFERROR(IF($C80="",-0.00001,SUMIFS(Database!V:V,Database!$E:$E,$C80)/$E80),-0.00001)</f>
        <v>-1.0000000000000001E-5</v>
      </c>
      <c r="U80" s="194">
        <f>IFERROR(IF($C80="",-0.00001,SUMIFS(Database!W:W,Database!$E:$E,$C80)/$E80),-0.00001)</f>
        <v>-1.0000000000000001E-5</v>
      </c>
      <c r="V80" s="186">
        <f t="shared" si="5"/>
        <v>-1.0000000000000001E-5</v>
      </c>
      <c r="W80" s="187"/>
      <c r="X80" s="187"/>
      <c r="Y80" s="187"/>
      <c r="Z80" s="187"/>
      <c r="AA80" s="187"/>
      <c r="AB80" s="187"/>
      <c r="AC80" s="187"/>
      <c r="AD80" s="187"/>
      <c r="AE80" s="187"/>
    </row>
    <row r="81" spans="1:31" x14ac:dyDescent="0.25">
      <c r="A81" s="187"/>
      <c r="B81" s="187" t="str">
        <f>IF($C81="","",MAX($B$4:$B80)+1)</f>
        <v/>
      </c>
      <c r="C81" s="183"/>
      <c r="D81" s="183" t="str">
        <f>IFERROR(VLOOKUP($C81,Rosters!$C$4:$M$239,INDEX(Lists!$N$5:$O$80,MATCH($C81,Lists!$N$5:$N$80,FALSE),2)),"")</f>
        <v/>
      </c>
      <c r="E81" s="185">
        <f>IF($C81="",-0.00001,COUNTIF(Database!E:E,$C81))</f>
        <v>-1.0000000000000001E-5</v>
      </c>
      <c r="F81" s="194">
        <f>IFERROR(IF($C81="",-0.00001,SUMIFS(Database!H:H,Database!$E:$E,$C81)/$E81),-0.00001)</f>
        <v>-1.0000000000000001E-5</v>
      </c>
      <c r="G81" s="194">
        <f>IFERROR(IF($C81="",-0.00001,SUMIFS(Database!I:I,Database!$E:$E,$C81)/$E81),-0.00001)</f>
        <v>-1.0000000000000001E-5</v>
      </c>
      <c r="H81" s="194">
        <f>IFERROR(IF($C81="",-0.00001,SUMIFS(Database!J:J,Database!$E:$E,$C81)/$E81),-0.00001)</f>
        <v>-1.0000000000000001E-5</v>
      </c>
      <c r="I81" s="194">
        <f>IFERROR(IF($C81="",-0.00001,SUMIFS(Database!K:K,Database!$E:$E,$C81)/$E81),-0.00001)</f>
        <v>-1.0000000000000001E-5</v>
      </c>
      <c r="J81" s="194">
        <f>IFERROR(IF($C81="",-0.00001,SUMIFS(Database!L:L,Database!$E:$E,$C81)/$E81),-0.00001)</f>
        <v>-1.0000000000000001E-5</v>
      </c>
      <c r="K81" s="194">
        <f>IFERROR(IF($C81="",-0.00001,SUMIFS(Database!M:M,Database!$E:$E,$C81)/$E81),-0.00001)</f>
        <v>-1.0000000000000001E-5</v>
      </c>
      <c r="L81" s="194">
        <f>IFERROR(IF($C81="",-0.00001,SUMIFS(Database!N:N,Database!$E:$E,$C81)/$E81),-0.00001)</f>
        <v>-1.0000000000000001E-5</v>
      </c>
      <c r="M81" s="194">
        <f>IFERROR(IF($C81="",-0.00001,SUMIFS(Database!O:O,Database!$E:$E,$C81)/$E81),-0.00001)</f>
        <v>-1.0000000000000001E-5</v>
      </c>
      <c r="N81" s="194">
        <f>IFERROR(IF($C81="",-0.00001,SUMIFS(Database!P:P,Database!$E:$E,$C81)/$E81),-0.00001)</f>
        <v>-1.0000000000000001E-5</v>
      </c>
      <c r="O81" s="194">
        <f>IFERROR(IF($C81="",-0.00001,SUMIFS(Database!Q:Q,Database!$E:$E,$C81)/$E81),-0.00001)</f>
        <v>-1.0000000000000001E-5</v>
      </c>
      <c r="P81" s="186">
        <f t="shared" si="3"/>
        <v>-1.0000000000000001E-5</v>
      </c>
      <c r="Q81" s="194">
        <f>IFERROR(IF($C81="",-0.00001,SUMIFS(Database!S:S,Database!$E:$E,$C81)/$E81),-0.00001)</f>
        <v>-1.0000000000000001E-5</v>
      </c>
      <c r="R81" s="194">
        <f>IFERROR(IF($C81="",-0.00001,SUMIFS(Database!T:T,Database!$E:$E,$C81)/$E81),-0.00001)</f>
        <v>-1.0000000000000001E-5</v>
      </c>
      <c r="S81" s="186">
        <f t="shared" si="4"/>
        <v>-1.0000000000000001E-5</v>
      </c>
      <c r="T81" s="194">
        <f>IFERROR(IF($C81="",-0.00001,SUMIFS(Database!V:V,Database!$E:$E,$C81)/$E81),-0.00001)</f>
        <v>-1.0000000000000001E-5</v>
      </c>
      <c r="U81" s="194">
        <f>IFERROR(IF($C81="",-0.00001,SUMIFS(Database!W:W,Database!$E:$E,$C81)/$E81),-0.00001)</f>
        <v>-1.0000000000000001E-5</v>
      </c>
      <c r="V81" s="186">
        <f t="shared" si="5"/>
        <v>-1.0000000000000001E-5</v>
      </c>
      <c r="W81" s="187"/>
      <c r="X81" s="187"/>
      <c r="Y81" s="187"/>
      <c r="Z81" s="187"/>
      <c r="AA81" s="187"/>
      <c r="AB81" s="187"/>
      <c r="AC81" s="187"/>
      <c r="AD81" s="187"/>
      <c r="AE81" s="187"/>
    </row>
    <row r="82" spans="1:31" x14ac:dyDescent="0.25">
      <c r="A82" s="187"/>
      <c r="B82" s="187" t="str">
        <f>IF($C82="","",MAX($B$4:$B81)+1)</f>
        <v/>
      </c>
      <c r="C82" s="183"/>
      <c r="D82" s="183" t="str">
        <f>IFERROR(VLOOKUP($C82,Rosters!$C$4:$M$239,INDEX(Lists!$N$5:$O$80,MATCH($C82,Lists!$N$5:$N$80,FALSE),2)),"")</f>
        <v/>
      </c>
      <c r="E82" s="185">
        <f>IF($C82="",-0.00001,COUNTIF(Database!E:E,$C82))</f>
        <v>-1.0000000000000001E-5</v>
      </c>
      <c r="F82" s="194">
        <f>IFERROR(IF($C82="",-0.00001,SUMIFS(Database!H:H,Database!$E:$E,$C82)/$E82),-0.00001)</f>
        <v>-1.0000000000000001E-5</v>
      </c>
      <c r="G82" s="194">
        <f>IFERROR(IF($C82="",-0.00001,SUMIFS(Database!I:I,Database!$E:$E,$C82)/$E82),-0.00001)</f>
        <v>-1.0000000000000001E-5</v>
      </c>
      <c r="H82" s="194">
        <f>IFERROR(IF($C82="",-0.00001,SUMIFS(Database!J:J,Database!$E:$E,$C82)/$E82),-0.00001)</f>
        <v>-1.0000000000000001E-5</v>
      </c>
      <c r="I82" s="194">
        <f>IFERROR(IF($C82="",-0.00001,SUMIFS(Database!K:K,Database!$E:$E,$C82)/$E82),-0.00001)</f>
        <v>-1.0000000000000001E-5</v>
      </c>
      <c r="J82" s="194">
        <f>IFERROR(IF($C82="",-0.00001,SUMIFS(Database!L:L,Database!$E:$E,$C82)/$E82),-0.00001)</f>
        <v>-1.0000000000000001E-5</v>
      </c>
      <c r="K82" s="194">
        <f>IFERROR(IF($C82="",-0.00001,SUMIFS(Database!M:M,Database!$E:$E,$C82)/$E82),-0.00001)</f>
        <v>-1.0000000000000001E-5</v>
      </c>
      <c r="L82" s="194">
        <f>IFERROR(IF($C82="",-0.00001,SUMIFS(Database!N:N,Database!$E:$E,$C82)/$E82),-0.00001)</f>
        <v>-1.0000000000000001E-5</v>
      </c>
      <c r="M82" s="194">
        <f>IFERROR(IF($C82="",-0.00001,SUMIFS(Database!O:O,Database!$E:$E,$C82)/$E82),-0.00001)</f>
        <v>-1.0000000000000001E-5</v>
      </c>
      <c r="N82" s="194">
        <f>IFERROR(IF($C82="",-0.00001,SUMIFS(Database!P:P,Database!$E:$E,$C82)/$E82),-0.00001)</f>
        <v>-1.0000000000000001E-5</v>
      </c>
      <c r="O82" s="194">
        <f>IFERROR(IF($C82="",-0.00001,SUMIFS(Database!Q:Q,Database!$E:$E,$C82)/$E82),-0.00001)</f>
        <v>-1.0000000000000001E-5</v>
      </c>
      <c r="P82" s="186">
        <f t="shared" si="3"/>
        <v>-1.0000000000000001E-5</v>
      </c>
      <c r="Q82" s="194">
        <f>IFERROR(IF($C82="",-0.00001,SUMIFS(Database!S:S,Database!$E:$E,$C82)/$E82),-0.00001)</f>
        <v>-1.0000000000000001E-5</v>
      </c>
      <c r="R82" s="194">
        <f>IFERROR(IF($C82="",-0.00001,SUMIFS(Database!T:T,Database!$E:$E,$C82)/$E82),-0.00001)</f>
        <v>-1.0000000000000001E-5</v>
      </c>
      <c r="S82" s="186">
        <f t="shared" si="4"/>
        <v>-1.0000000000000001E-5</v>
      </c>
      <c r="T82" s="194">
        <f>IFERROR(IF($C82="",-0.00001,SUMIFS(Database!V:V,Database!$E:$E,$C82)/$E82),-0.00001)</f>
        <v>-1.0000000000000001E-5</v>
      </c>
      <c r="U82" s="194">
        <f>IFERROR(IF($C82="",-0.00001,SUMIFS(Database!W:W,Database!$E:$E,$C82)/$E82),-0.00001)</f>
        <v>-1.0000000000000001E-5</v>
      </c>
      <c r="V82" s="186">
        <f t="shared" si="5"/>
        <v>-1.0000000000000001E-5</v>
      </c>
      <c r="W82" s="187"/>
      <c r="X82" s="187"/>
      <c r="Y82" s="187"/>
      <c r="Z82" s="187"/>
      <c r="AA82" s="187"/>
      <c r="AB82" s="187"/>
      <c r="AC82" s="187"/>
      <c r="AD82" s="187"/>
      <c r="AE82" s="187"/>
    </row>
    <row r="83" spans="1:31" x14ac:dyDescent="0.25">
      <c r="A83" s="187"/>
      <c r="B83" s="187" t="str">
        <f>IF($C83="","",MAX($B$4:$B82)+1)</f>
        <v/>
      </c>
      <c r="C83" s="183"/>
      <c r="D83" s="183" t="str">
        <f>IFERROR(VLOOKUP($C83,Rosters!$C$4:$M$239,INDEX(Lists!$N$5:$O$80,MATCH($C83,Lists!$N$5:$N$80,FALSE),2)),"")</f>
        <v/>
      </c>
      <c r="E83" s="185">
        <f>IF($C83="",-0.00001,COUNTIF(Database!E:E,$C83))</f>
        <v>-1.0000000000000001E-5</v>
      </c>
      <c r="F83" s="194">
        <f>IFERROR(IF($C83="",-0.00001,SUMIFS(Database!H:H,Database!$E:$E,$C83)/$E83),-0.00001)</f>
        <v>-1.0000000000000001E-5</v>
      </c>
      <c r="G83" s="194">
        <f>IFERROR(IF($C83="",-0.00001,SUMIFS(Database!I:I,Database!$E:$E,$C83)/$E83),-0.00001)</f>
        <v>-1.0000000000000001E-5</v>
      </c>
      <c r="H83" s="194">
        <f>IFERROR(IF($C83="",-0.00001,SUMIFS(Database!J:J,Database!$E:$E,$C83)/$E83),-0.00001)</f>
        <v>-1.0000000000000001E-5</v>
      </c>
      <c r="I83" s="194">
        <f>IFERROR(IF($C83="",-0.00001,SUMIFS(Database!K:K,Database!$E:$E,$C83)/$E83),-0.00001)</f>
        <v>-1.0000000000000001E-5</v>
      </c>
      <c r="J83" s="194">
        <f>IFERROR(IF($C83="",-0.00001,SUMIFS(Database!L:L,Database!$E:$E,$C83)/$E83),-0.00001)</f>
        <v>-1.0000000000000001E-5</v>
      </c>
      <c r="K83" s="194">
        <f>IFERROR(IF($C83="",-0.00001,SUMIFS(Database!M:M,Database!$E:$E,$C83)/$E83),-0.00001)</f>
        <v>-1.0000000000000001E-5</v>
      </c>
      <c r="L83" s="194">
        <f>IFERROR(IF($C83="",-0.00001,SUMIFS(Database!N:N,Database!$E:$E,$C83)/$E83),-0.00001)</f>
        <v>-1.0000000000000001E-5</v>
      </c>
      <c r="M83" s="194">
        <f>IFERROR(IF($C83="",-0.00001,SUMIFS(Database!O:O,Database!$E:$E,$C83)/$E83),-0.00001)</f>
        <v>-1.0000000000000001E-5</v>
      </c>
      <c r="N83" s="194">
        <f>IFERROR(IF($C83="",-0.00001,SUMIFS(Database!P:P,Database!$E:$E,$C83)/$E83),-0.00001)</f>
        <v>-1.0000000000000001E-5</v>
      </c>
      <c r="O83" s="194">
        <f>IFERROR(IF($C83="",-0.00001,SUMIFS(Database!Q:Q,Database!$E:$E,$C83)/$E83),-0.00001)</f>
        <v>-1.0000000000000001E-5</v>
      </c>
      <c r="P83" s="186">
        <f t="shared" si="3"/>
        <v>-1.0000000000000001E-5</v>
      </c>
      <c r="Q83" s="194">
        <f>IFERROR(IF($C83="",-0.00001,SUMIFS(Database!S:S,Database!$E:$E,$C83)/$E83),-0.00001)</f>
        <v>-1.0000000000000001E-5</v>
      </c>
      <c r="R83" s="194">
        <f>IFERROR(IF($C83="",-0.00001,SUMIFS(Database!T:T,Database!$E:$E,$C83)/$E83),-0.00001)</f>
        <v>-1.0000000000000001E-5</v>
      </c>
      <c r="S83" s="186">
        <f t="shared" si="4"/>
        <v>-1.0000000000000001E-5</v>
      </c>
      <c r="T83" s="194">
        <f>IFERROR(IF($C83="",-0.00001,SUMIFS(Database!V:V,Database!$E:$E,$C83)/$E83),-0.00001)</f>
        <v>-1.0000000000000001E-5</v>
      </c>
      <c r="U83" s="194">
        <f>IFERROR(IF($C83="",-0.00001,SUMIFS(Database!W:W,Database!$E:$E,$C83)/$E83),-0.00001)</f>
        <v>-1.0000000000000001E-5</v>
      </c>
      <c r="V83" s="186">
        <f t="shared" si="5"/>
        <v>-1.0000000000000001E-5</v>
      </c>
      <c r="W83" s="187"/>
      <c r="X83" s="187"/>
      <c r="Y83" s="187"/>
      <c r="Z83" s="187"/>
      <c r="AA83" s="187"/>
      <c r="AB83" s="187"/>
      <c r="AC83" s="187"/>
      <c r="AD83" s="187"/>
      <c r="AE83" s="187"/>
    </row>
    <row r="84" spans="1:31" x14ac:dyDescent="0.25">
      <c r="A84" s="187"/>
      <c r="B84" s="187" t="str">
        <f>IF($C84="","",MAX($B$4:$B83)+1)</f>
        <v/>
      </c>
      <c r="C84" s="183"/>
      <c r="D84" s="183" t="str">
        <f>IFERROR(VLOOKUP($C84,Rosters!$C$4:$M$239,INDEX(Lists!$N$5:$O$80,MATCH($C84,Lists!$N$5:$N$80,FALSE),2)),"")</f>
        <v/>
      </c>
      <c r="E84" s="185">
        <f>IF($C84="",-0.00001,COUNTIF(Database!E:E,$C84))</f>
        <v>-1.0000000000000001E-5</v>
      </c>
      <c r="F84" s="194">
        <f>IFERROR(IF($C84="",-0.00001,SUMIFS(Database!H:H,Database!$E:$E,$C84)/$E84),-0.00001)</f>
        <v>-1.0000000000000001E-5</v>
      </c>
      <c r="G84" s="194">
        <f>IFERROR(IF($C84="",-0.00001,SUMIFS(Database!I:I,Database!$E:$E,$C84)/$E84),-0.00001)</f>
        <v>-1.0000000000000001E-5</v>
      </c>
      <c r="H84" s="194">
        <f>IFERROR(IF($C84="",-0.00001,SUMIFS(Database!J:J,Database!$E:$E,$C84)/$E84),-0.00001)</f>
        <v>-1.0000000000000001E-5</v>
      </c>
      <c r="I84" s="194">
        <f>IFERROR(IF($C84="",-0.00001,SUMIFS(Database!K:K,Database!$E:$E,$C84)/$E84),-0.00001)</f>
        <v>-1.0000000000000001E-5</v>
      </c>
      <c r="J84" s="194">
        <f>IFERROR(IF($C84="",-0.00001,SUMIFS(Database!L:L,Database!$E:$E,$C84)/$E84),-0.00001)</f>
        <v>-1.0000000000000001E-5</v>
      </c>
      <c r="K84" s="194">
        <f>IFERROR(IF($C84="",-0.00001,SUMIFS(Database!M:M,Database!$E:$E,$C84)/$E84),-0.00001)</f>
        <v>-1.0000000000000001E-5</v>
      </c>
      <c r="L84" s="194">
        <f>IFERROR(IF($C84="",-0.00001,SUMIFS(Database!N:N,Database!$E:$E,$C84)/$E84),-0.00001)</f>
        <v>-1.0000000000000001E-5</v>
      </c>
      <c r="M84" s="194">
        <f>IFERROR(IF($C84="",-0.00001,SUMIFS(Database!O:O,Database!$E:$E,$C84)/$E84),-0.00001)</f>
        <v>-1.0000000000000001E-5</v>
      </c>
      <c r="N84" s="194">
        <f>IFERROR(IF($C84="",-0.00001,SUMIFS(Database!P:P,Database!$E:$E,$C84)/$E84),-0.00001)</f>
        <v>-1.0000000000000001E-5</v>
      </c>
      <c r="O84" s="194">
        <f>IFERROR(IF($C84="",-0.00001,SUMIFS(Database!Q:Q,Database!$E:$E,$C84)/$E84),-0.00001)</f>
        <v>-1.0000000000000001E-5</v>
      </c>
      <c r="P84" s="186">
        <f t="shared" si="3"/>
        <v>-1.0000000000000001E-5</v>
      </c>
      <c r="Q84" s="194">
        <f>IFERROR(IF($C84="",-0.00001,SUMIFS(Database!S:S,Database!$E:$E,$C84)/$E84),-0.00001)</f>
        <v>-1.0000000000000001E-5</v>
      </c>
      <c r="R84" s="194">
        <f>IFERROR(IF($C84="",-0.00001,SUMIFS(Database!T:T,Database!$E:$E,$C84)/$E84),-0.00001)</f>
        <v>-1.0000000000000001E-5</v>
      </c>
      <c r="S84" s="186">
        <f t="shared" si="4"/>
        <v>-1.0000000000000001E-5</v>
      </c>
      <c r="T84" s="194">
        <f>IFERROR(IF($C84="",-0.00001,SUMIFS(Database!V:V,Database!$E:$E,$C84)/$E84),-0.00001)</f>
        <v>-1.0000000000000001E-5</v>
      </c>
      <c r="U84" s="194">
        <f>IFERROR(IF($C84="",-0.00001,SUMIFS(Database!W:W,Database!$E:$E,$C84)/$E84),-0.00001)</f>
        <v>-1.0000000000000001E-5</v>
      </c>
      <c r="V84" s="186">
        <f t="shared" si="5"/>
        <v>-1.0000000000000001E-5</v>
      </c>
      <c r="W84" s="187"/>
      <c r="X84" s="187"/>
      <c r="Y84" s="187"/>
      <c r="Z84" s="187"/>
      <c r="AA84" s="187"/>
      <c r="AB84" s="187"/>
      <c r="AC84" s="187"/>
      <c r="AD84" s="187"/>
      <c r="AE84" s="187"/>
    </row>
    <row r="85" spans="1:31" x14ac:dyDescent="0.25">
      <c r="A85" s="187"/>
      <c r="B85" s="187" t="str">
        <f>IF($C85="","",MAX($B$4:$B84)+1)</f>
        <v/>
      </c>
      <c r="C85" s="183"/>
      <c r="D85" s="183" t="str">
        <f>IFERROR(VLOOKUP($C85,Rosters!$C$4:$M$239,INDEX(Lists!$N$5:$O$80,MATCH($C85,Lists!$N$5:$N$80,FALSE),2)),"")</f>
        <v/>
      </c>
      <c r="E85" s="185">
        <f>IF($C85="",-0.00001,COUNTIF(Database!E:E,$C85))</f>
        <v>-1.0000000000000001E-5</v>
      </c>
      <c r="F85" s="194">
        <f>IFERROR(IF($C85="",-0.00001,SUMIFS(Database!H:H,Database!$E:$E,$C85)/$E85),-0.00001)</f>
        <v>-1.0000000000000001E-5</v>
      </c>
      <c r="G85" s="194">
        <f>IFERROR(IF($C85="",-0.00001,SUMIFS(Database!I:I,Database!$E:$E,$C85)/$E85),-0.00001)</f>
        <v>-1.0000000000000001E-5</v>
      </c>
      <c r="H85" s="194">
        <f>IFERROR(IF($C85="",-0.00001,SUMIFS(Database!J:J,Database!$E:$E,$C85)/$E85),-0.00001)</f>
        <v>-1.0000000000000001E-5</v>
      </c>
      <c r="I85" s="194">
        <f>IFERROR(IF($C85="",-0.00001,SUMIFS(Database!K:K,Database!$E:$E,$C85)/$E85),-0.00001)</f>
        <v>-1.0000000000000001E-5</v>
      </c>
      <c r="J85" s="194">
        <f>IFERROR(IF($C85="",-0.00001,SUMIFS(Database!L:L,Database!$E:$E,$C85)/$E85),-0.00001)</f>
        <v>-1.0000000000000001E-5</v>
      </c>
      <c r="K85" s="194">
        <f>IFERROR(IF($C85="",-0.00001,SUMIFS(Database!M:M,Database!$E:$E,$C85)/$E85),-0.00001)</f>
        <v>-1.0000000000000001E-5</v>
      </c>
      <c r="L85" s="194">
        <f>IFERROR(IF($C85="",-0.00001,SUMIFS(Database!N:N,Database!$E:$E,$C85)/$E85),-0.00001)</f>
        <v>-1.0000000000000001E-5</v>
      </c>
      <c r="M85" s="194">
        <f>IFERROR(IF($C85="",-0.00001,SUMIFS(Database!O:O,Database!$E:$E,$C85)/$E85),-0.00001)</f>
        <v>-1.0000000000000001E-5</v>
      </c>
      <c r="N85" s="194">
        <f>IFERROR(IF($C85="",-0.00001,SUMIFS(Database!P:P,Database!$E:$E,$C85)/$E85),-0.00001)</f>
        <v>-1.0000000000000001E-5</v>
      </c>
      <c r="O85" s="194">
        <f>IFERROR(IF($C85="",-0.00001,SUMIFS(Database!Q:Q,Database!$E:$E,$C85)/$E85),-0.00001)</f>
        <v>-1.0000000000000001E-5</v>
      </c>
      <c r="P85" s="186">
        <f t="shared" si="3"/>
        <v>-1.0000000000000001E-5</v>
      </c>
      <c r="Q85" s="194">
        <f>IFERROR(IF($C85="",-0.00001,SUMIFS(Database!S:S,Database!$E:$E,$C85)/$E85),-0.00001)</f>
        <v>-1.0000000000000001E-5</v>
      </c>
      <c r="R85" s="194">
        <f>IFERROR(IF($C85="",-0.00001,SUMIFS(Database!T:T,Database!$E:$E,$C85)/$E85),-0.00001)</f>
        <v>-1.0000000000000001E-5</v>
      </c>
      <c r="S85" s="186">
        <f t="shared" si="4"/>
        <v>-1.0000000000000001E-5</v>
      </c>
      <c r="T85" s="194">
        <f>IFERROR(IF($C85="",-0.00001,SUMIFS(Database!V:V,Database!$E:$E,$C85)/$E85),-0.00001)</f>
        <v>-1.0000000000000001E-5</v>
      </c>
      <c r="U85" s="194">
        <f>IFERROR(IF($C85="",-0.00001,SUMIFS(Database!W:W,Database!$E:$E,$C85)/$E85),-0.00001)</f>
        <v>-1.0000000000000001E-5</v>
      </c>
      <c r="V85" s="186">
        <f t="shared" si="5"/>
        <v>-1.0000000000000001E-5</v>
      </c>
      <c r="W85" s="187"/>
      <c r="X85" s="187"/>
      <c r="Y85" s="187"/>
      <c r="Z85" s="187"/>
      <c r="AA85" s="187"/>
      <c r="AB85" s="187"/>
      <c r="AC85" s="187"/>
      <c r="AD85" s="187"/>
      <c r="AE85" s="187"/>
    </row>
    <row r="86" spans="1:31" x14ac:dyDescent="0.25">
      <c r="A86" s="187"/>
      <c r="B86" s="187" t="str">
        <f>IF($C86="","",MAX($B$4:$B85)+1)</f>
        <v/>
      </c>
      <c r="C86" s="183"/>
      <c r="D86" s="183" t="str">
        <f>IFERROR(VLOOKUP($C86,Rosters!$C$4:$M$239,INDEX(Lists!$N$5:$O$80,MATCH($C86,Lists!$N$5:$N$80,FALSE),2)),"")</f>
        <v/>
      </c>
      <c r="E86" s="185">
        <f>IF($C86="",-0.00001,COUNTIF(Database!E:E,$C86))</f>
        <v>-1.0000000000000001E-5</v>
      </c>
      <c r="F86" s="194">
        <f>IFERROR(IF($C86="",-0.00001,SUMIFS(Database!H:H,Database!$E:$E,$C86)/$E86),-0.00001)</f>
        <v>-1.0000000000000001E-5</v>
      </c>
      <c r="G86" s="194">
        <f>IFERROR(IF($C86="",-0.00001,SUMIFS(Database!I:I,Database!$E:$E,$C86)/$E86),-0.00001)</f>
        <v>-1.0000000000000001E-5</v>
      </c>
      <c r="H86" s="194">
        <f>IFERROR(IF($C86="",-0.00001,SUMIFS(Database!J:J,Database!$E:$E,$C86)/$E86),-0.00001)</f>
        <v>-1.0000000000000001E-5</v>
      </c>
      <c r="I86" s="194">
        <f>IFERROR(IF($C86="",-0.00001,SUMIFS(Database!K:K,Database!$E:$E,$C86)/$E86),-0.00001)</f>
        <v>-1.0000000000000001E-5</v>
      </c>
      <c r="J86" s="194">
        <f>IFERROR(IF($C86="",-0.00001,SUMIFS(Database!L:L,Database!$E:$E,$C86)/$E86),-0.00001)</f>
        <v>-1.0000000000000001E-5</v>
      </c>
      <c r="K86" s="194">
        <f>IFERROR(IF($C86="",-0.00001,SUMIFS(Database!M:M,Database!$E:$E,$C86)/$E86),-0.00001)</f>
        <v>-1.0000000000000001E-5</v>
      </c>
      <c r="L86" s="194">
        <f>IFERROR(IF($C86="",-0.00001,SUMIFS(Database!N:N,Database!$E:$E,$C86)/$E86),-0.00001)</f>
        <v>-1.0000000000000001E-5</v>
      </c>
      <c r="M86" s="194">
        <f>IFERROR(IF($C86="",-0.00001,SUMIFS(Database!O:O,Database!$E:$E,$C86)/$E86),-0.00001)</f>
        <v>-1.0000000000000001E-5</v>
      </c>
      <c r="N86" s="194">
        <f>IFERROR(IF($C86="",-0.00001,SUMIFS(Database!P:P,Database!$E:$E,$C86)/$E86),-0.00001)</f>
        <v>-1.0000000000000001E-5</v>
      </c>
      <c r="O86" s="194">
        <f>IFERROR(IF($C86="",-0.00001,SUMIFS(Database!Q:Q,Database!$E:$E,$C86)/$E86),-0.00001)</f>
        <v>-1.0000000000000001E-5</v>
      </c>
      <c r="P86" s="186">
        <f t="shared" si="3"/>
        <v>-1.0000000000000001E-5</v>
      </c>
      <c r="Q86" s="194">
        <f>IFERROR(IF($C86="",-0.00001,SUMIFS(Database!S:S,Database!$E:$E,$C86)/$E86),-0.00001)</f>
        <v>-1.0000000000000001E-5</v>
      </c>
      <c r="R86" s="194">
        <f>IFERROR(IF($C86="",-0.00001,SUMIFS(Database!T:T,Database!$E:$E,$C86)/$E86),-0.00001)</f>
        <v>-1.0000000000000001E-5</v>
      </c>
      <c r="S86" s="186">
        <f t="shared" si="4"/>
        <v>-1.0000000000000001E-5</v>
      </c>
      <c r="T86" s="194">
        <f>IFERROR(IF($C86="",-0.00001,SUMIFS(Database!V:V,Database!$E:$E,$C86)/$E86),-0.00001)</f>
        <v>-1.0000000000000001E-5</v>
      </c>
      <c r="U86" s="194">
        <f>IFERROR(IF($C86="",-0.00001,SUMIFS(Database!W:W,Database!$E:$E,$C86)/$E86),-0.00001)</f>
        <v>-1.0000000000000001E-5</v>
      </c>
      <c r="V86" s="186">
        <f t="shared" si="5"/>
        <v>-1.0000000000000001E-5</v>
      </c>
      <c r="W86" s="187"/>
      <c r="X86" s="187"/>
      <c r="Y86" s="187"/>
      <c r="Z86" s="187"/>
      <c r="AA86" s="187"/>
      <c r="AB86" s="187"/>
      <c r="AC86" s="187"/>
      <c r="AD86" s="187"/>
      <c r="AE86" s="187"/>
    </row>
    <row r="87" spans="1:31" x14ac:dyDescent="0.25">
      <c r="A87" s="187"/>
      <c r="B87" s="187" t="str">
        <f>IF($C87="","",MAX($B$4:$B86)+1)</f>
        <v/>
      </c>
      <c r="C87" s="183"/>
      <c r="D87" s="183" t="str">
        <f>IFERROR(VLOOKUP($C87,Rosters!$C$4:$M$239,INDEX(Lists!$N$5:$O$80,MATCH($C87,Lists!$N$5:$N$80,FALSE),2)),"")</f>
        <v/>
      </c>
      <c r="E87" s="185">
        <f>IF($C87="",-0.00001,COUNTIF(Database!E:E,$C87))</f>
        <v>-1.0000000000000001E-5</v>
      </c>
      <c r="F87" s="194">
        <f>IFERROR(IF($C87="",-0.00001,SUMIFS(Database!H:H,Database!$E:$E,$C87)/$E87),-0.00001)</f>
        <v>-1.0000000000000001E-5</v>
      </c>
      <c r="G87" s="194">
        <f>IFERROR(IF($C87="",-0.00001,SUMIFS(Database!I:I,Database!$E:$E,$C87)/$E87),-0.00001)</f>
        <v>-1.0000000000000001E-5</v>
      </c>
      <c r="H87" s="194">
        <f>IFERROR(IF($C87="",-0.00001,SUMIFS(Database!J:J,Database!$E:$E,$C87)/$E87),-0.00001)</f>
        <v>-1.0000000000000001E-5</v>
      </c>
      <c r="I87" s="194">
        <f>IFERROR(IF($C87="",-0.00001,SUMIFS(Database!K:K,Database!$E:$E,$C87)/$E87),-0.00001)</f>
        <v>-1.0000000000000001E-5</v>
      </c>
      <c r="J87" s="194">
        <f>IFERROR(IF($C87="",-0.00001,SUMIFS(Database!L:L,Database!$E:$E,$C87)/$E87),-0.00001)</f>
        <v>-1.0000000000000001E-5</v>
      </c>
      <c r="K87" s="194">
        <f>IFERROR(IF($C87="",-0.00001,SUMIFS(Database!M:M,Database!$E:$E,$C87)/$E87),-0.00001)</f>
        <v>-1.0000000000000001E-5</v>
      </c>
      <c r="L87" s="194">
        <f>IFERROR(IF($C87="",-0.00001,SUMIFS(Database!N:N,Database!$E:$E,$C87)/$E87),-0.00001)</f>
        <v>-1.0000000000000001E-5</v>
      </c>
      <c r="M87" s="194">
        <f>IFERROR(IF($C87="",-0.00001,SUMIFS(Database!O:O,Database!$E:$E,$C87)/$E87),-0.00001)</f>
        <v>-1.0000000000000001E-5</v>
      </c>
      <c r="N87" s="194">
        <f>IFERROR(IF($C87="",-0.00001,SUMIFS(Database!P:P,Database!$E:$E,$C87)/$E87),-0.00001)</f>
        <v>-1.0000000000000001E-5</v>
      </c>
      <c r="O87" s="194">
        <f>IFERROR(IF($C87="",-0.00001,SUMIFS(Database!Q:Q,Database!$E:$E,$C87)/$E87),-0.00001)</f>
        <v>-1.0000000000000001E-5</v>
      </c>
      <c r="P87" s="186">
        <f t="shared" si="3"/>
        <v>-1.0000000000000001E-5</v>
      </c>
      <c r="Q87" s="194">
        <f>IFERROR(IF($C87="",-0.00001,SUMIFS(Database!S:S,Database!$E:$E,$C87)/$E87),-0.00001)</f>
        <v>-1.0000000000000001E-5</v>
      </c>
      <c r="R87" s="194">
        <f>IFERROR(IF($C87="",-0.00001,SUMIFS(Database!T:T,Database!$E:$E,$C87)/$E87),-0.00001)</f>
        <v>-1.0000000000000001E-5</v>
      </c>
      <c r="S87" s="186">
        <f t="shared" si="4"/>
        <v>-1.0000000000000001E-5</v>
      </c>
      <c r="T87" s="194">
        <f>IFERROR(IF($C87="",-0.00001,SUMIFS(Database!V:V,Database!$E:$E,$C87)/$E87),-0.00001)</f>
        <v>-1.0000000000000001E-5</v>
      </c>
      <c r="U87" s="194">
        <f>IFERROR(IF($C87="",-0.00001,SUMIFS(Database!W:W,Database!$E:$E,$C87)/$E87),-0.00001)</f>
        <v>-1.0000000000000001E-5</v>
      </c>
      <c r="V87" s="186">
        <f t="shared" si="5"/>
        <v>-1.0000000000000001E-5</v>
      </c>
      <c r="W87" s="187"/>
      <c r="X87" s="187"/>
      <c r="Y87" s="187"/>
      <c r="Z87" s="187"/>
      <c r="AA87" s="187"/>
      <c r="AB87" s="187"/>
      <c r="AC87" s="187"/>
      <c r="AD87" s="187"/>
      <c r="AE87" s="187"/>
    </row>
    <row r="88" spans="1:31" x14ac:dyDescent="0.25">
      <c r="A88" s="187"/>
      <c r="B88" s="187" t="str">
        <f>IF($C88="","",MAX($B$4:$B87)+1)</f>
        <v/>
      </c>
      <c r="C88" s="183"/>
      <c r="D88" s="183" t="str">
        <f>IFERROR(VLOOKUP($C88,Rosters!$C$4:$M$239,INDEX(Lists!$N$5:$O$80,MATCH($C88,Lists!$N$5:$N$80,FALSE),2)),"")</f>
        <v/>
      </c>
      <c r="E88" s="185">
        <f>IF($C88="",-0.00001,COUNTIF(Database!E:E,$C88))</f>
        <v>-1.0000000000000001E-5</v>
      </c>
      <c r="F88" s="194">
        <f>IFERROR(IF($C88="",-0.00001,SUMIFS(Database!H:H,Database!$E:$E,$C88)/$E88),-0.00001)</f>
        <v>-1.0000000000000001E-5</v>
      </c>
      <c r="G88" s="194">
        <f>IFERROR(IF($C88="",-0.00001,SUMIFS(Database!I:I,Database!$E:$E,$C88)/$E88),-0.00001)</f>
        <v>-1.0000000000000001E-5</v>
      </c>
      <c r="H88" s="194">
        <f>IFERROR(IF($C88="",-0.00001,SUMIFS(Database!J:J,Database!$E:$E,$C88)/$E88),-0.00001)</f>
        <v>-1.0000000000000001E-5</v>
      </c>
      <c r="I88" s="194">
        <f>IFERROR(IF($C88="",-0.00001,SUMIFS(Database!K:K,Database!$E:$E,$C88)/$E88),-0.00001)</f>
        <v>-1.0000000000000001E-5</v>
      </c>
      <c r="J88" s="194">
        <f>IFERROR(IF($C88="",-0.00001,SUMIFS(Database!L:L,Database!$E:$E,$C88)/$E88),-0.00001)</f>
        <v>-1.0000000000000001E-5</v>
      </c>
      <c r="K88" s="194">
        <f>IFERROR(IF($C88="",-0.00001,SUMIFS(Database!M:M,Database!$E:$E,$C88)/$E88),-0.00001)</f>
        <v>-1.0000000000000001E-5</v>
      </c>
      <c r="L88" s="194">
        <f>IFERROR(IF($C88="",-0.00001,SUMIFS(Database!N:N,Database!$E:$E,$C88)/$E88),-0.00001)</f>
        <v>-1.0000000000000001E-5</v>
      </c>
      <c r="M88" s="194">
        <f>IFERROR(IF($C88="",-0.00001,SUMIFS(Database!O:O,Database!$E:$E,$C88)/$E88),-0.00001)</f>
        <v>-1.0000000000000001E-5</v>
      </c>
      <c r="N88" s="194">
        <f>IFERROR(IF($C88="",-0.00001,SUMIFS(Database!P:P,Database!$E:$E,$C88)/$E88),-0.00001)</f>
        <v>-1.0000000000000001E-5</v>
      </c>
      <c r="O88" s="194">
        <f>IFERROR(IF($C88="",-0.00001,SUMIFS(Database!Q:Q,Database!$E:$E,$C88)/$E88),-0.00001)</f>
        <v>-1.0000000000000001E-5</v>
      </c>
      <c r="P88" s="186">
        <f t="shared" si="3"/>
        <v>-1.0000000000000001E-5</v>
      </c>
      <c r="Q88" s="194">
        <f>IFERROR(IF($C88="",-0.00001,SUMIFS(Database!S:S,Database!$E:$E,$C88)/$E88),-0.00001)</f>
        <v>-1.0000000000000001E-5</v>
      </c>
      <c r="R88" s="194">
        <f>IFERROR(IF($C88="",-0.00001,SUMIFS(Database!T:T,Database!$E:$E,$C88)/$E88),-0.00001)</f>
        <v>-1.0000000000000001E-5</v>
      </c>
      <c r="S88" s="186">
        <f t="shared" si="4"/>
        <v>-1.0000000000000001E-5</v>
      </c>
      <c r="T88" s="194">
        <f>IFERROR(IF($C88="",-0.00001,SUMIFS(Database!V:V,Database!$E:$E,$C88)/$E88),-0.00001)</f>
        <v>-1.0000000000000001E-5</v>
      </c>
      <c r="U88" s="194">
        <f>IFERROR(IF($C88="",-0.00001,SUMIFS(Database!W:W,Database!$E:$E,$C88)/$E88),-0.00001)</f>
        <v>-1.0000000000000001E-5</v>
      </c>
      <c r="V88" s="186">
        <f t="shared" si="5"/>
        <v>-1.0000000000000001E-5</v>
      </c>
      <c r="W88" s="187"/>
      <c r="X88" s="187"/>
      <c r="Y88" s="187"/>
      <c r="Z88" s="187"/>
      <c r="AA88" s="187"/>
      <c r="AB88" s="187"/>
      <c r="AC88" s="187"/>
      <c r="AD88" s="187"/>
      <c r="AE88" s="187"/>
    </row>
    <row r="89" spans="1:31" x14ac:dyDescent="0.25">
      <c r="A89" s="187"/>
      <c r="B89" s="187" t="str">
        <f>IF($C89="","",MAX($B$4:$B88)+1)</f>
        <v/>
      </c>
      <c r="C89" s="183"/>
      <c r="D89" s="183" t="str">
        <f>IFERROR(VLOOKUP($C89,Rosters!$C$4:$M$239,INDEX(Lists!$N$5:$O$80,MATCH($C89,Lists!$N$5:$N$80,FALSE),2)),"")</f>
        <v/>
      </c>
      <c r="E89" s="185">
        <f>IF($C89="",-0.00001,COUNTIF(Database!E:E,$C89))</f>
        <v>-1.0000000000000001E-5</v>
      </c>
      <c r="F89" s="194">
        <f>IFERROR(IF($C89="",-0.00001,SUMIFS(Database!H:H,Database!$E:$E,$C89)/$E89),-0.00001)</f>
        <v>-1.0000000000000001E-5</v>
      </c>
      <c r="G89" s="194">
        <f>IFERROR(IF($C89="",-0.00001,SUMIFS(Database!I:I,Database!$E:$E,$C89)/$E89),-0.00001)</f>
        <v>-1.0000000000000001E-5</v>
      </c>
      <c r="H89" s="194">
        <f>IFERROR(IF($C89="",-0.00001,SUMIFS(Database!J:J,Database!$E:$E,$C89)/$E89),-0.00001)</f>
        <v>-1.0000000000000001E-5</v>
      </c>
      <c r="I89" s="194">
        <f>IFERROR(IF($C89="",-0.00001,SUMIFS(Database!K:K,Database!$E:$E,$C89)/$E89),-0.00001)</f>
        <v>-1.0000000000000001E-5</v>
      </c>
      <c r="J89" s="194">
        <f>IFERROR(IF($C89="",-0.00001,SUMIFS(Database!L:L,Database!$E:$E,$C89)/$E89),-0.00001)</f>
        <v>-1.0000000000000001E-5</v>
      </c>
      <c r="K89" s="194">
        <f>IFERROR(IF($C89="",-0.00001,SUMIFS(Database!M:M,Database!$E:$E,$C89)/$E89),-0.00001)</f>
        <v>-1.0000000000000001E-5</v>
      </c>
      <c r="L89" s="194">
        <f>IFERROR(IF($C89="",-0.00001,SUMIFS(Database!N:N,Database!$E:$E,$C89)/$E89),-0.00001)</f>
        <v>-1.0000000000000001E-5</v>
      </c>
      <c r="M89" s="194">
        <f>IFERROR(IF($C89="",-0.00001,SUMIFS(Database!O:O,Database!$E:$E,$C89)/$E89),-0.00001)</f>
        <v>-1.0000000000000001E-5</v>
      </c>
      <c r="N89" s="194">
        <f>IFERROR(IF($C89="",-0.00001,SUMIFS(Database!P:P,Database!$E:$E,$C89)/$E89),-0.00001)</f>
        <v>-1.0000000000000001E-5</v>
      </c>
      <c r="O89" s="194">
        <f>IFERROR(IF($C89="",-0.00001,SUMIFS(Database!Q:Q,Database!$E:$E,$C89)/$E89),-0.00001)</f>
        <v>-1.0000000000000001E-5</v>
      </c>
      <c r="P89" s="186">
        <f t="shared" si="3"/>
        <v>-1.0000000000000001E-5</v>
      </c>
      <c r="Q89" s="194">
        <f>IFERROR(IF($C89="",-0.00001,SUMIFS(Database!S:S,Database!$E:$E,$C89)/$E89),-0.00001)</f>
        <v>-1.0000000000000001E-5</v>
      </c>
      <c r="R89" s="194">
        <f>IFERROR(IF($C89="",-0.00001,SUMIFS(Database!T:T,Database!$E:$E,$C89)/$E89),-0.00001)</f>
        <v>-1.0000000000000001E-5</v>
      </c>
      <c r="S89" s="186">
        <f t="shared" si="4"/>
        <v>-1.0000000000000001E-5</v>
      </c>
      <c r="T89" s="194">
        <f>IFERROR(IF($C89="",-0.00001,SUMIFS(Database!V:V,Database!$E:$E,$C89)/$E89),-0.00001)</f>
        <v>-1.0000000000000001E-5</v>
      </c>
      <c r="U89" s="194">
        <f>IFERROR(IF($C89="",-0.00001,SUMIFS(Database!W:W,Database!$E:$E,$C89)/$E89),-0.00001)</f>
        <v>-1.0000000000000001E-5</v>
      </c>
      <c r="V89" s="186">
        <f t="shared" si="5"/>
        <v>-1.0000000000000001E-5</v>
      </c>
      <c r="W89" s="187"/>
      <c r="X89" s="187"/>
      <c r="Y89" s="187"/>
      <c r="Z89" s="187"/>
      <c r="AA89" s="187"/>
      <c r="AB89" s="187"/>
      <c r="AC89" s="187"/>
      <c r="AD89" s="187"/>
      <c r="AE89" s="187"/>
    </row>
    <row r="90" spans="1:31" x14ac:dyDescent="0.25">
      <c r="A90" s="187"/>
      <c r="B90" s="187" t="str">
        <f>IF($C90="","",MAX($B$4:$B89)+1)</f>
        <v/>
      </c>
      <c r="C90" s="183"/>
      <c r="D90" s="183" t="str">
        <f>IFERROR(VLOOKUP($C90,Rosters!$C$4:$M$239,INDEX(Lists!$N$5:$O$80,MATCH($C90,Lists!$N$5:$N$80,FALSE),2)),"")</f>
        <v/>
      </c>
      <c r="E90" s="185">
        <f>IF($C90="",-0.00001,COUNTIF(Database!E:E,$C90))</f>
        <v>-1.0000000000000001E-5</v>
      </c>
      <c r="F90" s="194">
        <f>IFERROR(IF($C90="",-0.00001,SUMIFS(Database!H:H,Database!$E:$E,$C90)/$E90),-0.00001)</f>
        <v>-1.0000000000000001E-5</v>
      </c>
      <c r="G90" s="194">
        <f>IFERROR(IF($C90="",-0.00001,SUMIFS(Database!I:I,Database!$E:$E,$C90)/$E90),-0.00001)</f>
        <v>-1.0000000000000001E-5</v>
      </c>
      <c r="H90" s="194">
        <f>IFERROR(IF($C90="",-0.00001,SUMIFS(Database!J:J,Database!$E:$E,$C90)/$E90),-0.00001)</f>
        <v>-1.0000000000000001E-5</v>
      </c>
      <c r="I90" s="194">
        <f>IFERROR(IF($C90="",-0.00001,SUMIFS(Database!K:K,Database!$E:$E,$C90)/$E90),-0.00001)</f>
        <v>-1.0000000000000001E-5</v>
      </c>
      <c r="J90" s="194">
        <f>IFERROR(IF($C90="",-0.00001,SUMIFS(Database!L:L,Database!$E:$E,$C90)/$E90),-0.00001)</f>
        <v>-1.0000000000000001E-5</v>
      </c>
      <c r="K90" s="194">
        <f>IFERROR(IF($C90="",-0.00001,SUMIFS(Database!M:M,Database!$E:$E,$C90)/$E90),-0.00001)</f>
        <v>-1.0000000000000001E-5</v>
      </c>
      <c r="L90" s="194">
        <f>IFERROR(IF($C90="",-0.00001,SUMIFS(Database!N:N,Database!$E:$E,$C90)/$E90),-0.00001)</f>
        <v>-1.0000000000000001E-5</v>
      </c>
      <c r="M90" s="194">
        <f>IFERROR(IF($C90="",-0.00001,SUMIFS(Database!O:O,Database!$E:$E,$C90)/$E90),-0.00001)</f>
        <v>-1.0000000000000001E-5</v>
      </c>
      <c r="N90" s="194">
        <f>IFERROR(IF($C90="",-0.00001,SUMIFS(Database!P:P,Database!$E:$E,$C90)/$E90),-0.00001)</f>
        <v>-1.0000000000000001E-5</v>
      </c>
      <c r="O90" s="194">
        <f>IFERROR(IF($C90="",-0.00001,SUMIFS(Database!Q:Q,Database!$E:$E,$C90)/$E90),-0.00001)</f>
        <v>-1.0000000000000001E-5</v>
      </c>
      <c r="P90" s="186">
        <f t="shared" si="3"/>
        <v>-1.0000000000000001E-5</v>
      </c>
      <c r="Q90" s="194">
        <f>IFERROR(IF($C90="",-0.00001,SUMIFS(Database!S:S,Database!$E:$E,$C90)/$E90),-0.00001)</f>
        <v>-1.0000000000000001E-5</v>
      </c>
      <c r="R90" s="194">
        <f>IFERROR(IF($C90="",-0.00001,SUMIFS(Database!T:T,Database!$E:$E,$C90)/$E90),-0.00001)</f>
        <v>-1.0000000000000001E-5</v>
      </c>
      <c r="S90" s="186">
        <f t="shared" si="4"/>
        <v>-1.0000000000000001E-5</v>
      </c>
      <c r="T90" s="194">
        <f>IFERROR(IF($C90="",-0.00001,SUMIFS(Database!V:V,Database!$E:$E,$C90)/$E90),-0.00001)</f>
        <v>-1.0000000000000001E-5</v>
      </c>
      <c r="U90" s="194">
        <f>IFERROR(IF($C90="",-0.00001,SUMIFS(Database!W:W,Database!$E:$E,$C90)/$E90),-0.00001)</f>
        <v>-1.0000000000000001E-5</v>
      </c>
      <c r="V90" s="186">
        <f t="shared" si="5"/>
        <v>-1.0000000000000001E-5</v>
      </c>
      <c r="W90" s="187"/>
      <c r="X90" s="187"/>
      <c r="Y90" s="187"/>
      <c r="Z90" s="187"/>
      <c r="AA90" s="187"/>
      <c r="AB90" s="187"/>
      <c r="AC90" s="187"/>
      <c r="AD90" s="187"/>
      <c r="AE90" s="187"/>
    </row>
    <row r="91" spans="1:31" x14ac:dyDescent="0.25">
      <c r="A91" s="187"/>
      <c r="B91" s="187" t="str">
        <f>IF($C91="","",MAX($B$4:$B90)+1)</f>
        <v/>
      </c>
      <c r="C91" s="183"/>
      <c r="D91" s="183" t="str">
        <f>IFERROR(VLOOKUP($C91,Rosters!$C$4:$M$239,INDEX(Lists!$N$5:$O$80,MATCH($C91,Lists!$N$5:$N$80,FALSE),2)),"")</f>
        <v/>
      </c>
      <c r="E91" s="185">
        <f>IF($C91="",-0.00001,COUNTIF(Database!E:E,$C91))</f>
        <v>-1.0000000000000001E-5</v>
      </c>
      <c r="F91" s="194">
        <f>IFERROR(IF($C91="",-0.00001,SUMIFS(Database!H:H,Database!$E:$E,$C91)/$E91),-0.00001)</f>
        <v>-1.0000000000000001E-5</v>
      </c>
      <c r="G91" s="194">
        <f>IFERROR(IF($C91="",-0.00001,SUMIFS(Database!I:I,Database!$E:$E,$C91)/$E91),-0.00001)</f>
        <v>-1.0000000000000001E-5</v>
      </c>
      <c r="H91" s="194">
        <f>IFERROR(IF($C91="",-0.00001,SUMIFS(Database!J:J,Database!$E:$E,$C91)/$E91),-0.00001)</f>
        <v>-1.0000000000000001E-5</v>
      </c>
      <c r="I91" s="194">
        <f>IFERROR(IF($C91="",-0.00001,SUMIFS(Database!K:K,Database!$E:$E,$C91)/$E91),-0.00001)</f>
        <v>-1.0000000000000001E-5</v>
      </c>
      <c r="J91" s="194">
        <f>IFERROR(IF($C91="",-0.00001,SUMIFS(Database!L:L,Database!$E:$E,$C91)/$E91),-0.00001)</f>
        <v>-1.0000000000000001E-5</v>
      </c>
      <c r="K91" s="194">
        <f>IFERROR(IF($C91="",-0.00001,SUMIFS(Database!M:M,Database!$E:$E,$C91)/$E91),-0.00001)</f>
        <v>-1.0000000000000001E-5</v>
      </c>
      <c r="L91" s="194">
        <f>IFERROR(IF($C91="",-0.00001,SUMIFS(Database!N:N,Database!$E:$E,$C91)/$E91),-0.00001)</f>
        <v>-1.0000000000000001E-5</v>
      </c>
      <c r="M91" s="194">
        <f>IFERROR(IF($C91="",-0.00001,SUMIFS(Database!O:O,Database!$E:$E,$C91)/$E91),-0.00001)</f>
        <v>-1.0000000000000001E-5</v>
      </c>
      <c r="N91" s="194">
        <f>IFERROR(IF($C91="",-0.00001,SUMIFS(Database!P:P,Database!$E:$E,$C91)/$E91),-0.00001)</f>
        <v>-1.0000000000000001E-5</v>
      </c>
      <c r="O91" s="194">
        <f>IFERROR(IF($C91="",-0.00001,SUMIFS(Database!Q:Q,Database!$E:$E,$C91)/$E91),-0.00001)</f>
        <v>-1.0000000000000001E-5</v>
      </c>
      <c r="P91" s="186">
        <f t="shared" si="3"/>
        <v>-1.0000000000000001E-5</v>
      </c>
      <c r="Q91" s="194">
        <f>IFERROR(IF($C91="",-0.00001,SUMIFS(Database!S:S,Database!$E:$E,$C91)/$E91),-0.00001)</f>
        <v>-1.0000000000000001E-5</v>
      </c>
      <c r="R91" s="194">
        <f>IFERROR(IF($C91="",-0.00001,SUMIFS(Database!T:T,Database!$E:$E,$C91)/$E91),-0.00001)</f>
        <v>-1.0000000000000001E-5</v>
      </c>
      <c r="S91" s="186">
        <f t="shared" si="4"/>
        <v>-1.0000000000000001E-5</v>
      </c>
      <c r="T91" s="194">
        <f>IFERROR(IF($C91="",-0.00001,SUMIFS(Database!V:V,Database!$E:$E,$C91)/$E91),-0.00001)</f>
        <v>-1.0000000000000001E-5</v>
      </c>
      <c r="U91" s="194">
        <f>IFERROR(IF($C91="",-0.00001,SUMIFS(Database!W:W,Database!$E:$E,$C91)/$E91),-0.00001)</f>
        <v>-1.0000000000000001E-5</v>
      </c>
      <c r="V91" s="186">
        <f t="shared" si="5"/>
        <v>-1.0000000000000001E-5</v>
      </c>
      <c r="W91" s="187"/>
      <c r="X91" s="187"/>
      <c r="Y91" s="187"/>
      <c r="Z91" s="187"/>
      <c r="AA91" s="187"/>
      <c r="AB91" s="187"/>
      <c r="AC91" s="187"/>
      <c r="AD91" s="187"/>
      <c r="AE91" s="187"/>
    </row>
    <row r="92" spans="1:31" x14ac:dyDescent="0.25">
      <c r="A92" s="187"/>
      <c r="B92" s="187" t="str">
        <f>IF($C92="","",MAX($B$4:$B91)+1)</f>
        <v/>
      </c>
      <c r="C92" s="183"/>
      <c r="D92" s="183" t="str">
        <f>IFERROR(VLOOKUP($C92,Rosters!$C$4:$M$239,INDEX(Lists!$N$5:$O$80,MATCH($C92,Lists!$N$5:$N$80,FALSE),2)),"")</f>
        <v/>
      </c>
      <c r="E92" s="185">
        <f>IF($C92="",-0.00001,COUNTIF(Database!E:E,$C92))</f>
        <v>-1.0000000000000001E-5</v>
      </c>
      <c r="F92" s="194">
        <f>IFERROR(IF($C92="",-0.00001,SUMIFS(Database!H:H,Database!$E:$E,$C92)/$E92),-0.00001)</f>
        <v>-1.0000000000000001E-5</v>
      </c>
      <c r="G92" s="194">
        <f>IFERROR(IF($C92="",-0.00001,SUMIFS(Database!I:I,Database!$E:$E,$C92)/$E92),-0.00001)</f>
        <v>-1.0000000000000001E-5</v>
      </c>
      <c r="H92" s="194">
        <f>IFERROR(IF($C92="",-0.00001,SUMIFS(Database!J:J,Database!$E:$E,$C92)/$E92),-0.00001)</f>
        <v>-1.0000000000000001E-5</v>
      </c>
      <c r="I92" s="194">
        <f>IFERROR(IF($C92="",-0.00001,SUMIFS(Database!K:K,Database!$E:$E,$C92)/$E92),-0.00001)</f>
        <v>-1.0000000000000001E-5</v>
      </c>
      <c r="J92" s="194">
        <f>IFERROR(IF($C92="",-0.00001,SUMIFS(Database!L:L,Database!$E:$E,$C92)/$E92),-0.00001)</f>
        <v>-1.0000000000000001E-5</v>
      </c>
      <c r="K92" s="194">
        <f>IFERROR(IF($C92="",-0.00001,SUMIFS(Database!M:M,Database!$E:$E,$C92)/$E92),-0.00001)</f>
        <v>-1.0000000000000001E-5</v>
      </c>
      <c r="L92" s="194">
        <f>IFERROR(IF($C92="",-0.00001,SUMIFS(Database!N:N,Database!$E:$E,$C92)/$E92),-0.00001)</f>
        <v>-1.0000000000000001E-5</v>
      </c>
      <c r="M92" s="194">
        <f>IFERROR(IF($C92="",-0.00001,SUMIFS(Database!O:O,Database!$E:$E,$C92)/$E92),-0.00001)</f>
        <v>-1.0000000000000001E-5</v>
      </c>
      <c r="N92" s="194">
        <f>IFERROR(IF($C92="",-0.00001,SUMIFS(Database!P:P,Database!$E:$E,$C92)/$E92),-0.00001)</f>
        <v>-1.0000000000000001E-5</v>
      </c>
      <c r="O92" s="194">
        <f>IFERROR(IF($C92="",-0.00001,SUMIFS(Database!Q:Q,Database!$E:$E,$C92)/$E92),-0.00001)</f>
        <v>-1.0000000000000001E-5</v>
      </c>
      <c r="P92" s="186">
        <f t="shared" si="3"/>
        <v>-1.0000000000000001E-5</v>
      </c>
      <c r="Q92" s="194">
        <f>IFERROR(IF($C92="",-0.00001,SUMIFS(Database!S:S,Database!$E:$E,$C92)/$E92),-0.00001)</f>
        <v>-1.0000000000000001E-5</v>
      </c>
      <c r="R92" s="194">
        <f>IFERROR(IF($C92="",-0.00001,SUMIFS(Database!T:T,Database!$E:$E,$C92)/$E92),-0.00001)</f>
        <v>-1.0000000000000001E-5</v>
      </c>
      <c r="S92" s="186">
        <f t="shared" si="4"/>
        <v>-1.0000000000000001E-5</v>
      </c>
      <c r="T92" s="194">
        <f>IFERROR(IF($C92="",-0.00001,SUMIFS(Database!V:V,Database!$E:$E,$C92)/$E92),-0.00001)</f>
        <v>-1.0000000000000001E-5</v>
      </c>
      <c r="U92" s="194">
        <f>IFERROR(IF($C92="",-0.00001,SUMIFS(Database!W:W,Database!$E:$E,$C92)/$E92),-0.00001)</f>
        <v>-1.0000000000000001E-5</v>
      </c>
      <c r="V92" s="186">
        <f t="shared" si="5"/>
        <v>-1.0000000000000001E-5</v>
      </c>
      <c r="W92" s="187"/>
      <c r="X92" s="187"/>
      <c r="Y92" s="187"/>
      <c r="Z92" s="187"/>
      <c r="AA92" s="187"/>
      <c r="AB92" s="187"/>
      <c r="AC92" s="187"/>
      <c r="AD92" s="187"/>
      <c r="AE92" s="187"/>
    </row>
    <row r="93" spans="1:31" x14ac:dyDescent="0.25">
      <c r="A93" s="187"/>
      <c r="B93" s="187" t="str">
        <f>IF($C93="","",MAX($B$4:$B92)+1)</f>
        <v/>
      </c>
      <c r="C93" s="183"/>
      <c r="D93" s="183" t="str">
        <f>IFERROR(VLOOKUP($C93,Rosters!$C$4:$M$239,INDEX(Lists!$N$5:$O$80,MATCH($C93,Lists!$N$5:$N$80,FALSE),2)),"")</f>
        <v/>
      </c>
      <c r="E93" s="185">
        <f>IF($C93="",-0.00001,COUNTIF(Database!E:E,$C93))</f>
        <v>-1.0000000000000001E-5</v>
      </c>
      <c r="F93" s="194">
        <f>IFERROR(IF($C93="",-0.00001,SUMIFS(Database!H:H,Database!$E:$E,$C93)/$E93),-0.00001)</f>
        <v>-1.0000000000000001E-5</v>
      </c>
      <c r="G93" s="194">
        <f>IFERROR(IF($C93="",-0.00001,SUMIFS(Database!I:I,Database!$E:$E,$C93)/$E93),-0.00001)</f>
        <v>-1.0000000000000001E-5</v>
      </c>
      <c r="H93" s="194">
        <f>IFERROR(IF($C93="",-0.00001,SUMIFS(Database!J:J,Database!$E:$E,$C93)/$E93),-0.00001)</f>
        <v>-1.0000000000000001E-5</v>
      </c>
      <c r="I93" s="194">
        <f>IFERROR(IF($C93="",-0.00001,SUMIFS(Database!K:K,Database!$E:$E,$C93)/$E93),-0.00001)</f>
        <v>-1.0000000000000001E-5</v>
      </c>
      <c r="J93" s="194">
        <f>IFERROR(IF($C93="",-0.00001,SUMIFS(Database!L:L,Database!$E:$E,$C93)/$E93),-0.00001)</f>
        <v>-1.0000000000000001E-5</v>
      </c>
      <c r="K93" s="194">
        <f>IFERROR(IF($C93="",-0.00001,SUMIFS(Database!M:M,Database!$E:$E,$C93)/$E93),-0.00001)</f>
        <v>-1.0000000000000001E-5</v>
      </c>
      <c r="L93" s="194">
        <f>IFERROR(IF($C93="",-0.00001,SUMIFS(Database!N:N,Database!$E:$E,$C93)/$E93),-0.00001)</f>
        <v>-1.0000000000000001E-5</v>
      </c>
      <c r="M93" s="194">
        <f>IFERROR(IF($C93="",-0.00001,SUMIFS(Database!O:O,Database!$E:$E,$C93)/$E93),-0.00001)</f>
        <v>-1.0000000000000001E-5</v>
      </c>
      <c r="N93" s="194">
        <f>IFERROR(IF($C93="",-0.00001,SUMIFS(Database!P:P,Database!$E:$E,$C93)/$E93),-0.00001)</f>
        <v>-1.0000000000000001E-5</v>
      </c>
      <c r="O93" s="194">
        <f>IFERROR(IF($C93="",-0.00001,SUMIFS(Database!Q:Q,Database!$E:$E,$C93)/$E93),-0.00001)</f>
        <v>-1.0000000000000001E-5</v>
      </c>
      <c r="P93" s="186">
        <f t="shared" si="3"/>
        <v>-1.0000000000000001E-5</v>
      </c>
      <c r="Q93" s="194">
        <f>IFERROR(IF($C93="",-0.00001,SUMIFS(Database!S:S,Database!$E:$E,$C93)/$E93),-0.00001)</f>
        <v>-1.0000000000000001E-5</v>
      </c>
      <c r="R93" s="194">
        <f>IFERROR(IF($C93="",-0.00001,SUMIFS(Database!T:T,Database!$E:$E,$C93)/$E93),-0.00001)</f>
        <v>-1.0000000000000001E-5</v>
      </c>
      <c r="S93" s="186">
        <f t="shared" si="4"/>
        <v>-1.0000000000000001E-5</v>
      </c>
      <c r="T93" s="194">
        <f>IFERROR(IF($C93="",-0.00001,SUMIFS(Database!V:V,Database!$E:$E,$C93)/$E93),-0.00001)</f>
        <v>-1.0000000000000001E-5</v>
      </c>
      <c r="U93" s="194">
        <f>IFERROR(IF($C93="",-0.00001,SUMIFS(Database!W:W,Database!$E:$E,$C93)/$E93),-0.00001)</f>
        <v>-1.0000000000000001E-5</v>
      </c>
      <c r="V93" s="186">
        <f t="shared" si="5"/>
        <v>-1.0000000000000001E-5</v>
      </c>
      <c r="W93" s="187"/>
      <c r="X93" s="187"/>
      <c r="Y93" s="187"/>
      <c r="Z93" s="187"/>
      <c r="AA93" s="187"/>
      <c r="AB93" s="187"/>
      <c r="AC93" s="187"/>
      <c r="AD93" s="187"/>
      <c r="AE93" s="187"/>
    </row>
    <row r="94" spans="1:31" x14ac:dyDescent="0.25">
      <c r="A94" s="187"/>
      <c r="B94" s="187" t="str">
        <f>IF($C94="","",MAX($B$4:$B93)+1)</f>
        <v/>
      </c>
      <c r="C94" s="183"/>
      <c r="D94" s="183" t="str">
        <f>IFERROR(VLOOKUP($C94,Rosters!$C$4:$M$239,INDEX(Lists!$N$5:$O$80,MATCH($C94,Lists!$N$5:$N$80,FALSE),2)),"")</f>
        <v/>
      </c>
      <c r="E94" s="185">
        <f>IF($C94="",-0.00001,COUNTIF(Database!E:E,$C94))</f>
        <v>-1.0000000000000001E-5</v>
      </c>
      <c r="F94" s="194">
        <f>IFERROR(IF($C94="",-0.00001,SUMIFS(Database!H:H,Database!$E:$E,$C94)/$E94),-0.00001)</f>
        <v>-1.0000000000000001E-5</v>
      </c>
      <c r="G94" s="194">
        <f>IFERROR(IF($C94="",-0.00001,SUMIFS(Database!I:I,Database!$E:$E,$C94)/$E94),-0.00001)</f>
        <v>-1.0000000000000001E-5</v>
      </c>
      <c r="H94" s="194">
        <f>IFERROR(IF($C94="",-0.00001,SUMIFS(Database!J:J,Database!$E:$E,$C94)/$E94),-0.00001)</f>
        <v>-1.0000000000000001E-5</v>
      </c>
      <c r="I94" s="194">
        <f>IFERROR(IF($C94="",-0.00001,SUMIFS(Database!K:K,Database!$E:$E,$C94)/$E94),-0.00001)</f>
        <v>-1.0000000000000001E-5</v>
      </c>
      <c r="J94" s="194">
        <f>IFERROR(IF($C94="",-0.00001,SUMIFS(Database!L:L,Database!$E:$E,$C94)/$E94),-0.00001)</f>
        <v>-1.0000000000000001E-5</v>
      </c>
      <c r="K94" s="194">
        <f>IFERROR(IF($C94="",-0.00001,SUMIFS(Database!M:M,Database!$E:$E,$C94)/$E94),-0.00001)</f>
        <v>-1.0000000000000001E-5</v>
      </c>
      <c r="L94" s="194">
        <f>IFERROR(IF($C94="",-0.00001,SUMIFS(Database!N:N,Database!$E:$E,$C94)/$E94),-0.00001)</f>
        <v>-1.0000000000000001E-5</v>
      </c>
      <c r="M94" s="194">
        <f>IFERROR(IF($C94="",-0.00001,SUMIFS(Database!O:O,Database!$E:$E,$C94)/$E94),-0.00001)</f>
        <v>-1.0000000000000001E-5</v>
      </c>
      <c r="N94" s="194">
        <f>IFERROR(IF($C94="",-0.00001,SUMIFS(Database!P:P,Database!$E:$E,$C94)/$E94),-0.00001)</f>
        <v>-1.0000000000000001E-5</v>
      </c>
      <c r="O94" s="194">
        <f>IFERROR(IF($C94="",-0.00001,SUMIFS(Database!Q:Q,Database!$E:$E,$C94)/$E94),-0.00001)</f>
        <v>-1.0000000000000001E-5</v>
      </c>
      <c r="P94" s="186">
        <f t="shared" si="3"/>
        <v>-1.0000000000000001E-5</v>
      </c>
      <c r="Q94" s="194">
        <f>IFERROR(IF($C94="",-0.00001,SUMIFS(Database!S:S,Database!$E:$E,$C94)/$E94),-0.00001)</f>
        <v>-1.0000000000000001E-5</v>
      </c>
      <c r="R94" s="194">
        <f>IFERROR(IF($C94="",-0.00001,SUMIFS(Database!T:T,Database!$E:$E,$C94)/$E94),-0.00001)</f>
        <v>-1.0000000000000001E-5</v>
      </c>
      <c r="S94" s="186">
        <f t="shared" si="4"/>
        <v>-1.0000000000000001E-5</v>
      </c>
      <c r="T94" s="194">
        <f>IFERROR(IF($C94="",-0.00001,SUMIFS(Database!V:V,Database!$E:$E,$C94)/$E94),-0.00001)</f>
        <v>-1.0000000000000001E-5</v>
      </c>
      <c r="U94" s="194">
        <f>IFERROR(IF($C94="",-0.00001,SUMIFS(Database!W:W,Database!$E:$E,$C94)/$E94),-0.00001)</f>
        <v>-1.0000000000000001E-5</v>
      </c>
      <c r="V94" s="186">
        <f t="shared" si="5"/>
        <v>-1.0000000000000001E-5</v>
      </c>
      <c r="W94" s="187"/>
      <c r="X94" s="187"/>
      <c r="Y94" s="187"/>
      <c r="Z94" s="187"/>
      <c r="AA94" s="187"/>
      <c r="AB94" s="187"/>
      <c r="AC94" s="187"/>
      <c r="AD94" s="187"/>
      <c r="AE94" s="187"/>
    </row>
    <row r="95" spans="1:31" x14ac:dyDescent="0.25">
      <c r="A95" s="187"/>
      <c r="B95" s="187" t="str">
        <f>IF($C95="","",MAX($B$4:$B94)+1)</f>
        <v/>
      </c>
      <c r="C95" s="183"/>
      <c r="D95" s="183" t="str">
        <f>IFERROR(VLOOKUP($C95,Rosters!$C$4:$M$239,INDEX(Lists!$N$5:$O$80,MATCH($C95,Lists!$N$5:$N$80,FALSE),2)),"")</f>
        <v/>
      </c>
      <c r="E95" s="185">
        <f>IF($C95="",-0.00001,COUNTIF(Database!E:E,$C95))</f>
        <v>-1.0000000000000001E-5</v>
      </c>
      <c r="F95" s="194">
        <f>IFERROR(IF($C95="",-0.00001,SUMIFS(Database!H:H,Database!$E:$E,$C95)/$E95),-0.00001)</f>
        <v>-1.0000000000000001E-5</v>
      </c>
      <c r="G95" s="194">
        <f>IFERROR(IF($C95="",-0.00001,SUMIFS(Database!I:I,Database!$E:$E,$C95)/$E95),-0.00001)</f>
        <v>-1.0000000000000001E-5</v>
      </c>
      <c r="H95" s="194">
        <f>IFERROR(IF($C95="",-0.00001,SUMIFS(Database!J:J,Database!$E:$E,$C95)/$E95),-0.00001)</f>
        <v>-1.0000000000000001E-5</v>
      </c>
      <c r="I95" s="194">
        <f>IFERROR(IF($C95="",-0.00001,SUMIFS(Database!K:K,Database!$E:$E,$C95)/$E95),-0.00001)</f>
        <v>-1.0000000000000001E-5</v>
      </c>
      <c r="J95" s="194">
        <f>IFERROR(IF($C95="",-0.00001,SUMIFS(Database!L:L,Database!$E:$E,$C95)/$E95),-0.00001)</f>
        <v>-1.0000000000000001E-5</v>
      </c>
      <c r="K95" s="194">
        <f>IFERROR(IF($C95="",-0.00001,SUMIFS(Database!M:M,Database!$E:$E,$C95)/$E95),-0.00001)</f>
        <v>-1.0000000000000001E-5</v>
      </c>
      <c r="L95" s="194">
        <f>IFERROR(IF($C95="",-0.00001,SUMIFS(Database!N:N,Database!$E:$E,$C95)/$E95),-0.00001)</f>
        <v>-1.0000000000000001E-5</v>
      </c>
      <c r="M95" s="194">
        <f>IFERROR(IF($C95="",-0.00001,SUMIFS(Database!O:O,Database!$E:$E,$C95)/$E95),-0.00001)</f>
        <v>-1.0000000000000001E-5</v>
      </c>
      <c r="N95" s="194">
        <f>IFERROR(IF($C95="",-0.00001,SUMIFS(Database!P:P,Database!$E:$E,$C95)/$E95),-0.00001)</f>
        <v>-1.0000000000000001E-5</v>
      </c>
      <c r="O95" s="194">
        <f>IFERROR(IF($C95="",-0.00001,SUMIFS(Database!Q:Q,Database!$E:$E,$C95)/$E95),-0.00001)</f>
        <v>-1.0000000000000001E-5</v>
      </c>
      <c r="P95" s="186">
        <f t="shared" si="3"/>
        <v>-1.0000000000000001E-5</v>
      </c>
      <c r="Q95" s="194">
        <f>IFERROR(IF($C95="",-0.00001,SUMIFS(Database!S:S,Database!$E:$E,$C95)/$E95),-0.00001)</f>
        <v>-1.0000000000000001E-5</v>
      </c>
      <c r="R95" s="194">
        <f>IFERROR(IF($C95="",-0.00001,SUMIFS(Database!T:T,Database!$E:$E,$C95)/$E95),-0.00001)</f>
        <v>-1.0000000000000001E-5</v>
      </c>
      <c r="S95" s="186">
        <f t="shared" si="4"/>
        <v>-1.0000000000000001E-5</v>
      </c>
      <c r="T95" s="194">
        <f>IFERROR(IF($C95="",-0.00001,SUMIFS(Database!V:V,Database!$E:$E,$C95)/$E95),-0.00001)</f>
        <v>-1.0000000000000001E-5</v>
      </c>
      <c r="U95" s="194">
        <f>IFERROR(IF($C95="",-0.00001,SUMIFS(Database!W:W,Database!$E:$E,$C95)/$E95),-0.00001)</f>
        <v>-1.0000000000000001E-5</v>
      </c>
      <c r="V95" s="186">
        <f t="shared" si="5"/>
        <v>-1.0000000000000001E-5</v>
      </c>
      <c r="W95" s="187"/>
      <c r="X95" s="187"/>
      <c r="Y95" s="187"/>
      <c r="Z95" s="187"/>
      <c r="AA95" s="187"/>
      <c r="AB95" s="187"/>
      <c r="AC95" s="187"/>
      <c r="AD95" s="187"/>
      <c r="AE95" s="187"/>
    </row>
    <row r="96" spans="1:31" x14ac:dyDescent="0.25">
      <c r="A96" s="187"/>
      <c r="B96" s="187" t="str">
        <f>IF($C96="","",MAX($B$4:$B95)+1)</f>
        <v/>
      </c>
      <c r="C96" s="183"/>
      <c r="D96" s="183" t="str">
        <f>IFERROR(VLOOKUP($C96,Rosters!$C$4:$M$239,INDEX(Lists!$N$5:$O$80,MATCH($C96,Lists!$N$5:$N$80,FALSE),2)),"")</f>
        <v/>
      </c>
      <c r="E96" s="185">
        <f>IF($C96="",-0.00001,COUNTIF(Database!E:E,$C96))</f>
        <v>-1.0000000000000001E-5</v>
      </c>
      <c r="F96" s="194">
        <f>IFERROR(IF($C96="",-0.00001,SUMIFS(Database!H:H,Database!$E:$E,$C96)/$E96),-0.00001)</f>
        <v>-1.0000000000000001E-5</v>
      </c>
      <c r="G96" s="194">
        <f>IFERROR(IF($C96="",-0.00001,SUMIFS(Database!I:I,Database!$E:$E,$C96)/$E96),-0.00001)</f>
        <v>-1.0000000000000001E-5</v>
      </c>
      <c r="H96" s="194">
        <f>IFERROR(IF($C96="",-0.00001,SUMIFS(Database!J:J,Database!$E:$E,$C96)/$E96),-0.00001)</f>
        <v>-1.0000000000000001E-5</v>
      </c>
      <c r="I96" s="194">
        <f>IFERROR(IF($C96="",-0.00001,SUMIFS(Database!K:K,Database!$E:$E,$C96)/$E96),-0.00001)</f>
        <v>-1.0000000000000001E-5</v>
      </c>
      <c r="J96" s="194">
        <f>IFERROR(IF($C96="",-0.00001,SUMIFS(Database!L:L,Database!$E:$E,$C96)/$E96),-0.00001)</f>
        <v>-1.0000000000000001E-5</v>
      </c>
      <c r="K96" s="194">
        <f>IFERROR(IF($C96="",-0.00001,SUMIFS(Database!M:M,Database!$E:$E,$C96)/$E96),-0.00001)</f>
        <v>-1.0000000000000001E-5</v>
      </c>
      <c r="L96" s="194">
        <f>IFERROR(IF($C96="",-0.00001,SUMIFS(Database!N:N,Database!$E:$E,$C96)/$E96),-0.00001)</f>
        <v>-1.0000000000000001E-5</v>
      </c>
      <c r="M96" s="194">
        <f>IFERROR(IF($C96="",-0.00001,SUMIFS(Database!O:O,Database!$E:$E,$C96)/$E96),-0.00001)</f>
        <v>-1.0000000000000001E-5</v>
      </c>
      <c r="N96" s="194">
        <f>IFERROR(IF($C96="",-0.00001,SUMIFS(Database!P:P,Database!$E:$E,$C96)/$E96),-0.00001)</f>
        <v>-1.0000000000000001E-5</v>
      </c>
      <c r="O96" s="194">
        <f>IFERROR(IF($C96="",-0.00001,SUMIFS(Database!Q:Q,Database!$E:$E,$C96)/$E96),-0.00001)</f>
        <v>-1.0000000000000001E-5</v>
      </c>
      <c r="P96" s="186">
        <f t="shared" si="3"/>
        <v>-1.0000000000000001E-5</v>
      </c>
      <c r="Q96" s="194">
        <f>IFERROR(IF($C96="",-0.00001,SUMIFS(Database!S:S,Database!$E:$E,$C96)/$E96),-0.00001)</f>
        <v>-1.0000000000000001E-5</v>
      </c>
      <c r="R96" s="194">
        <f>IFERROR(IF($C96="",-0.00001,SUMIFS(Database!T:T,Database!$E:$E,$C96)/$E96),-0.00001)</f>
        <v>-1.0000000000000001E-5</v>
      </c>
      <c r="S96" s="186">
        <f t="shared" si="4"/>
        <v>-1.0000000000000001E-5</v>
      </c>
      <c r="T96" s="194">
        <f>IFERROR(IF($C96="",-0.00001,SUMIFS(Database!V:V,Database!$E:$E,$C96)/$E96),-0.00001)</f>
        <v>-1.0000000000000001E-5</v>
      </c>
      <c r="U96" s="194">
        <f>IFERROR(IF($C96="",-0.00001,SUMIFS(Database!W:W,Database!$E:$E,$C96)/$E96),-0.00001)</f>
        <v>-1.0000000000000001E-5</v>
      </c>
      <c r="V96" s="186">
        <f t="shared" si="5"/>
        <v>-1.0000000000000001E-5</v>
      </c>
      <c r="W96" s="187"/>
      <c r="X96" s="187"/>
      <c r="Y96" s="187"/>
      <c r="Z96" s="187"/>
      <c r="AA96" s="187"/>
      <c r="AB96" s="187"/>
      <c r="AC96" s="187"/>
      <c r="AD96" s="187"/>
      <c r="AE96" s="187"/>
    </row>
    <row r="97" spans="1:31" x14ac:dyDescent="0.25">
      <c r="A97" s="187"/>
      <c r="B97" s="187" t="str">
        <f>IF($C97="","",MAX($B$4:$B96)+1)</f>
        <v/>
      </c>
      <c r="C97" s="183"/>
      <c r="D97" s="183" t="str">
        <f>IFERROR(VLOOKUP($C97,Rosters!$C$4:$M$239,INDEX(Lists!$N$5:$O$80,MATCH($C97,Lists!$N$5:$N$80,FALSE),2)),"")</f>
        <v/>
      </c>
      <c r="E97" s="185">
        <f>IF($C97="",-0.00001,COUNTIF(Database!E:E,$C97))</f>
        <v>-1.0000000000000001E-5</v>
      </c>
      <c r="F97" s="194">
        <f>IFERROR(IF($C97="",-0.00001,SUMIFS(Database!H:H,Database!$E:$E,$C97)/$E97),-0.00001)</f>
        <v>-1.0000000000000001E-5</v>
      </c>
      <c r="G97" s="194">
        <f>IFERROR(IF($C97="",-0.00001,SUMIFS(Database!I:I,Database!$E:$E,$C97)/$E97),-0.00001)</f>
        <v>-1.0000000000000001E-5</v>
      </c>
      <c r="H97" s="194">
        <f>IFERROR(IF($C97="",-0.00001,SUMIFS(Database!J:J,Database!$E:$E,$C97)/$E97),-0.00001)</f>
        <v>-1.0000000000000001E-5</v>
      </c>
      <c r="I97" s="194">
        <f>IFERROR(IF($C97="",-0.00001,SUMIFS(Database!K:K,Database!$E:$E,$C97)/$E97),-0.00001)</f>
        <v>-1.0000000000000001E-5</v>
      </c>
      <c r="J97" s="194">
        <f>IFERROR(IF($C97="",-0.00001,SUMIFS(Database!L:L,Database!$E:$E,$C97)/$E97),-0.00001)</f>
        <v>-1.0000000000000001E-5</v>
      </c>
      <c r="K97" s="194">
        <f>IFERROR(IF($C97="",-0.00001,SUMIFS(Database!M:M,Database!$E:$E,$C97)/$E97),-0.00001)</f>
        <v>-1.0000000000000001E-5</v>
      </c>
      <c r="L97" s="194">
        <f>IFERROR(IF($C97="",-0.00001,SUMIFS(Database!N:N,Database!$E:$E,$C97)/$E97),-0.00001)</f>
        <v>-1.0000000000000001E-5</v>
      </c>
      <c r="M97" s="194">
        <f>IFERROR(IF($C97="",-0.00001,SUMIFS(Database!O:O,Database!$E:$E,$C97)/$E97),-0.00001)</f>
        <v>-1.0000000000000001E-5</v>
      </c>
      <c r="N97" s="194">
        <f>IFERROR(IF($C97="",-0.00001,SUMIFS(Database!P:P,Database!$E:$E,$C97)/$E97),-0.00001)</f>
        <v>-1.0000000000000001E-5</v>
      </c>
      <c r="O97" s="194">
        <f>IFERROR(IF($C97="",-0.00001,SUMIFS(Database!Q:Q,Database!$E:$E,$C97)/$E97),-0.00001)</f>
        <v>-1.0000000000000001E-5</v>
      </c>
      <c r="P97" s="186">
        <f t="shared" si="3"/>
        <v>-1.0000000000000001E-5</v>
      </c>
      <c r="Q97" s="194">
        <f>IFERROR(IF($C97="",-0.00001,SUMIFS(Database!S:S,Database!$E:$E,$C97)/$E97),-0.00001)</f>
        <v>-1.0000000000000001E-5</v>
      </c>
      <c r="R97" s="194">
        <f>IFERROR(IF($C97="",-0.00001,SUMIFS(Database!T:T,Database!$E:$E,$C97)/$E97),-0.00001)</f>
        <v>-1.0000000000000001E-5</v>
      </c>
      <c r="S97" s="186">
        <f t="shared" si="4"/>
        <v>-1.0000000000000001E-5</v>
      </c>
      <c r="T97" s="194">
        <f>IFERROR(IF($C97="",-0.00001,SUMIFS(Database!V:V,Database!$E:$E,$C97)/$E97),-0.00001)</f>
        <v>-1.0000000000000001E-5</v>
      </c>
      <c r="U97" s="194">
        <f>IFERROR(IF($C97="",-0.00001,SUMIFS(Database!W:W,Database!$E:$E,$C97)/$E97),-0.00001)</f>
        <v>-1.0000000000000001E-5</v>
      </c>
      <c r="V97" s="186">
        <f t="shared" si="5"/>
        <v>-1.0000000000000001E-5</v>
      </c>
      <c r="W97" s="187"/>
      <c r="X97" s="187"/>
      <c r="Y97" s="187"/>
      <c r="Z97" s="187"/>
      <c r="AA97" s="187"/>
      <c r="AB97" s="187"/>
      <c r="AC97" s="187"/>
      <c r="AD97" s="187"/>
      <c r="AE97" s="187"/>
    </row>
    <row r="98" spans="1:31" x14ac:dyDescent="0.25">
      <c r="A98" s="187"/>
      <c r="B98" s="187" t="str">
        <f>IF($C98="","",MAX($B$4:$B97)+1)</f>
        <v/>
      </c>
      <c r="C98" s="183"/>
      <c r="D98" s="183" t="str">
        <f>IFERROR(VLOOKUP($C98,Rosters!$C$4:$M$239,INDEX(Lists!$N$5:$O$80,MATCH($C98,Lists!$N$5:$N$80,FALSE),2)),"")</f>
        <v/>
      </c>
      <c r="E98" s="185">
        <f>IF($C98="",-0.00001,COUNTIF(Database!E:E,$C98))</f>
        <v>-1.0000000000000001E-5</v>
      </c>
      <c r="F98" s="194">
        <f>IFERROR(IF($C98="",-0.00001,SUMIFS(Database!H:H,Database!$E:$E,$C98)/$E98),-0.00001)</f>
        <v>-1.0000000000000001E-5</v>
      </c>
      <c r="G98" s="194">
        <f>IFERROR(IF($C98="",-0.00001,SUMIFS(Database!I:I,Database!$E:$E,$C98)/$E98),-0.00001)</f>
        <v>-1.0000000000000001E-5</v>
      </c>
      <c r="H98" s="194">
        <f>IFERROR(IF($C98="",-0.00001,SUMIFS(Database!J:J,Database!$E:$E,$C98)/$E98),-0.00001)</f>
        <v>-1.0000000000000001E-5</v>
      </c>
      <c r="I98" s="194">
        <f>IFERROR(IF($C98="",-0.00001,SUMIFS(Database!K:K,Database!$E:$E,$C98)/$E98),-0.00001)</f>
        <v>-1.0000000000000001E-5</v>
      </c>
      <c r="J98" s="194">
        <f>IFERROR(IF($C98="",-0.00001,SUMIFS(Database!L:L,Database!$E:$E,$C98)/$E98),-0.00001)</f>
        <v>-1.0000000000000001E-5</v>
      </c>
      <c r="K98" s="194">
        <f>IFERROR(IF($C98="",-0.00001,SUMIFS(Database!M:M,Database!$E:$E,$C98)/$E98),-0.00001)</f>
        <v>-1.0000000000000001E-5</v>
      </c>
      <c r="L98" s="194">
        <f>IFERROR(IF($C98="",-0.00001,SUMIFS(Database!N:N,Database!$E:$E,$C98)/$E98),-0.00001)</f>
        <v>-1.0000000000000001E-5</v>
      </c>
      <c r="M98" s="194">
        <f>IFERROR(IF($C98="",-0.00001,SUMIFS(Database!O:O,Database!$E:$E,$C98)/$E98),-0.00001)</f>
        <v>-1.0000000000000001E-5</v>
      </c>
      <c r="N98" s="194">
        <f>IFERROR(IF($C98="",-0.00001,SUMIFS(Database!P:P,Database!$E:$E,$C98)/$E98),-0.00001)</f>
        <v>-1.0000000000000001E-5</v>
      </c>
      <c r="O98" s="194">
        <f>IFERROR(IF($C98="",-0.00001,SUMIFS(Database!Q:Q,Database!$E:$E,$C98)/$E98),-0.00001)</f>
        <v>-1.0000000000000001E-5</v>
      </c>
      <c r="P98" s="186">
        <f t="shared" si="3"/>
        <v>-1.0000000000000001E-5</v>
      </c>
      <c r="Q98" s="194">
        <f>IFERROR(IF($C98="",-0.00001,SUMIFS(Database!S:S,Database!$E:$E,$C98)/$E98),-0.00001)</f>
        <v>-1.0000000000000001E-5</v>
      </c>
      <c r="R98" s="194">
        <f>IFERROR(IF($C98="",-0.00001,SUMIFS(Database!T:T,Database!$E:$E,$C98)/$E98),-0.00001)</f>
        <v>-1.0000000000000001E-5</v>
      </c>
      <c r="S98" s="186">
        <f t="shared" si="4"/>
        <v>-1.0000000000000001E-5</v>
      </c>
      <c r="T98" s="194">
        <f>IFERROR(IF($C98="",-0.00001,SUMIFS(Database!V:V,Database!$E:$E,$C98)/$E98),-0.00001)</f>
        <v>-1.0000000000000001E-5</v>
      </c>
      <c r="U98" s="194">
        <f>IFERROR(IF($C98="",-0.00001,SUMIFS(Database!W:W,Database!$E:$E,$C98)/$E98),-0.00001)</f>
        <v>-1.0000000000000001E-5</v>
      </c>
      <c r="V98" s="186">
        <f t="shared" si="5"/>
        <v>-1.0000000000000001E-5</v>
      </c>
      <c r="W98" s="187"/>
      <c r="X98" s="187"/>
      <c r="Y98" s="187"/>
      <c r="Z98" s="187"/>
      <c r="AA98" s="187"/>
      <c r="AB98" s="187"/>
      <c r="AC98" s="187"/>
      <c r="AD98" s="187"/>
      <c r="AE98" s="187"/>
    </row>
    <row r="99" spans="1:31" x14ac:dyDescent="0.25">
      <c r="A99" s="187"/>
      <c r="B99" s="187" t="str">
        <f>IF($C99="","",MAX($B$4:$B98)+1)</f>
        <v/>
      </c>
      <c r="C99" s="183"/>
      <c r="D99" s="183" t="str">
        <f>IFERROR(VLOOKUP($C99,Rosters!$C$4:$M$239,INDEX(Lists!$N$5:$O$80,MATCH($C99,Lists!$N$5:$N$80,FALSE),2)),"")</f>
        <v/>
      </c>
      <c r="E99" s="185">
        <f>IF($C99="",-0.00001,COUNTIF(Database!E:E,$C99))</f>
        <v>-1.0000000000000001E-5</v>
      </c>
      <c r="F99" s="194">
        <f>IFERROR(IF($C99="",-0.00001,SUMIFS(Database!H:H,Database!$E:$E,$C99)/$E99),-0.00001)</f>
        <v>-1.0000000000000001E-5</v>
      </c>
      <c r="G99" s="194">
        <f>IFERROR(IF($C99="",-0.00001,SUMIFS(Database!I:I,Database!$E:$E,$C99)/$E99),-0.00001)</f>
        <v>-1.0000000000000001E-5</v>
      </c>
      <c r="H99" s="194">
        <f>IFERROR(IF($C99="",-0.00001,SUMIFS(Database!J:J,Database!$E:$E,$C99)/$E99),-0.00001)</f>
        <v>-1.0000000000000001E-5</v>
      </c>
      <c r="I99" s="194">
        <f>IFERROR(IF($C99="",-0.00001,SUMIFS(Database!K:K,Database!$E:$E,$C99)/$E99),-0.00001)</f>
        <v>-1.0000000000000001E-5</v>
      </c>
      <c r="J99" s="194">
        <f>IFERROR(IF($C99="",-0.00001,SUMIFS(Database!L:L,Database!$E:$E,$C99)/$E99),-0.00001)</f>
        <v>-1.0000000000000001E-5</v>
      </c>
      <c r="K99" s="194">
        <f>IFERROR(IF($C99="",-0.00001,SUMIFS(Database!M:M,Database!$E:$E,$C99)/$E99),-0.00001)</f>
        <v>-1.0000000000000001E-5</v>
      </c>
      <c r="L99" s="194">
        <f>IFERROR(IF($C99="",-0.00001,SUMIFS(Database!N:N,Database!$E:$E,$C99)/$E99),-0.00001)</f>
        <v>-1.0000000000000001E-5</v>
      </c>
      <c r="M99" s="194">
        <f>IFERROR(IF($C99="",-0.00001,SUMIFS(Database!O:O,Database!$E:$E,$C99)/$E99),-0.00001)</f>
        <v>-1.0000000000000001E-5</v>
      </c>
      <c r="N99" s="194">
        <f>IFERROR(IF($C99="",-0.00001,SUMIFS(Database!P:P,Database!$E:$E,$C99)/$E99),-0.00001)</f>
        <v>-1.0000000000000001E-5</v>
      </c>
      <c r="O99" s="194">
        <f>IFERROR(IF($C99="",-0.00001,SUMIFS(Database!Q:Q,Database!$E:$E,$C99)/$E99),-0.00001)</f>
        <v>-1.0000000000000001E-5</v>
      </c>
      <c r="P99" s="186">
        <f t="shared" si="3"/>
        <v>-1.0000000000000001E-5</v>
      </c>
      <c r="Q99" s="194">
        <f>IFERROR(IF($C99="",-0.00001,SUMIFS(Database!S:S,Database!$E:$E,$C99)/$E99),-0.00001)</f>
        <v>-1.0000000000000001E-5</v>
      </c>
      <c r="R99" s="194">
        <f>IFERROR(IF($C99="",-0.00001,SUMIFS(Database!T:T,Database!$E:$E,$C99)/$E99),-0.00001)</f>
        <v>-1.0000000000000001E-5</v>
      </c>
      <c r="S99" s="186">
        <f t="shared" si="4"/>
        <v>-1.0000000000000001E-5</v>
      </c>
      <c r="T99" s="194">
        <f>IFERROR(IF($C99="",-0.00001,SUMIFS(Database!V:V,Database!$E:$E,$C99)/$E99),-0.00001)</f>
        <v>-1.0000000000000001E-5</v>
      </c>
      <c r="U99" s="194">
        <f>IFERROR(IF($C99="",-0.00001,SUMIFS(Database!W:W,Database!$E:$E,$C99)/$E99),-0.00001)</f>
        <v>-1.0000000000000001E-5</v>
      </c>
      <c r="V99" s="186">
        <f t="shared" si="5"/>
        <v>-1.0000000000000001E-5</v>
      </c>
      <c r="W99" s="187"/>
      <c r="X99" s="187"/>
      <c r="Y99" s="187"/>
      <c r="Z99" s="187"/>
      <c r="AA99" s="187"/>
      <c r="AB99" s="187"/>
      <c r="AC99" s="187"/>
      <c r="AD99" s="187"/>
      <c r="AE99" s="187"/>
    </row>
    <row r="100" spans="1:31" x14ac:dyDescent="0.25">
      <c r="A100" s="187"/>
      <c r="B100" s="187" t="str">
        <f>IF($C100="","",MAX($B$4:$B99)+1)</f>
        <v/>
      </c>
      <c r="C100" s="183"/>
      <c r="D100" s="183" t="str">
        <f>IFERROR(VLOOKUP($C100,Rosters!$C$4:$M$239,INDEX(Lists!$N$5:$O$80,MATCH($C100,Lists!$N$5:$N$80,FALSE),2)),"")</f>
        <v/>
      </c>
      <c r="E100" s="185">
        <f>IF($C100="",-0.00001,COUNTIF(Database!E:E,$C100))</f>
        <v>-1.0000000000000001E-5</v>
      </c>
      <c r="F100" s="194">
        <f>IFERROR(IF($C100="",-0.00001,SUMIFS(Database!H:H,Database!$E:$E,$C100)/$E100),-0.00001)</f>
        <v>-1.0000000000000001E-5</v>
      </c>
      <c r="G100" s="194">
        <f>IFERROR(IF($C100="",-0.00001,SUMIFS(Database!I:I,Database!$E:$E,$C100)/$E100),-0.00001)</f>
        <v>-1.0000000000000001E-5</v>
      </c>
      <c r="H100" s="194">
        <f>IFERROR(IF($C100="",-0.00001,SUMIFS(Database!J:J,Database!$E:$E,$C100)/$E100),-0.00001)</f>
        <v>-1.0000000000000001E-5</v>
      </c>
      <c r="I100" s="194">
        <f>IFERROR(IF($C100="",-0.00001,SUMIFS(Database!K:K,Database!$E:$E,$C100)/$E100),-0.00001)</f>
        <v>-1.0000000000000001E-5</v>
      </c>
      <c r="J100" s="194">
        <f>IFERROR(IF($C100="",-0.00001,SUMIFS(Database!L:L,Database!$E:$E,$C100)/$E100),-0.00001)</f>
        <v>-1.0000000000000001E-5</v>
      </c>
      <c r="K100" s="194">
        <f>IFERROR(IF($C100="",-0.00001,SUMIFS(Database!M:M,Database!$E:$E,$C100)/$E100),-0.00001)</f>
        <v>-1.0000000000000001E-5</v>
      </c>
      <c r="L100" s="194">
        <f>IFERROR(IF($C100="",-0.00001,SUMIFS(Database!N:N,Database!$E:$E,$C100)/$E100),-0.00001)</f>
        <v>-1.0000000000000001E-5</v>
      </c>
      <c r="M100" s="194">
        <f>IFERROR(IF($C100="",-0.00001,SUMIFS(Database!O:O,Database!$E:$E,$C100)/$E100),-0.00001)</f>
        <v>-1.0000000000000001E-5</v>
      </c>
      <c r="N100" s="194">
        <f>IFERROR(IF($C100="",-0.00001,SUMIFS(Database!P:P,Database!$E:$E,$C100)/$E100),-0.00001)</f>
        <v>-1.0000000000000001E-5</v>
      </c>
      <c r="O100" s="194">
        <f>IFERROR(IF($C100="",-0.00001,SUMIFS(Database!Q:Q,Database!$E:$E,$C100)/$E100),-0.00001)</f>
        <v>-1.0000000000000001E-5</v>
      </c>
      <c r="P100" s="186">
        <f t="shared" si="3"/>
        <v>-1.0000000000000001E-5</v>
      </c>
      <c r="Q100" s="194">
        <f>IFERROR(IF($C100="",-0.00001,SUMIFS(Database!S:S,Database!$E:$E,$C100)/$E100),-0.00001)</f>
        <v>-1.0000000000000001E-5</v>
      </c>
      <c r="R100" s="194">
        <f>IFERROR(IF($C100="",-0.00001,SUMIFS(Database!T:T,Database!$E:$E,$C100)/$E100),-0.00001)</f>
        <v>-1.0000000000000001E-5</v>
      </c>
      <c r="S100" s="186">
        <f t="shared" si="4"/>
        <v>-1.0000000000000001E-5</v>
      </c>
      <c r="T100" s="194">
        <f>IFERROR(IF($C100="",-0.00001,SUMIFS(Database!V:V,Database!$E:$E,$C100)/$E100),-0.00001)</f>
        <v>-1.0000000000000001E-5</v>
      </c>
      <c r="U100" s="194">
        <f>IFERROR(IF($C100="",-0.00001,SUMIFS(Database!W:W,Database!$E:$E,$C100)/$E100),-0.00001)</f>
        <v>-1.0000000000000001E-5</v>
      </c>
      <c r="V100" s="186">
        <f t="shared" si="5"/>
        <v>-1.0000000000000001E-5</v>
      </c>
      <c r="W100" s="187"/>
      <c r="X100" s="187"/>
      <c r="Y100" s="187"/>
      <c r="Z100" s="187"/>
      <c r="AA100" s="187"/>
      <c r="AB100" s="187"/>
      <c r="AC100" s="187"/>
      <c r="AD100" s="187"/>
      <c r="AE100" s="187"/>
    </row>
    <row r="101" spans="1:31" x14ac:dyDescent="0.25">
      <c r="A101" s="187"/>
      <c r="B101" s="187" t="str">
        <f>IF($C101="","",MAX($B$4:$B100)+1)</f>
        <v/>
      </c>
      <c r="C101" s="183"/>
      <c r="D101" s="183" t="str">
        <f>IFERROR(VLOOKUP($C101,Rosters!$C$4:$M$239,INDEX(Lists!$N$5:$O$80,MATCH($C101,Lists!$N$5:$N$80,FALSE),2)),"")</f>
        <v/>
      </c>
      <c r="E101" s="185">
        <f>IF($C101="",-0.00001,COUNTIF(Database!E:E,$C101))</f>
        <v>-1.0000000000000001E-5</v>
      </c>
      <c r="F101" s="194">
        <f>IFERROR(IF($C101="",-0.00001,SUMIFS(Database!H:H,Database!$E:$E,$C101)/$E101),-0.00001)</f>
        <v>-1.0000000000000001E-5</v>
      </c>
      <c r="G101" s="194">
        <f>IFERROR(IF($C101="",-0.00001,SUMIFS(Database!I:I,Database!$E:$E,$C101)/$E101),-0.00001)</f>
        <v>-1.0000000000000001E-5</v>
      </c>
      <c r="H101" s="194">
        <f>IFERROR(IF($C101="",-0.00001,SUMIFS(Database!J:J,Database!$E:$E,$C101)/$E101),-0.00001)</f>
        <v>-1.0000000000000001E-5</v>
      </c>
      <c r="I101" s="194">
        <f>IFERROR(IF($C101="",-0.00001,SUMIFS(Database!K:K,Database!$E:$E,$C101)/$E101),-0.00001)</f>
        <v>-1.0000000000000001E-5</v>
      </c>
      <c r="J101" s="194">
        <f>IFERROR(IF($C101="",-0.00001,SUMIFS(Database!L:L,Database!$E:$E,$C101)/$E101),-0.00001)</f>
        <v>-1.0000000000000001E-5</v>
      </c>
      <c r="K101" s="194">
        <f>IFERROR(IF($C101="",-0.00001,SUMIFS(Database!M:M,Database!$E:$E,$C101)/$E101),-0.00001)</f>
        <v>-1.0000000000000001E-5</v>
      </c>
      <c r="L101" s="194">
        <f>IFERROR(IF($C101="",-0.00001,SUMIFS(Database!N:N,Database!$E:$E,$C101)/$E101),-0.00001)</f>
        <v>-1.0000000000000001E-5</v>
      </c>
      <c r="M101" s="194">
        <f>IFERROR(IF($C101="",-0.00001,SUMIFS(Database!O:O,Database!$E:$E,$C101)/$E101),-0.00001)</f>
        <v>-1.0000000000000001E-5</v>
      </c>
      <c r="N101" s="194">
        <f>IFERROR(IF($C101="",-0.00001,SUMIFS(Database!P:P,Database!$E:$E,$C101)/$E101),-0.00001)</f>
        <v>-1.0000000000000001E-5</v>
      </c>
      <c r="O101" s="194">
        <f>IFERROR(IF($C101="",-0.00001,SUMIFS(Database!Q:Q,Database!$E:$E,$C101)/$E101),-0.00001)</f>
        <v>-1.0000000000000001E-5</v>
      </c>
      <c r="P101" s="186">
        <f t="shared" si="3"/>
        <v>-1.0000000000000001E-5</v>
      </c>
      <c r="Q101" s="194">
        <f>IFERROR(IF($C101="",-0.00001,SUMIFS(Database!S:S,Database!$E:$E,$C101)/$E101),-0.00001)</f>
        <v>-1.0000000000000001E-5</v>
      </c>
      <c r="R101" s="194">
        <f>IFERROR(IF($C101="",-0.00001,SUMIFS(Database!T:T,Database!$E:$E,$C101)/$E101),-0.00001)</f>
        <v>-1.0000000000000001E-5</v>
      </c>
      <c r="S101" s="186">
        <f t="shared" si="4"/>
        <v>-1.0000000000000001E-5</v>
      </c>
      <c r="T101" s="194">
        <f>IFERROR(IF($C101="",-0.00001,SUMIFS(Database!V:V,Database!$E:$E,$C101)/$E101),-0.00001)</f>
        <v>-1.0000000000000001E-5</v>
      </c>
      <c r="U101" s="194">
        <f>IFERROR(IF($C101="",-0.00001,SUMIFS(Database!W:W,Database!$E:$E,$C101)/$E101),-0.00001)</f>
        <v>-1.0000000000000001E-5</v>
      </c>
      <c r="V101" s="186">
        <f t="shared" si="5"/>
        <v>-1.0000000000000001E-5</v>
      </c>
      <c r="W101" s="187"/>
      <c r="X101" s="187"/>
      <c r="Y101" s="187"/>
      <c r="Z101" s="187"/>
      <c r="AA101" s="187"/>
      <c r="AB101" s="187"/>
      <c r="AC101" s="187"/>
      <c r="AD101" s="187"/>
      <c r="AE101" s="187"/>
    </row>
    <row r="102" spans="1:31" x14ac:dyDescent="0.25">
      <c r="A102" s="187"/>
      <c r="B102" s="187" t="str">
        <f>IF($C102="","",MAX($B$4:$B101)+1)</f>
        <v/>
      </c>
      <c r="C102" s="183"/>
      <c r="D102" s="183" t="str">
        <f>IFERROR(VLOOKUP($C102,Rosters!$C$4:$M$239,INDEX(Lists!$N$5:$O$80,MATCH($C102,Lists!$N$5:$N$80,FALSE),2)),"")</f>
        <v/>
      </c>
      <c r="E102" s="185">
        <f>IF($C102="",-0.00001,COUNTIF(Database!E:E,$C102))</f>
        <v>-1.0000000000000001E-5</v>
      </c>
      <c r="F102" s="194">
        <f>IFERROR(IF($C102="",-0.00001,SUMIFS(Database!H:H,Database!$E:$E,$C102)/$E102),-0.00001)</f>
        <v>-1.0000000000000001E-5</v>
      </c>
      <c r="G102" s="194">
        <f>IFERROR(IF($C102="",-0.00001,SUMIFS(Database!I:I,Database!$E:$E,$C102)/$E102),-0.00001)</f>
        <v>-1.0000000000000001E-5</v>
      </c>
      <c r="H102" s="194">
        <f>IFERROR(IF($C102="",-0.00001,SUMIFS(Database!J:J,Database!$E:$E,$C102)/$E102),-0.00001)</f>
        <v>-1.0000000000000001E-5</v>
      </c>
      <c r="I102" s="194">
        <f>IFERROR(IF($C102="",-0.00001,SUMIFS(Database!K:K,Database!$E:$E,$C102)/$E102),-0.00001)</f>
        <v>-1.0000000000000001E-5</v>
      </c>
      <c r="J102" s="194">
        <f>IFERROR(IF($C102="",-0.00001,SUMIFS(Database!L:L,Database!$E:$E,$C102)/$E102),-0.00001)</f>
        <v>-1.0000000000000001E-5</v>
      </c>
      <c r="K102" s="194">
        <f>IFERROR(IF($C102="",-0.00001,SUMIFS(Database!M:M,Database!$E:$E,$C102)/$E102),-0.00001)</f>
        <v>-1.0000000000000001E-5</v>
      </c>
      <c r="L102" s="194">
        <f>IFERROR(IF($C102="",-0.00001,SUMIFS(Database!N:N,Database!$E:$E,$C102)/$E102),-0.00001)</f>
        <v>-1.0000000000000001E-5</v>
      </c>
      <c r="M102" s="194">
        <f>IFERROR(IF($C102="",-0.00001,SUMIFS(Database!O:O,Database!$E:$E,$C102)/$E102),-0.00001)</f>
        <v>-1.0000000000000001E-5</v>
      </c>
      <c r="N102" s="194">
        <f>IFERROR(IF($C102="",-0.00001,SUMIFS(Database!P:P,Database!$E:$E,$C102)/$E102),-0.00001)</f>
        <v>-1.0000000000000001E-5</v>
      </c>
      <c r="O102" s="194">
        <f>IFERROR(IF($C102="",-0.00001,SUMIFS(Database!Q:Q,Database!$E:$E,$C102)/$E102),-0.00001)</f>
        <v>-1.0000000000000001E-5</v>
      </c>
      <c r="P102" s="186">
        <f t="shared" si="3"/>
        <v>-1.0000000000000001E-5</v>
      </c>
      <c r="Q102" s="194">
        <f>IFERROR(IF($C102="",-0.00001,SUMIFS(Database!S:S,Database!$E:$E,$C102)/$E102),-0.00001)</f>
        <v>-1.0000000000000001E-5</v>
      </c>
      <c r="R102" s="194">
        <f>IFERROR(IF($C102="",-0.00001,SUMIFS(Database!T:T,Database!$E:$E,$C102)/$E102),-0.00001)</f>
        <v>-1.0000000000000001E-5</v>
      </c>
      <c r="S102" s="186">
        <f t="shared" si="4"/>
        <v>-1.0000000000000001E-5</v>
      </c>
      <c r="T102" s="194">
        <f>IFERROR(IF($C102="",-0.00001,SUMIFS(Database!V:V,Database!$E:$E,$C102)/$E102),-0.00001)</f>
        <v>-1.0000000000000001E-5</v>
      </c>
      <c r="U102" s="194">
        <f>IFERROR(IF($C102="",-0.00001,SUMIFS(Database!W:W,Database!$E:$E,$C102)/$E102),-0.00001)</f>
        <v>-1.0000000000000001E-5</v>
      </c>
      <c r="V102" s="186">
        <f t="shared" si="5"/>
        <v>-1.0000000000000001E-5</v>
      </c>
      <c r="W102" s="187"/>
      <c r="X102" s="187"/>
      <c r="Y102" s="187"/>
      <c r="Z102" s="187"/>
      <c r="AA102" s="187"/>
      <c r="AB102" s="187"/>
      <c r="AC102" s="187"/>
      <c r="AD102" s="187"/>
      <c r="AE102" s="187"/>
    </row>
    <row r="103" spans="1:31" x14ac:dyDescent="0.25">
      <c r="A103" s="187"/>
      <c r="B103" s="187" t="str">
        <f>IF($C103="","",MAX($B$4:$B102)+1)</f>
        <v/>
      </c>
      <c r="C103" s="183"/>
      <c r="D103" s="183" t="str">
        <f>IFERROR(VLOOKUP($C103,Rosters!$C$4:$M$239,INDEX(Lists!$N$5:$O$80,MATCH($C103,Lists!$N$5:$N$80,FALSE),2)),"")</f>
        <v/>
      </c>
      <c r="E103" s="185">
        <f>IF($C103="",-0.00001,COUNTIF(Database!E:E,$C103))</f>
        <v>-1.0000000000000001E-5</v>
      </c>
      <c r="F103" s="194">
        <f>IFERROR(IF($C103="",-0.00001,SUMIFS(Database!H:H,Database!$E:$E,$C103)/$E103),-0.00001)</f>
        <v>-1.0000000000000001E-5</v>
      </c>
      <c r="G103" s="194">
        <f>IFERROR(IF($C103="",-0.00001,SUMIFS(Database!I:I,Database!$E:$E,$C103)/$E103),-0.00001)</f>
        <v>-1.0000000000000001E-5</v>
      </c>
      <c r="H103" s="194">
        <f>IFERROR(IF($C103="",-0.00001,SUMIFS(Database!J:J,Database!$E:$E,$C103)/$E103),-0.00001)</f>
        <v>-1.0000000000000001E-5</v>
      </c>
      <c r="I103" s="194">
        <f>IFERROR(IF($C103="",-0.00001,SUMIFS(Database!K:K,Database!$E:$E,$C103)/$E103),-0.00001)</f>
        <v>-1.0000000000000001E-5</v>
      </c>
      <c r="J103" s="194">
        <f>IFERROR(IF($C103="",-0.00001,SUMIFS(Database!L:L,Database!$E:$E,$C103)/$E103),-0.00001)</f>
        <v>-1.0000000000000001E-5</v>
      </c>
      <c r="K103" s="194">
        <f>IFERROR(IF($C103="",-0.00001,SUMIFS(Database!M:M,Database!$E:$E,$C103)/$E103),-0.00001)</f>
        <v>-1.0000000000000001E-5</v>
      </c>
      <c r="L103" s="194">
        <f>IFERROR(IF($C103="",-0.00001,SUMIFS(Database!N:N,Database!$E:$E,$C103)/$E103),-0.00001)</f>
        <v>-1.0000000000000001E-5</v>
      </c>
      <c r="M103" s="194">
        <f>IFERROR(IF($C103="",-0.00001,SUMIFS(Database!O:O,Database!$E:$E,$C103)/$E103),-0.00001)</f>
        <v>-1.0000000000000001E-5</v>
      </c>
      <c r="N103" s="194">
        <f>IFERROR(IF($C103="",-0.00001,SUMIFS(Database!P:P,Database!$E:$E,$C103)/$E103),-0.00001)</f>
        <v>-1.0000000000000001E-5</v>
      </c>
      <c r="O103" s="194">
        <f>IFERROR(IF($C103="",-0.00001,SUMIFS(Database!Q:Q,Database!$E:$E,$C103)/$E103),-0.00001)</f>
        <v>-1.0000000000000001E-5</v>
      </c>
      <c r="P103" s="186">
        <f t="shared" si="3"/>
        <v>-1.0000000000000001E-5</v>
      </c>
      <c r="Q103" s="194">
        <f>IFERROR(IF($C103="",-0.00001,SUMIFS(Database!S:S,Database!$E:$E,$C103)/$E103),-0.00001)</f>
        <v>-1.0000000000000001E-5</v>
      </c>
      <c r="R103" s="194">
        <f>IFERROR(IF($C103="",-0.00001,SUMIFS(Database!T:T,Database!$E:$E,$C103)/$E103),-0.00001)</f>
        <v>-1.0000000000000001E-5</v>
      </c>
      <c r="S103" s="186">
        <f t="shared" si="4"/>
        <v>-1.0000000000000001E-5</v>
      </c>
      <c r="T103" s="194">
        <f>IFERROR(IF($C103="",-0.00001,SUMIFS(Database!V:V,Database!$E:$E,$C103)/$E103),-0.00001)</f>
        <v>-1.0000000000000001E-5</v>
      </c>
      <c r="U103" s="194">
        <f>IFERROR(IF($C103="",-0.00001,SUMIFS(Database!W:W,Database!$E:$E,$C103)/$E103),-0.00001)</f>
        <v>-1.0000000000000001E-5</v>
      </c>
      <c r="V103" s="186">
        <f t="shared" si="5"/>
        <v>-1.0000000000000001E-5</v>
      </c>
      <c r="W103" s="187"/>
      <c r="X103" s="187"/>
      <c r="Y103" s="187"/>
      <c r="Z103" s="187"/>
      <c r="AA103" s="187"/>
      <c r="AB103" s="187"/>
      <c r="AC103" s="187"/>
      <c r="AD103" s="187"/>
      <c r="AE103" s="187"/>
    </row>
    <row r="104" spans="1:31" x14ac:dyDescent="0.25">
      <c r="A104" s="187"/>
      <c r="B104" s="187" t="str">
        <f>IF($C104="","",MAX($B$4:$B103)+1)</f>
        <v/>
      </c>
      <c r="C104" s="183"/>
      <c r="D104" s="183" t="str">
        <f>IFERROR(VLOOKUP($C104,Rosters!$C$4:$M$239,INDEX(Lists!$N$5:$O$80,MATCH($C104,Lists!$N$5:$N$80,FALSE),2)),"")</f>
        <v/>
      </c>
      <c r="E104" s="185">
        <f>IF($C104="",-0.00001,COUNTIF(Database!E:E,$C104))</f>
        <v>-1.0000000000000001E-5</v>
      </c>
      <c r="F104" s="194">
        <f>IFERROR(IF($C104="",-0.00001,SUMIFS(Database!H:H,Database!$E:$E,$C104)/$E104),-0.00001)</f>
        <v>-1.0000000000000001E-5</v>
      </c>
      <c r="G104" s="194">
        <f>IFERROR(IF($C104="",-0.00001,SUMIFS(Database!I:I,Database!$E:$E,$C104)/$E104),-0.00001)</f>
        <v>-1.0000000000000001E-5</v>
      </c>
      <c r="H104" s="194">
        <f>IFERROR(IF($C104="",-0.00001,SUMIFS(Database!J:J,Database!$E:$E,$C104)/$E104),-0.00001)</f>
        <v>-1.0000000000000001E-5</v>
      </c>
      <c r="I104" s="194">
        <f>IFERROR(IF($C104="",-0.00001,SUMIFS(Database!K:K,Database!$E:$E,$C104)/$E104),-0.00001)</f>
        <v>-1.0000000000000001E-5</v>
      </c>
      <c r="J104" s="194">
        <f>IFERROR(IF($C104="",-0.00001,SUMIFS(Database!L:L,Database!$E:$E,$C104)/$E104),-0.00001)</f>
        <v>-1.0000000000000001E-5</v>
      </c>
      <c r="K104" s="194">
        <f>IFERROR(IF($C104="",-0.00001,SUMIFS(Database!M:M,Database!$E:$E,$C104)/$E104),-0.00001)</f>
        <v>-1.0000000000000001E-5</v>
      </c>
      <c r="L104" s="194">
        <f>IFERROR(IF($C104="",-0.00001,SUMIFS(Database!N:N,Database!$E:$E,$C104)/$E104),-0.00001)</f>
        <v>-1.0000000000000001E-5</v>
      </c>
      <c r="M104" s="194">
        <f>IFERROR(IF($C104="",-0.00001,SUMIFS(Database!O:O,Database!$E:$E,$C104)/$E104),-0.00001)</f>
        <v>-1.0000000000000001E-5</v>
      </c>
      <c r="N104" s="194">
        <f>IFERROR(IF($C104="",-0.00001,SUMIFS(Database!P:P,Database!$E:$E,$C104)/$E104),-0.00001)</f>
        <v>-1.0000000000000001E-5</v>
      </c>
      <c r="O104" s="194">
        <f>IFERROR(IF($C104="",-0.00001,SUMIFS(Database!Q:Q,Database!$E:$E,$C104)/$E104),-0.00001)</f>
        <v>-1.0000000000000001E-5</v>
      </c>
      <c r="P104" s="186">
        <f t="shared" si="3"/>
        <v>-1.0000000000000001E-5</v>
      </c>
      <c r="Q104" s="194">
        <f>IFERROR(IF($C104="",-0.00001,SUMIFS(Database!S:S,Database!$E:$E,$C104)/$E104),-0.00001)</f>
        <v>-1.0000000000000001E-5</v>
      </c>
      <c r="R104" s="194">
        <f>IFERROR(IF($C104="",-0.00001,SUMIFS(Database!T:T,Database!$E:$E,$C104)/$E104),-0.00001)</f>
        <v>-1.0000000000000001E-5</v>
      </c>
      <c r="S104" s="186">
        <f t="shared" si="4"/>
        <v>-1.0000000000000001E-5</v>
      </c>
      <c r="T104" s="194">
        <f>IFERROR(IF($C104="",-0.00001,SUMIFS(Database!V:V,Database!$E:$E,$C104)/$E104),-0.00001)</f>
        <v>-1.0000000000000001E-5</v>
      </c>
      <c r="U104" s="194">
        <f>IFERROR(IF($C104="",-0.00001,SUMIFS(Database!W:W,Database!$E:$E,$C104)/$E104),-0.00001)</f>
        <v>-1.0000000000000001E-5</v>
      </c>
      <c r="V104" s="186">
        <f t="shared" si="5"/>
        <v>-1.0000000000000001E-5</v>
      </c>
      <c r="W104" s="187"/>
      <c r="X104" s="187"/>
      <c r="Y104" s="187"/>
      <c r="Z104" s="187"/>
      <c r="AA104" s="187"/>
      <c r="AB104" s="187"/>
      <c r="AC104" s="187"/>
      <c r="AD104" s="187"/>
      <c r="AE104" s="187"/>
    </row>
    <row r="105" spans="1:31" x14ac:dyDescent="0.25">
      <c r="A105" s="187"/>
      <c r="B105" s="187" t="str">
        <f>IF($C105="","",MAX($B$4:$B104)+1)</f>
        <v/>
      </c>
      <c r="C105" s="183"/>
      <c r="D105" s="183" t="str">
        <f>IFERROR(VLOOKUP($C105,Rosters!$C$4:$M$239,INDEX(Lists!$N$5:$O$80,MATCH($C105,Lists!$N$5:$N$80,FALSE),2)),"")</f>
        <v/>
      </c>
      <c r="E105" s="185">
        <f>IF($C105="",-0.00001,COUNTIF(Database!E:E,$C105))</f>
        <v>-1.0000000000000001E-5</v>
      </c>
      <c r="F105" s="194">
        <f>IFERROR(IF($C105="",-0.00001,SUMIFS(Database!H:H,Database!$E:$E,$C105)/$E105),-0.00001)</f>
        <v>-1.0000000000000001E-5</v>
      </c>
      <c r="G105" s="194">
        <f>IFERROR(IF($C105="",-0.00001,SUMIFS(Database!I:I,Database!$E:$E,$C105)/$E105),-0.00001)</f>
        <v>-1.0000000000000001E-5</v>
      </c>
      <c r="H105" s="194">
        <f>IFERROR(IF($C105="",-0.00001,SUMIFS(Database!J:J,Database!$E:$E,$C105)/$E105),-0.00001)</f>
        <v>-1.0000000000000001E-5</v>
      </c>
      <c r="I105" s="194">
        <f>IFERROR(IF($C105="",-0.00001,SUMIFS(Database!K:K,Database!$E:$E,$C105)/$E105),-0.00001)</f>
        <v>-1.0000000000000001E-5</v>
      </c>
      <c r="J105" s="194">
        <f>IFERROR(IF($C105="",-0.00001,SUMIFS(Database!L:L,Database!$E:$E,$C105)/$E105),-0.00001)</f>
        <v>-1.0000000000000001E-5</v>
      </c>
      <c r="K105" s="194">
        <f>IFERROR(IF($C105="",-0.00001,SUMIFS(Database!M:M,Database!$E:$E,$C105)/$E105),-0.00001)</f>
        <v>-1.0000000000000001E-5</v>
      </c>
      <c r="L105" s="194">
        <f>IFERROR(IF($C105="",-0.00001,SUMIFS(Database!N:N,Database!$E:$E,$C105)/$E105),-0.00001)</f>
        <v>-1.0000000000000001E-5</v>
      </c>
      <c r="M105" s="194">
        <f>IFERROR(IF($C105="",-0.00001,SUMIFS(Database!O:O,Database!$E:$E,$C105)/$E105),-0.00001)</f>
        <v>-1.0000000000000001E-5</v>
      </c>
      <c r="N105" s="194">
        <f>IFERROR(IF($C105="",-0.00001,SUMIFS(Database!P:P,Database!$E:$E,$C105)/$E105),-0.00001)</f>
        <v>-1.0000000000000001E-5</v>
      </c>
      <c r="O105" s="194">
        <f>IFERROR(IF($C105="",-0.00001,SUMIFS(Database!Q:Q,Database!$E:$E,$C105)/$E105),-0.00001)</f>
        <v>-1.0000000000000001E-5</v>
      </c>
      <c r="P105" s="186">
        <f t="shared" si="3"/>
        <v>-1.0000000000000001E-5</v>
      </c>
      <c r="Q105" s="194">
        <f>IFERROR(IF($C105="",-0.00001,SUMIFS(Database!S:S,Database!$E:$E,$C105)/$E105),-0.00001)</f>
        <v>-1.0000000000000001E-5</v>
      </c>
      <c r="R105" s="194">
        <f>IFERROR(IF($C105="",-0.00001,SUMIFS(Database!T:T,Database!$E:$E,$C105)/$E105),-0.00001)</f>
        <v>-1.0000000000000001E-5</v>
      </c>
      <c r="S105" s="186">
        <f t="shared" si="4"/>
        <v>-1.0000000000000001E-5</v>
      </c>
      <c r="T105" s="194">
        <f>IFERROR(IF($C105="",-0.00001,SUMIFS(Database!V:V,Database!$E:$E,$C105)/$E105),-0.00001)</f>
        <v>-1.0000000000000001E-5</v>
      </c>
      <c r="U105" s="194">
        <f>IFERROR(IF($C105="",-0.00001,SUMIFS(Database!W:W,Database!$E:$E,$C105)/$E105),-0.00001)</f>
        <v>-1.0000000000000001E-5</v>
      </c>
      <c r="V105" s="186">
        <f t="shared" si="5"/>
        <v>-1.0000000000000001E-5</v>
      </c>
      <c r="W105" s="187"/>
      <c r="X105" s="187"/>
      <c r="Y105" s="187"/>
      <c r="Z105" s="187"/>
      <c r="AA105" s="187"/>
      <c r="AB105" s="187"/>
      <c r="AC105" s="187"/>
      <c r="AD105" s="187"/>
      <c r="AE105" s="187"/>
    </row>
    <row r="106" spans="1:31" x14ac:dyDescent="0.25">
      <c r="A106" s="187"/>
      <c r="B106" s="187" t="str">
        <f>IF($C106="","",MAX($B$4:$B105)+1)</f>
        <v/>
      </c>
      <c r="C106" s="183"/>
      <c r="D106" s="183" t="str">
        <f>IFERROR(VLOOKUP($C106,Rosters!$C$4:$M$239,INDEX(Lists!$N$5:$O$80,MATCH($C106,Lists!$N$5:$N$80,FALSE),2)),"")</f>
        <v/>
      </c>
      <c r="E106" s="185">
        <f>IF($C106="",-0.00001,COUNTIF(Database!E:E,$C106))</f>
        <v>-1.0000000000000001E-5</v>
      </c>
      <c r="F106" s="194">
        <f>IFERROR(IF($C106="",-0.00001,SUMIFS(Database!H:H,Database!$E:$E,$C106)/$E106),-0.00001)</f>
        <v>-1.0000000000000001E-5</v>
      </c>
      <c r="G106" s="194">
        <f>IFERROR(IF($C106="",-0.00001,SUMIFS(Database!I:I,Database!$E:$E,$C106)/$E106),-0.00001)</f>
        <v>-1.0000000000000001E-5</v>
      </c>
      <c r="H106" s="194">
        <f>IFERROR(IF($C106="",-0.00001,SUMIFS(Database!J:J,Database!$E:$E,$C106)/$E106),-0.00001)</f>
        <v>-1.0000000000000001E-5</v>
      </c>
      <c r="I106" s="194">
        <f>IFERROR(IF($C106="",-0.00001,SUMIFS(Database!K:K,Database!$E:$E,$C106)/$E106),-0.00001)</f>
        <v>-1.0000000000000001E-5</v>
      </c>
      <c r="J106" s="194">
        <f>IFERROR(IF($C106="",-0.00001,SUMIFS(Database!L:L,Database!$E:$E,$C106)/$E106),-0.00001)</f>
        <v>-1.0000000000000001E-5</v>
      </c>
      <c r="K106" s="194">
        <f>IFERROR(IF($C106="",-0.00001,SUMIFS(Database!M:M,Database!$E:$E,$C106)/$E106),-0.00001)</f>
        <v>-1.0000000000000001E-5</v>
      </c>
      <c r="L106" s="194">
        <f>IFERROR(IF($C106="",-0.00001,SUMIFS(Database!N:N,Database!$E:$E,$C106)/$E106),-0.00001)</f>
        <v>-1.0000000000000001E-5</v>
      </c>
      <c r="M106" s="194">
        <f>IFERROR(IF($C106="",-0.00001,SUMIFS(Database!O:O,Database!$E:$E,$C106)/$E106),-0.00001)</f>
        <v>-1.0000000000000001E-5</v>
      </c>
      <c r="N106" s="194">
        <f>IFERROR(IF($C106="",-0.00001,SUMIFS(Database!P:P,Database!$E:$E,$C106)/$E106),-0.00001)</f>
        <v>-1.0000000000000001E-5</v>
      </c>
      <c r="O106" s="194">
        <f>IFERROR(IF($C106="",-0.00001,SUMIFS(Database!Q:Q,Database!$E:$E,$C106)/$E106),-0.00001)</f>
        <v>-1.0000000000000001E-5</v>
      </c>
      <c r="P106" s="186">
        <f t="shared" si="3"/>
        <v>-1.0000000000000001E-5</v>
      </c>
      <c r="Q106" s="194">
        <f>IFERROR(IF($C106="",-0.00001,SUMIFS(Database!S:S,Database!$E:$E,$C106)/$E106),-0.00001)</f>
        <v>-1.0000000000000001E-5</v>
      </c>
      <c r="R106" s="194">
        <f>IFERROR(IF($C106="",-0.00001,SUMIFS(Database!T:T,Database!$E:$E,$C106)/$E106),-0.00001)</f>
        <v>-1.0000000000000001E-5</v>
      </c>
      <c r="S106" s="186">
        <f t="shared" si="4"/>
        <v>-1.0000000000000001E-5</v>
      </c>
      <c r="T106" s="194">
        <f>IFERROR(IF($C106="",-0.00001,SUMIFS(Database!V:V,Database!$E:$E,$C106)/$E106),-0.00001)</f>
        <v>-1.0000000000000001E-5</v>
      </c>
      <c r="U106" s="194">
        <f>IFERROR(IF($C106="",-0.00001,SUMIFS(Database!W:W,Database!$E:$E,$C106)/$E106),-0.00001)</f>
        <v>-1.0000000000000001E-5</v>
      </c>
      <c r="V106" s="186">
        <f t="shared" si="5"/>
        <v>-1.0000000000000001E-5</v>
      </c>
      <c r="W106" s="187"/>
      <c r="X106" s="187"/>
      <c r="Y106" s="187"/>
      <c r="Z106" s="187"/>
      <c r="AA106" s="187"/>
      <c r="AB106" s="187"/>
      <c r="AC106" s="187"/>
      <c r="AD106" s="187"/>
      <c r="AE106" s="187"/>
    </row>
    <row r="107" spans="1:31" x14ac:dyDescent="0.25">
      <c r="A107" s="187"/>
      <c r="B107" s="187" t="str">
        <f>IF($C107="","",MAX($B$4:$B106)+1)</f>
        <v/>
      </c>
      <c r="C107" s="183"/>
      <c r="D107" s="183" t="str">
        <f>IFERROR(VLOOKUP($C107,Rosters!$C$4:$M$239,INDEX(Lists!$N$5:$O$80,MATCH($C107,Lists!$N$5:$N$80,FALSE),2)),"")</f>
        <v/>
      </c>
      <c r="E107" s="185">
        <f>IF($C107="",-0.00001,COUNTIF(Database!E:E,$C107))</f>
        <v>-1.0000000000000001E-5</v>
      </c>
      <c r="F107" s="194">
        <f>IFERROR(IF($C107="",-0.00001,SUMIFS(Database!H:H,Database!$E:$E,$C107)/$E107),-0.00001)</f>
        <v>-1.0000000000000001E-5</v>
      </c>
      <c r="G107" s="194">
        <f>IFERROR(IF($C107="",-0.00001,SUMIFS(Database!I:I,Database!$E:$E,$C107)/$E107),-0.00001)</f>
        <v>-1.0000000000000001E-5</v>
      </c>
      <c r="H107" s="194">
        <f>IFERROR(IF($C107="",-0.00001,SUMIFS(Database!J:J,Database!$E:$E,$C107)/$E107),-0.00001)</f>
        <v>-1.0000000000000001E-5</v>
      </c>
      <c r="I107" s="194">
        <f>IFERROR(IF($C107="",-0.00001,SUMIFS(Database!K:K,Database!$E:$E,$C107)/$E107),-0.00001)</f>
        <v>-1.0000000000000001E-5</v>
      </c>
      <c r="J107" s="194">
        <f>IFERROR(IF($C107="",-0.00001,SUMIFS(Database!L:L,Database!$E:$E,$C107)/$E107),-0.00001)</f>
        <v>-1.0000000000000001E-5</v>
      </c>
      <c r="K107" s="194">
        <f>IFERROR(IF($C107="",-0.00001,SUMIFS(Database!M:M,Database!$E:$E,$C107)/$E107),-0.00001)</f>
        <v>-1.0000000000000001E-5</v>
      </c>
      <c r="L107" s="194">
        <f>IFERROR(IF($C107="",-0.00001,SUMIFS(Database!N:N,Database!$E:$E,$C107)/$E107),-0.00001)</f>
        <v>-1.0000000000000001E-5</v>
      </c>
      <c r="M107" s="194">
        <f>IFERROR(IF($C107="",-0.00001,SUMIFS(Database!O:O,Database!$E:$E,$C107)/$E107),-0.00001)</f>
        <v>-1.0000000000000001E-5</v>
      </c>
      <c r="N107" s="194">
        <f>IFERROR(IF($C107="",-0.00001,SUMIFS(Database!P:P,Database!$E:$E,$C107)/$E107),-0.00001)</f>
        <v>-1.0000000000000001E-5</v>
      </c>
      <c r="O107" s="194">
        <f>IFERROR(IF($C107="",-0.00001,SUMIFS(Database!Q:Q,Database!$E:$E,$C107)/$E107),-0.00001)</f>
        <v>-1.0000000000000001E-5</v>
      </c>
      <c r="P107" s="186">
        <f t="shared" si="3"/>
        <v>-1.0000000000000001E-5</v>
      </c>
      <c r="Q107" s="194">
        <f>IFERROR(IF($C107="",-0.00001,SUMIFS(Database!S:S,Database!$E:$E,$C107)/$E107),-0.00001)</f>
        <v>-1.0000000000000001E-5</v>
      </c>
      <c r="R107" s="194">
        <f>IFERROR(IF($C107="",-0.00001,SUMIFS(Database!T:T,Database!$E:$E,$C107)/$E107),-0.00001)</f>
        <v>-1.0000000000000001E-5</v>
      </c>
      <c r="S107" s="186">
        <f t="shared" si="4"/>
        <v>-1.0000000000000001E-5</v>
      </c>
      <c r="T107" s="194">
        <f>IFERROR(IF($C107="",-0.00001,SUMIFS(Database!V:V,Database!$E:$E,$C107)/$E107),-0.00001)</f>
        <v>-1.0000000000000001E-5</v>
      </c>
      <c r="U107" s="194">
        <f>IFERROR(IF($C107="",-0.00001,SUMIFS(Database!W:W,Database!$E:$E,$C107)/$E107),-0.00001)</f>
        <v>-1.0000000000000001E-5</v>
      </c>
      <c r="V107" s="186">
        <f t="shared" si="5"/>
        <v>-1.0000000000000001E-5</v>
      </c>
      <c r="W107" s="187"/>
      <c r="X107" s="187"/>
      <c r="Y107" s="187"/>
      <c r="Z107" s="187"/>
      <c r="AA107" s="187"/>
      <c r="AB107" s="187"/>
      <c r="AC107" s="187"/>
      <c r="AD107" s="187"/>
      <c r="AE107" s="187"/>
    </row>
    <row r="108" spans="1:31" x14ac:dyDescent="0.25">
      <c r="A108" s="187"/>
      <c r="B108" s="187" t="str">
        <f>IF($C108="","",MAX($B$4:$B107)+1)</f>
        <v/>
      </c>
      <c r="C108" s="183"/>
      <c r="D108" s="183" t="str">
        <f>IFERROR(VLOOKUP($C108,Rosters!$C$4:$M$239,INDEX(Lists!$N$5:$O$80,MATCH($C108,Lists!$N$5:$N$80,FALSE),2)),"")</f>
        <v/>
      </c>
      <c r="E108" s="185">
        <f>IF($C108="",-0.00001,COUNTIF(Database!E:E,$C108))</f>
        <v>-1.0000000000000001E-5</v>
      </c>
      <c r="F108" s="194">
        <f>IFERROR(IF($C108="",-0.00001,SUMIFS(Database!H:H,Database!$E:$E,$C108)/$E108),-0.00001)</f>
        <v>-1.0000000000000001E-5</v>
      </c>
      <c r="G108" s="194">
        <f>IFERROR(IF($C108="",-0.00001,SUMIFS(Database!I:I,Database!$E:$E,$C108)/$E108),-0.00001)</f>
        <v>-1.0000000000000001E-5</v>
      </c>
      <c r="H108" s="194">
        <f>IFERROR(IF($C108="",-0.00001,SUMIFS(Database!J:J,Database!$E:$E,$C108)/$E108),-0.00001)</f>
        <v>-1.0000000000000001E-5</v>
      </c>
      <c r="I108" s="194">
        <f>IFERROR(IF($C108="",-0.00001,SUMIFS(Database!K:K,Database!$E:$E,$C108)/$E108),-0.00001)</f>
        <v>-1.0000000000000001E-5</v>
      </c>
      <c r="J108" s="194">
        <f>IFERROR(IF($C108="",-0.00001,SUMIFS(Database!L:L,Database!$E:$E,$C108)/$E108),-0.00001)</f>
        <v>-1.0000000000000001E-5</v>
      </c>
      <c r="K108" s="194">
        <f>IFERROR(IF($C108="",-0.00001,SUMIFS(Database!M:M,Database!$E:$E,$C108)/$E108),-0.00001)</f>
        <v>-1.0000000000000001E-5</v>
      </c>
      <c r="L108" s="194">
        <f>IFERROR(IF($C108="",-0.00001,SUMIFS(Database!N:N,Database!$E:$E,$C108)/$E108),-0.00001)</f>
        <v>-1.0000000000000001E-5</v>
      </c>
      <c r="M108" s="194">
        <f>IFERROR(IF($C108="",-0.00001,SUMIFS(Database!O:O,Database!$E:$E,$C108)/$E108),-0.00001)</f>
        <v>-1.0000000000000001E-5</v>
      </c>
      <c r="N108" s="194">
        <f>IFERROR(IF($C108="",-0.00001,SUMIFS(Database!P:P,Database!$E:$E,$C108)/$E108),-0.00001)</f>
        <v>-1.0000000000000001E-5</v>
      </c>
      <c r="O108" s="194">
        <f>IFERROR(IF($C108="",-0.00001,SUMIFS(Database!Q:Q,Database!$E:$E,$C108)/$E108),-0.00001)</f>
        <v>-1.0000000000000001E-5</v>
      </c>
      <c r="P108" s="186">
        <f t="shared" si="3"/>
        <v>-1.0000000000000001E-5</v>
      </c>
      <c r="Q108" s="194">
        <f>IFERROR(IF($C108="",-0.00001,SUMIFS(Database!S:S,Database!$E:$E,$C108)/$E108),-0.00001)</f>
        <v>-1.0000000000000001E-5</v>
      </c>
      <c r="R108" s="194">
        <f>IFERROR(IF($C108="",-0.00001,SUMIFS(Database!T:T,Database!$E:$E,$C108)/$E108),-0.00001)</f>
        <v>-1.0000000000000001E-5</v>
      </c>
      <c r="S108" s="186">
        <f t="shared" si="4"/>
        <v>-1.0000000000000001E-5</v>
      </c>
      <c r="T108" s="194">
        <f>IFERROR(IF($C108="",-0.00001,SUMIFS(Database!V:V,Database!$E:$E,$C108)/$E108),-0.00001)</f>
        <v>-1.0000000000000001E-5</v>
      </c>
      <c r="U108" s="194">
        <f>IFERROR(IF($C108="",-0.00001,SUMIFS(Database!W:W,Database!$E:$E,$C108)/$E108),-0.00001)</f>
        <v>-1.0000000000000001E-5</v>
      </c>
      <c r="V108" s="186">
        <f t="shared" si="5"/>
        <v>-1.0000000000000001E-5</v>
      </c>
      <c r="W108" s="187"/>
      <c r="X108" s="187"/>
      <c r="Y108" s="187"/>
      <c r="Z108" s="187"/>
      <c r="AA108" s="187"/>
      <c r="AB108" s="187"/>
      <c r="AC108" s="187"/>
      <c r="AD108" s="187"/>
      <c r="AE108" s="187"/>
    </row>
    <row r="109" spans="1:31" x14ac:dyDescent="0.25">
      <c r="A109" s="187"/>
      <c r="B109" s="187" t="str">
        <f>IF($C109="","",MAX($B$4:$B108)+1)</f>
        <v/>
      </c>
      <c r="C109" s="183"/>
      <c r="D109" s="183" t="str">
        <f>IFERROR(VLOOKUP($C109,Rosters!$C$4:$M$239,INDEX(Lists!$N$5:$O$80,MATCH($C109,Lists!$N$5:$N$80,FALSE),2)),"")</f>
        <v/>
      </c>
      <c r="E109" s="185">
        <f>IF($C109="",-0.00001,COUNTIF(Database!E:E,$C109))</f>
        <v>-1.0000000000000001E-5</v>
      </c>
      <c r="F109" s="194">
        <f>IFERROR(IF($C109="",-0.00001,SUMIFS(Database!H:H,Database!$E:$E,$C109)/$E109),-0.00001)</f>
        <v>-1.0000000000000001E-5</v>
      </c>
      <c r="G109" s="194">
        <f>IFERROR(IF($C109="",-0.00001,SUMIFS(Database!I:I,Database!$E:$E,$C109)/$E109),-0.00001)</f>
        <v>-1.0000000000000001E-5</v>
      </c>
      <c r="H109" s="194">
        <f>IFERROR(IF($C109="",-0.00001,SUMIFS(Database!J:J,Database!$E:$E,$C109)/$E109),-0.00001)</f>
        <v>-1.0000000000000001E-5</v>
      </c>
      <c r="I109" s="194">
        <f>IFERROR(IF($C109="",-0.00001,SUMIFS(Database!K:K,Database!$E:$E,$C109)/$E109),-0.00001)</f>
        <v>-1.0000000000000001E-5</v>
      </c>
      <c r="J109" s="194">
        <f>IFERROR(IF($C109="",-0.00001,SUMIFS(Database!L:L,Database!$E:$E,$C109)/$E109),-0.00001)</f>
        <v>-1.0000000000000001E-5</v>
      </c>
      <c r="K109" s="194">
        <f>IFERROR(IF($C109="",-0.00001,SUMIFS(Database!M:M,Database!$E:$E,$C109)/$E109),-0.00001)</f>
        <v>-1.0000000000000001E-5</v>
      </c>
      <c r="L109" s="194">
        <f>IFERROR(IF($C109="",-0.00001,SUMIFS(Database!N:N,Database!$E:$E,$C109)/$E109),-0.00001)</f>
        <v>-1.0000000000000001E-5</v>
      </c>
      <c r="M109" s="194">
        <f>IFERROR(IF($C109="",-0.00001,SUMIFS(Database!O:O,Database!$E:$E,$C109)/$E109),-0.00001)</f>
        <v>-1.0000000000000001E-5</v>
      </c>
      <c r="N109" s="194">
        <f>IFERROR(IF($C109="",-0.00001,SUMIFS(Database!P:P,Database!$E:$E,$C109)/$E109),-0.00001)</f>
        <v>-1.0000000000000001E-5</v>
      </c>
      <c r="O109" s="194">
        <f>IFERROR(IF($C109="",-0.00001,SUMIFS(Database!Q:Q,Database!$E:$E,$C109)/$E109),-0.00001)</f>
        <v>-1.0000000000000001E-5</v>
      </c>
      <c r="P109" s="186">
        <f t="shared" si="3"/>
        <v>-1.0000000000000001E-5</v>
      </c>
      <c r="Q109" s="194">
        <f>IFERROR(IF($C109="",-0.00001,SUMIFS(Database!S:S,Database!$E:$E,$C109)/$E109),-0.00001)</f>
        <v>-1.0000000000000001E-5</v>
      </c>
      <c r="R109" s="194">
        <f>IFERROR(IF($C109="",-0.00001,SUMIFS(Database!T:T,Database!$E:$E,$C109)/$E109),-0.00001)</f>
        <v>-1.0000000000000001E-5</v>
      </c>
      <c r="S109" s="186">
        <f t="shared" si="4"/>
        <v>-1.0000000000000001E-5</v>
      </c>
      <c r="T109" s="194">
        <f>IFERROR(IF($C109="",-0.00001,SUMIFS(Database!V:V,Database!$E:$E,$C109)/$E109),-0.00001)</f>
        <v>-1.0000000000000001E-5</v>
      </c>
      <c r="U109" s="194">
        <f>IFERROR(IF($C109="",-0.00001,SUMIFS(Database!W:W,Database!$E:$E,$C109)/$E109),-0.00001)</f>
        <v>-1.0000000000000001E-5</v>
      </c>
      <c r="V109" s="186">
        <f t="shared" si="5"/>
        <v>-1.0000000000000001E-5</v>
      </c>
      <c r="W109" s="187"/>
      <c r="X109" s="187"/>
      <c r="Y109" s="187"/>
      <c r="Z109" s="187"/>
      <c r="AA109" s="187"/>
      <c r="AB109" s="187"/>
      <c r="AC109" s="187"/>
      <c r="AD109" s="187"/>
      <c r="AE109" s="187"/>
    </row>
    <row r="110" spans="1:31" x14ac:dyDescent="0.25">
      <c r="A110" s="187"/>
      <c r="B110" s="187" t="str">
        <f>IF($C110="","",MAX($B$4:$B109)+1)</f>
        <v/>
      </c>
      <c r="C110" s="183"/>
      <c r="D110" s="183" t="str">
        <f>IFERROR(VLOOKUP($C110,Rosters!$C$4:$M$239,INDEX(Lists!$N$5:$O$80,MATCH($C110,Lists!$N$5:$N$80,FALSE),2)),"")</f>
        <v/>
      </c>
      <c r="E110" s="185">
        <f>IF($C110="",-0.00001,COUNTIF(Database!E:E,$C110))</f>
        <v>-1.0000000000000001E-5</v>
      </c>
      <c r="F110" s="194">
        <f>IFERROR(IF($C110="",-0.00001,SUMIFS(Database!H:H,Database!$E:$E,$C110)/$E110),-0.00001)</f>
        <v>-1.0000000000000001E-5</v>
      </c>
      <c r="G110" s="194">
        <f>IFERROR(IF($C110="",-0.00001,SUMIFS(Database!I:I,Database!$E:$E,$C110)/$E110),-0.00001)</f>
        <v>-1.0000000000000001E-5</v>
      </c>
      <c r="H110" s="194">
        <f>IFERROR(IF($C110="",-0.00001,SUMIFS(Database!J:J,Database!$E:$E,$C110)/$E110),-0.00001)</f>
        <v>-1.0000000000000001E-5</v>
      </c>
      <c r="I110" s="194">
        <f>IFERROR(IF($C110="",-0.00001,SUMIFS(Database!K:K,Database!$E:$E,$C110)/$E110),-0.00001)</f>
        <v>-1.0000000000000001E-5</v>
      </c>
      <c r="J110" s="194">
        <f>IFERROR(IF($C110="",-0.00001,SUMIFS(Database!L:L,Database!$E:$E,$C110)/$E110),-0.00001)</f>
        <v>-1.0000000000000001E-5</v>
      </c>
      <c r="K110" s="194">
        <f>IFERROR(IF($C110="",-0.00001,SUMIFS(Database!M:M,Database!$E:$E,$C110)/$E110),-0.00001)</f>
        <v>-1.0000000000000001E-5</v>
      </c>
      <c r="L110" s="194">
        <f>IFERROR(IF($C110="",-0.00001,SUMIFS(Database!N:N,Database!$E:$E,$C110)/$E110),-0.00001)</f>
        <v>-1.0000000000000001E-5</v>
      </c>
      <c r="M110" s="194">
        <f>IFERROR(IF($C110="",-0.00001,SUMIFS(Database!O:O,Database!$E:$E,$C110)/$E110),-0.00001)</f>
        <v>-1.0000000000000001E-5</v>
      </c>
      <c r="N110" s="194">
        <f>IFERROR(IF($C110="",-0.00001,SUMIFS(Database!P:P,Database!$E:$E,$C110)/$E110),-0.00001)</f>
        <v>-1.0000000000000001E-5</v>
      </c>
      <c r="O110" s="194">
        <f>IFERROR(IF($C110="",-0.00001,SUMIFS(Database!Q:Q,Database!$E:$E,$C110)/$E110),-0.00001)</f>
        <v>-1.0000000000000001E-5</v>
      </c>
      <c r="P110" s="186">
        <f t="shared" si="3"/>
        <v>-1.0000000000000001E-5</v>
      </c>
      <c r="Q110" s="194">
        <f>IFERROR(IF($C110="",-0.00001,SUMIFS(Database!S:S,Database!$E:$E,$C110)/$E110),-0.00001)</f>
        <v>-1.0000000000000001E-5</v>
      </c>
      <c r="R110" s="194">
        <f>IFERROR(IF($C110="",-0.00001,SUMIFS(Database!T:T,Database!$E:$E,$C110)/$E110),-0.00001)</f>
        <v>-1.0000000000000001E-5</v>
      </c>
      <c r="S110" s="186">
        <f t="shared" si="4"/>
        <v>-1.0000000000000001E-5</v>
      </c>
      <c r="T110" s="194">
        <f>IFERROR(IF($C110="",-0.00001,SUMIFS(Database!V:V,Database!$E:$E,$C110)/$E110),-0.00001)</f>
        <v>-1.0000000000000001E-5</v>
      </c>
      <c r="U110" s="194">
        <f>IFERROR(IF($C110="",-0.00001,SUMIFS(Database!W:W,Database!$E:$E,$C110)/$E110),-0.00001)</f>
        <v>-1.0000000000000001E-5</v>
      </c>
      <c r="V110" s="186">
        <f t="shared" si="5"/>
        <v>-1.0000000000000001E-5</v>
      </c>
      <c r="W110" s="187"/>
      <c r="X110" s="187"/>
      <c r="Y110" s="187"/>
      <c r="Z110" s="187"/>
      <c r="AA110" s="187"/>
      <c r="AB110" s="187"/>
      <c r="AC110" s="187"/>
      <c r="AD110" s="187"/>
      <c r="AE110" s="187"/>
    </row>
    <row r="111" spans="1:31" x14ac:dyDescent="0.25">
      <c r="A111" s="187"/>
      <c r="B111" s="187" t="str">
        <f>IF($C111="","",MAX($B$4:$B110)+1)</f>
        <v/>
      </c>
      <c r="C111" s="183"/>
      <c r="D111" s="183" t="str">
        <f>IFERROR(VLOOKUP($C111,Rosters!$C$4:$M$239,INDEX(Lists!$N$5:$O$80,MATCH($C111,Lists!$N$5:$N$80,FALSE),2)),"")</f>
        <v/>
      </c>
      <c r="E111" s="185">
        <f>IF($C111="",-0.00001,COUNTIF(Database!E:E,$C111))</f>
        <v>-1.0000000000000001E-5</v>
      </c>
      <c r="F111" s="194">
        <f>IFERROR(IF($C111="",-0.00001,SUMIFS(Database!H:H,Database!$E:$E,$C111)/$E111),-0.00001)</f>
        <v>-1.0000000000000001E-5</v>
      </c>
      <c r="G111" s="194">
        <f>IFERROR(IF($C111="",-0.00001,SUMIFS(Database!I:I,Database!$E:$E,$C111)/$E111),-0.00001)</f>
        <v>-1.0000000000000001E-5</v>
      </c>
      <c r="H111" s="194">
        <f>IFERROR(IF($C111="",-0.00001,SUMIFS(Database!J:J,Database!$E:$E,$C111)/$E111),-0.00001)</f>
        <v>-1.0000000000000001E-5</v>
      </c>
      <c r="I111" s="194">
        <f>IFERROR(IF($C111="",-0.00001,SUMIFS(Database!K:K,Database!$E:$E,$C111)/$E111),-0.00001)</f>
        <v>-1.0000000000000001E-5</v>
      </c>
      <c r="J111" s="194">
        <f>IFERROR(IF($C111="",-0.00001,SUMIFS(Database!L:L,Database!$E:$E,$C111)/$E111),-0.00001)</f>
        <v>-1.0000000000000001E-5</v>
      </c>
      <c r="K111" s="194">
        <f>IFERROR(IF($C111="",-0.00001,SUMIFS(Database!M:M,Database!$E:$E,$C111)/$E111),-0.00001)</f>
        <v>-1.0000000000000001E-5</v>
      </c>
      <c r="L111" s="194">
        <f>IFERROR(IF($C111="",-0.00001,SUMIFS(Database!N:N,Database!$E:$E,$C111)/$E111),-0.00001)</f>
        <v>-1.0000000000000001E-5</v>
      </c>
      <c r="M111" s="194">
        <f>IFERROR(IF($C111="",-0.00001,SUMIFS(Database!O:O,Database!$E:$E,$C111)/$E111),-0.00001)</f>
        <v>-1.0000000000000001E-5</v>
      </c>
      <c r="N111" s="194">
        <f>IFERROR(IF($C111="",-0.00001,SUMIFS(Database!P:P,Database!$E:$E,$C111)/$E111),-0.00001)</f>
        <v>-1.0000000000000001E-5</v>
      </c>
      <c r="O111" s="194">
        <f>IFERROR(IF($C111="",-0.00001,SUMIFS(Database!Q:Q,Database!$E:$E,$C111)/$E111),-0.00001)</f>
        <v>-1.0000000000000001E-5</v>
      </c>
      <c r="P111" s="186">
        <f t="shared" si="3"/>
        <v>-1.0000000000000001E-5</v>
      </c>
      <c r="Q111" s="194">
        <f>IFERROR(IF($C111="",-0.00001,SUMIFS(Database!S:S,Database!$E:$E,$C111)/$E111),-0.00001)</f>
        <v>-1.0000000000000001E-5</v>
      </c>
      <c r="R111" s="194">
        <f>IFERROR(IF($C111="",-0.00001,SUMIFS(Database!T:T,Database!$E:$E,$C111)/$E111),-0.00001)</f>
        <v>-1.0000000000000001E-5</v>
      </c>
      <c r="S111" s="186">
        <f t="shared" si="4"/>
        <v>-1.0000000000000001E-5</v>
      </c>
      <c r="T111" s="194">
        <f>IFERROR(IF($C111="",-0.00001,SUMIFS(Database!V:V,Database!$E:$E,$C111)/$E111),-0.00001)</f>
        <v>-1.0000000000000001E-5</v>
      </c>
      <c r="U111" s="194">
        <f>IFERROR(IF($C111="",-0.00001,SUMIFS(Database!W:W,Database!$E:$E,$C111)/$E111),-0.00001)</f>
        <v>-1.0000000000000001E-5</v>
      </c>
      <c r="V111" s="186">
        <f t="shared" si="5"/>
        <v>-1.0000000000000001E-5</v>
      </c>
      <c r="W111" s="187"/>
      <c r="X111" s="187"/>
      <c r="Y111" s="187"/>
      <c r="Z111" s="187"/>
      <c r="AA111" s="187"/>
      <c r="AB111" s="187"/>
      <c r="AC111" s="187"/>
      <c r="AD111" s="187"/>
      <c r="AE111" s="187"/>
    </row>
    <row r="112" spans="1:31" x14ac:dyDescent="0.25">
      <c r="A112" s="187"/>
      <c r="B112" s="187" t="str">
        <f>IF($C112="","",MAX($B$4:$B111)+1)</f>
        <v/>
      </c>
      <c r="C112" s="183"/>
      <c r="D112" s="183" t="str">
        <f>IFERROR(VLOOKUP($C112,Rosters!$C$4:$M$239,INDEX(Lists!$N$5:$O$80,MATCH($C112,Lists!$N$5:$N$80,FALSE),2)),"")</f>
        <v/>
      </c>
      <c r="E112" s="185">
        <f>IF($C112="",-0.00001,COUNTIF(Database!E:E,$C112))</f>
        <v>-1.0000000000000001E-5</v>
      </c>
      <c r="F112" s="194">
        <f>IFERROR(IF($C112="",-0.00001,SUMIFS(Database!H:H,Database!$E:$E,$C112)/$E112),-0.00001)</f>
        <v>-1.0000000000000001E-5</v>
      </c>
      <c r="G112" s="194">
        <f>IFERROR(IF($C112="",-0.00001,SUMIFS(Database!I:I,Database!$E:$E,$C112)/$E112),-0.00001)</f>
        <v>-1.0000000000000001E-5</v>
      </c>
      <c r="H112" s="194">
        <f>IFERROR(IF($C112="",-0.00001,SUMIFS(Database!J:J,Database!$E:$E,$C112)/$E112),-0.00001)</f>
        <v>-1.0000000000000001E-5</v>
      </c>
      <c r="I112" s="194">
        <f>IFERROR(IF($C112="",-0.00001,SUMIFS(Database!K:K,Database!$E:$E,$C112)/$E112),-0.00001)</f>
        <v>-1.0000000000000001E-5</v>
      </c>
      <c r="J112" s="194">
        <f>IFERROR(IF($C112="",-0.00001,SUMIFS(Database!L:L,Database!$E:$E,$C112)/$E112),-0.00001)</f>
        <v>-1.0000000000000001E-5</v>
      </c>
      <c r="K112" s="194">
        <f>IFERROR(IF($C112="",-0.00001,SUMIFS(Database!M:M,Database!$E:$E,$C112)/$E112),-0.00001)</f>
        <v>-1.0000000000000001E-5</v>
      </c>
      <c r="L112" s="194">
        <f>IFERROR(IF($C112="",-0.00001,SUMIFS(Database!N:N,Database!$E:$E,$C112)/$E112),-0.00001)</f>
        <v>-1.0000000000000001E-5</v>
      </c>
      <c r="M112" s="194">
        <f>IFERROR(IF($C112="",-0.00001,SUMIFS(Database!O:O,Database!$E:$E,$C112)/$E112),-0.00001)</f>
        <v>-1.0000000000000001E-5</v>
      </c>
      <c r="N112" s="194">
        <f>IFERROR(IF($C112="",-0.00001,SUMIFS(Database!P:P,Database!$E:$E,$C112)/$E112),-0.00001)</f>
        <v>-1.0000000000000001E-5</v>
      </c>
      <c r="O112" s="194">
        <f>IFERROR(IF($C112="",-0.00001,SUMIFS(Database!Q:Q,Database!$E:$E,$C112)/$E112),-0.00001)</f>
        <v>-1.0000000000000001E-5</v>
      </c>
      <c r="P112" s="186">
        <f t="shared" si="3"/>
        <v>-1.0000000000000001E-5</v>
      </c>
      <c r="Q112" s="194">
        <f>IFERROR(IF($C112="",-0.00001,SUMIFS(Database!S:S,Database!$E:$E,$C112)/$E112),-0.00001)</f>
        <v>-1.0000000000000001E-5</v>
      </c>
      <c r="R112" s="194">
        <f>IFERROR(IF($C112="",-0.00001,SUMIFS(Database!T:T,Database!$E:$E,$C112)/$E112),-0.00001)</f>
        <v>-1.0000000000000001E-5</v>
      </c>
      <c r="S112" s="186">
        <f t="shared" si="4"/>
        <v>-1.0000000000000001E-5</v>
      </c>
      <c r="T112" s="194">
        <f>IFERROR(IF($C112="",-0.00001,SUMIFS(Database!V:V,Database!$E:$E,$C112)/$E112),-0.00001)</f>
        <v>-1.0000000000000001E-5</v>
      </c>
      <c r="U112" s="194">
        <f>IFERROR(IF($C112="",-0.00001,SUMIFS(Database!W:W,Database!$E:$E,$C112)/$E112),-0.00001)</f>
        <v>-1.0000000000000001E-5</v>
      </c>
      <c r="V112" s="186">
        <f t="shared" si="5"/>
        <v>-1.0000000000000001E-5</v>
      </c>
      <c r="W112" s="187"/>
      <c r="X112" s="187"/>
      <c r="Y112" s="187"/>
      <c r="Z112" s="187"/>
      <c r="AA112" s="187"/>
      <c r="AB112" s="187"/>
      <c r="AC112" s="187"/>
      <c r="AD112" s="187"/>
      <c r="AE112" s="187"/>
    </row>
    <row r="113" spans="1:31" x14ac:dyDescent="0.25">
      <c r="A113" s="187"/>
      <c r="B113" s="187" t="str">
        <f>IF($C113="","",MAX($B$4:$B112)+1)</f>
        <v/>
      </c>
      <c r="C113" s="183"/>
      <c r="D113" s="183" t="str">
        <f>IFERROR(VLOOKUP($C113,Rosters!$C$4:$M$239,INDEX(Lists!$N$5:$O$80,MATCH($C113,Lists!$N$5:$N$80,FALSE),2)),"")</f>
        <v/>
      </c>
      <c r="E113" s="185">
        <f>IF($C113="",-0.00001,COUNTIF(Database!E:E,$C113))</f>
        <v>-1.0000000000000001E-5</v>
      </c>
      <c r="F113" s="194">
        <f>IFERROR(IF($C113="",-0.00001,SUMIFS(Database!H:H,Database!$E:$E,$C113)/$E113),-0.00001)</f>
        <v>-1.0000000000000001E-5</v>
      </c>
      <c r="G113" s="194">
        <f>IFERROR(IF($C113="",-0.00001,SUMIFS(Database!I:I,Database!$E:$E,$C113)/$E113),-0.00001)</f>
        <v>-1.0000000000000001E-5</v>
      </c>
      <c r="H113" s="194">
        <f>IFERROR(IF($C113="",-0.00001,SUMIFS(Database!J:J,Database!$E:$E,$C113)/$E113),-0.00001)</f>
        <v>-1.0000000000000001E-5</v>
      </c>
      <c r="I113" s="194">
        <f>IFERROR(IF($C113="",-0.00001,SUMIFS(Database!K:K,Database!$E:$E,$C113)/$E113),-0.00001)</f>
        <v>-1.0000000000000001E-5</v>
      </c>
      <c r="J113" s="194">
        <f>IFERROR(IF($C113="",-0.00001,SUMIFS(Database!L:L,Database!$E:$E,$C113)/$E113),-0.00001)</f>
        <v>-1.0000000000000001E-5</v>
      </c>
      <c r="K113" s="194">
        <f>IFERROR(IF($C113="",-0.00001,SUMIFS(Database!M:M,Database!$E:$E,$C113)/$E113),-0.00001)</f>
        <v>-1.0000000000000001E-5</v>
      </c>
      <c r="L113" s="194">
        <f>IFERROR(IF($C113="",-0.00001,SUMIFS(Database!N:N,Database!$E:$E,$C113)/$E113),-0.00001)</f>
        <v>-1.0000000000000001E-5</v>
      </c>
      <c r="M113" s="194">
        <f>IFERROR(IF($C113="",-0.00001,SUMIFS(Database!O:O,Database!$E:$E,$C113)/$E113),-0.00001)</f>
        <v>-1.0000000000000001E-5</v>
      </c>
      <c r="N113" s="194">
        <f>IFERROR(IF($C113="",-0.00001,SUMIFS(Database!P:P,Database!$E:$E,$C113)/$E113),-0.00001)</f>
        <v>-1.0000000000000001E-5</v>
      </c>
      <c r="O113" s="194">
        <f>IFERROR(IF($C113="",-0.00001,SUMIFS(Database!Q:Q,Database!$E:$E,$C113)/$E113),-0.00001)</f>
        <v>-1.0000000000000001E-5</v>
      </c>
      <c r="P113" s="186">
        <f t="shared" si="3"/>
        <v>-1.0000000000000001E-5</v>
      </c>
      <c r="Q113" s="194">
        <f>IFERROR(IF($C113="",-0.00001,SUMIFS(Database!S:S,Database!$E:$E,$C113)/$E113),-0.00001)</f>
        <v>-1.0000000000000001E-5</v>
      </c>
      <c r="R113" s="194">
        <f>IFERROR(IF($C113="",-0.00001,SUMIFS(Database!T:T,Database!$E:$E,$C113)/$E113),-0.00001)</f>
        <v>-1.0000000000000001E-5</v>
      </c>
      <c r="S113" s="186">
        <f t="shared" si="4"/>
        <v>-1.0000000000000001E-5</v>
      </c>
      <c r="T113" s="194">
        <f>IFERROR(IF($C113="",-0.00001,SUMIFS(Database!V:V,Database!$E:$E,$C113)/$E113),-0.00001)</f>
        <v>-1.0000000000000001E-5</v>
      </c>
      <c r="U113" s="194">
        <f>IFERROR(IF($C113="",-0.00001,SUMIFS(Database!W:W,Database!$E:$E,$C113)/$E113),-0.00001)</f>
        <v>-1.0000000000000001E-5</v>
      </c>
      <c r="V113" s="186">
        <f t="shared" si="5"/>
        <v>-1.0000000000000001E-5</v>
      </c>
      <c r="W113" s="187"/>
      <c r="X113" s="187"/>
      <c r="Y113" s="187"/>
      <c r="Z113" s="187"/>
      <c r="AA113" s="187"/>
      <c r="AB113" s="187"/>
      <c r="AC113" s="187"/>
      <c r="AD113" s="187"/>
      <c r="AE113" s="187"/>
    </row>
    <row r="114" spans="1:31" x14ac:dyDescent="0.25">
      <c r="A114" s="187"/>
      <c r="B114" s="187" t="str">
        <f>IF($C114="","",MAX($B$4:$B113)+1)</f>
        <v/>
      </c>
      <c r="C114" s="183"/>
      <c r="D114" s="183" t="str">
        <f>IFERROR(VLOOKUP($C114,Rosters!$C$4:$M$239,INDEX(Lists!$N$5:$O$80,MATCH($C114,Lists!$N$5:$N$80,FALSE),2)),"")</f>
        <v/>
      </c>
      <c r="E114" s="185">
        <f>IF($C114="",-0.00001,COUNTIF(Database!E:E,$C114))</f>
        <v>-1.0000000000000001E-5</v>
      </c>
      <c r="F114" s="194">
        <f>IFERROR(IF($C114="",-0.00001,SUMIFS(Database!H:H,Database!$E:$E,$C114)/$E114),-0.00001)</f>
        <v>-1.0000000000000001E-5</v>
      </c>
      <c r="G114" s="194">
        <f>IFERROR(IF($C114="",-0.00001,SUMIFS(Database!I:I,Database!$E:$E,$C114)/$E114),-0.00001)</f>
        <v>-1.0000000000000001E-5</v>
      </c>
      <c r="H114" s="194">
        <f>IFERROR(IF($C114="",-0.00001,SUMIFS(Database!J:J,Database!$E:$E,$C114)/$E114),-0.00001)</f>
        <v>-1.0000000000000001E-5</v>
      </c>
      <c r="I114" s="194">
        <f>IFERROR(IF($C114="",-0.00001,SUMIFS(Database!K:K,Database!$E:$E,$C114)/$E114),-0.00001)</f>
        <v>-1.0000000000000001E-5</v>
      </c>
      <c r="J114" s="194">
        <f>IFERROR(IF($C114="",-0.00001,SUMIFS(Database!L:L,Database!$E:$E,$C114)/$E114),-0.00001)</f>
        <v>-1.0000000000000001E-5</v>
      </c>
      <c r="K114" s="194">
        <f>IFERROR(IF($C114="",-0.00001,SUMIFS(Database!M:M,Database!$E:$E,$C114)/$E114),-0.00001)</f>
        <v>-1.0000000000000001E-5</v>
      </c>
      <c r="L114" s="194">
        <f>IFERROR(IF($C114="",-0.00001,SUMIFS(Database!N:N,Database!$E:$E,$C114)/$E114),-0.00001)</f>
        <v>-1.0000000000000001E-5</v>
      </c>
      <c r="M114" s="194">
        <f>IFERROR(IF($C114="",-0.00001,SUMIFS(Database!O:O,Database!$E:$E,$C114)/$E114),-0.00001)</f>
        <v>-1.0000000000000001E-5</v>
      </c>
      <c r="N114" s="194">
        <f>IFERROR(IF($C114="",-0.00001,SUMIFS(Database!P:P,Database!$E:$E,$C114)/$E114),-0.00001)</f>
        <v>-1.0000000000000001E-5</v>
      </c>
      <c r="O114" s="194">
        <f>IFERROR(IF($C114="",-0.00001,SUMIFS(Database!Q:Q,Database!$E:$E,$C114)/$E114),-0.00001)</f>
        <v>-1.0000000000000001E-5</v>
      </c>
      <c r="P114" s="186">
        <f t="shared" si="3"/>
        <v>-1.0000000000000001E-5</v>
      </c>
      <c r="Q114" s="194">
        <f>IFERROR(IF($C114="",-0.00001,SUMIFS(Database!S:S,Database!$E:$E,$C114)/$E114),-0.00001)</f>
        <v>-1.0000000000000001E-5</v>
      </c>
      <c r="R114" s="194">
        <f>IFERROR(IF($C114="",-0.00001,SUMIFS(Database!T:T,Database!$E:$E,$C114)/$E114),-0.00001)</f>
        <v>-1.0000000000000001E-5</v>
      </c>
      <c r="S114" s="186">
        <f t="shared" si="4"/>
        <v>-1.0000000000000001E-5</v>
      </c>
      <c r="T114" s="194">
        <f>IFERROR(IF($C114="",-0.00001,SUMIFS(Database!V:V,Database!$E:$E,$C114)/$E114),-0.00001)</f>
        <v>-1.0000000000000001E-5</v>
      </c>
      <c r="U114" s="194">
        <f>IFERROR(IF($C114="",-0.00001,SUMIFS(Database!W:W,Database!$E:$E,$C114)/$E114),-0.00001)</f>
        <v>-1.0000000000000001E-5</v>
      </c>
      <c r="V114" s="186">
        <f t="shared" si="5"/>
        <v>-1.0000000000000001E-5</v>
      </c>
      <c r="W114" s="187"/>
      <c r="X114" s="187"/>
      <c r="Y114" s="187"/>
      <c r="Z114" s="187"/>
      <c r="AA114" s="187"/>
      <c r="AB114" s="187"/>
      <c r="AC114" s="187"/>
      <c r="AD114" s="187"/>
      <c r="AE114" s="187"/>
    </row>
    <row r="115" spans="1:31" x14ac:dyDescent="0.25">
      <c r="A115" s="187"/>
      <c r="B115" s="187" t="str">
        <f>IF($C115="","",MAX($B$4:$B114)+1)</f>
        <v/>
      </c>
      <c r="C115" s="183"/>
      <c r="D115" s="183" t="str">
        <f>IFERROR(VLOOKUP($C115,Rosters!$C$4:$M$239,INDEX(Lists!$N$5:$O$80,MATCH($C115,Lists!$N$5:$N$80,FALSE),2)),"")</f>
        <v/>
      </c>
      <c r="E115" s="185">
        <f>IF($C115="",-0.00001,COUNTIF(Database!E:E,$C115))</f>
        <v>-1.0000000000000001E-5</v>
      </c>
      <c r="F115" s="194">
        <f>IFERROR(IF($C115="",-0.00001,SUMIFS(Database!H:H,Database!$E:$E,$C115)/$E115),-0.00001)</f>
        <v>-1.0000000000000001E-5</v>
      </c>
      <c r="G115" s="194">
        <f>IFERROR(IF($C115="",-0.00001,SUMIFS(Database!I:I,Database!$E:$E,$C115)/$E115),-0.00001)</f>
        <v>-1.0000000000000001E-5</v>
      </c>
      <c r="H115" s="194">
        <f>IFERROR(IF($C115="",-0.00001,SUMIFS(Database!J:J,Database!$E:$E,$C115)/$E115),-0.00001)</f>
        <v>-1.0000000000000001E-5</v>
      </c>
      <c r="I115" s="194">
        <f>IFERROR(IF($C115="",-0.00001,SUMIFS(Database!K:K,Database!$E:$E,$C115)/$E115),-0.00001)</f>
        <v>-1.0000000000000001E-5</v>
      </c>
      <c r="J115" s="194">
        <f>IFERROR(IF($C115="",-0.00001,SUMIFS(Database!L:L,Database!$E:$E,$C115)/$E115),-0.00001)</f>
        <v>-1.0000000000000001E-5</v>
      </c>
      <c r="K115" s="194">
        <f>IFERROR(IF($C115="",-0.00001,SUMIFS(Database!M:M,Database!$E:$E,$C115)/$E115),-0.00001)</f>
        <v>-1.0000000000000001E-5</v>
      </c>
      <c r="L115" s="194">
        <f>IFERROR(IF($C115="",-0.00001,SUMIFS(Database!N:N,Database!$E:$E,$C115)/$E115),-0.00001)</f>
        <v>-1.0000000000000001E-5</v>
      </c>
      <c r="M115" s="194">
        <f>IFERROR(IF($C115="",-0.00001,SUMIFS(Database!O:O,Database!$E:$E,$C115)/$E115),-0.00001)</f>
        <v>-1.0000000000000001E-5</v>
      </c>
      <c r="N115" s="194">
        <f>IFERROR(IF($C115="",-0.00001,SUMIFS(Database!P:P,Database!$E:$E,$C115)/$E115),-0.00001)</f>
        <v>-1.0000000000000001E-5</v>
      </c>
      <c r="O115" s="194">
        <f>IFERROR(IF($C115="",-0.00001,SUMIFS(Database!Q:Q,Database!$E:$E,$C115)/$E115),-0.00001)</f>
        <v>-1.0000000000000001E-5</v>
      </c>
      <c r="P115" s="186">
        <f t="shared" si="3"/>
        <v>-1.0000000000000001E-5</v>
      </c>
      <c r="Q115" s="194">
        <f>IFERROR(IF($C115="",-0.00001,SUMIFS(Database!S:S,Database!$E:$E,$C115)/$E115),-0.00001)</f>
        <v>-1.0000000000000001E-5</v>
      </c>
      <c r="R115" s="194">
        <f>IFERROR(IF($C115="",-0.00001,SUMIFS(Database!T:T,Database!$E:$E,$C115)/$E115),-0.00001)</f>
        <v>-1.0000000000000001E-5</v>
      </c>
      <c r="S115" s="186">
        <f t="shared" si="4"/>
        <v>-1.0000000000000001E-5</v>
      </c>
      <c r="T115" s="194">
        <f>IFERROR(IF($C115="",-0.00001,SUMIFS(Database!V:V,Database!$E:$E,$C115)/$E115),-0.00001)</f>
        <v>-1.0000000000000001E-5</v>
      </c>
      <c r="U115" s="194">
        <f>IFERROR(IF($C115="",-0.00001,SUMIFS(Database!W:W,Database!$E:$E,$C115)/$E115),-0.00001)</f>
        <v>-1.0000000000000001E-5</v>
      </c>
      <c r="V115" s="186">
        <f t="shared" si="5"/>
        <v>-1.0000000000000001E-5</v>
      </c>
      <c r="W115" s="187"/>
      <c r="X115" s="187"/>
      <c r="Y115" s="187"/>
      <c r="Z115" s="187"/>
      <c r="AA115" s="187"/>
      <c r="AB115" s="187"/>
      <c r="AC115" s="187"/>
      <c r="AD115" s="187"/>
      <c r="AE115" s="187"/>
    </row>
    <row r="116" spans="1:31" x14ac:dyDescent="0.25">
      <c r="A116" s="187"/>
      <c r="B116" s="187" t="str">
        <f>IF($C116="","",MAX($B$4:$B115)+1)</f>
        <v/>
      </c>
      <c r="C116" s="183"/>
      <c r="D116" s="183" t="str">
        <f>IFERROR(VLOOKUP($C116,Rosters!$C$4:$M$239,INDEX(Lists!$N$5:$O$80,MATCH($C116,Lists!$N$5:$N$80,FALSE),2)),"")</f>
        <v/>
      </c>
      <c r="E116" s="185">
        <f>IF($C116="",-0.00001,COUNTIF(Database!E:E,$C116))</f>
        <v>-1.0000000000000001E-5</v>
      </c>
      <c r="F116" s="194">
        <f>IFERROR(IF($C116="",-0.00001,SUMIFS(Database!H:H,Database!$E:$E,$C116)/$E116),-0.00001)</f>
        <v>-1.0000000000000001E-5</v>
      </c>
      <c r="G116" s="194">
        <f>IFERROR(IF($C116="",-0.00001,SUMIFS(Database!I:I,Database!$E:$E,$C116)/$E116),-0.00001)</f>
        <v>-1.0000000000000001E-5</v>
      </c>
      <c r="H116" s="194">
        <f>IFERROR(IF($C116="",-0.00001,SUMIFS(Database!J:J,Database!$E:$E,$C116)/$E116),-0.00001)</f>
        <v>-1.0000000000000001E-5</v>
      </c>
      <c r="I116" s="194">
        <f>IFERROR(IF($C116="",-0.00001,SUMIFS(Database!K:K,Database!$E:$E,$C116)/$E116),-0.00001)</f>
        <v>-1.0000000000000001E-5</v>
      </c>
      <c r="J116" s="194">
        <f>IFERROR(IF($C116="",-0.00001,SUMIFS(Database!L:L,Database!$E:$E,$C116)/$E116),-0.00001)</f>
        <v>-1.0000000000000001E-5</v>
      </c>
      <c r="K116" s="194">
        <f>IFERROR(IF($C116="",-0.00001,SUMIFS(Database!M:M,Database!$E:$E,$C116)/$E116),-0.00001)</f>
        <v>-1.0000000000000001E-5</v>
      </c>
      <c r="L116" s="194">
        <f>IFERROR(IF($C116="",-0.00001,SUMIFS(Database!N:N,Database!$E:$E,$C116)/$E116),-0.00001)</f>
        <v>-1.0000000000000001E-5</v>
      </c>
      <c r="M116" s="194">
        <f>IFERROR(IF($C116="",-0.00001,SUMIFS(Database!O:O,Database!$E:$E,$C116)/$E116),-0.00001)</f>
        <v>-1.0000000000000001E-5</v>
      </c>
      <c r="N116" s="194">
        <f>IFERROR(IF($C116="",-0.00001,SUMIFS(Database!P:P,Database!$E:$E,$C116)/$E116),-0.00001)</f>
        <v>-1.0000000000000001E-5</v>
      </c>
      <c r="O116" s="194">
        <f>IFERROR(IF($C116="",-0.00001,SUMIFS(Database!Q:Q,Database!$E:$E,$C116)/$E116),-0.00001)</f>
        <v>-1.0000000000000001E-5</v>
      </c>
      <c r="P116" s="186">
        <f t="shared" si="3"/>
        <v>-1.0000000000000001E-5</v>
      </c>
      <c r="Q116" s="194">
        <f>IFERROR(IF($C116="",-0.00001,SUMIFS(Database!S:S,Database!$E:$E,$C116)/$E116),-0.00001)</f>
        <v>-1.0000000000000001E-5</v>
      </c>
      <c r="R116" s="194">
        <f>IFERROR(IF($C116="",-0.00001,SUMIFS(Database!T:T,Database!$E:$E,$C116)/$E116),-0.00001)</f>
        <v>-1.0000000000000001E-5</v>
      </c>
      <c r="S116" s="186">
        <f t="shared" si="4"/>
        <v>-1.0000000000000001E-5</v>
      </c>
      <c r="T116" s="194">
        <f>IFERROR(IF($C116="",-0.00001,SUMIFS(Database!V:V,Database!$E:$E,$C116)/$E116),-0.00001)</f>
        <v>-1.0000000000000001E-5</v>
      </c>
      <c r="U116" s="194">
        <f>IFERROR(IF($C116="",-0.00001,SUMIFS(Database!W:W,Database!$E:$E,$C116)/$E116),-0.00001)</f>
        <v>-1.0000000000000001E-5</v>
      </c>
      <c r="V116" s="186">
        <f t="shared" si="5"/>
        <v>-1.0000000000000001E-5</v>
      </c>
      <c r="W116" s="187"/>
      <c r="X116" s="187"/>
      <c r="Y116" s="187"/>
      <c r="Z116" s="187"/>
      <c r="AA116" s="187"/>
      <c r="AB116" s="187"/>
      <c r="AC116" s="187"/>
      <c r="AD116" s="187"/>
      <c r="AE116" s="187"/>
    </row>
    <row r="117" spans="1:31" x14ac:dyDescent="0.25">
      <c r="A117" s="187"/>
      <c r="B117" s="187" t="str">
        <f>IF($C117="","",MAX($B$4:$B116)+1)</f>
        <v/>
      </c>
      <c r="C117" s="183"/>
      <c r="D117" s="183" t="str">
        <f>IFERROR(VLOOKUP($C117,Rosters!$C$4:$M$239,INDEX(Lists!$N$5:$O$80,MATCH($C117,Lists!$N$5:$N$80,FALSE),2)),"")</f>
        <v/>
      </c>
      <c r="E117" s="185">
        <f>IF($C117="",-0.00001,COUNTIF(Database!E:E,$C117))</f>
        <v>-1.0000000000000001E-5</v>
      </c>
      <c r="F117" s="194">
        <f>IFERROR(IF($C117="",-0.00001,SUMIFS(Database!H:H,Database!$E:$E,$C117)/$E117),-0.00001)</f>
        <v>-1.0000000000000001E-5</v>
      </c>
      <c r="G117" s="194">
        <f>IFERROR(IF($C117="",-0.00001,SUMIFS(Database!I:I,Database!$E:$E,$C117)/$E117),-0.00001)</f>
        <v>-1.0000000000000001E-5</v>
      </c>
      <c r="H117" s="194">
        <f>IFERROR(IF($C117="",-0.00001,SUMIFS(Database!J:J,Database!$E:$E,$C117)/$E117),-0.00001)</f>
        <v>-1.0000000000000001E-5</v>
      </c>
      <c r="I117" s="194">
        <f>IFERROR(IF($C117="",-0.00001,SUMIFS(Database!K:K,Database!$E:$E,$C117)/$E117),-0.00001)</f>
        <v>-1.0000000000000001E-5</v>
      </c>
      <c r="J117" s="194">
        <f>IFERROR(IF($C117="",-0.00001,SUMIFS(Database!L:L,Database!$E:$E,$C117)/$E117),-0.00001)</f>
        <v>-1.0000000000000001E-5</v>
      </c>
      <c r="K117" s="194">
        <f>IFERROR(IF($C117="",-0.00001,SUMIFS(Database!M:M,Database!$E:$E,$C117)/$E117),-0.00001)</f>
        <v>-1.0000000000000001E-5</v>
      </c>
      <c r="L117" s="194">
        <f>IFERROR(IF($C117="",-0.00001,SUMIFS(Database!N:N,Database!$E:$E,$C117)/$E117),-0.00001)</f>
        <v>-1.0000000000000001E-5</v>
      </c>
      <c r="M117" s="194">
        <f>IFERROR(IF($C117="",-0.00001,SUMIFS(Database!O:O,Database!$E:$E,$C117)/$E117),-0.00001)</f>
        <v>-1.0000000000000001E-5</v>
      </c>
      <c r="N117" s="194">
        <f>IFERROR(IF($C117="",-0.00001,SUMIFS(Database!P:P,Database!$E:$E,$C117)/$E117),-0.00001)</f>
        <v>-1.0000000000000001E-5</v>
      </c>
      <c r="O117" s="194">
        <f>IFERROR(IF($C117="",-0.00001,SUMIFS(Database!Q:Q,Database!$E:$E,$C117)/$E117),-0.00001)</f>
        <v>-1.0000000000000001E-5</v>
      </c>
      <c r="P117" s="186">
        <f t="shared" si="3"/>
        <v>-1.0000000000000001E-5</v>
      </c>
      <c r="Q117" s="194">
        <f>IFERROR(IF($C117="",-0.00001,SUMIFS(Database!S:S,Database!$E:$E,$C117)/$E117),-0.00001)</f>
        <v>-1.0000000000000001E-5</v>
      </c>
      <c r="R117" s="194">
        <f>IFERROR(IF($C117="",-0.00001,SUMIFS(Database!T:T,Database!$E:$E,$C117)/$E117),-0.00001)</f>
        <v>-1.0000000000000001E-5</v>
      </c>
      <c r="S117" s="186">
        <f t="shared" si="4"/>
        <v>-1.0000000000000001E-5</v>
      </c>
      <c r="T117" s="194">
        <f>IFERROR(IF($C117="",-0.00001,SUMIFS(Database!V:V,Database!$E:$E,$C117)/$E117),-0.00001)</f>
        <v>-1.0000000000000001E-5</v>
      </c>
      <c r="U117" s="194">
        <f>IFERROR(IF($C117="",-0.00001,SUMIFS(Database!W:W,Database!$E:$E,$C117)/$E117),-0.00001)</f>
        <v>-1.0000000000000001E-5</v>
      </c>
      <c r="V117" s="186">
        <f t="shared" si="5"/>
        <v>-1.0000000000000001E-5</v>
      </c>
      <c r="W117" s="187"/>
      <c r="X117" s="187"/>
      <c r="Y117" s="187"/>
      <c r="Z117" s="187"/>
      <c r="AA117" s="187"/>
      <c r="AB117" s="187"/>
      <c r="AC117" s="187"/>
      <c r="AD117" s="187"/>
      <c r="AE117" s="187"/>
    </row>
    <row r="118" spans="1:31" x14ac:dyDescent="0.25">
      <c r="A118" s="187"/>
      <c r="B118" s="187" t="str">
        <f>IF($C118="","",MAX($B$4:$B117)+1)</f>
        <v/>
      </c>
      <c r="C118" s="183"/>
      <c r="D118" s="183" t="str">
        <f>IFERROR(VLOOKUP($C118,Rosters!$C$4:$M$239,INDEX(Lists!$N$5:$O$80,MATCH($C118,Lists!$N$5:$N$80,FALSE),2)),"")</f>
        <v/>
      </c>
      <c r="E118" s="185">
        <f>IF($C118="",-0.00001,COUNTIF(Database!E:E,$C118))</f>
        <v>-1.0000000000000001E-5</v>
      </c>
      <c r="F118" s="194">
        <f>IFERROR(IF($C118="",-0.00001,SUMIFS(Database!H:H,Database!$E:$E,$C118)/$E118),-0.00001)</f>
        <v>-1.0000000000000001E-5</v>
      </c>
      <c r="G118" s="194">
        <f>IFERROR(IF($C118="",-0.00001,SUMIFS(Database!I:I,Database!$E:$E,$C118)/$E118),-0.00001)</f>
        <v>-1.0000000000000001E-5</v>
      </c>
      <c r="H118" s="194">
        <f>IFERROR(IF($C118="",-0.00001,SUMIFS(Database!J:J,Database!$E:$E,$C118)/$E118),-0.00001)</f>
        <v>-1.0000000000000001E-5</v>
      </c>
      <c r="I118" s="194">
        <f>IFERROR(IF($C118="",-0.00001,SUMIFS(Database!K:K,Database!$E:$E,$C118)/$E118),-0.00001)</f>
        <v>-1.0000000000000001E-5</v>
      </c>
      <c r="J118" s="194">
        <f>IFERROR(IF($C118="",-0.00001,SUMIFS(Database!L:L,Database!$E:$E,$C118)/$E118),-0.00001)</f>
        <v>-1.0000000000000001E-5</v>
      </c>
      <c r="K118" s="194">
        <f>IFERROR(IF($C118="",-0.00001,SUMIFS(Database!M:M,Database!$E:$E,$C118)/$E118),-0.00001)</f>
        <v>-1.0000000000000001E-5</v>
      </c>
      <c r="L118" s="194">
        <f>IFERROR(IF($C118="",-0.00001,SUMIFS(Database!N:N,Database!$E:$E,$C118)/$E118),-0.00001)</f>
        <v>-1.0000000000000001E-5</v>
      </c>
      <c r="M118" s="194">
        <f>IFERROR(IF($C118="",-0.00001,SUMIFS(Database!O:O,Database!$E:$E,$C118)/$E118),-0.00001)</f>
        <v>-1.0000000000000001E-5</v>
      </c>
      <c r="N118" s="194">
        <f>IFERROR(IF($C118="",-0.00001,SUMIFS(Database!P:P,Database!$E:$E,$C118)/$E118),-0.00001)</f>
        <v>-1.0000000000000001E-5</v>
      </c>
      <c r="O118" s="194">
        <f>IFERROR(IF($C118="",-0.00001,SUMIFS(Database!Q:Q,Database!$E:$E,$C118)/$E118),-0.00001)</f>
        <v>-1.0000000000000001E-5</v>
      </c>
      <c r="P118" s="186">
        <f t="shared" si="3"/>
        <v>-1.0000000000000001E-5</v>
      </c>
      <c r="Q118" s="194">
        <f>IFERROR(IF($C118="",-0.00001,SUMIFS(Database!S:S,Database!$E:$E,$C118)/$E118),-0.00001)</f>
        <v>-1.0000000000000001E-5</v>
      </c>
      <c r="R118" s="194">
        <f>IFERROR(IF($C118="",-0.00001,SUMIFS(Database!T:T,Database!$E:$E,$C118)/$E118),-0.00001)</f>
        <v>-1.0000000000000001E-5</v>
      </c>
      <c r="S118" s="186">
        <f t="shared" si="4"/>
        <v>-1.0000000000000001E-5</v>
      </c>
      <c r="T118" s="194">
        <f>IFERROR(IF($C118="",-0.00001,SUMIFS(Database!V:V,Database!$E:$E,$C118)/$E118),-0.00001)</f>
        <v>-1.0000000000000001E-5</v>
      </c>
      <c r="U118" s="194">
        <f>IFERROR(IF($C118="",-0.00001,SUMIFS(Database!W:W,Database!$E:$E,$C118)/$E118),-0.00001)</f>
        <v>-1.0000000000000001E-5</v>
      </c>
      <c r="V118" s="186">
        <f t="shared" si="5"/>
        <v>-1.0000000000000001E-5</v>
      </c>
      <c r="W118" s="187"/>
      <c r="X118" s="187"/>
      <c r="Y118" s="187"/>
      <c r="Z118" s="187"/>
      <c r="AA118" s="187"/>
      <c r="AB118" s="187"/>
      <c r="AC118" s="187"/>
      <c r="AD118" s="187"/>
      <c r="AE118" s="187"/>
    </row>
    <row r="119" spans="1:31" x14ac:dyDescent="0.25">
      <c r="A119" s="187"/>
      <c r="B119" s="187" t="str">
        <f>IF($C119="","",MAX($B$4:$B118)+1)</f>
        <v/>
      </c>
      <c r="C119" s="183"/>
      <c r="D119" s="183" t="str">
        <f>IFERROR(VLOOKUP($C119,Rosters!$C$4:$M$239,INDEX(Lists!$N$5:$O$80,MATCH($C119,Lists!$N$5:$N$80,FALSE),2)),"")</f>
        <v/>
      </c>
      <c r="E119" s="185">
        <f>IF($C119="",-0.00001,COUNTIF(Database!E:E,$C119))</f>
        <v>-1.0000000000000001E-5</v>
      </c>
      <c r="F119" s="194">
        <f>IFERROR(IF($C119="",-0.00001,SUMIFS(Database!H:H,Database!$E:$E,$C119)/$E119),-0.00001)</f>
        <v>-1.0000000000000001E-5</v>
      </c>
      <c r="G119" s="194">
        <f>IFERROR(IF($C119="",-0.00001,SUMIFS(Database!I:I,Database!$E:$E,$C119)/$E119),-0.00001)</f>
        <v>-1.0000000000000001E-5</v>
      </c>
      <c r="H119" s="194">
        <f>IFERROR(IF($C119="",-0.00001,SUMIFS(Database!J:J,Database!$E:$E,$C119)/$E119),-0.00001)</f>
        <v>-1.0000000000000001E-5</v>
      </c>
      <c r="I119" s="194">
        <f>IFERROR(IF($C119="",-0.00001,SUMIFS(Database!K:K,Database!$E:$E,$C119)/$E119),-0.00001)</f>
        <v>-1.0000000000000001E-5</v>
      </c>
      <c r="J119" s="194">
        <f>IFERROR(IF($C119="",-0.00001,SUMIFS(Database!L:L,Database!$E:$E,$C119)/$E119),-0.00001)</f>
        <v>-1.0000000000000001E-5</v>
      </c>
      <c r="K119" s="194">
        <f>IFERROR(IF($C119="",-0.00001,SUMIFS(Database!M:M,Database!$E:$E,$C119)/$E119),-0.00001)</f>
        <v>-1.0000000000000001E-5</v>
      </c>
      <c r="L119" s="194">
        <f>IFERROR(IF($C119="",-0.00001,SUMIFS(Database!N:N,Database!$E:$E,$C119)/$E119),-0.00001)</f>
        <v>-1.0000000000000001E-5</v>
      </c>
      <c r="M119" s="194">
        <f>IFERROR(IF($C119="",-0.00001,SUMIFS(Database!O:O,Database!$E:$E,$C119)/$E119),-0.00001)</f>
        <v>-1.0000000000000001E-5</v>
      </c>
      <c r="N119" s="194">
        <f>IFERROR(IF($C119="",-0.00001,SUMIFS(Database!P:P,Database!$E:$E,$C119)/$E119),-0.00001)</f>
        <v>-1.0000000000000001E-5</v>
      </c>
      <c r="O119" s="194">
        <f>IFERROR(IF($C119="",-0.00001,SUMIFS(Database!Q:Q,Database!$E:$E,$C119)/$E119),-0.00001)</f>
        <v>-1.0000000000000001E-5</v>
      </c>
      <c r="P119" s="186">
        <f t="shared" si="3"/>
        <v>-1.0000000000000001E-5</v>
      </c>
      <c r="Q119" s="194">
        <f>IFERROR(IF($C119="",-0.00001,SUMIFS(Database!S:S,Database!$E:$E,$C119)/$E119),-0.00001)</f>
        <v>-1.0000000000000001E-5</v>
      </c>
      <c r="R119" s="194">
        <f>IFERROR(IF($C119="",-0.00001,SUMIFS(Database!T:T,Database!$E:$E,$C119)/$E119),-0.00001)</f>
        <v>-1.0000000000000001E-5</v>
      </c>
      <c r="S119" s="186">
        <f t="shared" si="4"/>
        <v>-1.0000000000000001E-5</v>
      </c>
      <c r="T119" s="194">
        <f>IFERROR(IF($C119="",-0.00001,SUMIFS(Database!V:V,Database!$E:$E,$C119)/$E119),-0.00001)</f>
        <v>-1.0000000000000001E-5</v>
      </c>
      <c r="U119" s="194">
        <f>IFERROR(IF($C119="",-0.00001,SUMIFS(Database!W:W,Database!$E:$E,$C119)/$E119),-0.00001)</f>
        <v>-1.0000000000000001E-5</v>
      </c>
      <c r="V119" s="186">
        <f t="shared" si="5"/>
        <v>-1.0000000000000001E-5</v>
      </c>
      <c r="W119" s="187"/>
      <c r="X119" s="187"/>
      <c r="Y119" s="187"/>
      <c r="Z119" s="187"/>
      <c r="AA119" s="187"/>
      <c r="AB119" s="187"/>
      <c r="AC119" s="187"/>
      <c r="AD119" s="187"/>
      <c r="AE119" s="187"/>
    </row>
    <row r="120" spans="1:31" x14ac:dyDescent="0.25">
      <c r="A120" s="187"/>
      <c r="B120" s="187" t="str">
        <f>IF($C120="","",MAX($B$4:$B119)+1)</f>
        <v/>
      </c>
      <c r="C120" s="183"/>
      <c r="D120" s="183" t="str">
        <f>IFERROR(VLOOKUP($C120,Rosters!$C$4:$M$239,INDEX(Lists!$N$5:$O$80,MATCH($C120,Lists!$N$5:$N$80,FALSE),2)),"")</f>
        <v/>
      </c>
      <c r="E120" s="185">
        <f>IF($C120="",-0.00001,COUNTIF(Database!E:E,$C120))</f>
        <v>-1.0000000000000001E-5</v>
      </c>
      <c r="F120" s="194">
        <f>IFERROR(IF($C120="",-0.00001,SUMIFS(Database!H:H,Database!$E:$E,$C120)/$E120),-0.00001)</f>
        <v>-1.0000000000000001E-5</v>
      </c>
      <c r="G120" s="194">
        <f>IFERROR(IF($C120="",-0.00001,SUMIFS(Database!I:I,Database!$E:$E,$C120)/$E120),-0.00001)</f>
        <v>-1.0000000000000001E-5</v>
      </c>
      <c r="H120" s="194">
        <f>IFERROR(IF($C120="",-0.00001,SUMIFS(Database!J:J,Database!$E:$E,$C120)/$E120),-0.00001)</f>
        <v>-1.0000000000000001E-5</v>
      </c>
      <c r="I120" s="194">
        <f>IFERROR(IF($C120="",-0.00001,SUMIFS(Database!K:K,Database!$E:$E,$C120)/$E120),-0.00001)</f>
        <v>-1.0000000000000001E-5</v>
      </c>
      <c r="J120" s="194">
        <f>IFERROR(IF($C120="",-0.00001,SUMIFS(Database!L:L,Database!$E:$E,$C120)/$E120),-0.00001)</f>
        <v>-1.0000000000000001E-5</v>
      </c>
      <c r="K120" s="194">
        <f>IFERROR(IF($C120="",-0.00001,SUMIFS(Database!M:M,Database!$E:$E,$C120)/$E120),-0.00001)</f>
        <v>-1.0000000000000001E-5</v>
      </c>
      <c r="L120" s="194">
        <f>IFERROR(IF($C120="",-0.00001,SUMIFS(Database!N:N,Database!$E:$E,$C120)/$E120),-0.00001)</f>
        <v>-1.0000000000000001E-5</v>
      </c>
      <c r="M120" s="194">
        <f>IFERROR(IF($C120="",-0.00001,SUMIFS(Database!O:O,Database!$E:$E,$C120)/$E120),-0.00001)</f>
        <v>-1.0000000000000001E-5</v>
      </c>
      <c r="N120" s="194">
        <f>IFERROR(IF($C120="",-0.00001,SUMIFS(Database!P:P,Database!$E:$E,$C120)/$E120),-0.00001)</f>
        <v>-1.0000000000000001E-5</v>
      </c>
      <c r="O120" s="194">
        <f>IFERROR(IF($C120="",-0.00001,SUMIFS(Database!Q:Q,Database!$E:$E,$C120)/$E120),-0.00001)</f>
        <v>-1.0000000000000001E-5</v>
      </c>
      <c r="P120" s="186">
        <f t="shared" si="3"/>
        <v>-1.0000000000000001E-5</v>
      </c>
      <c r="Q120" s="194">
        <f>IFERROR(IF($C120="",-0.00001,SUMIFS(Database!S:S,Database!$E:$E,$C120)/$E120),-0.00001)</f>
        <v>-1.0000000000000001E-5</v>
      </c>
      <c r="R120" s="194">
        <f>IFERROR(IF($C120="",-0.00001,SUMIFS(Database!T:T,Database!$E:$E,$C120)/$E120),-0.00001)</f>
        <v>-1.0000000000000001E-5</v>
      </c>
      <c r="S120" s="186">
        <f t="shared" si="4"/>
        <v>-1.0000000000000001E-5</v>
      </c>
      <c r="T120" s="194">
        <f>IFERROR(IF($C120="",-0.00001,SUMIFS(Database!V:V,Database!$E:$E,$C120)/$E120),-0.00001)</f>
        <v>-1.0000000000000001E-5</v>
      </c>
      <c r="U120" s="194">
        <f>IFERROR(IF($C120="",-0.00001,SUMIFS(Database!W:W,Database!$E:$E,$C120)/$E120),-0.00001)</f>
        <v>-1.0000000000000001E-5</v>
      </c>
      <c r="V120" s="186">
        <f t="shared" si="5"/>
        <v>-1.0000000000000001E-5</v>
      </c>
      <c r="W120" s="187"/>
      <c r="X120" s="187"/>
      <c r="Y120" s="187"/>
      <c r="Z120" s="187"/>
      <c r="AA120" s="187"/>
      <c r="AB120" s="187"/>
      <c r="AC120" s="187"/>
      <c r="AD120" s="187"/>
      <c r="AE120" s="187"/>
    </row>
    <row r="121" spans="1:31" x14ac:dyDescent="0.25">
      <c r="A121" s="187"/>
      <c r="B121" s="187" t="str">
        <f>IF($C121="","",MAX($B$4:$B120)+1)</f>
        <v/>
      </c>
      <c r="C121" s="183"/>
      <c r="D121" s="183" t="str">
        <f>IFERROR(VLOOKUP($C121,Rosters!$C$4:$M$239,INDEX(Lists!$N$5:$O$80,MATCH($C121,Lists!$N$5:$N$80,FALSE),2)),"")</f>
        <v/>
      </c>
      <c r="E121" s="185">
        <f>IF($C121="",-0.00001,COUNTIF(Database!E:E,$C121))</f>
        <v>-1.0000000000000001E-5</v>
      </c>
      <c r="F121" s="194">
        <f>IFERROR(IF($C121="",-0.00001,SUMIFS(Database!H:H,Database!$E:$E,$C121)/$E121),-0.00001)</f>
        <v>-1.0000000000000001E-5</v>
      </c>
      <c r="G121" s="194">
        <f>IFERROR(IF($C121="",-0.00001,SUMIFS(Database!I:I,Database!$E:$E,$C121)/$E121),-0.00001)</f>
        <v>-1.0000000000000001E-5</v>
      </c>
      <c r="H121" s="194">
        <f>IFERROR(IF($C121="",-0.00001,SUMIFS(Database!J:J,Database!$E:$E,$C121)/$E121),-0.00001)</f>
        <v>-1.0000000000000001E-5</v>
      </c>
      <c r="I121" s="194">
        <f>IFERROR(IF($C121="",-0.00001,SUMIFS(Database!K:K,Database!$E:$E,$C121)/$E121),-0.00001)</f>
        <v>-1.0000000000000001E-5</v>
      </c>
      <c r="J121" s="194">
        <f>IFERROR(IF($C121="",-0.00001,SUMIFS(Database!L:L,Database!$E:$E,$C121)/$E121),-0.00001)</f>
        <v>-1.0000000000000001E-5</v>
      </c>
      <c r="K121" s="194">
        <f>IFERROR(IF($C121="",-0.00001,SUMIFS(Database!M:M,Database!$E:$E,$C121)/$E121),-0.00001)</f>
        <v>-1.0000000000000001E-5</v>
      </c>
      <c r="L121" s="194">
        <f>IFERROR(IF($C121="",-0.00001,SUMIFS(Database!N:N,Database!$E:$E,$C121)/$E121),-0.00001)</f>
        <v>-1.0000000000000001E-5</v>
      </c>
      <c r="M121" s="194">
        <f>IFERROR(IF($C121="",-0.00001,SUMIFS(Database!O:O,Database!$E:$E,$C121)/$E121),-0.00001)</f>
        <v>-1.0000000000000001E-5</v>
      </c>
      <c r="N121" s="194">
        <f>IFERROR(IF($C121="",-0.00001,SUMIFS(Database!P:P,Database!$E:$E,$C121)/$E121),-0.00001)</f>
        <v>-1.0000000000000001E-5</v>
      </c>
      <c r="O121" s="194">
        <f>IFERROR(IF($C121="",-0.00001,SUMIFS(Database!Q:Q,Database!$E:$E,$C121)/$E121),-0.00001)</f>
        <v>-1.0000000000000001E-5</v>
      </c>
      <c r="P121" s="186">
        <f t="shared" si="3"/>
        <v>-1.0000000000000001E-5</v>
      </c>
      <c r="Q121" s="194">
        <f>IFERROR(IF($C121="",-0.00001,SUMIFS(Database!S:S,Database!$E:$E,$C121)/$E121),-0.00001)</f>
        <v>-1.0000000000000001E-5</v>
      </c>
      <c r="R121" s="194">
        <f>IFERROR(IF($C121="",-0.00001,SUMIFS(Database!T:T,Database!$E:$E,$C121)/$E121),-0.00001)</f>
        <v>-1.0000000000000001E-5</v>
      </c>
      <c r="S121" s="186">
        <f t="shared" si="4"/>
        <v>-1.0000000000000001E-5</v>
      </c>
      <c r="T121" s="194">
        <f>IFERROR(IF($C121="",-0.00001,SUMIFS(Database!V:V,Database!$E:$E,$C121)/$E121),-0.00001)</f>
        <v>-1.0000000000000001E-5</v>
      </c>
      <c r="U121" s="194">
        <f>IFERROR(IF($C121="",-0.00001,SUMIFS(Database!W:W,Database!$E:$E,$C121)/$E121),-0.00001)</f>
        <v>-1.0000000000000001E-5</v>
      </c>
      <c r="V121" s="186">
        <f t="shared" si="5"/>
        <v>-1.0000000000000001E-5</v>
      </c>
      <c r="W121" s="187"/>
      <c r="X121" s="187"/>
      <c r="Y121" s="187"/>
      <c r="Z121" s="187"/>
      <c r="AA121" s="187"/>
      <c r="AB121" s="187"/>
      <c r="AC121" s="187"/>
      <c r="AD121" s="187"/>
      <c r="AE121" s="187"/>
    </row>
    <row r="122" spans="1:31" x14ac:dyDescent="0.25">
      <c r="A122" s="187"/>
      <c r="B122" s="187" t="str">
        <f>IF($C122="","",MAX($B$4:$B121)+1)</f>
        <v/>
      </c>
      <c r="C122" s="183"/>
      <c r="D122" s="183" t="str">
        <f>IFERROR(VLOOKUP($C122,Rosters!$C$4:$M$239,INDEX(Lists!$N$5:$O$80,MATCH($C122,Lists!$N$5:$N$80,FALSE),2)),"")</f>
        <v/>
      </c>
      <c r="E122" s="185">
        <f>IF($C122="",-0.00001,COUNTIF(Database!E:E,$C122))</f>
        <v>-1.0000000000000001E-5</v>
      </c>
      <c r="F122" s="194">
        <f>IFERROR(IF($C122="",-0.00001,SUMIFS(Database!H:H,Database!$E:$E,$C122)/$E122),-0.00001)</f>
        <v>-1.0000000000000001E-5</v>
      </c>
      <c r="G122" s="194">
        <f>IFERROR(IF($C122="",-0.00001,SUMIFS(Database!I:I,Database!$E:$E,$C122)/$E122),-0.00001)</f>
        <v>-1.0000000000000001E-5</v>
      </c>
      <c r="H122" s="194">
        <f>IFERROR(IF($C122="",-0.00001,SUMIFS(Database!J:J,Database!$E:$E,$C122)/$E122),-0.00001)</f>
        <v>-1.0000000000000001E-5</v>
      </c>
      <c r="I122" s="194">
        <f>IFERROR(IF($C122="",-0.00001,SUMIFS(Database!K:K,Database!$E:$E,$C122)/$E122),-0.00001)</f>
        <v>-1.0000000000000001E-5</v>
      </c>
      <c r="J122" s="194">
        <f>IFERROR(IF($C122="",-0.00001,SUMIFS(Database!L:L,Database!$E:$E,$C122)/$E122),-0.00001)</f>
        <v>-1.0000000000000001E-5</v>
      </c>
      <c r="K122" s="194">
        <f>IFERROR(IF($C122="",-0.00001,SUMIFS(Database!M:M,Database!$E:$E,$C122)/$E122),-0.00001)</f>
        <v>-1.0000000000000001E-5</v>
      </c>
      <c r="L122" s="194">
        <f>IFERROR(IF($C122="",-0.00001,SUMIFS(Database!N:N,Database!$E:$E,$C122)/$E122),-0.00001)</f>
        <v>-1.0000000000000001E-5</v>
      </c>
      <c r="M122" s="194">
        <f>IFERROR(IF($C122="",-0.00001,SUMIFS(Database!O:O,Database!$E:$E,$C122)/$E122),-0.00001)</f>
        <v>-1.0000000000000001E-5</v>
      </c>
      <c r="N122" s="194">
        <f>IFERROR(IF($C122="",-0.00001,SUMIFS(Database!P:P,Database!$E:$E,$C122)/$E122),-0.00001)</f>
        <v>-1.0000000000000001E-5</v>
      </c>
      <c r="O122" s="194">
        <f>IFERROR(IF($C122="",-0.00001,SUMIFS(Database!Q:Q,Database!$E:$E,$C122)/$E122),-0.00001)</f>
        <v>-1.0000000000000001E-5</v>
      </c>
      <c r="P122" s="186">
        <f t="shared" si="3"/>
        <v>-1.0000000000000001E-5</v>
      </c>
      <c r="Q122" s="194">
        <f>IFERROR(IF($C122="",-0.00001,SUMIFS(Database!S:S,Database!$E:$E,$C122)/$E122),-0.00001)</f>
        <v>-1.0000000000000001E-5</v>
      </c>
      <c r="R122" s="194">
        <f>IFERROR(IF($C122="",-0.00001,SUMIFS(Database!T:T,Database!$E:$E,$C122)/$E122),-0.00001)</f>
        <v>-1.0000000000000001E-5</v>
      </c>
      <c r="S122" s="186">
        <f t="shared" si="4"/>
        <v>-1.0000000000000001E-5</v>
      </c>
      <c r="T122" s="194">
        <f>IFERROR(IF($C122="",-0.00001,SUMIFS(Database!V:V,Database!$E:$E,$C122)/$E122),-0.00001)</f>
        <v>-1.0000000000000001E-5</v>
      </c>
      <c r="U122" s="194">
        <f>IFERROR(IF($C122="",-0.00001,SUMIFS(Database!W:W,Database!$E:$E,$C122)/$E122),-0.00001)</f>
        <v>-1.0000000000000001E-5</v>
      </c>
      <c r="V122" s="186">
        <f t="shared" si="5"/>
        <v>-1.0000000000000001E-5</v>
      </c>
      <c r="W122" s="187"/>
      <c r="X122" s="187"/>
      <c r="Y122" s="187"/>
      <c r="Z122" s="187"/>
      <c r="AA122" s="187"/>
      <c r="AB122" s="187"/>
      <c r="AC122" s="187"/>
      <c r="AD122" s="187"/>
      <c r="AE122" s="187"/>
    </row>
    <row r="123" spans="1:31" x14ac:dyDescent="0.25">
      <c r="A123" s="187"/>
      <c r="B123" s="187" t="str">
        <f>IF($C123="","",MAX($B$4:$B122)+1)</f>
        <v/>
      </c>
      <c r="C123" s="183"/>
      <c r="D123" s="183" t="str">
        <f>IFERROR(VLOOKUP($C123,Rosters!$C$4:$M$239,INDEX(Lists!$N$5:$O$80,MATCH($C123,Lists!$N$5:$N$80,FALSE),2)),"")</f>
        <v/>
      </c>
      <c r="E123" s="185">
        <f>IF($C123="",-0.00001,COUNTIF(Database!E:E,$C123))</f>
        <v>-1.0000000000000001E-5</v>
      </c>
      <c r="F123" s="194">
        <f>IFERROR(IF($C123="",-0.00001,SUMIFS(Database!H:H,Database!$E:$E,$C123)/$E123),-0.00001)</f>
        <v>-1.0000000000000001E-5</v>
      </c>
      <c r="G123" s="194">
        <f>IFERROR(IF($C123="",-0.00001,SUMIFS(Database!I:I,Database!$E:$E,$C123)/$E123),-0.00001)</f>
        <v>-1.0000000000000001E-5</v>
      </c>
      <c r="H123" s="194">
        <f>IFERROR(IF($C123="",-0.00001,SUMIFS(Database!J:J,Database!$E:$E,$C123)/$E123),-0.00001)</f>
        <v>-1.0000000000000001E-5</v>
      </c>
      <c r="I123" s="194">
        <f>IFERROR(IF($C123="",-0.00001,SUMIFS(Database!K:K,Database!$E:$E,$C123)/$E123),-0.00001)</f>
        <v>-1.0000000000000001E-5</v>
      </c>
      <c r="J123" s="194">
        <f>IFERROR(IF($C123="",-0.00001,SUMIFS(Database!L:L,Database!$E:$E,$C123)/$E123),-0.00001)</f>
        <v>-1.0000000000000001E-5</v>
      </c>
      <c r="K123" s="194">
        <f>IFERROR(IF($C123="",-0.00001,SUMIFS(Database!M:M,Database!$E:$E,$C123)/$E123),-0.00001)</f>
        <v>-1.0000000000000001E-5</v>
      </c>
      <c r="L123" s="194">
        <f>IFERROR(IF($C123="",-0.00001,SUMIFS(Database!N:N,Database!$E:$E,$C123)/$E123),-0.00001)</f>
        <v>-1.0000000000000001E-5</v>
      </c>
      <c r="M123" s="194">
        <f>IFERROR(IF($C123="",-0.00001,SUMIFS(Database!O:O,Database!$E:$E,$C123)/$E123),-0.00001)</f>
        <v>-1.0000000000000001E-5</v>
      </c>
      <c r="N123" s="194">
        <f>IFERROR(IF($C123="",-0.00001,SUMIFS(Database!P:P,Database!$E:$E,$C123)/$E123),-0.00001)</f>
        <v>-1.0000000000000001E-5</v>
      </c>
      <c r="O123" s="194">
        <f>IFERROR(IF($C123="",-0.00001,SUMIFS(Database!Q:Q,Database!$E:$E,$C123)/$E123),-0.00001)</f>
        <v>-1.0000000000000001E-5</v>
      </c>
      <c r="P123" s="186">
        <f t="shared" si="3"/>
        <v>-1.0000000000000001E-5</v>
      </c>
      <c r="Q123" s="194">
        <f>IFERROR(IF($C123="",-0.00001,SUMIFS(Database!S:S,Database!$E:$E,$C123)/$E123),-0.00001)</f>
        <v>-1.0000000000000001E-5</v>
      </c>
      <c r="R123" s="194">
        <f>IFERROR(IF($C123="",-0.00001,SUMIFS(Database!T:T,Database!$E:$E,$C123)/$E123),-0.00001)</f>
        <v>-1.0000000000000001E-5</v>
      </c>
      <c r="S123" s="186">
        <f t="shared" si="4"/>
        <v>-1.0000000000000001E-5</v>
      </c>
      <c r="T123" s="194">
        <f>IFERROR(IF($C123="",-0.00001,SUMIFS(Database!V:V,Database!$E:$E,$C123)/$E123),-0.00001)</f>
        <v>-1.0000000000000001E-5</v>
      </c>
      <c r="U123" s="194">
        <f>IFERROR(IF($C123="",-0.00001,SUMIFS(Database!W:W,Database!$E:$E,$C123)/$E123),-0.00001)</f>
        <v>-1.0000000000000001E-5</v>
      </c>
      <c r="V123" s="186">
        <f t="shared" si="5"/>
        <v>-1.0000000000000001E-5</v>
      </c>
      <c r="W123" s="187"/>
      <c r="X123" s="187"/>
      <c r="Y123" s="187"/>
      <c r="Z123" s="187"/>
      <c r="AA123" s="187"/>
      <c r="AB123" s="187"/>
      <c r="AC123" s="187"/>
      <c r="AD123" s="187"/>
      <c r="AE123" s="187"/>
    </row>
    <row r="124" spans="1:31" x14ac:dyDescent="0.25">
      <c r="A124" s="187"/>
      <c r="B124" s="187" t="str">
        <f>IF($C124="","",MAX($B$4:$B123)+1)</f>
        <v/>
      </c>
      <c r="C124" s="183"/>
      <c r="D124" s="183" t="str">
        <f>IFERROR(VLOOKUP($C124,Rosters!$C$4:$M$239,INDEX(Lists!$N$5:$O$80,MATCH($C124,Lists!$N$5:$N$80,FALSE),2)),"")</f>
        <v/>
      </c>
      <c r="E124" s="185">
        <f>IF($C124="",-0.00001,COUNTIF(Database!E:E,$C124))</f>
        <v>-1.0000000000000001E-5</v>
      </c>
      <c r="F124" s="194">
        <f>IFERROR(IF($C124="",-0.00001,SUMIFS(Database!H:H,Database!$E:$E,$C124)/$E124),-0.00001)</f>
        <v>-1.0000000000000001E-5</v>
      </c>
      <c r="G124" s="194">
        <f>IFERROR(IF($C124="",-0.00001,SUMIFS(Database!I:I,Database!$E:$E,$C124)/$E124),-0.00001)</f>
        <v>-1.0000000000000001E-5</v>
      </c>
      <c r="H124" s="194">
        <f>IFERROR(IF($C124="",-0.00001,SUMIFS(Database!J:J,Database!$E:$E,$C124)/$E124),-0.00001)</f>
        <v>-1.0000000000000001E-5</v>
      </c>
      <c r="I124" s="194">
        <f>IFERROR(IF($C124="",-0.00001,SUMIFS(Database!K:K,Database!$E:$E,$C124)/$E124),-0.00001)</f>
        <v>-1.0000000000000001E-5</v>
      </c>
      <c r="J124" s="194">
        <f>IFERROR(IF($C124="",-0.00001,SUMIFS(Database!L:L,Database!$E:$E,$C124)/$E124),-0.00001)</f>
        <v>-1.0000000000000001E-5</v>
      </c>
      <c r="K124" s="194">
        <f>IFERROR(IF($C124="",-0.00001,SUMIFS(Database!M:M,Database!$E:$E,$C124)/$E124),-0.00001)</f>
        <v>-1.0000000000000001E-5</v>
      </c>
      <c r="L124" s="194">
        <f>IFERROR(IF($C124="",-0.00001,SUMIFS(Database!N:N,Database!$E:$E,$C124)/$E124),-0.00001)</f>
        <v>-1.0000000000000001E-5</v>
      </c>
      <c r="M124" s="194">
        <f>IFERROR(IF($C124="",-0.00001,SUMIFS(Database!O:O,Database!$E:$E,$C124)/$E124),-0.00001)</f>
        <v>-1.0000000000000001E-5</v>
      </c>
      <c r="N124" s="194">
        <f>IFERROR(IF($C124="",-0.00001,SUMIFS(Database!P:P,Database!$E:$E,$C124)/$E124),-0.00001)</f>
        <v>-1.0000000000000001E-5</v>
      </c>
      <c r="O124" s="194">
        <f>IFERROR(IF($C124="",-0.00001,SUMIFS(Database!Q:Q,Database!$E:$E,$C124)/$E124),-0.00001)</f>
        <v>-1.0000000000000001E-5</v>
      </c>
      <c r="P124" s="186">
        <f t="shared" si="3"/>
        <v>-1.0000000000000001E-5</v>
      </c>
      <c r="Q124" s="194">
        <f>IFERROR(IF($C124="",-0.00001,SUMIFS(Database!S:S,Database!$E:$E,$C124)/$E124),-0.00001)</f>
        <v>-1.0000000000000001E-5</v>
      </c>
      <c r="R124" s="194">
        <f>IFERROR(IF($C124="",-0.00001,SUMIFS(Database!T:T,Database!$E:$E,$C124)/$E124),-0.00001)</f>
        <v>-1.0000000000000001E-5</v>
      </c>
      <c r="S124" s="186">
        <f t="shared" si="4"/>
        <v>-1.0000000000000001E-5</v>
      </c>
      <c r="T124" s="194">
        <f>IFERROR(IF($C124="",-0.00001,SUMIFS(Database!V:V,Database!$E:$E,$C124)/$E124),-0.00001)</f>
        <v>-1.0000000000000001E-5</v>
      </c>
      <c r="U124" s="194">
        <f>IFERROR(IF($C124="",-0.00001,SUMIFS(Database!W:W,Database!$E:$E,$C124)/$E124),-0.00001)</f>
        <v>-1.0000000000000001E-5</v>
      </c>
      <c r="V124" s="186">
        <f t="shared" si="5"/>
        <v>-1.0000000000000001E-5</v>
      </c>
      <c r="W124" s="187"/>
      <c r="X124" s="187"/>
      <c r="Y124" s="187"/>
      <c r="Z124" s="187"/>
      <c r="AA124" s="187"/>
      <c r="AB124" s="187"/>
      <c r="AC124" s="187"/>
      <c r="AD124" s="187"/>
      <c r="AE124" s="187"/>
    </row>
    <row r="125" spans="1:31" x14ac:dyDescent="0.25">
      <c r="A125" s="187"/>
      <c r="B125" s="187" t="str">
        <f>IF($C125="","",MAX($B$4:$B124)+1)</f>
        <v/>
      </c>
      <c r="C125" s="183"/>
      <c r="D125" s="183" t="str">
        <f>IFERROR(VLOOKUP($C125,Rosters!$C$4:$M$239,INDEX(Lists!$N$5:$O$80,MATCH($C125,Lists!$N$5:$N$80,FALSE),2)),"")</f>
        <v/>
      </c>
      <c r="E125" s="185">
        <f>IF($C125="",-0.00001,COUNTIF(Database!E:E,$C125))</f>
        <v>-1.0000000000000001E-5</v>
      </c>
      <c r="F125" s="194">
        <f>IFERROR(IF($C125="",-0.00001,SUMIFS(Database!H:H,Database!$E:$E,$C125)/$E125),-0.00001)</f>
        <v>-1.0000000000000001E-5</v>
      </c>
      <c r="G125" s="194">
        <f>IFERROR(IF($C125="",-0.00001,SUMIFS(Database!I:I,Database!$E:$E,$C125)/$E125),-0.00001)</f>
        <v>-1.0000000000000001E-5</v>
      </c>
      <c r="H125" s="194">
        <f>IFERROR(IF($C125="",-0.00001,SUMIFS(Database!J:J,Database!$E:$E,$C125)/$E125),-0.00001)</f>
        <v>-1.0000000000000001E-5</v>
      </c>
      <c r="I125" s="194">
        <f>IFERROR(IF($C125="",-0.00001,SUMIFS(Database!K:K,Database!$E:$E,$C125)/$E125),-0.00001)</f>
        <v>-1.0000000000000001E-5</v>
      </c>
      <c r="J125" s="194">
        <f>IFERROR(IF($C125="",-0.00001,SUMIFS(Database!L:L,Database!$E:$E,$C125)/$E125),-0.00001)</f>
        <v>-1.0000000000000001E-5</v>
      </c>
      <c r="K125" s="194">
        <f>IFERROR(IF($C125="",-0.00001,SUMIFS(Database!M:M,Database!$E:$E,$C125)/$E125),-0.00001)</f>
        <v>-1.0000000000000001E-5</v>
      </c>
      <c r="L125" s="194">
        <f>IFERROR(IF($C125="",-0.00001,SUMIFS(Database!N:N,Database!$E:$E,$C125)/$E125),-0.00001)</f>
        <v>-1.0000000000000001E-5</v>
      </c>
      <c r="M125" s="194">
        <f>IFERROR(IF($C125="",-0.00001,SUMIFS(Database!O:O,Database!$E:$E,$C125)/$E125),-0.00001)</f>
        <v>-1.0000000000000001E-5</v>
      </c>
      <c r="N125" s="194">
        <f>IFERROR(IF($C125="",-0.00001,SUMIFS(Database!P:P,Database!$E:$E,$C125)/$E125),-0.00001)</f>
        <v>-1.0000000000000001E-5</v>
      </c>
      <c r="O125" s="194">
        <f>IFERROR(IF($C125="",-0.00001,SUMIFS(Database!Q:Q,Database!$E:$E,$C125)/$E125),-0.00001)</f>
        <v>-1.0000000000000001E-5</v>
      </c>
      <c r="P125" s="186">
        <f t="shared" si="3"/>
        <v>-1.0000000000000001E-5</v>
      </c>
      <c r="Q125" s="194">
        <f>IFERROR(IF($C125="",-0.00001,SUMIFS(Database!S:S,Database!$E:$E,$C125)/$E125),-0.00001)</f>
        <v>-1.0000000000000001E-5</v>
      </c>
      <c r="R125" s="194">
        <f>IFERROR(IF($C125="",-0.00001,SUMIFS(Database!T:T,Database!$E:$E,$C125)/$E125),-0.00001)</f>
        <v>-1.0000000000000001E-5</v>
      </c>
      <c r="S125" s="186">
        <f t="shared" si="4"/>
        <v>-1.0000000000000001E-5</v>
      </c>
      <c r="T125" s="194">
        <f>IFERROR(IF($C125="",-0.00001,SUMIFS(Database!V:V,Database!$E:$E,$C125)/$E125),-0.00001)</f>
        <v>-1.0000000000000001E-5</v>
      </c>
      <c r="U125" s="194">
        <f>IFERROR(IF($C125="",-0.00001,SUMIFS(Database!W:W,Database!$E:$E,$C125)/$E125),-0.00001)</f>
        <v>-1.0000000000000001E-5</v>
      </c>
      <c r="V125" s="186">
        <f t="shared" si="5"/>
        <v>-1.0000000000000001E-5</v>
      </c>
      <c r="W125" s="187"/>
      <c r="X125" s="187"/>
      <c r="Y125" s="187"/>
      <c r="Z125" s="187"/>
      <c r="AA125" s="187"/>
      <c r="AB125" s="187"/>
      <c r="AC125" s="187"/>
      <c r="AD125" s="187"/>
      <c r="AE125" s="187"/>
    </row>
    <row r="126" spans="1:31" x14ac:dyDescent="0.25">
      <c r="A126" s="187"/>
      <c r="B126" s="187" t="str">
        <f>IF($C126="","",MAX($B$4:$B125)+1)</f>
        <v/>
      </c>
      <c r="C126" s="183"/>
      <c r="D126" s="183" t="str">
        <f>IFERROR(VLOOKUP($C126,Rosters!$C$4:$M$239,INDEX(Lists!$N$5:$O$80,MATCH($C126,Lists!$N$5:$N$80,FALSE),2)),"")</f>
        <v/>
      </c>
      <c r="E126" s="185">
        <f>IF($C126="",-0.00001,COUNTIF(Database!E:E,$C126))</f>
        <v>-1.0000000000000001E-5</v>
      </c>
      <c r="F126" s="194">
        <f>IFERROR(IF($C126="",-0.00001,SUMIFS(Database!H:H,Database!$E:$E,$C126)/$E126),-0.00001)</f>
        <v>-1.0000000000000001E-5</v>
      </c>
      <c r="G126" s="194">
        <f>IFERROR(IF($C126="",-0.00001,SUMIFS(Database!I:I,Database!$E:$E,$C126)/$E126),-0.00001)</f>
        <v>-1.0000000000000001E-5</v>
      </c>
      <c r="H126" s="194">
        <f>IFERROR(IF($C126="",-0.00001,SUMIFS(Database!J:J,Database!$E:$E,$C126)/$E126),-0.00001)</f>
        <v>-1.0000000000000001E-5</v>
      </c>
      <c r="I126" s="194">
        <f>IFERROR(IF($C126="",-0.00001,SUMIFS(Database!K:K,Database!$E:$E,$C126)/$E126),-0.00001)</f>
        <v>-1.0000000000000001E-5</v>
      </c>
      <c r="J126" s="194">
        <f>IFERROR(IF($C126="",-0.00001,SUMIFS(Database!L:L,Database!$E:$E,$C126)/$E126),-0.00001)</f>
        <v>-1.0000000000000001E-5</v>
      </c>
      <c r="K126" s="194">
        <f>IFERROR(IF($C126="",-0.00001,SUMIFS(Database!M:M,Database!$E:$E,$C126)/$E126),-0.00001)</f>
        <v>-1.0000000000000001E-5</v>
      </c>
      <c r="L126" s="194">
        <f>IFERROR(IF($C126="",-0.00001,SUMIFS(Database!N:N,Database!$E:$E,$C126)/$E126),-0.00001)</f>
        <v>-1.0000000000000001E-5</v>
      </c>
      <c r="M126" s="194">
        <f>IFERROR(IF($C126="",-0.00001,SUMIFS(Database!O:O,Database!$E:$E,$C126)/$E126),-0.00001)</f>
        <v>-1.0000000000000001E-5</v>
      </c>
      <c r="N126" s="194">
        <f>IFERROR(IF($C126="",-0.00001,SUMIFS(Database!P:P,Database!$E:$E,$C126)/$E126),-0.00001)</f>
        <v>-1.0000000000000001E-5</v>
      </c>
      <c r="O126" s="194">
        <f>IFERROR(IF($C126="",-0.00001,SUMIFS(Database!Q:Q,Database!$E:$E,$C126)/$E126),-0.00001)</f>
        <v>-1.0000000000000001E-5</v>
      </c>
      <c r="P126" s="186">
        <f t="shared" si="3"/>
        <v>-1.0000000000000001E-5</v>
      </c>
      <c r="Q126" s="194">
        <f>IFERROR(IF($C126="",-0.00001,SUMIFS(Database!S:S,Database!$E:$E,$C126)/$E126),-0.00001)</f>
        <v>-1.0000000000000001E-5</v>
      </c>
      <c r="R126" s="194">
        <f>IFERROR(IF($C126="",-0.00001,SUMIFS(Database!T:T,Database!$E:$E,$C126)/$E126),-0.00001)</f>
        <v>-1.0000000000000001E-5</v>
      </c>
      <c r="S126" s="186">
        <f t="shared" si="4"/>
        <v>-1.0000000000000001E-5</v>
      </c>
      <c r="T126" s="194">
        <f>IFERROR(IF($C126="",-0.00001,SUMIFS(Database!V:V,Database!$E:$E,$C126)/$E126),-0.00001)</f>
        <v>-1.0000000000000001E-5</v>
      </c>
      <c r="U126" s="194">
        <f>IFERROR(IF($C126="",-0.00001,SUMIFS(Database!W:W,Database!$E:$E,$C126)/$E126),-0.00001)</f>
        <v>-1.0000000000000001E-5</v>
      </c>
      <c r="V126" s="186">
        <f t="shared" si="5"/>
        <v>-1.0000000000000001E-5</v>
      </c>
      <c r="W126" s="187"/>
      <c r="X126" s="187"/>
      <c r="Y126" s="187"/>
      <c r="Z126" s="187"/>
      <c r="AA126" s="187"/>
      <c r="AB126" s="187"/>
      <c r="AC126" s="187"/>
      <c r="AD126" s="187"/>
      <c r="AE126" s="187"/>
    </row>
    <row r="127" spans="1:31" x14ac:dyDescent="0.25">
      <c r="A127" s="187"/>
      <c r="B127" s="187" t="str">
        <f>IF($C127="","",MAX($B$4:$B126)+1)</f>
        <v/>
      </c>
      <c r="C127" s="183"/>
      <c r="D127" s="183" t="str">
        <f>IFERROR(VLOOKUP($C127,Rosters!$C$4:$M$239,INDEX(Lists!$N$5:$O$80,MATCH($C127,Lists!$N$5:$N$80,FALSE),2)),"")</f>
        <v/>
      </c>
      <c r="E127" s="185">
        <f>IF($C127="",-0.00001,COUNTIF(Database!E:E,$C127))</f>
        <v>-1.0000000000000001E-5</v>
      </c>
      <c r="F127" s="194">
        <f>IFERROR(IF($C127="",-0.00001,SUMIFS(Database!H:H,Database!$E:$E,$C127)/$E127),-0.00001)</f>
        <v>-1.0000000000000001E-5</v>
      </c>
      <c r="G127" s="194">
        <f>IFERROR(IF($C127="",-0.00001,SUMIFS(Database!I:I,Database!$E:$E,$C127)/$E127),-0.00001)</f>
        <v>-1.0000000000000001E-5</v>
      </c>
      <c r="H127" s="194">
        <f>IFERROR(IF($C127="",-0.00001,SUMIFS(Database!J:J,Database!$E:$E,$C127)/$E127),-0.00001)</f>
        <v>-1.0000000000000001E-5</v>
      </c>
      <c r="I127" s="194">
        <f>IFERROR(IF($C127="",-0.00001,SUMIFS(Database!K:K,Database!$E:$E,$C127)/$E127),-0.00001)</f>
        <v>-1.0000000000000001E-5</v>
      </c>
      <c r="J127" s="194">
        <f>IFERROR(IF($C127="",-0.00001,SUMIFS(Database!L:L,Database!$E:$E,$C127)/$E127),-0.00001)</f>
        <v>-1.0000000000000001E-5</v>
      </c>
      <c r="K127" s="194">
        <f>IFERROR(IF($C127="",-0.00001,SUMIFS(Database!M:M,Database!$E:$E,$C127)/$E127),-0.00001)</f>
        <v>-1.0000000000000001E-5</v>
      </c>
      <c r="L127" s="194">
        <f>IFERROR(IF($C127="",-0.00001,SUMIFS(Database!N:N,Database!$E:$E,$C127)/$E127),-0.00001)</f>
        <v>-1.0000000000000001E-5</v>
      </c>
      <c r="M127" s="194">
        <f>IFERROR(IF($C127="",-0.00001,SUMIFS(Database!O:O,Database!$E:$E,$C127)/$E127),-0.00001)</f>
        <v>-1.0000000000000001E-5</v>
      </c>
      <c r="N127" s="194">
        <f>IFERROR(IF($C127="",-0.00001,SUMIFS(Database!P:P,Database!$E:$E,$C127)/$E127),-0.00001)</f>
        <v>-1.0000000000000001E-5</v>
      </c>
      <c r="O127" s="194">
        <f>IFERROR(IF($C127="",-0.00001,SUMIFS(Database!Q:Q,Database!$E:$E,$C127)/$E127),-0.00001)</f>
        <v>-1.0000000000000001E-5</v>
      </c>
      <c r="P127" s="186">
        <f t="shared" si="3"/>
        <v>-1.0000000000000001E-5</v>
      </c>
      <c r="Q127" s="194">
        <f>IFERROR(IF($C127="",-0.00001,SUMIFS(Database!S:S,Database!$E:$E,$C127)/$E127),-0.00001)</f>
        <v>-1.0000000000000001E-5</v>
      </c>
      <c r="R127" s="194">
        <f>IFERROR(IF($C127="",-0.00001,SUMIFS(Database!T:T,Database!$E:$E,$C127)/$E127),-0.00001)</f>
        <v>-1.0000000000000001E-5</v>
      </c>
      <c r="S127" s="186">
        <f t="shared" si="4"/>
        <v>-1.0000000000000001E-5</v>
      </c>
      <c r="T127" s="194">
        <f>IFERROR(IF($C127="",-0.00001,SUMIFS(Database!V:V,Database!$E:$E,$C127)/$E127),-0.00001)</f>
        <v>-1.0000000000000001E-5</v>
      </c>
      <c r="U127" s="194">
        <f>IFERROR(IF($C127="",-0.00001,SUMIFS(Database!W:W,Database!$E:$E,$C127)/$E127),-0.00001)</f>
        <v>-1.0000000000000001E-5</v>
      </c>
      <c r="V127" s="186">
        <f t="shared" si="5"/>
        <v>-1.0000000000000001E-5</v>
      </c>
      <c r="W127" s="187"/>
      <c r="X127" s="187"/>
      <c r="Y127" s="187"/>
      <c r="Z127" s="187"/>
      <c r="AA127" s="187"/>
      <c r="AB127" s="187"/>
      <c r="AC127" s="187"/>
      <c r="AD127" s="187"/>
      <c r="AE127" s="187"/>
    </row>
    <row r="128" spans="1:31" x14ac:dyDescent="0.25">
      <c r="A128" s="187"/>
      <c r="B128" s="187" t="str">
        <f>IF($C128="","",MAX($B$4:$B127)+1)</f>
        <v/>
      </c>
      <c r="C128" s="183"/>
      <c r="D128" s="183" t="str">
        <f>IFERROR(VLOOKUP($C128,Rosters!$C$4:$M$239,INDEX(Lists!$N$5:$O$80,MATCH($C128,Lists!$N$5:$N$80,FALSE),2)),"")</f>
        <v/>
      </c>
      <c r="E128" s="185">
        <f>IF($C128="",-0.00001,COUNTIF(Database!E:E,$C128))</f>
        <v>-1.0000000000000001E-5</v>
      </c>
      <c r="F128" s="194">
        <f>IFERROR(IF($C128="",-0.00001,SUMIFS(Database!H:H,Database!$E:$E,$C128)/$E128),-0.00001)</f>
        <v>-1.0000000000000001E-5</v>
      </c>
      <c r="G128" s="194">
        <f>IFERROR(IF($C128="",-0.00001,SUMIFS(Database!I:I,Database!$E:$E,$C128)/$E128),-0.00001)</f>
        <v>-1.0000000000000001E-5</v>
      </c>
      <c r="H128" s="194">
        <f>IFERROR(IF($C128="",-0.00001,SUMIFS(Database!J:J,Database!$E:$E,$C128)/$E128),-0.00001)</f>
        <v>-1.0000000000000001E-5</v>
      </c>
      <c r="I128" s="194">
        <f>IFERROR(IF($C128="",-0.00001,SUMIFS(Database!K:K,Database!$E:$E,$C128)/$E128),-0.00001)</f>
        <v>-1.0000000000000001E-5</v>
      </c>
      <c r="J128" s="194">
        <f>IFERROR(IF($C128="",-0.00001,SUMIFS(Database!L:L,Database!$E:$E,$C128)/$E128),-0.00001)</f>
        <v>-1.0000000000000001E-5</v>
      </c>
      <c r="K128" s="194">
        <f>IFERROR(IF($C128="",-0.00001,SUMIFS(Database!M:M,Database!$E:$E,$C128)/$E128),-0.00001)</f>
        <v>-1.0000000000000001E-5</v>
      </c>
      <c r="L128" s="194">
        <f>IFERROR(IF($C128="",-0.00001,SUMIFS(Database!N:N,Database!$E:$E,$C128)/$E128),-0.00001)</f>
        <v>-1.0000000000000001E-5</v>
      </c>
      <c r="M128" s="194">
        <f>IFERROR(IF($C128="",-0.00001,SUMIFS(Database!O:O,Database!$E:$E,$C128)/$E128),-0.00001)</f>
        <v>-1.0000000000000001E-5</v>
      </c>
      <c r="N128" s="194">
        <f>IFERROR(IF($C128="",-0.00001,SUMIFS(Database!P:P,Database!$E:$E,$C128)/$E128),-0.00001)</f>
        <v>-1.0000000000000001E-5</v>
      </c>
      <c r="O128" s="194">
        <f>IFERROR(IF($C128="",-0.00001,SUMIFS(Database!Q:Q,Database!$E:$E,$C128)/$E128),-0.00001)</f>
        <v>-1.0000000000000001E-5</v>
      </c>
      <c r="P128" s="186">
        <f t="shared" si="3"/>
        <v>-1.0000000000000001E-5</v>
      </c>
      <c r="Q128" s="194">
        <f>IFERROR(IF($C128="",-0.00001,SUMIFS(Database!S:S,Database!$E:$E,$C128)/$E128),-0.00001)</f>
        <v>-1.0000000000000001E-5</v>
      </c>
      <c r="R128" s="194">
        <f>IFERROR(IF($C128="",-0.00001,SUMIFS(Database!T:T,Database!$E:$E,$C128)/$E128),-0.00001)</f>
        <v>-1.0000000000000001E-5</v>
      </c>
      <c r="S128" s="186">
        <f t="shared" si="4"/>
        <v>-1.0000000000000001E-5</v>
      </c>
      <c r="T128" s="194">
        <f>IFERROR(IF($C128="",-0.00001,SUMIFS(Database!V:V,Database!$E:$E,$C128)/$E128),-0.00001)</f>
        <v>-1.0000000000000001E-5</v>
      </c>
      <c r="U128" s="194">
        <f>IFERROR(IF($C128="",-0.00001,SUMIFS(Database!W:W,Database!$E:$E,$C128)/$E128),-0.00001)</f>
        <v>-1.0000000000000001E-5</v>
      </c>
      <c r="V128" s="186">
        <f t="shared" si="5"/>
        <v>-1.0000000000000001E-5</v>
      </c>
      <c r="W128" s="187"/>
      <c r="X128" s="187"/>
      <c r="Y128" s="187"/>
      <c r="Z128" s="187"/>
      <c r="AA128" s="187"/>
      <c r="AB128" s="187"/>
      <c r="AC128" s="187"/>
      <c r="AD128" s="187"/>
      <c r="AE128" s="187"/>
    </row>
    <row r="129" spans="1:31" x14ac:dyDescent="0.25">
      <c r="A129" s="187"/>
      <c r="B129" s="187" t="str">
        <f>IF($C129="","",MAX($B$4:$B128)+1)</f>
        <v/>
      </c>
      <c r="C129" s="183"/>
      <c r="D129" s="183" t="str">
        <f>IFERROR(VLOOKUP($C129,Rosters!$C$4:$M$239,INDEX(Lists!$N$5:$O$80,MATCH($C129,Lists!$N$5:$N$80,FALSE),2)),"")</f>
        <v/>
      </c>
      <c r="E129" s="185">
        <f>IF($C129="",-0.00001,COUNTIF(Database!E:E,$C129))</f>
        <v>-1.0000000000000001E-5</v>
      </c>
      <c r="F129" s="194">
        <f>IFERROR(IF($C129="",-0.00001,SUMIFS(Database!H:H,Database!$E:$E,$C129)/$E129),-0.00001)</f>
        <v>-1.0000000000000001E-5</v>
      </c>
      <c r="G129" s="194">
        <f>IFERROR(IF($C129="",-0.00001,SUMIFS(Database!I:I,Database!$E:$E,$C129)/$E129),-0.00001)</f>
        <v>-1.0000000000000001E-5</v>
      </c>
      <c r="H129" s="194">
        <f>IFERROR(IF($C129="",-0.00001,SUMIFS(Database!J:J,Database!$E:$E,$C129)/$E129),-0.00001)</f>
        <v>-1.0000000000000001E-5</v>
      </c>
      <c r="I129" s="194">
        <f>IFERROR(IF($C129="",-0.00001,SUMIFS(Database!K:K,Database!$E:$E,$C129)/$E129),-0.00001)</f>
        <v>-1.0000000000000001E-5</v>
      </c>
      <c r="J129" s="194">
        <f>IFERROR(IF($C129="",-0.00001,SUMIFS(Database!L:L,Database!$E:$E,$C129)/$E129),-0.00001)</f>
        <v>-1.0000000000000001E-5</v>
      </c>
      <c r="K129" s="194">
        <f>IFERROR(IF($C129="",-0.00001,SUMIFS(Database!M:M,Database!$E:$E,$C129)/$E129),-0.00001)</f>
        <v>-1.0000000000000001E-5</v>
      </c>
      <c r="L129" s="194">
        <f>IFERROR(IF($C129="",-0.00001,SUMIFS(Database!N:N,Database!$E:$E,$C129)/$E129),-0.00001)</f>
        <v>-1.0000000000000001E-5</v>
      </c>
      <c r="M129" s="194">
        <f>IFERROR(IF($C129="",-0.00001,SUMIFS(Database!O:O,Database!$E:$E,$C129)/$E129),-0.00001)</f>
        <v>-1.0000000000000001E-5</v>
      </c>
      <c r="N129" s="194">
        <f>IFERROR(IF($C129="",-0.00001,SUMIFS(Database!P:P,Database!$E:$E,$C129)/$E129),-0.00001)</f>
        <v>-1.0000000000000001E-5</v>
      </c>
      <c r="O129" s="194">
        <f>IFERROR(IF($C129="",-0.00001,SUMIFS(Database!Q:Q,Database!$E:$E,$C129)/$E129),-0.00001)</f>
        <v>-1.0000000000000001E-5</v>
      </c>
      <c r="P129" s="186">
        <f t="shared" si="3"/>
        <v>-1.0000000000000001E-5</v>
      </c>
      <c r="Q129" s="194">
        <f>IFERROR(IF($C129="",-0.00001,SUMIFS(Database!S:S,Database!$E:$E,$C129)/$E129),-0.00001)</f>
        <v>-1.0000000000000001E-5</v>
      </c>
      <c r="R129" s="194">
        <f>IFERROR(IF($C129="",-0.00001,SUMIFS(Database!T:T,Database!$E:$E,$C129)/$E129),-0.00001)</f>
        <v>-1.0000000000000001E-5</v>
      </c>
      <c r="S129" s="186">
        <f t="shared" si="4"/>
        <v>-1.0000000000000001E-5</v>
      </c>
      <c r="T129" s="194">
        <f>IFERROR(IF($C129="",-0.00001,SUMIFS(Database!V:V,Database!$E:$E,$C129)/$E129),-0.00001)</f>
        <v>-1.0000000000000001E-5</v>
      </c>
      <c r="U129" s="194">
        <f>IFERROR(IF($C129="",-0.00001,SUMIFS(Database!W:W,Database!$E:$E,$C129)/$E129),-0.00001)</f>
        <v>-1.0000000000000001E-5</v>
      </c>
      <c r="V129" s="186">
        <f t="shared" si="5"/>
        <v>-1.0000000000000001E-5</v>
      </c>
      <c r="W129" s="187"/>
      <c r="X129" s="187"/>
      <c r="Y129" s="187"/>
      <c r="Z129" s="187"/>
      <c r="AA129" s="187"/>
      <c r="AB129" s="187"/>
      <c r="AC129" s="187"/>
      <c r="AD129" s="187"/>
      <c r="AE129" s="187"/>
    </row>
    <row r="130" spans="1:31" x14ac:dyDescent="0.25">
      <c r="A130" s="187"/>
      <c r="B130" s="187" t="str">
        <f>IF($C130="","",MAX($B$4:$B129)+1)</f>
        <v/>
      </c>
      <c r="C130" s="183"/>
      <c r="D130" s="183" t="str">
        <f>IFERROR(VLOOKUP($C130,Rosters!$C$4:$M$239,INDEX(Lists!$N$5:$O$80,MATCH($C130,Lists!$N$5:$N$80,FALSE),2)),"")</f>
        <v/>
      </c>
      <c r="E130" s="185">
        <f>IF($C130="",-0.00001,COUNTIF(Database!E:E,$C130))</f>
        <v>-1.0000000000000001E-5</v>
      </c>
      <c r="F130" s="194">
        <f>IFERROR(IF($C130="",-0.00001,SUMIFS(Database!H:H,Database!$E:$E,$C130)/$E130),-0.00001)</f>
        <v>-1.0000000000000001E-5</v>
      </c>
      <c r="G130" s="194">
        <f>IFERROR(IF($C130="",-0.00001,SUMIFS(Database!I:I,Database!$E:$E,$C130)/$E130),-0.00001)</f>
        <v>-1.0000000000000001E-5</v>
      </c>
      <c r="H130" s="194">
        <f>IFERROR(IF($C130="",-0.00001,SUMIFS(Database!J:J,Database!$E:$E,$C130)/$E130),-0.00001)</f>
        <v>-1.0000000000000001E-5</v>
      </c>
      <c r="I130" s="194">
        <f>IFERROR(IF($C130="",-0.00001,SUMIFS(Database!K:K,Database!$E:$E,$C130)/$E130),-0.00001)</f>
        <v>-1.0000000000000001E-5</v>
      </c>
      <c r="J130" s="194">
        <f>IFERROR(IF($C130="",-0.00001,SUMIFS(Database!L:L,Database!$E:$E,$C130)/$E130),-0.00001)</f>
        <v>-1.0000000000000001E-5</v>
      </c>
      <c r="K130" s="194">
        <f>IFERROR(IF($C130="",-0.00001,SUMIFS(Database!M:M,Database!$E:$E,$C130)/$E130),-0.00001)</f>
        <v>-1.0000000000000001E-5</v>
      </c>
      <c r="L130" s="194">
        <f>IFERROR(IF($C130="",-0.00001,SUMIFS(Database!N:N,Database!$E:$E,$C130)/$E130),-0.00001)</f>
        <v>-1.0000000000000001E-5</v>
      </c>
      <c r="M130" s="194">
        <f>IFERROR(IF($C130="",-0.00001,SUMIFS(Database!O:O,Database!$E:$E,$C130)/$E130),-0.00001)</f>
        <v>-1.0000000000000001E-5</v>
      </c>
      <c r="N130" s="194">
        <f>IFERROR(IF($C130="",-0.00001,SUMIFS(Database!P:P,Database!$E:$E,$C130)/$E130),-0.00001)</f>
        <v>-1.0000000000000001E-5</v>
      </c>
      <c r="O130" s="194">
        <f>IFERROR(IF($C130="",-0.00001,SUMIFS(Database!Q:Q,Database!$E:$E,$C130)/$E130),-0.00001)</f>
        <v>-1.0000000000000001E-5</v>
      </c>
      <c r="P130" s="186">
        <f t="shared" si="3"/>
        <v>-1.0000000000000001E-5</v>
      </c>
      <c r="Q130" s="194">
        <f>IFERROR(IF($C130="",-0.00001,SUMIFS(Database!S:S,Database!$E:$E,$C130)/$E130),-0.00001)</f>
        <v>-1.0000000000000001E-5</v>
      </c>
      <c r="R130" s="194">
        <f>IFERROR(IF($C130="",-0.00001,SUMIFS(Database!T:T,Database!$E:$E,$C130)/$E130),-0.00001)</f>
        <v>-1.0000000000000001E-5</v>
      </c>
      <c r="S130" s="186">
        <f t="shared" si="4"/>
        <v>-1.0000000000000001E-5</v>
      </c>
      <c r="T130" s="194">
        <f>IFERROR(IF($C130="",-0.00001,SUMIFS(Database!V:V,Database!$E:$E,$C130)/$E130),-0.00001)</f>
        <v>-1.0000000000000001E-5</v>
      </c>
      <c r="U130" s="194">
        <f>IFERROR(IF($C130="",-0.00001,SUMIFS(Database!W:W,Database!$E:$E,$C130)/$E130),-0.00001)</f>
        <v>-1.0000000000000001E-5</v>
      </c>
      <c r="V130" s="186">
        <f t="shared" si="5"/>
        <v>-1.0000000000000001E-5</v>
      </c>
      <c r="W130" s="187"/>
      <c r="X130" s="187"/>
      <c r="Y130" s="187"/>
      <c r="Z130" s="187"/>
      <c r="AA130" s="187"/>
      <c r="AB130" s="187"/>
      <c r="AC130" s="187"/>
      <c r="AD130" s="187"/>
      <c r="AE130" s="187"/>
    </row>
    <row r="131" spans="1:31" x14ac:dyDescent="0.25">
      <c r="A131" s="187"/>
      <c r="B131" s="187" t="str">
        <f>IF($C131="","",MAX($B$4:$B130)+1)</f>
        <v/>
      </c>
      <c r="C131" s="183"/>
      <c r="D131" s="183" t="str">
        <f>IFERROR(VLOOKUP($C131,Rosters!$C$4:$M$239,INDEX(Lists!$N$5:$O$80,MATCH($C131,Lists!$N$5:$N$80,FALSE),2)),"")</f>
        <v/>
      </c>
      <c r="E131" s="185">
        <f>IF($C131="",-0.00001,COUNTIF(Database!E:E,$C131))</f>
        <v>-1.0000000000000001E-5</v>
      </c>
      <c r="F131" s="194">
        <f>IFERROR(IF($C131="",-0.00001,SUMIFS(Database!H:H,Database!$E:$E,$C131)/$E131),-0.00001)</f>
        <v>-1.0000000000000001E-5</v>
      </c>
      <c r="G131" s="194">
        <f>IFERROR(IF($C131="",-0.00001,SUMIFS(Database!I:I,Database!$E:$E,$C131)/$E131),-0.00001)</f>
        <v>-1.0000000000000001E-5</v>
      </c>
      <c r="H131" s="194">
        <f>IFERROR(IF($C131="",-0.00001,SUMIFS(Database!J:J,Database!$E:$E,$C131)/$E131),-0.00001)</f>
        <v>-1.0000000000000001E-5</v>
      </c>
      <c r="I131" s="194">
        <f>IFERROR(IF($C131="",-0.00001,SUMIFS(Database!K:K,Database!$E:$E,$C131)/$E131),-0.00001)</f>
        <v>-1.0000000000000001E-5</v>
      </c>
      <c r="J131" s="194">
        <f>IFERROR(IF($C131="",-0.00001,SUMIFS(Database!L:L,Database!$E:$E,$C131)/$E131),-0.00001)</f>
        <v>-1.0000000000000001E-5</v>
      </c>
      <c r="K131" s="194">
        <f>IFERROR(IF($C131="",-0.00001,SUMIFS(Database!M:M,Database!$E:$E,$C131)/$E131),-0.00001)</f>
        <v>-1.0000000000000001E-5</v>
      </c>
      <c r="L131" s="194">
        <f>IFERROR(IF($C131="",-0.00001,SUMIFS(Database!N:N,Database!$E:$E,$C131)/$E131),-0.00001)</f>
        <v>-1.0000000000000001E-5</v>
      </c>
      <c r="M131" s="194">
        <f>IFERROR(IF($C131="",-0.00001,SUMIFS(Database!O:O,Database!$E:$E,$C131)/$E131),-0.00001)</f>
        <v>-1.0000000000000001E-5</v>
      </c>
      <c r="N131" s="194">
        <f>IFERROR(IF($C131="",-0.00001,SUMIFS(Database!P:P,Database!$E:$E,$C131)/$E131),-0.00001)</f>
        <v>-1.0000000000000001E-5</v>
      </c>
      <c r="O131" s="194">
        <f>IFERROR(IF($C131="",-0.00001,SUMIFS(Database!Q:Q,Database!$E:$E,$C131)/$E131),-0.00001)</f>
        <v>-1.0000000000000001E-5</v>
      </c>
      <c r="P131" s="186">
        <f t="shared" si="3"/>
        <v>-1.0000000000000001E-5</v>
      </c>
      <c r="Q131" s="194">
        <f>IFERROR(IF($C131="",-0.00001,SUMIFS(Database!S:S,Database!$E:$E,$C131)/$E131),-0.00001)</f>
        <v>-1.0000000000000001E-5</v>
      </c>
      <c r="R131" s="194">
        <f>IFERROR(IF($C131="",-0.00001,SUMIFS(Database!T:T,Database!$E:$E,$C131)/$E131),-0.00001)</f>
        <v>-1.0000000000000001E-5</v>
      </c>
      <c r="S131" s="186">
        <f t="shared" si="4"/>
        <v>-1.0000000000000001E-5</v>
      </c>
      <c r="T131" s="194">
        <f>IFERROR(IF($C131="",-0.00001,SUMIFS(Database!V:V,Database!$E:$E,$C131)/$E131),-0.00001)</f>
        <v>-1.0000000000000001E-5</v>
      </c>
      <c r="U131" s="194">
        <f>IFERROR(IF($C131="",-0.00001,SUMIFS(Database!W:W,Database!$E:$E,$C131)/$E131),-0.00001)</f>
        <v>-1.0000000000000001E-5</v>
      </c>
      <c r="V131" s="186">
        <f t="shared" si="5"/>
        <v>-1.0000000000000001E-5</v>
      </c>
      <c r="W131" s="187"/>
      <c r="X131" s="187"/>
      <c r="Y131" s="187"/>
      <c r="Z131" s="187"/>
      <c r="AA131" s="187"/>
      <c r="AB131" s="187"/>
      <c r="AC131" s="187"/>
      <c r="AD131" s="187"/>
      <c r="AE131" s="187"/>
    </row>
    <row r="132" spans="1:31" x14ac:dyDescent="0.25">
      <c r="A132" s="187"/>
      <c r="B132" s="187" t="str">
        <f>IF($C132="","",MAX($B$4:$B131)+1)</f>
        <v/>
      </c>
      <c r="C132" s="183"/>
      <c r="D132" s="183" t="str">
        <f>IFERROR(VLOOKUP($C132,Rosters!$C$4:$M$239,INDEX(Lists!$N$5:$O$80,MATCH($C132,Lists!$N$5:$N$80,FALSE),2)),"")</f>
        <v/>
      </c>
      <c r="E132" s="185">
        <f>IF($C132="",-0.00001,COUNTIF(Database!E:E,$C132))</f>
        <v>-1.0000000000000001E-5</v>
      </c>
      <c r="F132" s="194">
        <f>IFERROR(IF($C132="",-0.00001,SUMIFS(Database!H:H,Database!$E:$E,$C132)/$E132),-0.00001)</f>
        <v>-1.0000000000000001E-5</v>
      </c>
      <c r="G132" s="194">
        <f>IFERROR(IF($C132="",-0.00001,SUMIFS(Database!I:I,Database!$E:$E,$C132)/$E132),-0.00001)</f>
        <v>-1.0000000000000001E-5</v>
      </c>
      <c r="H132" s="194">
        <f>IFERROR(IF($C132="",-0.00001,SUMIFS(Database!J:J,Database!$E:$E,$C132)/$E132),-0.00001)</f>
        <v>-1.0000000000000001E-5</v>
      </c>
      <c r="I132" s="194">
        <f>IFERROR(IF($C132="",-0.00001,SUMIFS(Database!K:K,Database!$E:$E,$C132)/$E132),-0.00001)</f>
        <v>-1.0000000000000001E-5</v>
      </c>
      <c r="J132" s="194">
        <f>IFERROR(IF($C132="",-0.00001,SUMIFS(Database!L:L,Database!$E:$E,$C132)/$E132),-0.00001)</f>
        <v>-1.0000000000000001E-5</v>
      </c>
      <c r="K132" s="194">
        <f>IFERROR(IF($C132="",-0.00001,SUMIFS(Database!M:M,Database!$E:$E,$C132)/$E132),-0.00001)</f>
        <v>-1.0000000000000001E-5</v>
      </c>
      <c r="L132" s="194">
        <f>IFERROR(IF($C132="",-0.00001,SUMIFS(Database!N:N,Database!$E:$E,$C132)/$E132),-0.00001)</f>
        <v>-1.0000000000000001E-5</v>
      </c>
      <c r="M132" s="194">
        <f>IFERROR(IF($C132="",-0.00001,SUMIFS(Database!O:O,Database!$E:$E,$C132)/$E132),-0.00001)</f>
        <v>-1.0000000000000001E-5</v>
      </c>
      <c r="N132" s="194">
        <f>IFERROR(IF($C132="",-0.00001,SUMIFS(Database!P:P,Database!$E:$E,$C132)/$E132),-0.00001)</f>
        <v>-1.0000000000000001E-5</v>
      </c>
      <c r="O132" s="194">
        <f>IFERROR(IF($C132="",-0.00001,SUMIFS(Database!Q:Q,Database!$E:$E,$C132)/$E132),-0.00001)</f>
        <v>-1.0000000000000001E-5</v>
      </c>
      <c r="P132" s="186">
        <f t="shared" ref="P132:P195" si="6">IFERROR(IF($C132="",-0.00001,$N132/$O132),-0.00001)</f>
        <v>-1.0000000000000001E-5</v>
      </c>
      <c r="Q132" s="194">
        <f>IFERROR(IF($C132="",-0.00001,SUMIFS(Database!S:S,Database!$E:$E,$C132)/$E132),-0.00001)</f>
        <v>-1.0000000000000001E-5</v>
      </c>
      <c r="R132" s="194">
        <f>IFERROR(IF($C132="",-0.00001,SUMIFS(Database!T:T,Database!$E:$E,$C132)/$E132),-0.00001)</f>
        <v>-1.0000000000000001E-5</v>
      </c>
      <c r="S132" s="186">
        <f t="shared" ref="S132:S195" si="7">IFERROR(IF($C132="",-0.00001,$Q132/$R132),-0.00001)</f>
        <v>-1.0000000000000001E-5</v>
      </c>
      <c r="T132" s="194">
        <f>IFERROR(IF($C132="",-0.00001,SUMIFS(Database!V:V,Database!$E:$E,$C132)/$E132),-0.00001)</f>
        <v>-1.0000000000000001E-5</v>
      </c>
      <c r="U132" s="194">
        <f>IFERROR(IF($C132="",-0.00001,SUMIFS(Database!W:W,Database!$E:$E,$C132)/$E132),-0.00001)</f>
        <v>-1.0000000000000001E-5</v>
      </c>
      <c r="V132" s="186">
        <f t="shared" ref="V132:V195" si="8">IFERROR(IF($C132="",-0.00001,$T132/$U132),-0.00001)</f>
        <v>-1.0000000000000001E-5</v>
      </c>
      <c r="W132" s="187"/>
      <c r="X132" s="187"/>
      <c r="Y132" s="187"/>
      <c r="Z132" s="187"/>
      <c r="AA132" s="187"/>
      <c r="AB132" s="187"/>
      <c r="AC132" s="187"/>
      <c r="AD132" s="187"/>
      <c r="AE132" s="187"/>
    </row>
    <row r="133" spans="1:31" x14ac:dyDescent="0.25">
      <c r="A133" s="187"/>
      <c r="B133" s="187" t="str">
        <f>IF($C133="","",MAX($B$4:$B132)+1)</f>
        <v/>
      </c>
      <c r="C133" s="183"/>
      <c r="D133" s="183" t="str">
        <f>IFERROR(VLOOKUP($C133,Rosters!$C$4:$M$239,INDEX(Lists!$N$5:$O$80,MATCH($C133,Lists!$N$5:$N$80,FALSE),2)),"")</f>
        <v/>
      </c>
      <c r="E133" s="185">
        <f>IF($C133="",-0.00001,COUNTIF(Database!E:E,$C133))</f>
        <v>-1.0000000000000001E-5</v>
      </c>
      <c r="F133" s="194">
        <f>IFERROR(IF($C133="",-0.00001,SUMIFS(Database!H:H,Database!$E:$E,$C133)/$E133),-0.00001)</f>
        <v>-1.0000000000000001E-5</v>
      </c>
      <c r="G133" s="194">
        <f>IFERROR(IF($C133="",-0.00001,SUMIFS(Database!I:I,Database!$E:$E,$C133)/$E133),-0.00001)</f>
        <v>-1.0000000000000001E-5</v>
      </c>
      <c r="H133" s="194">
        <f>IFERROR(IF($C133="",-0.00001,SUMIFS(Database!J:J,Database!$E:$E,$C133)/$E133),-0.00001)</f>
        <v>-1.0000000000000001E-5</v>
      </c>
      <c r="I133" s="194">
        <f>IFERROR(IF($C133="",-0.00001,SUMIFS(Database!K:K,Database!$E:$E,$C133)/$E133),-0.00001)</f>
        <v>-1.0000000000000001E-5</v>
      </c>
      <c r="J133" s="194">
        <f>IFERROR(IF($C133="",-0.00001,SUMIFS(Database!L:L,Database!$E:$E,$C133)/$E133),-0.00001)</f>
        <v>-1.0000000000000001E-5</v>
      </c>
      <c r="K133" s="194">
        <f>IFERROR(IF($C133="",-0.00001,SUMIFS(Database!M:M,Database!$E:$E,$C133)/$E133),-0.00001)</f>
        <v>-1.0000000000000001E-5</v>
      </c>
      <c r="L133" s="194">
        <f>IFERROR(IF($C133="",-0.00001,SUMIFS(Database!N:N,Database!$E:$E,$C133)/$E133),-0.00001)</f>
        <v>-1.0000000000000001E-5</v>
      </c>
      <c r="M133" s="194">
        <f>IFERROR(IF($C133="",-0.00001,SUMIFS(Database!O:O,Database!$E:$E,$C133)/$E133),-0.00001)</f>
        <v>-1.0000000000000001E-5</v>
      </c>
      <c r="N133" s="194">
        <f>IFERROR(IF($C133="",-0.00001,SUMIFS(Database!P:P,Database!$E:$E,$C133)/$E133),-0.00001)</f>
        <v>-1.0000000000000001E-5</v>
      </c>
      <c r="O133" s="194">
        <f>IFERROR(IF($C133="",-0.00001,SUMIFS(Database!Q:Q,Database!$E:$E,$C133)/$E133),-0.00001)</f>
        <v>-1.0000000000000001E-5</v>
      </c>
      <c r="P133" s="186">
        <f t="shared" si="6"/>
        <v>-1.0000000000000001E-5</v>
      </c>
      <c r="Q133" s="194">
        <f>IFERROR(IF($C133="",-0.00001,SUMIFS(Database!S:S,Database!$E:$E,$C133)/$E133),-0.00001)</f>
        <v>-1.0000000000000001E-5</v>
      </c>
      <c r="R133" s="194">
        <f>IFERROR(IF($C133="",-0.00001,SUMIFS(Database!T:T,Database!$E:$E,$C133)/$E133),-0.00001)</f>
        <v>-1.0000000000000001E-5</v>
      </c>
      <c r="S133" s="186">
        <f t="shared" si="7"/>
        <v>-1.0000000000000001E-5</v>
      </c>
      <c r="T133" s="194">
        <f>IFERROR(IF($C133="",-0.00001,SUMIFS(Database!V:V,Database!$E:$E,$C133)/$E133),-0.00001)</f>
        <v>-1.0000000000000001E-5</v>
      </c>
      <c r="U133" s="194">
        <f>IFERROR(IF($C133="",-0.00001,SUMIFS(Database!W:W,Database!$E:$E,$C133)/$E133),-0.00001)</f>
        <v>-1.0000000000000001E-5</v>
      </c>
      <c r="V133" s="186">
        <f t="shared" si="8"/>
        <v>-1.0000000000000001E-5</v>
      </c>
      <c r="W133" s="187"/>
      <c r="X133" s="187"/>
      <c r="Y133" s="187"/>
      <c r="Z133" s="187"/>
      <c r="AA133" s="187"/>
      <c r="AB133" s="187"/>
      <c r="AC133" s="187"/>
      <c r="AD133" s="187"/>
      <c r="AE133" s="187"/>
    </row>
    <row r="134" spans="1:31" x14ac:dyDescent="0.25">
      <c r="A134" s="187"/>
      <c r="B134" s="187" t="str">
        <f>IF($C134="","",MAX($B$4:$B133)+1)</f>
        <v/>
      </c>
      <c r="C134" s="183"/>
      <c r="D134" s="183" t="str">
        <f>IFERROR(VLOOKUP($C134,Rosters!$C$4:$M$239,INDEX(Lists!$N$5:$O$80,MATCH($C134,Lists!$N$5:$N$80,FALSE),2)),"")</f>
        <v/>
      </c>
      <c r="E134" s="185">
        <f>IF($C134="",-0.00001,COUNTIF(Database!E:E,$C134))</f>
        <v>-1.0000000000000001E-5</v>
      </c>
      <c r="F134" s="194">
        <f>IFERROR(IF($C134="",-0.00001,SUMIFS(Database!H:H,Database!$E:$E,$C134)/$E134),-0.00001)</f>
        <v>-1.0000000000000001E-5</v>
      </c>
      <c r="G134" s="194">
        <f>IFERROR(IF($C134="",-0.00001,SUMIFS(Database!I:I,Database!$E:$E,$C134)/$E134),-0.00001)</f>
        <v>-1.0000000000000001E-5</v>
      </c>
      <c r="H134" s="194">
        <f>IFERROR(IF($C134="",-0.00001,SUMIFS(Database!J:J,Database!$E:$E,$C134)/$E134),-0.00001)</f>
        <v>-1.0000000000000001E-5</v>
      </c>
      <c r="I134" s="194">
        <f>IFERROR(IF($C134="",-0.00001,SUMIFS(Database!K:K,Database!$E:$E,$C134)/$E134),-0.00001)</f>
        <v>-1.0000000000000001E-5</v>
      </c>
      <c r="J134" s="194">
        <f>IFERROR(IF($C134="",-0.00001,SUMIFS(Database!L:L,Database!$E:$E,$C134)/$E134),-0.00001)</f>
        <v>-1.0000000000000001E-5</v>
      </c>
      <c r="K134" s="194">
        <f>IFERROR(IF($C134="",-0.00001,SUMIFS(Database!M:M,Database!$E:$E,$C134)/$E134),-0.00001)</f>
        <v>-1.0000000000000001E-5</v>
      </c>
      <c r="L134" s="194">
        <f>IFERROR(IF($C134="",-0.00001,SUMIFS(Database!N:N,Database!$E:$E,$C134)/$E134),-0.00001)</f>
        <v>-1.0000000000000001E-5</v>
      </c>
      <c r="M134" s="194">
        <f>IFERROR(IF($C134="",-0.00001,SUMIFS(Database!O:O,Database!$E:$E,$C134)/$E134),-0.00001)</f>
        <v>-1.0000000000000001E-5</v>
      </c>
      <c r="N134" s="194">
        <f>IFERROR(IF($C134="",-0.00001,SUMIFS(Database!P:P,Database!$E:$E,$C134)/$E134),-0.00001)</f>
        <v>-1.0000000000000001E-5</v>
      </c>
      <c r="O134" s="194">
        <f>IFERROR(IF($C134="",-0.00001,SUMIFS(Database!Q:Q,Database!$E:$E,$C134)/$E134),-0.00001)</f>
        <v>-1.0000000000000001E-5</v>
      </c>
      <c r="P134" s="186">
        <f t="shared" si="6"/>
        <v>-1.0000000000000001E-5</v>
      </c>
      <c r="Q134" s="194">
        <f>IFERROR(IF($C134="",-0.00001,SUMIFS(Database!S:S,Database!$E:$E,$C134)/$E134),-0.00001)</f>
        <v>-1.0000000000000001E-5</v>
      </c>
      <c r="R134" s="194">
        <f>IFERROR(IF($C134="",-0.00001,SUMIFS(Database!T:T,Database!$E:$E,$C134)/$E134),-0.00001)</f>
        <v>-1.0000000000000001E-5</v>
      </c>
      <c r="S134" s="186">
        <f t="shared" si="7"/>
        <v>-1.0000000000000001E-5</v>
      </c>
      <c r="T134" s="194">
        <f>IFERROR(IF($C134="",-0.00001,SUMIFS(Database!V:V,Database!$E:$E,$C134)/$E134),-0.00001)</f>
        <v>-1.0000000000000001E-5</v>
      </c>
      <c r="U134" s="194">
        <f>IFERROR(IF($C134="",-0.00001,SUMIFS(Database!W:W,Database!$E:$E,$C134)/$E134),-0.00001)</f>
        <v>-1.0000000000000001E-5</v>
      </c>
      <c r="V134" s="186">
        <f t="shared" si="8"/>
        <v>-1.0000000000000001E-5</v>
      </c>
      <c r="W134" s="187"/>
      <c r="X134" s="187"/>
      <c r="Y134" s="187"/>
      <c r="Z134" s="187"/>
      <c r="AA134" s="187"/>
      <c r="AB134" s="187"/>
      <c r="AC134" s="187"/>
      <c r="AD134" s="187"/>
      <c r="AE134" s="187"/>
    </row>
    <row r="135" spans="1:31" x14ac:dyDescent="0.25">
      <c r="A135" s="187"/>
      <c r="B135" s="187" t="str">
        <f>IF($C135="","",MAX($B$4:$B134)+1)</f>
        <v/>
      </c>
      <c r="C135" s="183"/>
      <c r="D135" s="183" t="str">
        <f>IFERROR(VLOOKUP($C135,Rosters!$C$4:$M$239,INDEX(Lists!$N$5:$O$80,MATCH($C135,Lists!$N$5:$N$80,FALSE),2)),"")</f>
        <v/>
      </c>
      <c r="E135" s="185">
        <f>IF($C135="",-0.00001,COUNTIF(Database!E:E,$C135))</f>
        <v>-1.0000000000000001E-5</v>
      </c>
      <c r="F135" s="194">
        <f>IFERROR(IF($C135="",-0.00001,SUMIFS(Database!H:H,Database!$E:$E,$C135)/$E135),-0.00001)</f>
        <v>-1.0000000000000001E-5</v>
      </c>
      <c r="G135" s="194">
        <f>IFERROR(IF($C135="",-0.00001,SUMIFS(Database!I:I,Database!$E:$E,$C135)/$E135),-0.00001)</f>
        <v>-1.0000000000000001E-5</v>
      </c>
      <c r="H135" s="194">
        <f>IFERROR(IF($C135="",-0.00001,SUMIFS(Database!J:J,Database!$E:$E,$C135)/$E135),-0.00001)</f>
        <v>-1.0000000000000001E-5</v>
      </c>
      <c r="I135" s="194">
        <f>IFERROR(IF($C135="",-0.00001,SUMIFS(Database!K:K,Database!$E:$E,$C135)/$E135),-0.00001)</f>
        <v>-1.0000000000000001E-5</v>
      </c>
      <c r="J135" s="194">
        <f>IFERROR(IF($C135="",-0.00001,SUMIFS(Database!L:L,Database!$E:$E,$C135)/$E135),-0.00001)</f>
        <v>-1.0000000000000001E-5</v>
      </c>
      <c r="K135" s="194">
        <f>IFERROR(IF($C135="",-0.00001,SUMIFS(Database!M:M,Database!$E:$E,$C135)/$E135),-0.00001)</f>
        <v>-1.0000000000000001E-5</v>
      </c>
      <c r="L135" s="194">
        <f>IFERROR(IF($C135="",-0.00001,SUMIFS(Database!N:N,Database!$E:$E,$C135)/$E135),-0.00001)</f>
        <v>-1.0000000000000001E-5</v>
      </c>
      <c r="M135" s="194">
        <f>IFERROR(IF($C135="",-0.00001,SUMIFS(Database!O:O,Database!$E:$E,$C135)/$E135),-0.00001)</f>
        <v>-1.0000000000000001E-5</v>
      </c>
      <c r="N135" s="194">
        <f>IFERROR(IF($C135="",-0.00001,SUMIFS(Database!P:P,Database!$E:$E,$C135)/$E135),-0.00001)</f>
        <v>-1.0000000000000001E-5</v>
      </c>
      <c r="O135" s="194">
        <f>IFERROR(IF($C135="",-0.00001,SUMIFS(Database!Q:Q,Database!$E:$E,$C135)/$E135),-0.00001)</f>
        <v>-1.0000000000000001E-5</v>
      </c>
      <c r="P135" s="186">
        <f t="shared" si="6"/>
        <v>-1.0000000000000001E-5</v>
      </c>
      <c r="Q135" s="194">
        <f>IFERROR(IF($C135="",-0.00001,SUMIFS(Database!S:S,Database!$E:$E,$C135)/$E135),-0.00001)</f>
        <v>-1.0000000000000001E-5</v>
      </c>
      <c r="R135" s="194">
        <f>IFERROR(IF($C135="",-0.00001,SUMIFS(Database!T:T,Database!$E:$E,$C135)/$E135),-0.00001)</f>
        <v>-1.0000000000000001E-5</v>
      </c>
      <c r="S135" s="186">
        <f t="shared" si="7"/>
        <v>-1.0000000000000001E-5</v>
      </c>
      <c r="T135" s="194">
        <f>IFERROR(IF($C135="",-0.00001,SUMIFS(Database!V:V,Database!$E:$E,$C135)/$E135),-0.00001)</f>
        <v>-1.0000000000000001E-5</v>
      </c>
      <c r="U135" s="194">
        <f>IFERROR(IF($C135="",-0.00001,SUMIFS(Database!W:W,Database!$E:$E,$C135)/$E135),-0.00001)</f>
        <v>-1.0000000000000001E-5</v>
      </c>
      <c r="V135" s="186">
        <f t="shared" si="8"/>
        <v>-1.0000000000000001E-5</v>
      </c>
      <c r="W135" s="187"/>
      <c r="X135" s="187"/>
      <c r="Y135" s="187"/>
      <c r="Z135" s="187"/>
      <c r="AA135" s="187"/>
      <c r="AB135" s="187"/>
      <c r="AC135" s="187"/>
      <c r="AD135" s="187"/>
      <c r="AE135" s="187"/>
    </row>
    <row r="136" spans="1:31" x14ac:dyDescent="0.25">
      <c r="A136" s="187"/>
      <c r="B136" s="187" t="str">
        <f>IF($C136="","",MAX($B$4:$B135)+1)</f>
        <v/>
      </c>
      <c r="C136" s="183"/>
      <c r="D136" s="183" t="str">
        <f>IFERROR(VLOOKUP($C136,Rosters!$C$4:$M$239,INDEX(Lists!$N$5:$O$80,MATCH($C136,Lists!$N$5:$N$80,FALSE),2)),"")</f>
        <v/>
      </c>
      <c r="E136" s="185">
        <f>IF($C136="",-0.00001,COUNTIF(Database!E:E,$C136))</f>
        <v>-1.0000000000000001E-5</v>
      </c>
      <c r="F136" s="194">
        <f>IFERROR(IF($C136="",-0.00001,SUMIFS(Database!H:H,Database!$E:$E,$C136)/$E136),-0.00001)</f>
        <v>-1.0000000000000001E-5</v>
      </c>
      <c r="G136" s="194">
        <f>IFERROR(IF($C136="",-0.00001,SUMIFS(Database!I:I,Database!$E:$E,$C136)/$E136),-0.00001)</f>
        <v>-1.0000000000000001E-5</v>
      </c>
      <c r="H136" s="194">
        <f>IFERROR(IF($C136="",-0.00001,SUMIFS(Database!J:J,Database!$E:$E,$C136)/$E136),-0.00001)</f>
        <v>-1.0000000000000001E-5</v>
      </c>
      <c r="I136" s="194">
        <f>IFERROR(IF($C136="",-0.00001,SUMIFS(Database!K:K,Database!$E:$E,$C136)/$E136),-0.00001)</f>
        <v>-1.0000000000000001E-5</v>
      </c>
      <c r="J136" s="194">
        <f>IFERROR(IF($C136="",-0.00001,SUMIFS(Database!L:L,Database!$E:$E,$C136)/$E136),-0.00001)</f>
        <v>-1.0000000000000001E-5</v>
      </c>
      <c r="K136" s="194">
        <f>IFERROR(IF($C136="",-0.00001,SUMIFS(Database!M:M,Database!$E:$E,$C136)/$E136),-0.00001)</f>
        <v>-1.0000000000000001E-5</v>
      </c>
      <c r="L136" s="194">
        <f>IFERROR(IF($C136="",-0.00001,SUMIFS(Database!N:N,Database!$E:$E,$C136)/$E136),-0.00001)</f>
        <v>-1.0000000000000001E-5</v>
      </c>
      <c r="M136" s="194">
        <f>IFERROR(IF($C136="",-0.00001,SUMIFS(Database!O:O,Database!$E:$E,$C136)/$E136),-0.00001)</f>
        <v>-1.0000000000000001E-5</v>
      </c>
      <c r="N136" s="194">
        <f>IFERROR(IF($C136="",-0.00001,SUMIFS(Database!P:P,Database!$E:$E,$C136)/$E136),-0.00001)</f>
        <v>-1.0000000000000001E-5</v>
      </c>
      <c r="O136" s="194">
        <f>IFERROR(IF($C136="",-0.00001,SUMIFS(Database!Q:Q,Database!$E:$E,$C136)/$E136),-0.00001)</f>
        <v>-1.0000000000000001E-5</v>
      </c>
      <c r="P136" s="186">
        <f t="shared" si="6"/>
        <v>-1.0000000000000001E-5</v>
      </c>
      <c r="Q136" s="194">
        <f>IFERROR(IF($C136="",-0.00001,SUMIFS(Database!S:S,Database!$E:$E,$C136)/$E136),-0.00001)</f>
        <v>-1.0000000000000001E-5</v>
      </c>
      <c r="R136" s="194">
        <f>IFERROR(IF($C136="",-0.00001,SUMIFS(Database!T:T,Database!$E:$E,$C136)/$E136),-0.00001)</f>
        <v>-1.0000000000000001E-5</v>
      </c>
      <c r="S136" s="186">
        <f t="shared" si="7"/>
        <v>-1.0000000000000001E-5</v>
      </c>
      <c r="T136" s="194">
        <f>IFERROR(IF($C136="",-0.00001,SUMIFS(Database!V:V,Database!$E:$E,$C136)/$E136),-0.00001)</f>
        <v>-1.0000000000000001E-5</v>
      </c>
      <c r="U136" s="194">
        <f>IFERROR(IF($C136="",-0.00001,SUMIFS(Database!W:W,Database!$E:$E,$C136)/$E136),-0.00001)</f>
        <v>-1.0000000000000001E-5</v>
      </c>
      <c r="V136" s="186">
        <f t="shared" si="8"/>
        <v>-1.0000000000000001E-5</v>
      </c>
      <c r="W136" s="187"/>
      <c r="X136" s="187"/>
      <c r="Y136" s="187"/>
      <c r="Z136" s="187"/>
      <c r="AA136" s="187"/>
      <c r="AB136" s="187"/>
      <c r="AC136" s="187"/>
      <c r="AD136" s="187"/>
      <c r="AE136" s="187"/>
    </row>
    <row r="137" spans="1:31" x14ac:dyDescent="0.25">
      <c r="A137" s="187"/>
      <c r="B137" s="187" t="str">
        <f>IF($C137="","",MAX($B$4:$B136)+1)</f>
        <v/>
      </c>
      <c r="C137" s="183"/>
      <c r="D137" s="183" t="str">
        <f>IFERROR(VLOOKUP($C137,Rosters!$C$4:$M$239,INDEX(Lists!$N$5:$O$80,MATCH($C137,Lists!$N$5:$N$80,FALSE),2)),"")</f>
        <v/>
      </c>
      <c r="E137" s="185">
        <f>IF($C137="",-0.00001,COUNTIF(Database!E:E,$C137))</f>
        <v>-1.0000000000000001E-5</v>
      </c>
      <c r="F137" s="194">
        <f>IFERROR(IF($C137="",-0.00001,SUMIFS(Database!H:H,Database!$E:$E,$C137)/$E137),-0.00001)</f>
        <v>-1.0000000000000001E-5</v>
      </c>
      <c r="G137" s="194">
        <f>IFERROR(IF($C137="",-0.00001,SUMIFS(Database!I:I,Database!$E:$E,$C137)/$E137),-0.00001)</f>
        <v>-1.0000000000000001E-5</v>
      </c>
      <c r="H137" s="194">
        <f>IFERROR(IF($C137="",-0.00001,SUMIFS(Database!J:J,Database!$E:$E,$C137)/$E137),-0.00001)</f>
        <v>-1.0000000000000001E-5</v>
      </c>
      <c r="I137" s="194">
        <f>IFERROR(IF($C137="",-0.00001,SUMIFS(Database!K:K,Database!$E:$E,$C137)/$E137),-0.00001)</f>
        <v>-1.0000000000000001E-5</v>
      </c>
      <c r="J137" s="194">
        <f>IFERROR(IF($C137="",-0.00001,SUMIFS(Database!L:L,Database!$E:$E,$C137)/$E137),-0.00001)</f>
        <v>-1.0000000000000001E-5</v>
      </c>
      <c r="K137" s="194">
        <f>IFERROR(IF($C137="",-0.00001,SUMIFS(Database!M:M,Database!$E:$E,$C137)/$E137),-0.00001)</f>
        <v>-1.0000000000000001E-5</v>
      </c>
      <c r="L137" s="194">
        <f>IFERROR(IF($C137="",-0.00001,SUMIFS(Database!N:N,Database!$E:$E,$C137)/$E137),-0.00001)</f>
        <v>-1.0000000000000001E-5</v>
      </c>
      <c r="M137" s="194">
        <f>IFERROR(IF($C137="",-0.00001,SUMIFS(Database!O:O,Database!$E:$E,$C137)/$E137),-0.00001)</f>
        <v>-1.0000000000000001E-5</v>
      </c>
      <c r="N137" s="194">
        <f>IFERROR(IF($C137="",-0.00001,SUMIFS(Database!P:P,Database!$E:$E,$C137)/$E137),-0.00001)</f>
        <v>-1.0000000000000001E-5</v>
      </c>
      <c r="O137" s="194">
        <f>IFERROR(IF($C137="",-0.00001,SUMIFS(Database!Q:Q,Database!$E:$E,$C137)/$E137),-0.00001)</f>
        <v>-1.0000000000000001E-5</v>
      </c>
      <c r="P137" s="186">
        <f t="shared" si="6"/>
        <v>-1.0000000000000001E-5</v>
      </c>
      <c r="Q137" s="194">
        <f>IFERROR(IF($C137="",-0.00001,SUMIFS(Database!S:S,Database!$E:$E,$C137)/$E137),-0.00001)</f>
        <v>-1.0000000000000001E-5</v>
      </c>
      <c r="R137" s="194">
        <f>IFERROR(IF($C137="",-0.00001,SUMIFS(Database!T:T,Database!$E:$E,$C137)/$E137),-0.00001)</f>
        <v>-1.0000000000000001E-5</v>
      </c>
      <c r="S137" s="186">
        <f t="shared" si="7"/>
        <v>-1.0000000000000001E-5</v>
      </c>
      <c r="T137" s="194">
        <f>IFERROR(IF($C137="",-0.00001,SUMIFS(Database!V:V,Database!$E:$E,$C137)/$E137),-0.00001)</f>
        <v>-1.0000000000000001E-5</v>
      </c>
      <c r="U137" s="194">
        <f>IFERROR(IF($C137="",-0.00001,SUMIFS(Database!W:W,Database!$E:$E,$C137)/$E137),-0.00001)</f>
        <v>-1.0000000000000001E-5</v>
      </c>
      <c r="V137" s="186">
        <f t="shared" si="8"/>
        <v>-1.0000000000000001E-5</v>
      </c>
      <c r="W137" s="187"/>
      <c r="X137" s="187"/>
      <c r="Y137" s="187"/>
      <c r="Z137" s="187"/>
      <c r="AA137" s="187"/>
      <c r="AB137" s="187"/>
      <c r="AC137" s="187"/>
      <c r="AD137" s="187"/>
      <c r="AE137" s="187"/>
    </row>
    <row r="138" spans="1:31" x14ac:dyDescent="0.25">
      <c r="A138" s="187"/>
      <c r="B138" s="187" t="str">
        <f>IF($C138="","",MAX($B$4:$B137)+1)</f>
        <v/>
      </c>
      <c r="C138" s="183"/>
      <c r="D138" s="183" t="str">
        <f>IFERROR(VLOOKUP($C138,Rosters!$C$4:$M$239,INDEX(Lists!$N$5:$O$80,MATCH($C138,Lists!$N$5:$N$80,FALSE),2)),"")</f>
        <v/>
      </c>
      <c r="E138" s="185">
        <f>IF($C138="",-0.00001,COUNTIF(Database!E:E,$C138))</f>
        <v>-1.0000000000000001E-5</v>
      </c>
      <c r="F138" s="194">
        <f>IFERROR(IF($C138="",-0.00001,SUMIFS(Database!H:H,Database!$E:$E,$C138)/$E138),-0.00001)</f>
        <v>-1.0000000000000001E-5</v>
      </c>
      <c r="G138" s="194">
        <f>IFERROR(IF($C138="",-0.00001,SUMIFS(Database!I:I,Database!$E:$E,$C138)/$E138),-0.00001)</f>
        <v>-1.0000000000000001E-5</v>
      </c>
      <c r="H138" s="194">
        <f>IFERROR(IF($C138="",-0.00001,SUMIFS(Database!J:J,Database!$E:$E,$C138)/$E138),-0.00001)</f>
        <v>-1.0000000000000001E-5</v>
      </c>
      <c r="I138" s="194">
        <f>IFERROR(IF($C138="",-0.00001,SUMIFS(Database!K:K,Database!$E:$E,$C138)/$E138),-0.00001)</f>
        <v>-1.0000000000000001E-5</v>
      </c>
      <c r="J138" s="194">
        <f>IFERROR(IF($C138="",-0.00001,SUMIFS(Database!L:L,Database!$E:$E,$C138)/$E138),-0.00001)</f>
        <v>-1.0000000000000001E-5</v>
      </c>
      <c r="K138" s="194">
        <f>IFERROR(IF($C138="",-0.00001,SUMIFS(Database!M:M,Database!$E:$E,$C138)/$E138),-0.00001)</f>
        <v>-1.0000000000000001E-5</v>
      </c>
      <c r="L138" s="194">
        <f>IFERROR(IF($C138="",-0.00001,SUMIFS(Database!N:N,Database!$E:$E,$C138)/$E138),-0.00001)</f>
        <v>-1.0000000000000001E-5</v>
      </c>
      <c r="M138" s="194">
        <f>IFERROR(IF($C138="",-0.00001,SUMIFS(Database!O:O,Database!$E:$E,$C138)/$E138),-0.00001)</f>
        <v>-1.0000000000000001E-5</v>
      </c>
      <c r="N138" s="194">
        <f>IFERROR(IF($C138="",-0.00001,SUMIFS(Database!P:P,Database!$E:$E,$C138)/$E138),-0.00001)</f>
        <v>-1.0000000000000001E-5</v>
      </c>
      <c r="O138" s="194">
        <f>IFERROR(IF($C138="",-0.00001,SUMIFS(Database!Q:Q,Database!$E:$E,$C138)/$E138),-0.00001)</f>
        <v>-1.0000000000000001E-5</v>
      </c>
      <c r="P138" s="186">
        <f t="shared" si="6"/>
        <v>-1.0000000000000001E-5</v>
      </c>
      <c r="Q138" s="194">
        <f>IFERROR(IF($C138="",-0.00001,SUMIFS(Database!S:S,Database!$E:$E,$C138)/$E138),-0.00001)</f>
        <v>-1.0000000000000001E-5</v>
      </c>
      <c r="R138" s="194">
        <f>IFERROR(IF($C138="",-0.00001,SUMIFS(Database!T:T,Database!$E:$E,$C138)/$E138),-0.00001)</f>
        <v>-1.0000000000000001E-5</v>
      </c>
      <c r="S138" s="186">
        <f t="shared" si="7"/>
        <v>-1.0000000000000001E-5</v>
      </c>
      <c r="T138" s="194">
        <f>IFERROR(IF($C138="",-0.00001,SUMIFS(Database!V:V,Database!$E:$E,$C138)/$E138),-0.00001)</f>
        <v>-1.0000000000000001E-5</v>
      </c>
      <c r="U138" s="194">
        <f>IFERROR(IF($C138="",-0.00001,SUMIFS(Database!W:W,Database!$E:$E,$C138)/$E138),-0.00001)</f>
        <v>-1.0000000000000001E-5</v>
      </c>
      <c r="V138" s="186">
        <f t="shared" si="8"/>
        <v>-1.0000000000000001E-5</v>
      </c>
      <c r="W138" s="187"/>
      <c r="X138" s="187"/>
      <c r="Y138" s="187"/>
      <c r="Z138" s="187"/>
      <c r="AA138" s="187"/>
      <c r="AB138" s="187"/>
      <c r="AC138" s="187"/>
      <c r="AD138" s="187"/>
      <c r="AE138" s="187"/>
    </row>
    <row r="139" spans="1:31" x14ac:dyDescent="0.25">
      <c r="A139" s="187"/>
      <c r="B139" s="187" t="str">
        <f>IF($C139="","",MAX($B$4:$B138)+1)</f>
        <v/>
      </c>
      <c r="C139" s="183"/>
      <c r="D139" s="183" t="str">
        <f>IFERROR(VLOOKUP($C139,Rosters!$C$4:$M$239,INDEX(Lists!$N$5:$O$80,MATCH($C139,Lists!$N$5:$N$80,FALSE),2)),"")</f>
        <v/>
      </c>
      <c r="E139" s="185">
        <f>IF($C139="",-0.00001,COUNTIF(Database!E:E,$C139))</f>
        <v>-1.0000000000000001E-5</v>
      </c>
      <c r="F139" s="194">
        <f>IFERROR(IF($C139="",-0.00001,SUMIFS(Database!H:H,Database!$E:$E,$C139)/$E139),-0.00001)</f>
        <v>-1.0000000000000001E-5</v>
      </c>
      <c r="G139" s="194">
        <f>IFERROR(IF($C139="",-0.00001,SUMIFS(Database!I:I,Database!$E:$E,$C139)/$E139),-0.00001)</f>
        <v>-1.0000000000000001E-5</v>
      </c>
      <c r="H139" s="194">
        <f>IFERROR(IF($C139="",-0.00001,SUMIFS(Database!J:J,Database!$E:$E,$C139)/$E139),-0.00001)</f>
        <v>-1.0000000000000001E-5</v>
      </c>
      <c r="I139" s="194">
        <f>IFERROR(IF($C139="",-0.00001,SUMIFS(Database!K:K,Database!$E:$E,$C139)/$E139),-0.00001)</f>
        <v>-1.0000000000000001E-5</v>
      </c>
      <c r="J139" s="194">
        <f>IFERROR(IF($C139="",-0.00001,SUMIFS(Database!L:L,Database!$E:$E,$C139)/$E139),-0.00001)</f>
        <v>-1.0000000000000001E-5</v>
      </c>
      <c r="K139" s="194">
        <f>IFERROR(IF($C139="",-0.00001,SUMIFS(Database!M:M,Database!$E:$E,$C139)/$E139),-0.00001)</f>
        <v>-1.0000000000000001E-5</v>
      </c>
      <c r="L139" s="194">
        <f>IFERROR(IF($C139="",-0.00001,SUMIFS(Database!N:N,Database!$E:$E,$C139)/$E139),-0.00001)</f>
        <v>-1.0000000000000001E-5</v>
      </c>
      <c r="M139" s="194">
        <f>IFERROR(IF($C139="",-0.00001,SUMIFS(Database!O:O,Database!$E:$E,$C139)/$E139),-0.00001)</f>
        <v>-1.0000000000000001E-5</v>
      </c>
      <c r="N139" s="194">
        <f>IFERROR(IF($C139="",-0.00001,SUMIFS(Database!P:P,Database!$E:$E,$C139)/$E139),-0.00001)</f>
        <v>-1.0000000000000001E-5</v>
      </c>
      <c r="O139" s="194">
        <f>IFERROR(IF($C139="",-0.00001,SUMIFS(Database!Q:Q,Database!$E:$E,$C139)/$E139),-0.00001)</f>
        <v>-1.0000000000000001E-5</v>
      </c>
      <c r="P139" s="186">
        <f t="shared" si="6"/>
        <v>-1.0000000000000001E-5</v>
      </c>
      <c r="Q139" s="194">
        <f>IFERROR(IF($C139="",-0.00001,SUMIFS(Database!S:S,Database!$E:$E,$C139)/$E139),-0.00001)</f>
        <v>-1.0000000000000001E-5</v>
      </c>
      <c r="R139" s="194">
        <f>IFERROR(IF($C139="",-0.00001,SUMIFS(Database!T:T,Database!$E:$E,$C139)/$E139),-0.00001)</f>
        <v>-1.0000000000000001E-5</v>
      </c>
      <c r="S139" s="186">
        <f t="shared" si="7"/>
        <v>-1.0000000000000001E-5</v>
      </c>
      <c r="T139" s="194">
        <f>IFERROR(IF($C139="",-0.00001,SUMIFS(Database!V:V,Database!$E:$E,$C139)/$E139),-0.00001)</f>
        <v>-1.0000000000000001E-5</v>
      </c>
      <c r="U139" s="194">
        <f>IFERROR(IF($C139="",-0.00001,SUMIFS(Database!W:W,Database!$E:$E,$C139)/$E139),-0.00001)</f>
        <v>-1.0000000000000001E-5</v>
      </c>
      <c r="V139" s="186">
        <f t="shared" si="8"/>
        <v>-1.0000000000000001E-5</v>
      </c>
      <c r="W139" s="187"/>
      <c r="X139" s="187"/>
      <c r="Y139" s="187"/>
      <c r="Z139" s="187"/>
      <c r="AA139" s="187"/>
      <c r="AB139" s="187"/>
      <c r="AC139" s="187"/>
      <c r="AD139" s="187"/>
      <c r="AE139" s="187"/>
    </row>
    <row r="140" spans="1:31" x14ac:dyDescent="0.25">
      <c r="A140" s="187"/>
      <c r="B140" s="187" t="str">
        <f>IF($C140="","",MAX($B$4:$B139)+1)</f>
        <v/>
      </c>
      <c r="C140" s="183"/>
      <c r="D140" s="183" t="str">
        <f>IFERROR(VLOOKUP($C140,Rosters!$C$4:$M$239,INDEX(Lists!$N$5:$O$80,MATCH($C140,Lists!$N$5:$N$80,FALSE),2)),"")</f>
        <v/>
      </c>
      <c r="E140" s="185">
        <f>IF($C140="",-0.00001,COUNTIF(Database!E:E,$C140))</f>
        <v>-1.0000000000000001E-5</v>
      </c>
      <c r="F140" s="194">
        <f>IFERROR(IF($C140="",-0.00001,SUMIFS(Database!H:H,Database!$E:$E,$C140)/$E140),-0.00001)</f>
        <v>-1.0000000000000001E-5</v>
      </c>
      <c r="G140" s="194">
        <f>IFERROR(IF($C140="",-0.00001,SUMIFS(Database!I:I,Database!$E:$E,$C140)/$E140),-0.00001)</f>
        <v>-1.0000000000000001E-5</v>
      </c>
      <c r="H140" s="194">
        <f>IFERROR(IF($C140="",-0.00001,SUMIFS(Database!J:J,Database!$E:$E,$C140)/$E140),-0.00001)</f>
        <v>-1.0000000000000001E-5</v>
      </c>
      <c r="I140" s="194">
        <f>IFERROR(IF($C140="",-0.00001,SUMIFS(Database!K:K,Database!$E:$E,$C140)/$E140),-0.00001)</f>
        <v>-1.0000000000000001E-5</v>
      </c>
      <c r="J140" s="194">
        <f>IFERROR(IF($C140="",-0.00001,SUMIFS(Database!L:L,Database!$E:$E,$C140)/$E140),-0.00001)</f>
        <v>-1.0000000000000001E-5</v>
      </c>
      <c r="K140" s="194">
        <f>IFERROR(IF($C140="",-0.00001,SUMIFS(Database!M:M,Database!$E:$E,$C140)/$E140),-0.00001)</f>
        <v>-1.0000000000000001E-5</v>
      </c>
      <c r="L140" s="194">
        <f>IFERROR(IF($C140="",-0.00001,SUMIFS(Database!N:N,Database!$E:$E,$C140)/$E140),-0.00001)</f>
        <v>-1.0000000000000001E-5</v>
      </c>
      <c r="M140" s="194">
        <f>IFERROR(IF($C140="",-0.00001,SUMIFS(Database!O:O,Database!$E:$E,$C140)/$E140),-0.00001)</f>
        <v>-1.0000000000000001E-5</v>
      </c>
      <c r="N140" s="194">
        <f>IFERROR(IF($C140="",-0.00001,SUMIFS(Database!P:P,Database!$E:$E,$C140)/$E140),-0.00001)</f>
        <v>-1.0000000000000001E-5</v>
      </c>
      <c r="O140" s="194">
        <f>IFERROR(IF($C140="",-0.00001,SUMIFS(Database!Q:Q,Database!$E:$E,$C140)/$E140),-0.00001)</f>
        <v>-1.0000000000000001E-5</v>
      </c>
      <c r="P140" s="186">
        <f t="shared" si="6"/>
        <v>-1.0000000000000001E-5</v>
      </c>
      <c r="Q140" s="194">
        <f>IFERROR(IF($C140="",-0.00001,SUMIFS(Database!S:S,Database!$E:$E,$C140)/$E140),-0.00001)</f>
        <v>-1.0000000000000001E-5</v>
      </c>
      <c r="R140" s="194">
        <f>IFERROR(IF($C140="",-0.00001,SUMIFS(Database!T:T,Database!$E:$E,$C140)/$E140),-0.00001)</f>
        <v>-1.0000000000000001E-5</v>
      </c>
      <c r="S140" s="186">
        <f t="shared" si="7"/>
        <v>-1.0000000000000001E-5</v>
      </c>
      <c r="T140" s="194">
        <f>IFERROR(IF($C140="",-0.00001,SUMIFS(Database!V:V,Database!$E:$E,$C140)/$E140),-0.00001)</f>
        <v>-1.0000000000000001E-5</v>
      </c>
      <c r="U140" s="194">
        <f>IFERROR(IF($C140="",-0.00001,SUMIFS(Database!W:W,Database!$E:$E,$C140)/$E140),-0.00001)</f>
        <v>-1.0000000000000001E-5</v>
      </c>
      <c r="V140" s="186">
        <f t="shared" si="8"/>
        <v>-1.0000000000000001E-5</v>
      </c>
      <c r="W140" s="187"/>
      <c r="X140" s="187"/>
      <c r="Y140" s="187"/>
      <c r="Z140" s="187"/>
      <c r="AA140" s="187"/>
      <c r="AB140" s="187"/>
      <c r="AC140" s="187"/>
      <c r="AD140" s="187"/>
      <c r="AE140" s="187"/>
    </row>
    <row r="141" spans="1:31" x14ac:dyDescent="0.25">
      <c r="A141" s="187"/>
      <c r="B141" s="187" t="str">
        <f>IF($C141="","",MAX($B$4:$B140)+1)</f>
        <v/>
      </c>
      <c r="C141" s="183"/>
      <c r="D141" s="183" t="str">
        <f>IFERROR(VLOOKUP($C141,Rosters!$C$4:$M$239,INDEX(Lists!$N$5:$O$80,MATCH($C141,Lists!$N$5:$N$80,FALSE),2)),"")</f>
        <v/>
      </c>
      <c r="E141" s="185">
        <f>IF($C141="",-0.00001,COUNTIF(Database!E:E,$C141))</f>
        <v>-1.0000000000000001E-5</v>
      </c>
      <c r="F141" s="194">
        <f>IFERROR(IF($C141="",-0.00001,SUMIFS(Database!H:H,Database!$E:$E,$C141)/$E141),-0.00001)</f>
        <v>-1.0000000000000001E-5</v>
      </c>
      <c r="G141" s="194">
        <f>IFERROR(IF($C141="",-0.00001,SUMIFS(Database!I:I,Database!$E:$E,$C141)/$E141),-0.00001)</f>
        <v>-1.0000000000000001E-5</v>
      </c>
      <c r="H141" s="194">
        <f>IFERROR(IF($C141="",-0.00001,SUMIFS(Database!J:J,Database!$E:$E,$C141)/$E141),-0.00001)</f>
        <v>-1.0000000000000001E-5</v>
      </c>
      <c r="I141" s="194">
        <f>IFERROR(IF($C141="",-0.00001,SUMIFS(Database!K:K,Database!$E:$E,$C141)/$E141),-0.00001)</f>
        <v>-1.0000000000000001E-5</v>
      </c>
      <c r="J141" s="194">
        <f>IFERROR(IF($C141="",-0.00001,SUMIFS(Database!L:L,Database!$E:$E,$C141)/$E141),-0.00001)</f>
        <v>-1.0000000000000001E-5</v>
      </c>
      <c r="K141" s="194">
        <f>IFERROR(IF($C141="",-0.00001,SUMIFS(Database!M:M,Database!$E:$E,$C141)/$E141),-0.00001)</f>
        <v>-1.0000000000000001E-5</v>
      </c>
      <c r="L141" s="194">
        <f>IFERROR(IF($C141="",-0.00001,SUMIFS(Database!N:N,Database!$E:$E,$C141)/$E141),-0.00001)</f>
        <v>-1.0000000000000001E-5</v>
      </c>
      <c r="M141" s="194">
        <f>IFERROR(IF($C141="",-0.00001,SUMIFS(Database!O:O,Database!$E:$E,$C141)/$E141),-0.00001)</f>
        <v>-1.0000000000000001E-5</v>
      </c>
      <c r="N141" s="194">
        <f>IFERROR(IF($C141="",-0.00001,SUMIFS(Database!P:P,Database!$E:$E,$C141)/$E141),-0.00001)</f>
        <v>-1.0000000000000001E-5</v>
      </c>
      <c r="O141" s="194">
        <f>IFERROR(IF($C141="",-0.00001,SUMIFS(Database!Q:Q,Database!$E:$E,$C141)/$E141),-0.00001)</f>
        <v>-1.0000000000000001E-5</v>
      </c>
      <c r="P141" s="186">
        <f t="shared" si="6"/>
        <v>-1.0000000000000001E-5</v>
      </c>
      <c r="Q141" s="194">
        <f>IFERROR(IF($C141="",-0.00001,SUMIFS(Database!S:S,Database!$E:$E,$C141)/$E141),-0.00001)</f>
        <v>-1.0000000000000001E-5</v>
      </c>
      <c r="R141" s="194">
        <f>IFERROR(IF($C141="",-0.00001,SUMIFS(Database!T:T,Database!$E:$E,$C141)/$E141),-0.00001)</f>
        <v>-1.0000000000000001E-5</v>
      </c>
      <c r="S141" s="186">
        <f t="shared" si="7"/>
        <v>-1.0000000000000001E-5</v>
      </c>
      <c r="T141" s="194">
        <f>IFERROR(IF($C141="",-0.00001,SUMIFS(Database!V:V,Database!$E:$E,$C141)/$E141),-0.00001)</f>
        <v>-1.0000000000000001E-5</v>
      </c>
      <c r="U141" s="194">
        <f>IFERROR(IF($C141="",-0.00001,SUMIFS(Database!W:W,Database!$E:$E,$C141)/$E141),-0.00001)</f>
        <v>-1.0000000000000001E-5</v>
      </c>
      <c r="V141" s="186">
        <f t="shared" si="8"/>
        <v>-1.0000000000000001E-5</v>
      </c>
      <c r="W141" s="187"/>
      <c r="X141" s="187"/>
      <c r="Y141" s="187"/>
      <c r="Z141" s="187"/>
      <c r="AA141" s="187"/>
      <c r="AB141" s="187"/>
      <c r="AC141" s="187"/>
      <c r="AD141" s="187"/>
      <c r="AE141" s="187"/>
    </row>
    <row r="142" spans="1:31" x14ac:dyDescent="0.25">
      <c r="A142" s="187"/>
      <c r="B142" s="187" t="str">
        <f>IF($C142="","",MAX($B$4:$B141)+1)</f>
        <v/>
      </c>
      <c r="C142" s="183"/>
      <c r="D142" s="183" t="str">
        <f>IFERROR(VLOOKUP($C142,Rosters!$C$4:$M$239,INDEX(Lists!$N$5:$O$80,MATCH($C142,Lists!$N$5:$N$80,FALSE),2)),"")</f>
        <v/>
      </c>
      <c r="E142" s="185">
        <f>IF($C142="",-0.00001,COUNTIF(Database!E:E,$C142))</f>
        <v>-1.0000000000000001E-5</v>
      </c>
      <c r="F142" s="194">
        <f>IFERROR(IF($C142="",-0.00001,SUMIFS(Database!H:H,Database!$E:$E,$C142)/$E142),-0.00001)</f>
        <v>-1.0000000000000001E-5</v>
      </c>
      <c r="G142" s="194">
        <f>IFERROR(IF($C142="",-0.00001,SUMIFS(Database!I:I,Database!$E:$E,$C142)/$E142),-0.00001)</f>
        <v>-1.0000000000000001E-5</v>
      </c>
      <c r="H142" s="194">
        <f>IFERROR(IF($C142="",-0.00001,SUMIFS(Database!J:J,Database!$E:$E,$C142)/$E142),-0.00001)</f>
        <v>-1.0000000000000001E-5</v>
      </c>
      <c r="I142" s="194">
        <f>IFERROR(IF($C142="",-0.00001,SUMIFS(Database!K:K,Database!$E:$E,$C142)/$E142),-0.00001)</f>
        <v>-1.0000000000000001E-5</v>
      </c>
      <c r="J142" s="194">
        <f>IFERROR(IF($C142="",-0.00001,SUMIFS(Database!L:L,Database!$E:$E,$C142)/$E142),-0.00001)</f>
        <v>-1.0000000000000001E-5</v>
      </c>
      <c r="K142" s="194">
        <f>IFERROR(IF($C142="",-0.00001,SUMIFS(Database!M:M,Database!$E:$E,$C142)/$E142),-0.00001)</f>
        <v>-1.0000000000000001E-5</v>
      </c>
      <c r="L142" s="194">
        <f>IFERROR(IF($C142="",-0.00001,SUMIFS(Database!N:N,Database!$E:$E,$C142)/$E142),-0.00001)</f>
        <v>-1.0000000000000001E-5</v>
      </c>
      <c r="M142" s="194">
        <f>IFERROR(IF($C142="",-0.00001,SUMIFS(Database!O:O,Database!$E:$E,$C142)/$E142),-0.00001)</f>
        <v>-1.0000000000000001E-5</v>
      </c>
      <c r="N142" s="194">
        <f>IFERROR(IF($C142="",-0.00001,SUMIFS(Database!P:P,Database!$E:$E,$C142)/$E142),-0.00001)</f>
        <v>-1.0000000000000001E-5</v>
      </c>
      <c r="O142" s="194">
        <f>IFERROR(IF($C142="",-0.00001,SUMIFS(Database!Q:Q,Database!$E:$E,$C142)/$E142),-0.00001)</f>
        <v>-1.0000000000000001E-5</v>
      </c>
      <c r="P142" s="186">
        <f t="shared" si="6"/>
        <v>-1.0000000000000001E-5</v>
      </c>
      <c r="Q142" s="194">
        <f>IFERROR(IF($C142="",-0.00001,SUMIFS(Database!S:S,Database!$E:$E,$C142)/$E142),-0.00001)</f>
        <v>-1.0000000000000001E-5</v>
      </c>
      <c r="R142" s="194">
        <f>IFERROR(IF($C142="",-0.00001,SUMIFS(Database!T:T,Database!$E:$E,$C142)/$E142),-0.00001)</f>
        <v>-1.0000000000000001E-5</v>
      </c>
      <c r="S142" s="186">
        <f t="shared" si="7"/>
        <v>-1.0000000000000001E-5</v>
      </c>
      <c r="T142" s="194">
        <f>IFERROR(IF($C142="",-0.00001,SUMIFS(Database!V:V,Database!$E:$E,$C142)/$E142),-0.00001)</f>
        <v>-1.0000000000000001E-5</v>
      </c>
      <c r="U142" s="194">
        <f>IFERROR(IF($C142="",-0.00001,SUMIFS(Database!W:W,Database!$E:$E,$C142)/$E142),-0.00001)</f>
        <v>-1.0000000000000001E-5</v>
      </c>
      <c r="V142" s="186">
        <f t="shared" si="8"/>
        <v>-1.0000000000000001E-5</v>
      </c>
      <c r="W142" s="187"/>
      <c r="X142" s="187"/>
      <c r="Y142" s="187"/>
      <c r="Z142" s="187"/>
      <c r="AA142" s="187"/>
      <c r="AB142" s="187"/>
      <c r="AC142" s="187"/>
      <c r="AD142" s="187"/>
      <c r="AE142" s="187"/>
    </row>
    <row r="143" spans="1:31" x14ac:dyDescent="0.25">
      <c r="A143" s="187"/>
      <c r="B143" s="187" t="str">
        <f>IF($C143="","",MAX($B$4:$B142)+1)</f>
        <v/>
      </c>
      <c r="C143" s="183"/>
      <c r="D143" s="183" t="str">
        <f>IFERROR(VLOOKUP($C143,Rosters!$C$4:$M$239,INDEX(Lists!$N$5:$O$80,MATCH($C143,Lists!$N$5:$N$80,FALSE),2)),"")</f>
        <v/>
      </c>
      <c r="E143" s="185">
        <f>IF($C143="",-0.00001,COUNTIF(Database!E:E,$C143))</f>
        <v>-1.0000000000000001E-5</v>
      </c>
      <c r="F143" s="194">
        <f>IFERROR(IF($C143="",-0.00001,SUMIFS(Database!H:H,Database!$E:$E,$C143)/$E143),-0.00001)</f>
        <v>-1.0000000000000001E-5</v>
      </c>
      <c r="G143" s="194">
        <f>IFERROR(IF($C143="",-0.00001,SUMIFS(Database!I:I,Database!$E:$E,$C143)/$E143),-0.00001)</f>
        <v>-1.0000000000000001E-5</v>
      </c>
      <c r="H143" s="194">
        <f>IFERROR(IF($C143="",-0.00001,SUMIFS(Database!J:J,Database!$E:$E,$C143)/$E143),-0.00001)</f>
        <v>-1.0000000000000001E-5</v>
      </c>
      <c r="I143" s="194">
        <f>IFERROR(IF($C143="",-0.00001,SUMIFS(Database!K:K,Database!$E:$E,$C143)/$E143),-0.00001)</f>
        <v>-1.0000000000000001E-5</v>
      </c>
      <c r="J143" s="194">
        <f>IFERROR(IF($C143="",-0.00001,SUMIFS(Database!L:L,Database!$E:$E,$C143)/$E143),-0.00001)</f>
        <v>-1.0000000000000001E-5</v>
      </c>
      <c r="K143" s="194">
        <f>IFERROR(IF($C143="",-0.00001,SUMIFS(Database!M:M,Database!$E:$E,$C143)/$E143),-0.00001)</f>
        <v>-1.0000000000000001E-5</v>
      </c>
      <c r="L143" s="194">
        <f>IFERROR(IF($C143="",-0.00001,SUMIFS(Database!N:N,Database!$E:$E,$C143)/$E143),-0.00001)</f>
        <v>-1.0000000000000001E-5</v>
      </c>
      <c r="M143" s="194">
        <f>IFERROR(IF($C143="",-0.00001,SUMIFS(Database!O:O,Database!$E:$E,$C143)/$E143),-0.00001)</f>
        <v>-1.0000000000000001E-5</v>
      </c>
      <c r="N143" s="194">
        <f>IFERROR(IF($C143="",-0.00001,SUMIFS(Database!P:P,Database!$E:$E,$C143)/$E143),-0.00001)</f>
        <v>-1.0000000000000001E-5</v>
      </c>
      <c r="O143" s="194">
        <f>IFERROR(IF($C143="",-0.00001,SUMIFS(Database!Q:Q,Database!$E:$E,$C143)/$E143),-0.00001)</f>
        <v>-1.0000000000000001E-5</v>
      </c>
      <c r="P143" s="186">
        <f t="shared" si="6"/>
        <v>-1.0000000000000001E-5</v>
      </c>
      <c r="Q143" s="194">
        <f>IFERROR(IF($C143="",-0.00001,SUMIFS(Database!S:S,Database!$E:$E,$C143)/$E143),-0.00001)</f>
        <v>-1.0000000000000001E-5</v>
      </c>
      <c r="R143" s="194">
        <f>IFERROR(IF($C143="",-0.00001,SUMIFS(Database!T:T,Database!$E:$E,$C143)/$E143),-0.00001)</f>
        <v>-1.0000000000000001E-5</v>
      </c>
      <c r="S143" s="186">
        <f t="shared" si="7"/>
        <v>-1.0000000000000001E-5</v>
      </c>
      <c r="T143" s="194">
        <f>IFERROR(IF($C143="",-0.00001,SUMIFS(Database!V:V,Database!$E:$E,$C143)/$E143),-0.00001)</f>
        <v>-1.0000000000000001E-5</v>
      </c>
      <c r="U143" s="194">
        <f>IFERROR(IF($C143="",-0.00001,SUMIFS(Database!W:W,Database!$E:$E,$C143)/$E143),-0.00001)</f>
        <v>-1.0000000000000001E-5</v>
      </c>
      <c r="V143" s="186">
        <f t="shared" si="8"/>
        <v>-1.0000000000000001E-5</v>
      </c>
      <c r="W143" s="187"/>
      <c r="X143" s="187"/>
      <c r="Y143" s="187"/>
      <c r="Z143" s="187"/>
      <c r="AA143" s="187"/>
      <c r="AB143" s="187"/>
      <c r="AC143" s="187"/>
      <c r="AD143" s="187"/>
      <c r="AE143" s="187"/>
    </row>
    <row r="144" spans="1:31" x14ac:dyDescent="0.25">
      <c r="A144" s="187"/>
      <c r="B144" s="187" t="str">
        <f>IF($C144="","",MAX($B$4:$B143)+1)</f>
        <v/>
      </c>
      <c r="C144" s="183"/>
      <c r="D144" s="183" t="str">
        <f>IFERROR(VLOOKUP($C144,Rosters!$C$4:$M$239,INDEX(Lists!$N$5:$O$80,MATCH($C144,Lists!$N$5:$N$80,FALSE),2)),"")</f>
        <v/>
      </c>
      <c r="E144" s="185">
        <f>IF($C144="",-0.00001,COUNTIF(Database!E:E,$C144))</f>
        <v>-1.0000000000000001E-5</v>
      </c>
      <c r="F144" s="194">
        <f>IFERROR(IF($C144="",-0.00001,SUMIFS(Database!H:H,Database!$E:$E,$C144)/$E144),-0.00001)</f>
        <v>-1.0000000000000001E-5</v>
      </c>
      <c r="G144" s="194">
        <f>IFERROR(IF($C144="",-0.00001,SUMIFS(Database!I:I,Database!$E:$E,$C144)/$E144),-0.00001)</f>
        <v>-1.0000000000000001E-5</v>
      </c>
      <c r="H144" s="194">
        <f>IFERROR(IF($C144="",-0.00001,SUMIFS(Database!J:J,Database!$E:$E,$C144)/$E144),-0.00001)</f>
        <v>-1.0000000000000001E-5</v>
      </c>
      <c r="I144" s="194">
        <f>IFERROR(IF($C144="",-0.00001,SUMIFS(Database!K:K,Database!$E:$E,$C144)/$E144),-0.00001)</f>
        <v>-1.0000000000000001E-5</v>
      </c>
      <c r="J144" s="194">
        <f>IFERROR(IF($C144="",-0.00001,SUMIFS(Database!L:L,Database!$E:$E,$C144)/$E144),-0.00001)</f>
        <v>-1.0000000000000001E-5</v>
      </c>
      <c r="K144" s="194">
        <f>IFERROR(IF($C144="",-0.00001,SUMIFS(Database!M:M,Database!$E:$E,$C144)/$E144),-0.00001)</f>
        <v>-1.0000000000000001E-5</v>
      </c>
      <c r="L144" s="194">
        <f>IFERROR(IF($C144="",-0.00001,SUMIFS(Database!N:N,Database!$E:$E,$C144)/$E144),-0.00001)</f>
        <v>-1.0000000000000001E-5</v>
      </c>
      <c r="M144" s="194">
        <f>IFERROR(IF($C144="",-0.00001,SUMIFS(Database!O:O,Database!$E:$E,$C144)/$E144),-0.00001)</f>
        <v>-1.0000000000000001E-5</v>
      </c>
      <c r="N144" s="194">
        <f>IFERROR(IF($C144="",-0.00001,SUMIFS(Database!P:P,Database!$E:$E,$C144)/$E144),-0.00001)</f>
        <v>-1.0000000000000001E-5</v>
      </c>
      <c r="O144" s="194">
        <f>IFERROR(IF($C144="",-0.00001,SUMIFS(Database!Q:Q,Database!$E:$E,$C144)/$E144),-0.00001)</f>
        <v>-1.0000000000000001E-5</v>
      </c>
      <c r="P144" s="186">
        <f t="shared" si="6"/>
        <v>-1.0000000000000001E-5</v>
      </c>
      <c r="Q144" s="194">
        <f>IFERROR(IF($C144="",-0.00001,SUMIFS(Database!S:S,Database!$E:$E,$C144)/$E144),-0.00001)</f>
        <v>-1.0000000000000001E-5</v>
      </c>
      <c r="R144" s="194">
        <f>IFERROR(IF($C144="",-0.00001,SUMIFS(Database!T:T,Database!$E:$E,$C144)/$E144),-0.00001)</f>
        <v>-1.0000000000000001E-5</v>
      </c>
      <c r="S144" s="186">
        <f t="shared" si="7"/>
        <v>-1.0000000000000001E-5</v>
      </c>
      <c r="T144" s="194">
        <f>IFERROR(IF($C144="",-0.00001,SUMIFS(Database!V:V,Database!$E:$E,$C144)/$E144),-0.00001)</f>
        <v>-1.0000000000000001E-5</v>
      </c>
      <c r="U144" s="194">
        <f>IFERROR(IF($C144="",-0.00001,SUMIFS(Database!W:W,Database!$E:$E,$C144)/$E144),-0.00001)</f>
        <v>-1.0000000000000001E-5</v>
      </c>
      <c r="V144" s="186">
        <f t="shared" si="8"/>
        <v>-1.0000000000000001E-5</v>
      </c>
      <c r="W144" s="187"/>
      <c r="X144" s="187"/>
      <c r="Y144" s="187"/>
      <c r="Z144" s="187"/>
      <c r="AA144" s="187"/>
      <c r="AB144" s="187"/>
      <c r="AC144" s="187"/>
      <c r="AD144" s="187"/>
      <c r="AE144" s="187"/>
    </row>
    <row r="145" spans="1:31" x14ac:dyDescent="0.25">
      <c r="A145" s="187"/>
      <c r="B145" s="187" t="str">
        <f>IF($C145="","",MAX($B$4:$B144)+1)</f>
        <v/>
      </c>
      <c r="C145" s="183"/>
      <c r="D145" s="183" t="str">
        <f>IFERROR(VLOOKUP($C145,Rosters!$C$4:$M$239,INDEX(Lists!$N$5:$O$80,MATCH($C145,Lists!$N$5:$N$80,FALSE),2)),"")</f>
        <v/>
      </c>
      <c r="E145" s="185">
        <f>IF($C145="",-0.00001,COUNTIF(Database!E:E,$C145))</f>
        <v>-1.0000000000000001E-5</v>
      </c>
      <c r="F145" s="194">
        <f>IFERROR(IF($C145="",-0.00001,SUMIFS(Database!H:H,Database!$E:$E,$C145)/$E145),-0.00001)</f>
        <v>-1.0000000000000001E-5</v>
      </c>
      <c r="G145" s="194">
        <f>IFERROR(IF($C145="",-0.00001,SUMIFS(Database!I:I,Database!$E:$E,$C145)/$E145),-0.00001)</f>
        <v>-1.0000000000000001E-5</v>
      </c>
      <c r="H145" s="194">
        <f>IFERROR(IF($C145="",-0.00001,SUMIFS(Database!J:J,Database!$E:$E,$C145)/$E145),-0.00001)</f>
        <v>-1.0000000000000001E-5</v>
      </c>
      <c r="I145" s="194">
        <f>IFERROR(IF($C145="",-0.00001,SUMIFS(Database!K:K,Database!$E:$E,$C145)/$E145),-0.00001)</f>
        <v>-1.0000000000000001E-5</v>
      </c>
      <c r="J145" s="194">
        <f>IFERROR(IF($C145="",-0.00001,SUMIFS(Database!L:L,Database!$E:$E,$C145)/$E145),-0.00001)</f>
        <v>-1.0000000000000001E-5</v>
      </c>
      <c r="K145" s="194">
        <f>IFERROR(IF($C145="",-0.00001,SUMIFS(Database!M:M,Database!$E:$E,$C145)/$E145),-0.00001)</f>
        <v>-1.0000000000000001E-5</v>
      </c>
      <c r="L145" s="194">
        <f>IFERROR(IF($C145="",-0.00001,SUMIFS(Database!N:N,Database!$E:$E,$C145)/$E145),-0.00001)</f>
        <v>-1.0000000000000001E-5</v>
      </c>
      <c r="M145" s="194">
        <f>IFERROR(IF($C145="",-0.00001,SUMIFS(Database!O:O,Database!$E:$E,$C145)/$E145),-0.00001)</f>
        <v>-1.0000000000000001E-5</v>
      </c>
      <c r="N145" s="194">
        <f>IFERROR(IF($C145="",-0.00001,SUMIFS(Database!P:P,Database!$E:$E,$C145)/$E145),-0.00001)</f>
        <v>-1.0000000000000001E-5</v>
      </c>
      <c r="O145" s="194">
        <f>IFERROR(IF($C145="",-0.00001,SUMIFS(Database!Q:Q,Database!$E:$E,$C145)/$E145),-0.00001)</f>
        <v>-1.0000000000000001E-5</v>
      </c>
      <c r="P145" s="186">
        <f t="shared" si="6"/>
        <v>-1.0000000000000001E-5</v>
      </c>
      <c r="Q145" s="194">
        <f>IFERROR(IF($C145="",-0.00001,SUMIFS(Database!S:S,Database!$E:$E,$C145)/$E145),-0.00001)</f>
        <v>-1.0000000000000001E-5</v>
      </c>
      <c r="R145" s="194">
        <f>IFERROR(IF($C145="",-0.00001,SUMIFS(Database!T:T,Database!$E:$E,$C145)/$E145),-0.00001)</f>
        <v>-1.0000000000000001E-5</v>
      </c>
      <c r="S145" s="186">
        <f t="shared" si="7"/>
        <v>-1.0000000000000001E-5</v>
      </c>
      <c r="T145" s="194">
        <f>IFERROR(IF($C145="",-0.00001,SUMIFS(Database!V:V,Database!$E:$E,$C145)/$E145),-0.00001)</f>
        <v>-1.0000000000000001E-5</v>
      </c>
      <c r="U145" s="194">
        <f>IFERROR(IF($C145="",-0.00001,SUMIFS(Database!W:W,Database!$E:$E,$C145)/$E145),-0.00001)</f>
        <v>-1.0000000000000001E-5</v>
      </c>
      <c r="V145" s="186">
        <f t="shared" si="8"/>
        <v>-1.0000000000000001E-5</v>
      </c>
      <c r="W145" s="187"/>
      <c r="X145" s="187"/>
      <c r="Y145" s="187"/>
      <c r="Z145" s="187"/>
      <c r="AA145" s="187"/>
      <c r="AB145" s="187"/>
      <c r="AC145" s="187"/>
      <c r="AD145" s="187"/>
      <c r="AE145" s="187"/>
    </row>
    <row r="146" spans="1:31" x14ac:dyDescent="0.25">
      <c r="A146" s="187"/>
      <c r="B146" s="187" t="str">
        <f>IF($C146="","",MAX($B$4:$B145)+1)</f>
        <v/>
      </c>
      <c r="C146" s="183"/>
      <c r="D146" s="183" t="str">
        <f>IFERROR(VLOOKUP($C146,Rosters!$C$4:$M$239,INDEX(Lists!$N$5:$O$80,MATCH($C146,Lists!$N$5:$N$80,FALSE),2)),"")</f>
        <v/>
      </c>
      <c r="E146" s="185">
        <f>IF($C146="",-0.00001,COUNTIF(Database!E:E,$C146))</f>
        <v>-1.0000000000000001E-5</v>
      </c>
      <c r="F146" s="194">
        <f>IFERROR(IF($C146="",-0.00001,SUMIFS(Database!H:H,Database!$E:$E,$C146)/$E146),-0.00001)</f>
        <v>-1.0000000000000001E-5</v>
      </c>
      <c r="G146" s="194">
        <f>IFERROR(IF($C146="",-0.00001,SUMIFS(Database!I:I,Database!$E:$E,$C146)/$E146),-0.00001)</f>
        <v>-1.0000000000000001E-5</v>
      </c>
      <c r="H146" s="194">
        <f>IFERROR(IF($C146="",-0.00001,SUMIFS(Database!J:J,Database!$E:$E,$C146)/$E146),-0.00001)</f>
        <v>-1.0000000000000001E-5</v>
      </c>
      <c r="I146" s="194">
        <f>IFERROR(IF($C146="",-0.00001,SUMIFS(Database!K:K,Database!$E:$E,$C146)/$E146),-0.00001)</f>
        <v>-1.0000000000000001E-5</v>
      </c>
      <c r="J146" s="194">
        <f>IFERROR(IF($C146="",-0.00001,SUMIFS(Database!L:L,Database!$E:$E,$C146)/$E146),-0.00001)</f>
        <v>-1.0000000000000001E-5</v>
      </c>
      <c r="K146" s="194">
        <f>IFERROR(IF($C146="",-0.00001,SUMIFS(Database!M:M,Database!$E:$E,$C146)/$E146),-0.00001)</f>
        <v>-1.0000000000000001E-5</v>
      </c>
      <c r="L146" s="194">
        <f>IFERROR(IF($C146="",-0.00001,SUMIFS(Database!N:N,Database!$E:$E,$C146)/$E146),-0.00001)</f>
        <v>-1.0000000000000001E-5</v>
      </c>
      <c r="M146" s="194">
        <f>IFERROR(IF($C146="",-0.00001,SUMIFS(Database!O:O,Database!$E:$E,$C146)/$E146),-0.00001)</f>
        <v>-1.0000000000000001E-5</v>
      </c>
      <c r="N146" s="194">
        <f>IFERROR(IF($C146="",-0.00001,SUMIFS(Database!P:P,Database!$E:$E,$C146)/$E146),-0.00001)</f>
        <v>-1.0000000000000001E-5</v>
      </c>
      <c r="O146" s="194">
        <f>IFERROR(IF($C146="",-0.00001,SUMIFS(Database!Q:Q,Database!$E:$E,$C146)/$E146),-0.00001)</f>
        <v>-1.0000000000000001E-5</v>
      </c>
      <c r="P146" s="186">
        <f t="shared" si="6"/>
        <v>-1.0000000000000001E-5</v>
      </c>
      <c r="Q146" s="194">
        <f>IFERROR(IF($C146="",-0.00001,SUMIFS(Database!S:S,Database!$E:$E,$C146)/$E146),-0.00001)</f>
        <v>-1.0000000000000001E-5</v>
      </c>
      <c r="R146" s="194">
        <f>IFERROR(IF($C146="",-0.00001,SUMIFS(Database!T:T,Database!$E:$E,$C146)/$E146),-0.00001)</f>
        <v>-1.0000000000000001E-5</v>
      </c>
      <c r="S146" s="186">
        <f t="shared" si="7"/>
        <v>-1.0000000000000001E-5</v>
      </c>
      <c r="T146" s="194">
        <f>IFERROR(IF($C146="",-0.00001,SUMIFS(Database!V:V,Database!$E:$E,$C146)/$E146),-0.00001)</f>
        <v>-1.0000000000000001E-5</v>
      </c>
      <c r="U146" s="194">
        <f>IFERROR(IF($C146="",-0.00001,SUMIFS(Database!W:W,Database!$E:$E,$C146)/$E146),-0.00001)</f>
        <v>-1.0000000000000001E-5</v>
      </c>
      <c r="V146" s="186">
        <f t="shared" si="8"/>
        <v>-1.0000000000000001E-5</v>
      </c>
      <c r="W146" s="187"/>
      <c r="X146" s="187"/>
      <c r="Y146" s="187"/>
      <c r="Z146" s="187"/>
      <c r="AA146" s="187"/>
      <c r="AB146" s="187"/>
      <c r="AC146" s="187"/>
      <c r="AD146" s="187"/>
      <c r="AE146" s="187"/>
    </row>
    <row r="147" spans="1:31" x14ac:dyDescent="0.25">
      <c r="A147" s="187"/>
      <c r="B147" s="187" t="str">
        <f>IF($C147="","",MAX($B$4:$B146)+1)</f>
        <v/>
      </c>
      <c r="C147" s="183"/>
      <c r="D147" s="183" t="str">
        <f>IFERROR(VLOOKUP($C147,Rosters!$C$4:$M$239,INDEX(Lists!$N$5:$O$80,MATCH($C147,Lists!$N$5:$N$80,FALSE),2)),"")</f>
        <v/>
      </c>
      <c r="E147" s="185">
        <f>IF($C147="",-0.00001,COUNTIF(Database!E:E,$C147))</f>
        <v>-1.0000000000000001E-5</v>
      </c>
      <c r="F147" s="194">
        <f>IFERROR(IF($C147="",-0.00001,SUMIFS(Database!H:H,Database!$E:$E,$C147)/$E147),-0.00001)</f>
        <v>-1.0000000000000001E-5</v>
      </c>
      <c r="G147" s="194">
        <f>IFERROR(IF($C147="",-0.00001,SUMIFS(Database!I:I,Database!$E:$E,$C147)/$E147),-0.00001)</f>
        <v>-1.0000000000000001E-5</v>
      </c>
      <c r="H147" s="194">
        <f>IFERROR(IF($C147="",-0.00001,SUMIFS(Database!J:J,Database!$E:$E,$C147)/$E147),-0.00001)</f>
        <v>-1.0000000000000001E-5</v>
      </c>
      <c r="I147" s="194">
        <f>IFERROR(IF($C147="",-0.00001,SUMIFS(Database!K:K,Database!$E:$E,$C147)/$E147),-0.00001)</f>
        <v>-1.0000000000000001E-5</v>
      </c>
      <c r="J147" s="194">
        <f>IFERROR(IF($C147="",-0.00001,SUMIFS(Database!L:L,Database!$E:$E,$C147)/$E147),-0.00001)</f>
        <v>-1.0000000000000001E-5</v>
      </c>
      <c r="K147" s="194">
        <f>IFERROR(IF($C147="",-0.00001,SUMIFS(Database!M:M,Database!$E:$E,$C147)/$E147),-0.00001)</f>
        <v>-1.0000000000000001E-5</v>
      </c>
      <c r="L147" s="194">
        <f>IFERROR(IF($C147="",-0.00001,SUMIFS(Database!N:N,Database!$E:$E,$C147)/$E147),-0.00001)</f>
        <v>-1.0000000000000001E-5</v>
      </c>
      <c r="M147" s="194">
        <f>IFERROR(IF($C147="",-0.00001,SUMIFS(Database!O:O,Database!$E:$E,$C147)/$E147),-0.00001)</f>
        <v>-1.0000000000000001E-5</v>
      </c>
      <c r="N147" s="194">
        <f>IFERROR(IF($C147="",-0.00001,SUMIFS(Database!P:P,Database!$E:$E,$C147)/$E147),-0.00001)</f>
        <v>-1.0000000000000001E-5</v>
      </c>
      <c r="O147" s="194">
        <f>IFERROR(IF($C147="",-0.00001,SUMIFS(Database!Q:Q,Database!$E:$E,$C147)/$E147),-0.00001)</f>
        <v>-1.0000000000000001E-5</v>
      </c>
      <c r="P147" s="186">
        <f t="shared" si="6"/>
        <v>-1.0000000000000001E-5</v>
      </c>
      <c r="Q147" s="194">
        <f>IFERROR(IF($C147="",-0.00001,SUMIFS(Database!S:S,Database!$E:$E,$C147)/$E147),-0.00001)</f>
        <v>-1.0000000000000001E-5</v>
      </c>
      <c r="R147" s="194">
        <f>IFERROR(IF($C147="",-0.00001,SUMIFS(Database!T:T,Database!$E:$E,$C147)/$E147),-0.00001)</f>
        <v>-1.0000000000000001E-5</v>
      </c>
      <c r="S147" s="186">
        <f t="shared" si="7"/>
        <v>-1.0000000000000001E-5</v>
      </c>
      <c r="T147" s="194">
        <f>IFERROR(IF($C147="",-0.00001,SUMIFS(Database!V:V,Database!$E:$E,$C147)/$E147),-0.00001)</f>
        <v>-1.0000000000000001E-5</v>
      </c>
      <c r="U147" s="194">
        <f>IFERROR(IF($C147="",-0.00001,SUMIFS(Database!W:W,Database!$E:$E,$C147)/$E147),-0.00001)</f>
        <v>-1.0000000000000001E-5</v>
      </c>
      <c r="V147" s="186">
        <f t="shared" si="8"/>
        <v>-1.0000000000000001E-5</v>
      </c>
      <c r="W147" s="187"/>
      <c r="X147" s="187"/>
      <c r="Y147" s="187"/>
      <c r="Z147" s="187"/>
      <c r="AA147" s="187"/>
      <c r="AB147" s="187"/>
      <c r="AC147" s="187"/>
      <c r="AD147" s="187"/>
      <c r="AE147" s="187"/>
    </row>
    <row r="148" spans="1:31" x14ac:dyDescent="0.25">
      <c r="A148" s="187"/>
      <c r="B148" s="187" t="str">
        <f>IF($C148="","",MAX($B$4:$B147)+1)</f>
        <v/>
      </c>
      <c r="C148" s="183"/>
      <c r="D148" s="183" t="str">
        <f>IFERROR(VLOOKUP($C148,Rosters!$C$4:$M$239,INDEX(Lists!$N$5:$O$80,MATCH($C148,Lists!$N$5:$N$80,FALSE),2)),"")</f>
        <v/>
      </c>
      <c r="E148" s="185">
        <f>IF($C148="",-0.00001,COUNTIF(Database!E:E,$C148))</f>
        <v>-1.0000000000000001E-5</v>
      </c>
      <c r="F148" s="194">
        <f>IFERROR(IF($C148="",-0.00001,SUMIFS(Database!H:H,Database!$E:$E,$C148)/$E148),-0.00001)</f>
        <v>-1.0000000000000001E-5</v>
      </c>
      <c r="G148" s="194">
        <f>IFERROR(IF($C148="",-0.00001,SUMIFS(Database!I:I,Database!$E:$E,$C148)/$E148),-0.00001)</f>
        <v>-1.0000000000000001E-5</v>
      </c>
      <c r="H148" s="194">
        <f>IFERROR(IF($C148="",-0.00001,SUMIFS(Database!J:J,Database!$E:$E,$C148)/$E148),-0.00001)</f>
        <v>-1.0000000000000001E-5</v>
      </c>
      <c r="I148" s="194">
        <f>IFERROR(IF($C148="",-0.00001,SUMIFS(Database!K:K,Database!$E:$E,$C148)/$E148),-0.00001)</f>
        <v>-1.0000000000000001E-5</v>
      </c>
      <c r="J148" s="194">
        <f>IFERROR(IF($C148="",-0.00001,SUMIFS(Database!L:L,Database!$E:$E,$C148)/$E148),-0.00001)</f>
        <v>-1.0000000000000001E-5</v>
      </c>
      <c r="K148" s="194">
        <f>IFERROR(IF($C148="",-0.00001,SUMIFS(Database!M:M,Database!$E:$E,$C148)/$E148),-0.00001)</f>
        <v>-1.0000000000000001E-5</v>
      </c>
      <c r="L148" s="194">
        <f>IFERROR(IF($C148="",-0.00001,SUMIFS(Database!N:N,Database!$E:$E,$C148)/$E148),-0.00001)</f>
        <v>-1.0000000000000001E-5</v>
      </c>
      <c r="M148" s="194">
        <f>IFERROR(IF($C148="",-0.00001,SUMIFS(Database!O:O,Database!$E:$E,$C148)/$E148),-0.00001)</f>
        <v>-1.0000000000000001E-5</v>
      </c>
      <c r="N148" s="194">
        <f>IFERROR(IF($C148="",-0.00001,SUMIFS(Database!P:P,Database!$E:$E,$C148)/$E148),-0.00001)</f>
        <v>-1.0000000000000001E-5</v>
      </c>
      <c r="O148" s="194">
        <f>IFERROR(IF($C148="",-0.00001,SUMIFS(Database!Q:Q,Database!$E:$E,$C148)/$E148),-0.00001)</f>
        <v>-1.0000000000000001E-5</v>
      </c>
      <c r="P148" s="186">
        <f t="shared" si="6"/>
        <v>-1.0000000000000001E-5</v>
      </c>
      <c r="Q148" s="194">
        <f>IFERROR(IF($C148="",-0.00001,SUMIFS(Database!S:S,Database!$E:$E,$C148)/$E148),-0.00001)</f>
        <v>-1.0000000000000001E-5</v>
      </c>
      <c r="R148" s="194">
        <f>IFERROR(IF($C148="",-0.00001,SUMIFS(Database!T:T,Database!$E:$E,$C148)/$E148),-0.00001)</f>
        <v>-1.0000000000000001E-5</v>
      </c>
      <c r="S148" s="186">
        <f t="shared" si="7"/>
        <v>-1.0000000000000001E-5</v>
      </c>
      <c r="T148" s="194">
        <f>IFERROR(IF($C148="",-0.00001,SUMIFS(Database!V:V,Database!$E:$E,$C148)/$E148),-0.00001)</f>
        <v>-1.0000000000000001E-5</v>
      </c>
      <c r="U148" s="194">
        <f>IFERROR(IF($C148="",-0.00001,SUMIFS(Database!W:W,Database!$E:$E,$C148)/$E148),-0.00001)</f>
        <v>-1.0000000000000001E-5</v>
      </c>
      <c r="V148" s="186">
        <f t="shared" si="8"/>
        <v>-1.0000000000000001E-5</v>
      </c>
      <c r="W148" s="187"/>
      <c r="X148" s="187"/>
      <c r="Y148" s="187"/>
      <c r="Z148" s="187"/>
      <c r="AA148" s="187"/>
      <c r="AB148" s="187"/>
      <c r="AC148" s="187"/>
      <c r="AD148" s="187"/>
      <c r="AE148" s="187"/>
    </row>
    <row r="149" spans="1:31" x14ac:dyDescent="0.25">
      <c r="A149" s="187"/>
      <c r="B149" s="187" t="str">
        <f>IF($C149="","",MAX($B$4:$B148)+1)</f>
        <v/>
      </c>
      <c r="C149" s="183"/>
      <c r="D149" s="183" t="str">
        <f>IFERROR(VLOOKUP($C149,Rosters!$C$4:$M$239,INDEX(Lists!$N$5:$O$80,MATCH($C149,Lists!$N$5:$N$80,FALSE),2)),"")</f>
        <v/>
      </c>
      <c r="E149" s="185">
        <f>IF($C149="",-0.00001,COUNTIF(Database!E:E,$C149))</f>
        <v>-1.0000000000000001E-5</v>
      </c>
      <c r="F149" s="194">
        <f>IFERROR(IF($C149="",-0.00001,SUMIFS(Database!H:H,Database!$E:$E,$C149)/$E149),-0.00001)</f>
        <v>-1.0000000000000001E-5</v>
      </c>
      <c r="G149" s="194">
        <f>IFERROR(IF($C149="",-0.00001,SUMIFS(Database!I:I,Database!$E:$E,$C149)/$E149),-0.00001)</f>
        <v>-1.0000000000000001E-5</v>
      </c>
      <c r="H149" s="194">
        <f>IFERROR(IF($C149="",-0.00001,SUMIFS(Database!J:J,Database!$E:$E,$C149)/$E149),-0.00001)</f>
        <v>-1.0000000000000001E-5</v>
      </c>
      <c r="I149" s="194">
        <f>IFERROR(IF($C149="",-0.00001,SUMIFS(Database!K:K,Database!$E:$E,$C149)/$E149),-0.00001)</f>
        <v>-1.0000000000000001E-5</v>
      </c>
      <c r="J149" s="194">
        <f>IFERROR(IF($C149="",-0.00001,SUMIFS(Database!L:L,Database!$E:$E,$C149)/$E149),-0.00001)</f>
        <v>-1.0000000000000001E-5</v>
      </c>
      <c r="K149" s="194">
        <f>IFERROR(IF($C149="",-0.00001,SUMIFS(Database!M:M,Database!$E:$E,$C149)/$E149),-0.00001)</f>
        <v>-1.0000000000000001E-5</v>
      </c>
      <c r="L149" s="194">
        <f>IFERROR(IF($C149="",-0.00001,SUMIFS(Database!N:N,Database!$E:$E,$C149)/$E149),-0.00001)</f>
        <v>-1.0000000000000001E-5</v>
      </c>
      <c r="M149" s="194">
        <f>IFERROR(IF($C149="",-0.00001,SUMIFS(Database!O:O,Database!$E:$E,$C149)/$E149),-0.00001)</f>
        <v>-1.0000000000000001E-5</v>
      </c>
      <c r="N149" s="194">
        <f>IFERROR(IF($C149="",-0.00001,SUMIFS(Database!P:P,Database!$E:$E,$C149)/$E149),-0.00001)</f>
        <v>-1.0000000000000001E-5</v>
      </c>
      <c r="O149" s="194">
        <f>IFERROR(IF($C149="",-0.00001,SUMIFS(Database!Q:Q,Database!$E:$E,$C149)/$E149),-0.00001)</f>
        <v>-1.0000000000000001E-5</v>
      </c>
      <c r="P149" s="186">
        <f t="shared" si="6"/>
        <v>-1.0000000000000001E-5</v>
      </c>
      <c r="Q149" s="194">
        <f>IFERROR(IF($C149="",-0.00001,SUMIFS(Database!S:S,Database!$E:$E,$C149)/$E149),-0.00001)</f>
        <v>-1.0000000000000001E-5</v>
      </c>
      <c r="R149" s="194">
        <f>IFERROR(IF($C149="",-0.00001,SUMIFS(Database!T:T,Database!$E:$E,$C149)/$E149),-0.00001)</f>
        <v>-1.0000000000000001E-5</v>
      </c>
      <c r="S149" s="186">
        <f t="shared" si="7"/>
        <v>-1.0000000000000001E-5</v>
      </c>
      <c r="T149" s="194">
        <f>IFERROR(IF($C149="",-0.00001,SUMIFS(Database!V:V,Database!$E:$E,$C149)/$E149),-0.00001)</f>
        <v>-1.0000000000000001E-5</v>
      </c>
      <c r="U149" s="194">
        <f>IFERROR(IF($C149="",-0.00001,SUMIFS(Database!W:W,Database!$E:$E,$C149)/$E149),-0.00001)</f>
        <v>-1.0000000000000001E-5</v>
      </c>
      <c r="V149" s="186">
        <f t="shared" si="8"/>
        <v>-1.0000000000000001E-5</v>
      </c>
      <c r="W149" s="187"/>
      <c r="X149" s="187"/>
      <c r="Y149" s="187"/>
      <c r="Z149" s="187"/>
      <c r="AA149" s="187"/>
      <c r="AB149" s="187"/>
      <c r="AC149" s="187"/>
      <c r="AD149" s="187"/>
      <c r="AE149" s="187"/>
    </row>
    <row r="150" spans="1:31" x14ac:dyDescent="0.25">
      <c r="A150" s="187"/>
      <c r="B150" s="187" t="str">
        <f>IF($C150="","",MAX($B$4:$B149)+1)</f>
        <v/>
      </c>
      <c r="C150" s="183"/>
      <c r="D150" s="183" t="str">
        <f>IFERROR(VLOOKUP($C150,Rosters!$C$4:$M$239,INDEX(Lists!$N$5:$O$80,MATCH($C150,Lists!$N$5:$N$80,FALSE),2)),"")</f>
        <v/>
      </c>
      <c r="E150" s="185">
        <f>IF($C150="",-0.00001,COUNTIF(Database!E:E,$C150))</f>
        <v>-1.0000000000000001E-5</v>
      </c>
      <c r="F150" s="194">
        <f>IFERROR(IF($C150="",-0.00001,SUMIFS(Database!H:H,Database!$E:$E,$C150)/$E150),-0.00001)</f>
        <v>-1.0000000000000001E-5</v>
      </c>
      <c r="G150" s="194">
        <f>IFERROR(IF($C150="",-0.00001,SUMIFS(Database!I:I,Database!$E:$E,$C150)/$E150),-0.00001)</f>
        <v>-1.0000000000000001E-5</v>
      </c>
      <c r="H150" s="194">
        <f>IFERROR(IF($C150="",-0.00001,SUMIFS(Database!J:J,Database!$E:$E,$C150)/$E150),-0.00001)</f>
        <v>-1.0000000000000001E-5</v>
      </c>
      <c r="I150" s="194">
        <f>IFERROR(IF($C150="",-0.00001,SUMIFS(Database!K:K,Database!$E:$E,$C150)/$E150),-0.00001)</f>
        <v>-1.0000000000000001E-5</v>
      </c>
      <c r="J150" s="194">
        <f>IFERROR(IF($C150="",-0.00001,SUMIFS(Database!L:L,Database!$E:$E,$C150)/$E150),-0.00001)</f>
        <v>-1.0000000000000001E-5</v>
      </c>
      <c r="K150" s="194">
        <f>IFERROR(IF($C150="",-0.00001,SUMIFS(Database!M:M,Database!$E:$E,$C150)/$E150),-0.00001)</f>
        <v>-1.0000000000000001E-5</v>
      </c>
      <c r="L150" s="194">
        <f>IFERROR(IF($C150="",-0.00001,SUMIFS(Database!N:N,Database!$E:$E,$C150)/$E150),-0.00001)</f>
        <v>-1.0000000000000001E-5</v>
      </c>
      <c r="M150" s="194">
        <f>IFERROR(IF($C150="",-0.00001,SUMIFS(Database!O:O,Database!$E:$E,$C150)/$E150),-0.00001)</f>
        <v>-1.0000000000000001E-5</v>
      </c>
      <c r="N150" s="194">
        <f>IFERROR(IF($C150="",-0.00001,SUMIFS(Database!P:P,Database!$E:$E,$C150)/$E150),-0.00001)</f>
        <v>-1.0000000000000001E-5</v>
      </c>
      <c r="O150" s="194">
        <f>IFERROR(IF($C150="",-0.00001,SUMIFS(Database!Q:Q,Database!$E:$E,$C150)/$E150),-0.00001)</f>
        <v>-1.0000000000000001E-5</v>
      </c>
      <c r="P150" s="186">
        <f t="shared" si="6"/>
        <v>-1.0000000000000001E-5</v>
      </c>
      <c r="Q150" s="194">
        <f>IFERROR(IF($C150="",-0.00001,SUMIFS(Database!S:S,Database!$E:$E,$C150)/$E150),-0.00001)</f>
        <v>-1.0000000000000001E-5</v>
      </c>
      <c r="R150" s="194">
        <f>IFERROR(IF($C150="",-0.00001,SUMIFS(Database!T:T,Database!$E:$E,$C150)/$E150),-0.00001)</f>
        <v>-1.0000000000000001E-5</v>
      </c>
      <c r="S150" s="186">
        <f t="shared" si="7"/>
        <v>-1.0000000000000001E-5</v>
      </c>
      <c r="T150" s="194">
        <f>IFERROR(IF($C150="",-0.00001,SUMIFS(Database!V:V,Database!$E:$E,$C150)/$E150),-0.00001)</f>
        <v>-1.0000000000000001E-5</v>
      </c>
      <c r="U150" s="194">
        <f>IFERROR(IF($C150="",-0.00001,SUMIFS(Database!W:W,Database!$E:$E,$C150)/$E150),-0.00001)</f>
        <v>-1.0000000000000001E-5</v>
      </c>
      <c r="V150" s="186">
        <f t="shared" si="8"/>
        <v>-1.0000000000000001E-5</v>
      </c>
      <c r="W150" s="187"/>
      <c r="X150" s="187"/>
      <c r="Y150" s="187"/>
      <c r="Z150" s="187"/>
      <c r="AA150" s="187"/>
      <c r="AB150" s="187"/>
      <c r="AC150" s="187"/>
      <c r="AD150" s="187"/>
      <c r="AE150" s="187"/>
    </row>
    <row r="151" spans="1:31" x14ac:dyDescent="0.25">
      <c r="A151" s="187"/>
      <c r="B151" s="187" t="str">
        <f>IF($C151="","",MAX($B$4:$B150)+1)</f>
        <v/>
      </c>
      <c r="C151" s="183"/>
      <c r="D151" s="183" t="str">
        <f>IFERROR(VLOOKUP($C151,Rosters!$C$4:$M$239,INDEX(Lists!$N$5:$O$80,MATCH($C151,Lists!$N$5:$N$80,FALSE),2)),"")</f>
        <v/>
      </c>
      <c r="E151" s="185">
        <f>IF($C151="",-0.00001,COUNTIF(Database!E:E,$C151))</f>
        <v>-1.0000000000000001E-5</v>
      </c>
      <c r="F151" s="194">
        <f>IFERROR(IF($C151="",-0.00001,SUMIFS(Database!H:H,Database!$E:$E,$C151)/$E151),-0.00001)</f>
        <v>-1.0000000000000001E-5</v>
      </c>
      <c r="G151" s="194">
        <f>IFERROR(IF($C151="",-0.00001,SUMIFS(Database!I:I,Database!$E:$E,$C151)/$E151),-0.00001)</f>
        <v>-1.0000000000000001E-5</v>
      </c>
      <c r="H151" s="194">
        <f>IFERROR(IF($C151="",-0.00001,SUMIFS(Database!J:J,Database!$E:$E,$C151)/$E151),-0.00001)</f>
        <v>-1.0000000000000001E-5</v>
      </c>
      <c r="I151" s="194">
        <f>IFERROR(IF($C151="",-0.00001,SUMIFS(Database!K:K,Database!$E:$E,$C151)/$E151),-0.00001)</f>
        <v>-1.0000000000000001E-5</v>
      </c>
      <c r="J151" s="194">
        <f>IFERROR(IF($C151="",-0.00001,SUMIFS(Database!L:L,Database!$E:$E,$C151)/$E151),-0.00001)</f>
        <v>-1.0000000000000001E-5</v>
      </c>
      <c r="K151" s="194">
        <f>IFERROR(IF($C151="",-0.00001,SUMIFS(Database!M:M,Database!$E:$E,$C151)/$E151),-0.00001)</f>
        <v>-1.0000000000000001E-5</v>
      </c>
      <c r="L151" s="194">
        <f>IFERROR(IF($C151="",-0.00001,SUMIFS(Database!N:N,Database!$E:$E,$C151)/$E151),-0.00001)</f>
        <v>-1.0000000000000001E-5</v>
      </c>
      <c r="M151" s="194">
        <f>IFERROR(IF($C151="",-0.00001,SUMIFS(Database!O:O,Database!$E:$E,$C151)/$E151),-0.00001)</f>
        <v>-1.0000000000000001E-5</v>
      </c>
      <c r="N151" s="194">
        <f>IFERROR(IF($C151="",-0.00001,SUMIFS(Database!P:P,Database!$E:$E,$C151)/$E151),-0.00001)</f>
        <v>-1.0000000000000001E-5</v>
      </c>
      <c r="O151" s="194">
        <f>IFERROR(IF($C151="",-0.00001,SUMIFS(Database!Q:Q,Database!$E:$E,$C151)/$E151),-0.00001)</f>
        <v>-1.0000000000000001E-5</v>
      </c>
      <c r="P151" s="186">
        <f t="shared" si="6"/>
        <v>-1.0000000000000001E-5</v>
      </c>
      <c r="Q151" s="194">
        <f>IFERROR(IF($C151="",-0.00001,SUMIFS(Database!S:S,Database!$E:$E,$C151)/$E151),-0.00001)</f>
        <v>-1.0000000000000001E-5</v>
      </c>
      <c r="R151" s="194">
        <f>IFERROR(IF($C151="",-0.00001,SUMIFS(Database!T:T,Database!$E:$E,$C151)/$E151),-0.00001)</f>
        <v>-1.0000000000000001E-5</v>
      </c>
      <c r="S151" s="186">
        <f t="shared" si="7"/>
        <v>-1.0000000000000001E-5</v>
      </c>
      <c r="T151" s="194">
        <f>IFERROR(IF($C151="",-0.00001,SUMIFS(Database!V:V,Database!$E:$E,$C151)/$E151),-0.00001)</f>
        <v>-1.0000000000000001E-5</v>
      </c>
      <c r="U151" s="194">
        <f>IFERROR(IF($C151="",-0.00001,SUMIFS(Database!W:W,Database!$E:$E,$C151)/$E151),-0.00001)</f>
        <v>-1.0000000000000001E-5</v>
      </c>
      <c r="V151" s="186">
        <f t="shared" si="8"/>
        <v>-1.0000000000000001E-5</v>
      </c>
      <c r="W151" s="187"/>
      <c r="X151" s="187"/>
      <c r="Y151" s="187"/>
      <c r="Z151" s="187"/>
      <c r="AA151" s="187"/>
      <c r="AB151" s="187"/>
      <c r="AC151" s="187"/>
      <c r="AD151" s="187"/>
      <c r="AE151" s="187"/>
    </row>
    <row r="152" spans="1:31" x14ac:dyDescent="0.25">
      <c r="A152" s="187"/>
      <c r="B152" s="187" t="str">
        <f>IF($C152="","",MAX($B$4:$B151)+1)</f>
        <v/>
      </c>
      <c r="C152" s="183"/>
      <c r="D152" s="183" t="str">
        <f>IFERROR(VLOOKUP($C152,Rosters!$C$4:$M$239,INDEX(Lists!$N$5:$O$80,MATCH($C152,Lists!$N$5:$N$80,FALSE),2)),"")</f>
        <v/>
      </c>
      <c r="E152" s="185">
        <f>IF($C152="",-0.00001,COUNTIF(Database!E:E,$C152))</f>
        <v>-1.0000000000000001E-5</v>
      </c>
      <c r="F152" s="194">
        <f>IFERROR(IF($C152="",-0.00001,SUMIFS(Database!H:H,Database!$E:$E,$C152)/$E152),-0.00001)</f>
        <v>-1.0000000000000001E-5</v>
      </c>
      <c r="G152" s="194">
        <f>IFERROR(IF($C152="",-0.00001,SUMIFS(Database!I:I,Database!$E:$E,$C152)/$E152),-0.00001)</f>
        <v>-1.0000000000000001E-5</v>
      </c>
      <c r="H152" s="194">
        <f>IFERROR(IF($C152="",-0.00001,SUMIFS(Database!J:J,Database!$E:$E,$C152)/$E152),-0.00001)</f>
        <v>-1.0000000000000001E-5</v>
      </c>
      <c r="I152" s="194">
        <f>IFERROR(IF($C152="",-0.00001,SUMIFS(Database!K:K,Database!$E:$E,$C152)/$E152),-0.00001)</f>
        <v>-1.0000000000000001E-5</v>
      </c>
      <c r="J152" s="194">
        <f>IFERROR(IF($C152="",-0.00001,SUMIFS(Database!L:L,Database!$E:$E,$C152)/$E152),-0.00001)</f>
        <v>-1.0000000000000001E-5</v>
      </c>
      <c r="K152" s="194">
        <f>IFERROR(IF($C152="",-0.00001,SUMIFS(Database!M:M,Database!$E:$E,$C152)/$E152),-0.00001)</f>
        <v>-1.0000000000000001E-5</v>
      </c>
      <c r="L152" s="194">
        <f>IFERROR(IF($C152="",-0.00001,SUMIFS(Database!N:N,Database!$E:$E,$C152)/$E152),-0.00001)</f>
        <v>-1.0000000000000001E-5</v>
      </c>
      <c r="M152" s="194">
        <f>IFERROR(IF($C152="",-0.00001,SUMIFS(Database!O:O,Database!$E:$E,$C152)/$E152),-0.00001)</f>
        <v>-1.0000000000000001E-5</v>
      </c>
      <c r="N152" s="194">
        <f>IFERROR(IF($C152="",-0.00001,SUMIFS(Database!P:P,Database!$E:$E,$C152)/$E152),-0.00001)</f>
        <v>-1.0000000000000001E-5</v>
      </c>
      <c r="O152" s="194">
        <f>IFERROR(IF($C152="",-0.00001,SUMIFS(Database!Q:Q,Database!$E:$E,$C152)/$E152),-0.00001)</f>
        <v>-1.0000000000000001E-5</v>
      </c>
      <c r="P152" s="186">
        <f t="shared" si="6"/>
        <v>-1.0000000000000001E-5</v>
      </c>
      <c r="Q152" s="194">
        <f>IFERROR(IF($C152="",-0.00001,SUMIFS(Database!S:S,Database!$E:$E,$C152)/$E152),-0.00001)</f>
        <v>-1.0000000000000001E-5</v>
      </c>
      <c r="R152" s="194">
        <f>IFERROR(IF($C152="",-0.00001,SUMIFS(Database!T:T,Database!$E:$E,$C152)/$E152),-0.00001)</f>
        <v>-1.0000000000000001E-5</v>
      </c>
      <c r="S152" s="186">
        <f t="shared" si="7"/>
        <v>-1.0000000000000001E-5</v>
      </c>
      <c r="T152" s="194">
        <f>IFERROR(IF($C152="",-0.00001,SUMIFS(Database!V:V,Database!$E:$E,$C152)/$E152),-0.00001)</f>
        <v>-1.0000000000000001E-5</v>
      </c>
      <c r="U152" s="194">
        <f>IFERROR(IF($C152="",-0.00001,SUMIFS(Database!W:W,Database!$E:$E,$C152)/$E152),-0.00001)</f>
        <v>-1.0000000000000001E-5</v>
      </c>
      <c r="V152" s="186">
        <f t="shared" si="8"/>
        <v>-1.0000000000000001E-5</v>
      </c>
      <c r="W152" s="187"/>
      <c r="X152" s="187"/>
      <c r="Y152" s="187"/>
      <c r="Z152" s="187"/>
      <c r="AA152" s="187"/>
      <c r="AB152" s="187"/>
      <c r="AC152" s="187"/>
      <c r="AD152" s="187"/>
      <c r="AE152" s="187"/>
    </row>
    <row r="153" spans="1:31" x14ac:dyDescent="0.25">
      <c r="A153" s="187"/>
      <c r="B153" s="187" t="str">
        <f>IF($C153="","",MAX($B$4:$B152)+1)</f>
        <v/>
      </c>
      <c r="C153" s="183"/>
      <c r="D153" s="183" t="str">
        <f>IFERROR(VLOOKUP($C153,Rosters!$C$4:$M$239,INDEX(Lists!$N$5:$O$80,MATCH($C153,Lists!$N$5:$N$80,FALSE),2)),"")</f>
        <v/>
      </c>
      <c r="E153" s="185">
        <f>IF($C153="",-0.00001,COUNTIF(Database!E:E,$C153))</f>
        <v>-1.0000000000000001E-5</v>
      </c>
      <c r="F153" s="194">
        <f>IFERROR(IF($C153="",-0.00001,SUMIFS(Database!H:H,Database!$E:$E,$C153)/$E153),-0.00001)</f>
        <v>-1.0000000000000001E-5</v>
      </c>
      <c r="G153" s="194">
        <f>IFERROR(IF($C153="",-0.00001,SUMIFS(Database!I:I,Database!$E:$E,$C153)/$E153),-0.00001)</f>
        <v>-1.0000000000000001E-5</v>
      </c>
      <c r="H153" s="194">
        <f>IFERROR(IF($C153="",-0.00001,SUMIFS(Database!J:J,Database!$E:$E,$C153)/$E153),-0.00001)</f>
        <v>-1.0000000000000001E-5</v>
      </c>
      <c r="I153" s="194">
        <f>IFERROR(IF($C153="",-0.00001,SUMIFS(Database!K:K,Database!$E:$E,$C153)/$E153),-0.00001)</f>
        <v>-1.0000000000000001E-5</v>
      </c>
      <c r="J153" s="194">
        <f>IFERROR(IF($C153="",-0.00001,SUMIFS(Database!L:L,Database!$E:$E,$C153)/$E153),-0.00001)</f>
        <v>-1.0000000000000001E-5</v>
      </c>
      <c r="K153" s="194">
        <f>IFERROR(IF($C153="",-0.00001,SUMIFS(Database!M:M,Database!$E:$E,$C153)/$E153),-0.00001)</f>
        <v>-1.0000000000000001E-5</v>
      </c>
      <c r="L153" s="194">
        <f>IFERROR(IF($C153="",-0.00001,SUMIFS(Database!N:N,Database!$E:$E,$C153)/$E153),-0.00001)</f>
        <v>-1.0000000000000001E-5</v>
      </c>
      <c r="M153" s="194">
        <f>IFERROR(IF($C153="",-0.00001,SUMIFS(Database!O:O,Database!$E:$E,$C153)/$E153),-0.00001)</f>
        <v>-1.0000000000000001E-5</v>
      </c>
      <c r="N153" s="194">
        <f>IFERROR(IF($C153="",-0.00001,SUMIFS(Database!P:P,Database!$E:$E,$C153)/$E153),-0.00001)</f>
        <v>-1.0000000000000001E-5</v>
      </c>
      <c r="O153" s="194">
        <f>IFERROR(IF($C153="",-0.00001,SUMIFS(Database!Q:Q,Database!$E:$E,$C153)/$E153),-0.00001)</f>
        <v>-1.0000000000000001E-5</v>
      </c>
      <c r="P153" s="186">
        <f t="shared" si="6"/>
        <v>-1.0000000000000001E-5</v>
      </c>
      <c r="Q153" s="194">
        <f>IFERROR(IF($C153="",-0.00001,SUMIFS(Database!S:S,Database!$E:$E,$C153)/$E153),-0.00001)</f>
        <v>-1.0000000000000001E-5</v>
      </c>
      <c r="R153" s="194">
        <f>IFERROR(IF($C153="",-0.00001,SUMIFS(Database!T:T,Database!$E:$E,$C153)/$E153),-0.00001)</f>
        <v>-1.0000000000000001E-5</v>
      </c>
      <c r="S153" s="186">
        <f t="shared" si="7"/>
        <v>-1.0000000000000001E-5</v>
      </c>
      <c r="T153" s="194">
        <f>IFERROR(IF($C153="",-0.00001,SUMIFS(Database!V:V,Database!$E:$E,$C153)/$E153),-0.00001)</f>
        <v>-1.0000000000000001E-5</v>
      </c>
      <c r="U153" s="194">
        <f>IFERROR(IF($C153="",-0.00001,SUMIFS(Database!W:W,Database!$E:$E,$C153)/$E153),-0.00001)</f>
        <v>-1.0000000000000001E-5</v>
      </c>
      <c r="V153" s="186">
        <f t="shared" si="8"/>
        <v>-1.0000000000000001E-5</v>
      </c>
      <c r="W153" s="187"/>
      <c r="X153" s="187"/>
      <c r="Y153" s="187"/>
      <c r="Z153" s="187"/>
      <c r="AA153" s="187"/>
      <c r="AB153" s="187"/>
      <c r="AC153" s="187"/>
      <c r="AD153" s="187"/>
      <c r="AE153" s="187"/>
    </row>
    <row r="154" spans="1:31" x14ac:dyDescent="0.25">
      <c r="A154" s="187"/>
      <c r="B154" s="187" t="str">
        <f>IF($C154="","",MAX($B$4:$B153)+1)</f>
        <v/>
      </c>
      <c r="C154" s="183"/>
      <c r="D154" s="183" t="str">
        <f>IFERROR(VLOOKUP($C154,Rosters!$C$4:$M$239,INDEX(Lists!$N$5:$O$80,MATCH($C154,Lists!$N$5:$N$80,FALSE),2)),"")</f>
        <v/>
      </c>
      <c r="E154" s="185">
        <f>IF($C154="",-0.00001,COUNTIF(Database!E:E,$C154))</f>
        <v>-1.0000000000000001E-5</v>
      </c>
      <c r="F154" s="194">
        <f>IFERROR(IF($C154="",-0.00001,SUMIFS(Database!H:H,Database!$E:$E,$C154)/$E154),-0.00001)</f>
        <v>-1.0000000000000001E-5</v>
      </c>
      <c r="G154" s="194">
        <f>IFERROR(IF($C154="",-0.00001,SUMIFS(Database!I:I,Database!$E:$E,$C154)/$E154),-0.00001)</f>
        <v>-1.0000000000000001E-5</v>
      </c>
      <c r="H154" s="194">
        <f>IFERROR(IF($C154="",-0.00001,SUMIFS(Database!J:J,Database!$E:$E,$C154)/$E154),-0.00001)</f>
        <v>-1.0000000000000001E-5</v>
      </c>
      <c r="I154" s="194">
        <f>IFERROR(IF($C154="",-0.00001,SUMIFS(Database!K:K,Database!$E:$E,$C154)/$E154),-0.00001)</f>
        <v>-1.0000000000000001E-5</v>
      </c>
      <c r="J154" s="194">
        <f>IFERROR(IF($C154="",-0.00001,SUMIFS(Database!L:L,Database!$E:$E,$C154)/$E154),-0.00001)</f>
        <v>-1.0000000000000001E-5</v>
      </c>
      <c r="K154" s="194">
        <f>IFERROR(IF($C154="",-0.00001,SUMIFS(Database!M:M,Database!$E:$E,$C154)/$E154),-0.00001)</f>
        <v>-1.0000000000000001E-5</v>
      </c>
      <c r="L154" s="194">
        <f>IFERROR(IF($C154="",-0.00001,SUMIFS(Database!N:N,Database!$E:$E,$C154)/$E154),-0.00001)</f>
        <v>-1.0000000000000001E-5</v>
      </c>
      <c r="M154" s="194">
        <f>IFERROR(IF($C154="",-0.00001,SUMIFS(Database!O:O,Database!$E:$E,$C154)/$E154),-0.00001)</f>
        <v>-1.0000000000000001E-5</v>
      </c>
      <c r="N154" s="194">
        <f>IFERROR(IF($C154="",-0.00001,SUMIFS(Database!P:P,Database!$E:$E,$C154)/$E154),-0.00001)</f>
        <v>-1.0000000000000001E-5</v>
      </c>
      <c r="O154" s="194">
        <f>IFERROR(IF($C154="",-0.00001,SUMIFS(Database!Q:Q,Database!$E:$E,$C154)/$E154),-0.00001)</f>
        <v>-1.0000000000000001E-5</v>
      </c>
      <c r="P154" s="186">
        <f t="shared" si="6"/>
        <v>-1.0000000000000001E-5</v>
      </c>
      <c r="Q154" s="194">
        <f>IFERROR(IF($C154="",-0.00001,SUMIFS(Database!S:S,Database!$E:$E,$C154)/$E154),-0.00001)</f>
        <v>-1.0000000000000001E-5</v>
      </c>
      <c r="R154" s="194">
        <f>IFERROR(IF($C154="",-0.00001,SUMIFS(Database!T:T,Database!$E:$E,$C154)/$E154),-0.00001)</f>
        <v>-1.0000000000000001E-5</v>
      </c>
      <c r="S154" s="186">
        <f t="shared" si="7"/>
        <v>-1.0000000000000001E-5</v>
      </c>
      <c r="T154" s="194">
        <f>IFERROR(IF($C154="",-0.00001,SUMIFS(Database!V:V,Database!$E:$E,$C154)/$E154),-0.00001)</f>
        <v>-1.0000000000000001E-5</v>
      </c>
      <c r="U154" s="194">
        <f>IFERROR(IF($C154="",-0.00001,SUMIFS(Database!W:W,Database!$E:$E,$C154)/$E154),-0.00001)</f>
        <v>-1.0000000000000001E-5</v>
      </c>
      <c r="V154" s="186">
        <f t="shared" si="8"/>
        <v>-1.0000000000000001E-5</v>
      </c>
      <c r="W154" s="187"/>
      <c r="X154" s="187"/>
      <c r="Y154" s="187"/>
      <c r="Z154" s="187"/>
      <c r="AA154" s="187"/>
      <c r="AB154" s="187"/>
      <c r="AC154" s="187"/>
      <c r="AD154" s="187"/>
      <c r="AE154" s="187"/>
    </row>
    <row r="155" spans="1:31" x14ac:dyDescent="0.25">
      <c r="A155" s="187"/>
      <c r="B155" s="187" t="str">
        <f>IF($C155="","",MAX($B$4:$B154)+1)</f>
        <v/>
      </c>
      <c r="C155" s="183"/>
      <c r="D155" s="183" t="str">
        <f>IFERROR(VLOOKUP($C155,Rosters!$C$4:$M$239,INDEX(Lists!$N$5:$O$80,MATCH($C155,Lists!$N$5:$N$80,FALSE),2)),"")</f>
        <v/>
      </c>
      <c r="E155" s="185">
        <f>IF($C155="",-0.00001,COUNTIF(Database!E:E,$C155))</f>
        <v>-1.0000000000000001E-5</v>
      </c>
      <c r="F155" s="194">
        <f>IFERROR(IF($C155="",-0.00001,SUMIFS(Database!H:H,Database!$E:$E,$C155)/$E155),-0.00001)</f>
        <v>-1.0000000000000001E-5</v>
      </c>
      <c r="G155" s="194">
        <f>IFERROR(IF($C155="",-0.00001,SUMIFS(Database!I:I,Database!$E:$E,$C155)/$E155),-0.00001)</f>
        <v>-1.0000000000000001E-5</v>
      </c>
      <c r="H155" s="194">
        <f>IFERROR(IF($C155="",-0.00001,SUMIFS(Database!J:J,Database!$E:$E,$C155)/$E155),-0.00001)</f>
        <v>-1.0000000000000001E-5</v>
      </c>
      <c r="I155" s="194">
        <f>IFERROR(IF($C155="",-0.00001,SUMIFS(Database!K:K,Database!$E:$E,$C155)/$E155),-0.00001)</f>
        <v>-1.0000000000000001E-5</v>
      </c>
      <c r="J155" s="194">
        <f>IFERROR(IF($C155="",-0.00001,SUMIFS(Database!L:L,Database!$E:$E,$C155)/$E155),-0.00001)</f>
        <v>-1.0000000000000001E-5</v>
      </c>
      <c r="K155" s="194">
        <f>IFERROR(IF($C155="",-0.00001,SUMIFS(Database!M:M,Database!$E:$E,$C155)/$E155),-0.00001)</f>
        <v>-1.0000000000000001E-5</v>
      </c>
      <c r="L155" s="194">
        <f>IFERROR(IF($C155="",-0.00001,SUMIFS(Database!N:N,Database!$E:$E,$C155)/$E155),-0.00001)</f>
        <v>-1.0000000000000001E-5</v>
      </c>
      <c r="M155" s="194">
        <f>IFERROR(IF($C155="",-0.00001,SUMIFS(Database!O:O,Database!$E:$E,$C155)/$E155),-0.00001)</f>
        <v>-1.0000000000000001E-5</v>
      </c>
      <c r="N155" s="194">
        <f>IFERROR(IF($C155="",-0.00001,SUMIFS(Database!P:P,Database!$E:$E,$C155)/$E155),-0.00001)</f>
        <v>-1.0000000000000001E-5</v>
      </c>
      <c r="O155" s="194">
        <f>IFERROR(IF($C155="",-0.00001,SUMIFS(Database!Q:Q,Database!$E:$E,$C155)/$E155),-0.00001)</f>
        <v>-1.0000000000000001E-5</v>
      </c>
      <c r="P155" s="186">
        <f t="shared" si="6"/>
        <v>-1.0000000000000001E-5</v>
      </c>
      <c r="Q155" s="194">
        <f>IFERROR(IF($C155="",-0.00001,SUMIFS(Database!S:S,Database!$E:$E,$C155)/$E155),-0.00001)</f>
        <v>-1.0000000000000001E-5</v>
      </c>
      <c r="R155" s="194">
        <f>IFERROR(IF($C155="",-0.00001,SUMIFS(Database!T:T,Database!$E:$E,$C155)/$E155),-0.00001)</f>
        <v>-1.0000000000000001E-5</v>
      </c>
      <c r="S155" s="186">
        <f t="shared" si="7"/>
        <v>-1.0000000000000001E-5</v>
      </c>
      <c r="T155" s="194">
        <f>IFERROR(IF($C155="",-0.00001,SUMIFS(Database!V:V,Database!$E:$E,$C155)/$E155),-0.00001)</f>
        <v>-1.0000000000000001E-5</v>
      </c>
      <c r="U155" s="194">
        <f>IFERROR(IF($C155="",-0.00001,SUMIFS(Database!W:W,Database!$E:$E,$C155)/$E155),-0.00001)</f>
        <v>-1.0000000000000001E-5</v>
      </c>
      <c r="V155" s="186">
        <f t="shared" si="8"/>
        <v>-1.0000000000000001E-5</v>
      </c>
      <c r="W155" s="187"/>
      <c r="X155" s="187"/>
      <c r="Y155" s="187"/>
      <c r="Z155" s="187"/>
      <c r="AA155" s="187"/>
      <c r="AB155" s="187"/>
      <c r="AC155" s="187"/>
      <c r="AD155" s="187"/>
      <c r="AE155" s="187"/>
    </row>
    <row r="156" spans="1:31" x14ac:dyDescent="0.25">
      <c r="A156" s="187"/>
      <c r="B156" s="187" t="str">
        <f>IF($C156="","",MAX($B$4:$B155)+1)</f>
        <v/>
      </c>
      <c r="C156" s="183"/>
      <c r="D156" s="183" t="str">
        <f>IFERROR(VLOOKUP($C156,Rosters!$C$4:$M$239,INDEX(Lists!$N$5:$O$80,MATCH($C156,Lists!$N$5:$N$80,FALSE),2)),"")</f>
        <v/>
      </c>
      <c r="E156" s="185">
        <f>IF($C156="",-0.00001,COUNTIF(Database!E:E,$C156))</f>
        <v>-1.0000000000000001E-5</v>
      </c>
      <c r="F156" s="194">
        <f>IFERROR(IF($C156="",-0.00001,SUMIFS(Database!H:H,Database!$E:$E,$C156)/$E156),-0.00001)</f>
        <v>-1.0000000000000001E-5</v>
      </c>
      <c r="G156" s="194">
        <f>IFERROR(IF($C156="",-0.00001,SUMIFS(Database!I:I,Database!$E:$E,$C156)/$E156),-0.00001)</f>
        <v>-1.0000000000000001E-5</v>
      </c>
      <c r="H156" s="194">
        <f>IFERROR(IF($C156="",-0.00001,SUMIFS(Database!J:J,Database!$E:$E,$C156)/$E156),-0.00001)</f>
        <v>-1.0000000000000001E-5</v>
      </c>
      <c r="I156" s="194">
        <f>IFERROR(IF($C156="",-0.00001,SUMIFS(Database!K:K,Database!$E:$E,$C156)/$E156),-0.00001)</f>
        <v>-1.0000000000000001E-5</v>
      </c>
      <c r="J156" s="194">
        <f>IFERROR(IF($C156="",-0.00001,SUMIFS(Database!L:L,Database!$E:$E,$C156)/$E156),-0.00001)</f>
        <v>-1.0000000000000001E-5</v>
      </c>
      <c r="K156" s="194">
        <f>IFERROR(IF($C156="",-0.00001,SUMIFS(Database!M:M,Database!$E:$E,$C156)/$E156),-0.00001)</f>
        <v>-1.0000000000000001E-5</v>
      </c>
      <c r="L156" s="194">
        <f>IFERROR(IF($C156="",-0.00001,SUMIFS(Database!N:N,Database!$E:$E,$C156)/$E156),-0.00001)</f>
        <v>-1.0000000000000001E-5</v>
      </c>
      <c r="M156" s="194">
        <f>IFERROR(IF($C156="",-0.00001,SUMIFS(Database!O:O,Database!$E:$E,$C156)/$E156),-0.00001)</f>
        <v>-1.0000000000000001E-5</v>
      </c>
      <c r="N156" s="194">
        <f>IFERROR(IF($C156="",-0.00001,SUMIFS(Database!P:P,Database!$E:$E,$C156)/$E156),-0.00001)</f>
        <v>-1.0000000000000001E-5</v>
      </c>
      <c r="O156" s="194">
        <f>IFERROR(IF($C156="",-0.00001,SUMIFS(Database!Q:Q,Database!$E:$E,$C156)/$E156),-0.00001)</f>
        <v>-1.0000000000000001E-5</v>
      </c>
      <c r="P156" s="186">
        <f t="shared" si="6"/>
        <v>-1.0000000000000001E-5</v>
      </c>
      <c r="Q156" s="194">
        <f>IFERROR(IF($C156="",-0.00001,SUMIFS(Database!S:S,Database!$E:$E,$C156)/$E156),-0.00001)</f>
        <v>-1.0000000000000001E-5</v>
      </c>
      <c r="R156" s="194">
        <f>IFERROR(IF($C156="",-0.00001,SUMIFS(Database!T:T,Database!$E:$E,$C156)/$E156),-0.00001)</f>
        <v>-1.0000000000000001E-5</v>
      </c>
      <c r="S156" s="186">
        <f t="shared" si="7"/>
        <v>-1.0000000000000001E-5</v>
      </c>
      <c r="T156" s="194">
        <f>IFERROR(IF($C156="",-0.00001,SUMIFS(Database!V:V,Database!$E:$E,$C156)/$E156),-0.00001)</f>
        <v>-1.0000000000000001E-5</v>
      </c>
      <c r="U156" s="194">
        <f>IFERROR(IF($C156="",-0.00001,SUMIFS(Database!W:W,Database!$E:$E,$C156)/$E156),-0.00001)</f>
        <v>-1.0000000000000001E-5</v>
      </c>
      <c r="V156" s="186">
        <f t="shared" si="8"/>
        <v>-1.0000000000000001E-5</v>
      </c>
      <c r="W156" s="187"/>
      <c r="X156" s="187"/>
      <c r="Y156" s="187"/>
      <c r="Z156" s="187"/>
      <c r="AA156" s="187"/>
      <c r="AB156" s="187"/>
      <c r="AC156" s="187"/>
      <c r="AD156" s="187"/>
      <c r="AE156" s="187"/>
    </row>
    <row r="157" spans="1:31" x14ac:dyDescent="0.25">
      <c r="A157" s="187"/>
      <c r="B157" s="187" t="str">
        <f>IF($C157="","",MAX($B$4:$B156)+1)</f>
        <v/>
      </c>
      <c r="C157" s="183"/>
      <c r="D157" s="183" t="str">
        <f>IFERROR(VLOOKUP($C157,Rosters!$C$4:$M$239,INDEX(Lists!$N$5:$O$80,MATCH($C157,Lists!$N$5:$N$80,FALSE),2)),"")</f>
        <v/>
      </c>
      <c r="E157" s="185">
        <f>IF($C157="",-0.00001,COUNTIF(Database!E:E,$C157))</f>
        <v>-1.0000000000000001E-5</v>
      </c>
      <c r="F157" s="194">
        <f>IFERROR(IF($C157="",-0.00001,SUMIFS(Database!H:H,Database!$E:$E,$C157)/$E157),-0.00001)</f>
        <v>-1.0000000000000001E-5</v>
      </c>
      <c r="G157" s="194">
        <f>IFERROR(IF($C157="",-0.00001,SUMIFS(Database!I:I,Database!$E:$E,$C157)/$E157),-0.00001)</f>
        <v>-1.0000000000000001E-5</v>
      </c>
      <c r="H157" s="194">
        <f>IFERROR(IF($C157="",-0.00001,SUMIFS(Database!J:J,Database!$E:$E,$C157)/$E157),-0.00001)</f>
        <v>-1.0000000000000001E-5</v>
      </c>
      <c r="I157" s="194">
        <f>IFERROR(IF($C157="",-0.00001,SUMIFS(Database!K:K,Database!$E:$E,$C157)/$E157),-0.00001)</f>
        <v>-1.0000000000000001E-5</v>
      </c>
      <c r="J157" s="194">
        <f>IFERROR(IF($C157="",-0.00001,SUMIFS(Database!L:L,Database!$E:$E,$C157)/$E157),-0.00001)</f>
        <v>-1.0000000000000001E-5</v>
      </c>
      <c r="K157" s="194">
        <f>IFERROR(IF($C157="",-0.00001,SUMIFS(Database!M:M,Database!$E:$E,$C157)/$E157),-0.00001)</f>
        <v>-1.0000000000000001E-5</v>
      </c>
      <c r="L157" s="194">
        <f>IFERROR(IF($C157="",-0.00001,SUMIFS(Database!N:N,Database!$E:$E,$C157)/$E157),-0.00001)</f>
        <v>-1.0000000000000001E-5</v>
      </c>
      <c r="M157" s="194">
        <f>IFERROR(IF($C157="",-0.00001,SUMIFS(Database!O:O,Database!$E:$E,$C157)/$E157),-0.00001)</f>
        <v>-1.0000000000000001E-5</v>
      </c>
      <c r="N157" s="194">
        <f>IFERROR(IF($C157="",-0.00001,SUMIFS(Database!P:P,Database!$E:$E,$C157)/$E157),-0.00001)</f>
        <v>-1.0000000000000001E-5</v>
      </c>
      <c r="O157" s="194">
        <f>IFERROR(IF($C157="",-0.00001,SUMIFS(Database!Q:Q,Database!$E:$E,$C157)/$E157),-0.00001)</f>
        <v>-1.0000000000000001E-5</v>
      </c>
      <c r="P157" s="186">
        <f t="shared" si="6"/>
        <v>-1.0000000000000001E-5</v>
      </c>
      <c r="Q157" s="194">
        <f>IFERROR(IF($C157="",-0.00001,SUMIFS(Database!S:S,Database!$E:$E,$C157)/$E157),-0.00001)</f>
        <v>-1.0000000000000001E-5</v>
      </c>
      <c r="R157" s="194">
        <f>IFERROR(IF($C157="",-0.00001,SUMIFS(Database!T:T,Database!$E:$E,$C157)/$E157),-0.00001)</f>
        <v>-1.0000000000000001E-5</v>
      </c>
      <c r="S157" s="186">
        <f t="shared" si="7"/>
        <v>-1.0000000000000001E-5</v>
      </c>
      <c r="T157" s="194">
        <f>IFERROR(IF($C157="",-0.00001,SUMIFS(Database!V:V,Database!$E:$E,$C157)/$E157),-0.00001)</f>
        <v>-1.0000000000000001E-5</v>
      </c>
      <c r="U157" s="194">
        <f>IFERROR(IF($C157="",-0.00001,SUMIFS(Database!W:W,Database!$E:$E,$C157)/$E157),-0.00001)</f>
        <v>-1.0000000000000001E-5</v>
      </c>
      <c r="V157" s="186">
        <f t="shared" si="8"/>
        <v>-1.0000000000000001E-5</v>
      </c>
      <c r="W157" s="187"/>
      <c r="X157" s="187"/>
      <c r="Y157" s="187"/>
      <c r="Z157" s="187"/>
      <c r="AA157" s="187"/>
      <c r="AB157" s="187"/>
      <c r="AC157" s="187"/>
      <c r="AD157" s="187"/>
      <c r="AE157" s="187"/>
    </row>
    <row r="158" spans="1:31" x14ac:dyDescent="0.25">
      <c r="A158" s="187"/>
      <c r="B158" s="187" t="str">
        <f>IF($C158="","",MAX($B$4:$B157)+1)</f>
        <v/>
      </c>
      <c r="C158" s="183"/>
      <c r="D158" s="183" t="str">
        <f>IFERROR(VLOOKUP($C158,Rosters!$C$4:$M$239,INDEX(Lists!$N$5:$O$80,MATCH($C158,Lists!$N$5:$N$80,FALSE),2)),"")</f>
        <v/>
      </c>
      <c r="E158" s="185">
        <f>IF($C158="",-0.00001,COUNTIF(Database!E:E,$C158))</f>
        <v>-1.0000000000000001E-5</v>
      </c>
      <c r="F158" s="194">
        <f>IFERROR(IF($C158="",-0.00001,SUMIFS(Database!H:H,Database!$E:$E,$C158)/$E158),-0.00001)</f>
        <v>-1.0000000000000001E-5</v>
      </c>
      <c r="G158" s="194">
        <f>IFERROR(IF($C158="",-0.00001,SUMIFS(Database!I:I,Database!$E:$E,$C158)/$E158),-0.00001)</f>
        <v>-1.0000000000000001E-5</v>
      </c>
      <c r="H158" s="194">
        <f>IFERROR(IF($C158="",-0.00001,SUMIFS(Database!J:J,Database!$E:$E,$C158)/$E158),-0.00001)</f>
        <v>-1.0000000000000001E-5</v>
      </c>
      <c r="I158" s="194">
        <f>IFERROR(IF($C158="",-0.00001,SUMIFS(Database!K:K,Database!$E:$E,$C158)/$E158),-0.00001)</f>
        <v>-1.0000000000000001E-5</v>
      </c>
      <c r="J158" s="194">
        <f>IFERROR(IF($C158="",-0.00001,SUMIFS(Database!L:L,Database!$E:$E,$C158)/$E158),-0.00001)</f>
        <v>-1.0000000000000001E-5</v>
      </c>
      <c r="K158" s="194">
        <f>IFERROR(IF($C158="",-0.00001,SUMIFS(Database!M:M,Database!$E:$E,$C158)/$E158),-0.00001)</f>
        <v>-1.0000000000000001E-5</v>
      </c>
      <c r="L158" s="194">
        <f>IFERROR(IF($C158="",-0.00001,SUMIFS(Database!N:N,Database!$E:$E,$C158)/$E158),-0.00001)</f>
        <v>-1.0000000000000001E-5</v>
      </c>
      <c r="M158" s="194">
        <f>IFERROR(IF($C158="",-0.00001,SUMIFS(Database!O:O,Database!$E:$E,$C158)/$E158),-0.00001)</f>
        <v>-1.0000000000000001E-5</v>
      </c>
      <c r="N158" s="194">
        <f>IFERROR(IF($C158="",-0.00001,SUMIFS(Database!P:P,Database!$E:$E,$C158)/$E158),-0.00001)</f>
        <v>-1.0000000000000001E-5</v>
      </c>
      <c r="O158" s="194">
        <f>IFERROR(IF($C158="",-0.00001,SUMIFS(Database!Q:Q,Database!$E:$E,$C158)/$E158),-0.00001)</f>
        <v>-1.0000000000000001E-5</v>
      </c>
      <c r="P158" s="186">
        <f t="shared" si="6"/>
        <v>-1.0000000000000001E-5</v>
      </c>
      <c r="Q158" s="194">
        <f>IFERROR(IF($C158="",-0.00001,SUMIFS(Database!S:S,Database!$E:$E,$C158)/$E158),-0.00001)</f>
        <v>-1.0000000000000001E-5</v>
      </c>
      <c r="R158" s="194">
        <f>IFERROR(IF($C158="",-0.00001,SUMIFS(Database!T:T,Database!$E:$E,$C158)/$E158),-0.00001)</f>
        <v>-1.0000000000000001E-5</v>
      </c>
      <c r="S158" s="186">
        <f t="shared" si="7"/>
        <v>-1.0000000000000001E-5</v>
      </c>
      <c r="T158" s="194">
        <f>IFERROR(IF($C158="",-0.00001,SUMIFS(Database!V:V,Database!$E:$E,$C158)/$E158),-0.00001)</f>
        <v>-1.0000000000000001E-5</v>
      </c>
      <c r="U158" s="194">
        <f>IFERROR(IF($C158="",-0.00001,SUMIFS(Database!W:W,Database!$E:$E,$C158)/$E158),-0.00001)</f>
        <v>-1.0000000000000001E-5</v>
      </c>
      <c r="V158" s="186">
        <f t="shared" si="8"/>
        <v>-1.0000000000000001E-5</v>
      </c>
      <c r="W158" s="187"/>
      <c r="X158" s="187"/>
      <c r="Y158" s="187"/>
      <c r="Z158" s="187"/>
      <c r="AA158" s="187"/>
      <c r="AB158" s="187"/>
      <c r="AC158" s="187"/>
      <c r="AD158" s="187"/>
      <c r="AE158" s="187"/>
    </row>
    <row r="159" spans="1:31" x14ac:dyDescent="0.25">
      <c r="A159" s="187"/>
      <c r="B159" s="187" t="str">
        <f>IF($C159="","",MAX($B$4:$B158)+1)</f>
        <v/>
      </c>
      <c r="C159" s="183"/>
      <c r="D159" s="183" t="str">
        <f>IFERROR(VLOOKUP($C159,Rosters!$C$4:$M$239,INDEX(Lists!$N$5:$O$80,MATCH($C159,Lists!$N$5:$N$80,FALSE),2)),"")</f>
        <v/>
      </c>
      <c r="E159" s="185">
        <f>IF($C159="",-0.00001,COUNTIF(Database!E:E,$C159))</f>
        <v>-1.0000000000000001E-5</v>
      </c>
      <c r="F159" s="194">
        <f>IFERROR(IF($C159="",-0.00001,SUMIFS(Database!H:H,Database!$E:$E,$C159)/$E159),-0.00001)</f>
        <v>-1.0000000000000001E-5</v>
      </c>
      <c r="G159" s="194">
        <f>IFERROR(IF($C159="",-0.00001,SUMIFS(Database!I:I,Database!$E:$E,$C159)/$E159),-0.00001)</f>
        <v>-1.0000000000000001E-5</v>
      </c>
      <c r="H159" s="194">
        <f>IFERROR(IF($C159="",-0.00001,SUMIFS(Database!J:J,Database!$E:$E,$C159)/$E159),-0.00001)</f>
        <v>-1.0000000000000001E-5</v>
      </c>
      <c r="I159" s="194">
        <f>IFERROR(IF($C159="",-0.00001,SUMIFS(Database!K:K,Database!$E:$E,$C159)/$E159),-0.00001)</f>
        <v>-1.0000000000000001E-5</v>
      </c>
      <c r="J159" s="194">
        <f>IFERROR(IF($C159="",-0.00001,SUMIFS(Database!L:L,Database!$E:$E,$C159)/$E159),-0.00001)</f>
        <v>-1.0000000000000001E-5</v>
      </c>
      <c r="K159" s="194">
        <f>IFERROR(IF($C159="",-0.00001,SUMIFS(Database!M:M,Database!$E:$E,$C159)/$E159),-0.00001)</f>
        <v>-1.0000000000000001E-5</v>
      </c>
      <c r="L159" s="194">
        <f>IFERROR(IF($C159="",-0.00001,SUMIFS(Database!N:N,Database!$E:$E,$C159)/$E159),-0.00001)</f>
        <v>-1.0000000000000001E-5</v>
      </c>
      <c r="M159" s="194">
        <f>IFERROR(IF($C159="",-0.00001,SUMIFS(Database!O:O,Database!$E:$E,$C159)/$E159),-0.00001)</f>
        <v>-1.0000000000000001E-5</v>
      </c>
      <c r="N159" s="194">
        <f>IFERROR(IF($C159="",-0.00001,SUMIFS(Database!P:P,Database!$E:$E,$C159)/$E159),-0.00001)</f>
        <v>-1.0000000000000001E-5</v>
      </c>
      <c r="O159" s="194">
        <f>IFERROR(IF($C159="",-0.00001,SUMIFS(Database!Q:Q,Database!$E:$E,$C159)/$E159),-0.00001)</f>
        <v>-1.0000000000000001E-5</v>
      </c>
      <c r="P159" s="186">
        <f t="shared" si="6"/>
        <v>-1.0000000000000001E-5</v>
      </c>
      <c r="Q159" s="194">
        <f>IFERROR(IF($C159="",-0.00001,SUMIFS(Database!S:S,Database!$E:$E,$C159)/$E159),-0.00001)</f>
        <v>-1.0000000000000001E-5</v>
      </c>
      <c r="R159" s="194">
        <f>IFERROR(IF($C159="",-0.00001,SUMIFS(Database!T:T,Database!$E:$E,$C159)/$E159),-0.00001)</f>
        <v>-1.0000000000000001E-5</v>
      </c>
      <c r="S159" s="186">
        <f t="shared" si="7"/>
        <v>-1.0000000000000001E-5</v>
      </c>
      <c r="T159" s="194">
        <f>IFERROR(IF($C159="",-0.00001,SUMIFS(Database!V:V,Database!$E:$E,$C159)/$E159),-0.00001)</f>
        <v>-1.0000000000000001E-5</v>
      </c>
      <c r="U159" s="194">
        <f>IFERROR(IF($C159="",-0.00001,SUMIFS(Database!W:W,Database!$E:$E,$C159)/$E159),-0.00001)</f>
        <v>-1.0000000000000001E-5</v>
      </c>
      <c r="V159" s="186">
        <f t="shared" si="8"/>
        <v>-1.0000000000000001E-5</v>
      </c>
      <c r="W159" s="187"/>
      <c r="X159" s="187"/>
      <c r="Y159" s="187"/>
      <c r="Z159" s="187"/>
      <c r="AA159" s="187"/>
      <c r="AB159" s="187"/>
      <c r="AC159" s="187"/>
      <c r="AD159" s="187"/>
      <c r="AE159" s="187"/>
    </row>
    <row r="160" spans="1:31" x14ac:dyDescent="0.25">
      <c r="A160" s="187"/>
      <c r="B160" s="187" t="str">
        <f>IF($C160="","",MAX($B$4:$B159)+1)</f>
        <v/>
      </c>
      <c r="C160" s="183"/>
      <c r="D160" s="183" t="str">
        <f>IFERROR(VLOOKUP($C160,Rosters!$C$4:$M$239,INDEX(Lists!$N$5:$O$80,MATCH($C160,Lists!$N$5:$N$80,FALSE),2)),"")</f>
        <v/>
      </c>
      <c r="E160" s="185">
        <f>IF($C160="",-0.00001,COUNTIF(Database!E:E,$C160))</f>
        <v>-1.0000000000000001E-5</v>
      </c>
      <c r="F160" s="194">
        <f>IFERROR(IF($C160="",-0.00001,SUMIFS(Database!H:H,Database!$E:$E,$C160)/$E160),-0.00001)</f>
        <v>-1.0000000000000001E-5</v>
      </c>
      <c r="G160" s="194">
        <f>IFERROR(IF($C160="",-0.00001,SUMIFS(Database!I:I,Database!$E:$E,$C160)/$E160),-0.00001)</f>
        <v>-1.0000000000000001E-5</v>
      </c>
      <c r="H160" s="194">
        <f>IFERROR(IF($C160="",-0.00001,SUMIFS(Database!J:J,Database!$E:$E,$C160)/$E160),-0.00001)</f>
        <v>-1.0000000000000001E-5</v>
      </c>
      <c r="I160" s="194">
        <f>IFERROR(IF($C160="",-0.00001,SUMIFS(Database!K:K,Database!$E:$E,$C160)/$E160),-0.00001)</f>
        <v>-1.0000000000000001E-5</v>
      </c>
      <c r="J160" s="194">
        <f>IFERROR(IF($C160="",-0.00001,SUMIFS(Database!L:L,Database!$E:$E,$C160)/$E160),-0.00001)</f>
        <v>-1.0000000000000001E-5</v>
      </c>
      <c r="K160" s="194">
        <f>IFERROR(IF($C160="",-0.00001,SUMIFS(Database!M:M,Database!$E:$E,$C160)/$E160),-0.00001)</f>
        <v>-1.0000000000000001E-5</v>
      </c>
      <c r="L160" s="194">
        <f>IFERROR(IF($C160="",-0.00001,SUMIFS(Database!N:N,Database!$E:$E,$C160)/$E160),-0.00001)</f>
        <v>-1.0000000000000001E-5</v>
      </c>
      <c r="M160" s="194">
        <f>IFERROR(IF($C160="",-0.00001,SUMIFS(Database!O:O,Database!$E:$E,$C160)/$E160),-0.00001)</f>
        <v>-1.0000000000000001E-5</v>
      </c>
      <c r="N160" s="194">
        <f>IFERROR(IF($C160="",-0.00001,SUMIFS(Database!P:P,Database!$E:$E,$C160)/$E160),-0.00001)</f>
        <v>-1.0000000000000001E-5</v>
      </c>
      <c r="O160" s="194">
        <f>IFERROR(IF($C160="",-0.00001,SUMIFS(Database!Q:Q,Database!$E:$E,$C160)/$E160),-0.00001)</f>
        <v>-1.0000000000000001E-5</v>
      </c>
      <c r="P160" s="186">
        <f t="shared" si="6"/>
        <v>-1.0000000000000001E-5</v>
      </c>
      <c r="Q160" s="194">
        <f>IFERROR(IF($C160="",-0.00001,SUMIFS(Database!S:S,Database!$E:$E,$C160)/$E160),-0.00001)</f>
        <v>-1.0000000000000001E-5</v>
      </c>
      <c r="R160" s="194">
        <f>IFERROR(IF($C160="",-0.00001,SUMIFS(Database!T:T,Database!$E:$E,$C160)/$E160),-0.00001)</f>
        <v>-1.0000000000000001E-5</v>
      </c>
      <c r="S160" s="186">
        <f t="shared" si="7"/>
        <v>-1.0000000000000001E-5</v>
      </c>
      <c r="T160" s="194">
        <f>IFERROR(IF($C160="",-0.00001,SUMIFS(Database!V:V,Database!$E:$E,$C160)/$E160),-0.00001)</f>
        <v>-1.0000000000000001E-5</v>
      </c>
      <c r="U160" s="194">
        <f>IFERROR(IF($C160="",-0.00001,SUMIFS(Database!W:W,Database!$E:$E,$C160)/$E160),-0.00001)</f>
        <v>-1.0000000000000001E-5</v>
      </c>
      <c r="V160" s="186">
        <f t="shared" si="8"/>
        <v>-1.0000000000000001E-5</v>
      </c>
      <c r="W160" s="187"/>
      <c r="X160" s="187"/>
      <c r="Y160" s="187"/>
      <c r="Z160" s="187"/>
      <c r="AA160" s="187"/>
      <c r="AB160" s="187"/>
      <c r="AC160" s="187"/>
      <c r="AD160" s="187"/>
      <c r="AE160" s="187"/>
    </row>
    <row r="161" spans="1:31" x14ac:dyDescent="0.25">
      <c r="A161" s="187"/>
      <c r="B161" s="187" t="str">
        <f>IF($C161="","",MAX($B$4:$B160)+1)</f>
        <v/>
      </c>
      <c r="C161" s="183"/>
      <c r="D161" s="183" t="str">
        <f>IFERROR(VLOOKUP($C161,Rosters!$C$4:$M$239,INDEX(Lists!$N$5:$O$80,MATCH($C161,Lists!$N$5:$N$80,FALSE),2)),"")</f>
        <v/>
      </c>
      <c r="E161" s="185">
        <f>IF($C161="",-0.00001,COUNTIF(Database!E:E,$C161))</f>
        <v>-1.0000000000000001E-5</v>
      </c>
      <c r="F161" s="194">
        <f>IFERROR(IF($C161="",-0.00001,SUMIFS(Database!H:H,Database!$E:$E,$C161)/$E161),-0.00001)</f>
        <v>-1.0000000000000001E-5</v>
      </c>
      <c r="G161" s="194">
        <f>IFERROR(IF($C161="",-0.00001,SUMIFS(Database!I:I,Database!$E:$E,$C161)/$E161),-0.00001)</f>
        <v>-1.0000000000000001E-5</v>
      </c>
      <c r="H161" s="194">
        <f>IFERROR(IF($C161="",-0.00001,SUMIFS(Database!J:J,Database!$E:$E,$C161)/$E161),-0.00001)</f>
        <v>-1.0000000000000001E-5</v>
      </c>
      <c r="I161" s="194">
        <f>IFERROR(IF($C161="",-0.00001,SUMIFS(Database!K:K,Database!$E:$E,$C161)/$E161),-0.00001)</f>
        <v>-1.0000000000000001E-5</v>
      </c>
      <c r="J161" s="194">
        <f>IFERROR(IF($C161="",-0.00001,SUMIFS(Database!L:L,Database!$E:$E,$C161)/$E161),-0.00001)</f>
        <v>-1.0000000000000001E-5</v>
      </c>
      <c r="K161" s="194">
        <f>IFERROR(IF($C161="",-0.00001,SUMIFS(Database!M:M,Database!$E:$E,$C161)/$E161),-0.00001)</f>
        <v>-1.0000000000000001E-5</v>
      </c>
      <c r="L161" s="194">
        <f>IFERROR(IF($C161="",-0.00001,SUMIFS(Database!N:N,Database!$E:$E,$C161)/$E161),-0.00001)</f>
        <v>-1.0000000000000001E-5</v>
      </c>
      <c r="M161" s="194">
        <f>IFERROR(IF($C161="",-0.00001,SUMIFS(Database!O:O,Database!$E:$E,$C161)/$E161),-0.00001)</f>
        <v>-1.0000000000000001E-5</v>
      </c>
      <c r="N161" s="194">
        <f>IFERROR(IF($C161="",-0.00001,SUMIFS(Database!P:P,Database!$E:$E,$C161)/$E161),-0.00001)</f>
        <v>-1.0000000000000001E-5</v>
      </c>
      <c r="O161" s="194">
        <f>IFERROR(IF($C161="",-0.00001,SUMIFS(Database!Q:Q,Database!$E:$E,$C161)/$E161),-0.00001)</f>
        <v>-1.0000000000000001E-5</v>
      </c>
      <c r="P161" s="186">
        <f t="shared" si="6"/>
        <v>-1.0000000000000001E-5</v>
      </c>
      <c r="Q161" s="194">
        <f>IFERROR(IF($C161="",-0.00001,SUMIFS(Database!S:S,Database!$E:$E,$C161)/$E161),-0.00001)</f>
        <v>-1.0000000000000001E-5</v>
      </c>
      <c r="R161" s="194">
        <f>IFERROR(IF($C161="",-0.00001,SUMIFS(Database!T:T,Database!$E:$E,$C161)/$E161),-0.00001)</f>
        <v>-1.0000000000000001E-5</v>
      </c>
      <c r="S161" s="186">
        <f t="shared" si="7"/>
        <v>-1.0000000000000001E-5</v>
      </c>
      <c r="T161" s="194">
        <f>IFERROR(IF($C161="",-0.00001,SUMIFS(Database!V:V,Database!$E:$E,$C161)/$E161),-0.00001)</f>
        <v>-1.0000000000000001E-5</v>
      </c>
      <c r="U161" s="194">
        <f>IFERROR(IF($C161="",-0.00001,SUMIFS(Database!W:W,Database!$E:$E,$C161)/$E161),-0.00001)</f>
        <v>-1.0000000000000001E-5</v>
      </c>
      <c r="V161" s="186">
        <f t="shared" si="8"/>
        <v>-1.0000000000000001E-5</v>
      </c>
      <c r="W161" s="187"/>
      <c r="X161" s="187"/>
      <c r="Y161" s="187"/>
      <c r="Z161" s="187"/>
      <c r="AA161" s="187"/>
      <c r="AB161" s="187"/>
      <c r="AC161" s="187"/>
      <c r="AD161" s="187"/>
      <c r="AE161" s="187"/>
    </row>
    <row r="162" spans="1:31" x14ac:dyDescent="0.25">
      <c r="A162" s="187"/>
      <c r="B162" s="187" t="str">
        <f>IF($C162="","",MAX($B$4:$B161)+1)</f>
        <v/>
      </c>
      <c r="C162" s="183"/>
      <c r="D162" s="183" t="str">
        <f>IFERROR(VLOOKUP($C162,Rosters!$C$4:$M$239,INDEX(Lists!$N$5:$O$80,MATCH($C162,Lists!$N$5:$N$80,FALSE),2)),"")</f>
        <v/>
      </c>
      <c r="E162" s="185">
        <f>IF($C162="",-0.00001,COUNTIF(Database!E:E,$C162))</f>
        <v>-1.0000000000000001E-5</v>
      </c>
      <c r="F162" s="194">
        <f>IFERROR(IF($C162="",-0.00001,SUMIFS(Database!H:H,Database!$E:$E,$C162)/$E162),-0.00001)</f>
        <v>-1.0000000000000001E-5</v>
      </c>
      <c r="G162" s="194">
        <f>IFERROR(IF($C162="",-0.00001,SUMIFS(Database!I:I,Database!$E:$E,$C162)/$E162),-0.00001)</f>
        <v>-1.0000000000000001E-5</v>
      </c>
      <c r="H162" s="194">
        <f>IFERROR(IF($C162="",-0.00001,SUMIFS(Database!J:J,Database!$E:$E,$C162)/$E162),-0.00001)</f>
        <v>-1.0000000000000001E-5</v>
      </c>
      <c r="I162" s="194">
        <f>IFERROR(IF($C162="",-0.00001,SUMIFS(Database!K:K,Database!$E:$E,$C162)/$E162),-0.00001)</f>
        <v>-1.0000000000000001E-5</v>
      </c>
      <c r="J162" s="194">
        <f>IFERROR(IF($C162="",-0.00001,SUMIFS(Database!L:L,Database!$E:$E,$C162)/$E162),-0.00001)</f>
        <v>-1.0000000000000001E-5</v>
      </c>
      <c r="K162" s="194">
        <f>IFERROR(IF($C162="",-0.00001,SUMIFS(Database!M:M,Database!$E:$E,$C162)/$E162),-0.00001)</f>
        <v>-1.0000000000000001E-5</v>
      </c>
      <c r="L162" s="194">
        <f>IFERROR(IF($C162="",-0.00001,SUMIFS(Database!N:N,Database!$E:$E,$C162)/$E162),-0.00001)</f>
        <v>-1.0000000000000001E-5</v>
      </c>
      <c r="M162" s="194">
        <f>IFERROR(IF($C162="",-0.00001,SUMIFS(Database!O:O,Database!$E:$E,$C162)/$E162),-0.00001)</f>
        <v>-1.0000000000000001E-5</v>
      </c>
      <c r="N162" s="194">
        <f>IFERROR(IF($C162="",-0.00001,SUMIFS(Database!P:P,Database!$E:$E,$C162)/$E162),-0.00001)</f>
        <v>-1.0000000000000001E-5</v>
      </c>
      <c r="O162" s="194">
        <f>IFERROR(IF($C162="",-0.00001,SUMIFS(Database!Q:Q,Database!$E:$E,$C162)/$E162),-0.00001)</f>
        <v>-1.0000000000000001E-5</v>
      </c>
      <c r="P162" s="186">
        <f t="shared" si="6"/>
        <v>-1.0000000000000001E-5</v>
      </c>
      <c r="Q162" s="194">
        <f>IFERROR(IF($C162="",-0.00001,SUMIFS(Database!S:S,Database!$E:$E,$C162)/$E162),-0.00001)</f>
        <v>-1.0000000000000001E-5</v>
      </c>
      <c r="R162" s="194">
        <f>IFERROR(IF($C162="",-0.00001,SUMIFS(Database!T:T,Database!$E:$E,$C162)/$E162),-0.00001)</f>
        <v>-1.0000000000000001E-5</v>
      </c>
      <c r="S162" s="186">
        <f t="shared" si="7"/>
        <v>-1.0000000000000001E-5</v>
      </c>
      <c r="T162" s="194">
        <f>IFERROR(IF($C162="",-0.00001,SUMIFS(Database!V:V,Database!$E:$E,$C162)/$E162),-0.00001)</f>
        <v>-1.0000000000000001E-5</v>
      </c>
      <c r="U162" s="194">
        <f>IFERROR(IF($C162="",-0.00001,SUMIFS(Database!W:W,Database!$E:$E,$C162)/$E162),-0.00001)</f>
        <v>-1.0000000000000001E-5</v>
      </c>
      <c r="V162" s="186">
        <f t="shared" si="8"/>
        <v>-1.0000000000000001E-5</v>
      </c>
      <c r="W162" s="187"/>
      <c r="X162" s="187"/>
      <c r="Y162" s="187"/>
      <c r="Z162" s="187"/>
      <c r="AA162" s="187"/>
      <c r="AB162" s="187"/>
      <c r="AC162" s="187"/>
      <c r="AD162" s="187"/>
      <c r="AE162" s="187"/>
    </row>
    <row r="163" spans="1:31" x14ac:dyDescent="0.25">
      <c r="A163" s="187"/>
      <c r="B163" s="187" t="str">
        <f>IF($C163="","",MAX($B$4:$B162)+1)</f>
        <v/>
      </c>
      <c r="C163" s="183"/>
      <c r="D163" s="183" t="str">
        <f>IFERROR(VLOOKUP($C163,Rosters!$C$4:$M$239,INDEX(Lists!$N$5:$O$80,MATCH($C163,Lists!$N$5:$N$80,FALSE),2)),"")</f>
        <v/>
      </c>
      <c r="E163" s="185">
        <f>IF($C163="",-0.00001,COUNTIF(Database!E:E,$C163))</f>
        <v>-1.0000000000000001E-5</v>
      </c>
      <c r="F163" s="194">
        <f>IFERROR(IF($C163="",-0.00001,SUMIFS(Database!H:H,Database!$E:$E,$C163)/$E163),-0.00001)</f>
        <v>-1.0000000000000001E-5</v>
      </c>
      <c r="G163" s="194">
        <f>IFERROR(IF($C163="",-0.00001,SUMIFS(Database!I:I,Database!$E:$E,$C163)/$E163),-0.00001)</f>
        <v>-1.0000000000000001E-5</v>
      </c>
      <c r="H163" s="194">
        <f>IFERROR(IF($C163="",-0.00001,SUMIFS(Database!J:J,Database!$E:$E,$C163)/$E163),-0.00001)</f>
        <v>-1.0000000000000001E-5</v>
      </c>
      <c r="I163" s="194">
        <f>IFERROR(IF($C163="",-0.00001,SUMIFS(Database!K:K,Database!$E:$E,$C163)/$E163),-0.00001)</f>
        <v>-1.0000000000000001E-5</v>
      </c>
      <c r="J163" s="194">
        <f>IFERROR(IF($C163="",-0.00001,SUMIFS(Database!L:L,Database!$E:$E,$C163)/$E163),-0.00001)</f>
        <v>-1.0000000000000001E-5</v>
      </c>
      <c r="K163" s="194">
        <f>IFERROR(IF($C163="",-0.00001,SUMIFS(Database!M:M,Database!$E:$E,$C163)/$E163),-0.00001)</f>
        <v>-1.0000000000000001E-5</v>
      </c>
      <c r="L163" s="194">
        <f>IFERROR(IF($C163="",-0.00001,SUMIFS(Database!N:N,Database!$E:$E,$C163)/$E163),-0.00001)</f>
        <v>-1.0000000000000001E-5</v>
      </c>
      <c r="M163" s="194">
        <f>IFERROR(IF($C163="",-0.00001,SUMIFS(Database!O:O,Database!$E:$E,$C163)/$E163),-0.00001)</f>
        <v>-1.0000000000000001E-5</v>
      </c>
      <c r="N163" s="194">
        <f>IFERROR(IF($C163="",-0.00001,SUMIFS(Database!P:P,Database!$E:$E,$C163)/$E163),-0.00001)</f>
        <v>-1.0000000000000001E-5</v>
      </c>
      <c r="O163" s="194">
        <f>IFERROR(IF($C163="",-0.00001,SUMIFS(Database!Q:Q,Database!$E:$E,$C163)/$E163),-0.00001)</f>
        <v>-1.0000000000000001E-5</v>
      </c>
      <c r="P163" s="186">
        <f t="shared" si="6"/>
        <v>-1.0000000000000001E-5</v>
      </c>
      <c r="Q163" s="194">
        <f>IFERROR(IF($C163="",-0.00001,SUMIFS(Database!S:S,Database!$E:$E,$C163)/$E163),-0.00001)</f>
        <v>-1.0000000000000001E-5</v>
      </c>
      <c r="R163" s="194">
        <f>IFERROR(IF($C163="",-0.00001,SUMIFS(Database!T:T,Database!$E:$E,$C163)/$E163),-0.00001)</f>
        <v>-1.0000000000000001E-5</v>
      </c>
      <c r="S163" s="186">
        <f t="shared" si="7"/>
        <v>-1.0000000000000001E-5</v>
      </c>
      <c r="T163" s="194">
        <f>IFERROR(IF($C163="",-0.00001,SUMIFS(Database!V:V,Database!$E:$E,$C163)/$E163),-0.00001)</f>
        <v>-1.0000000000000001E-5</v>
      </c>
      <c r="U163" s="194">
        <f>IFERROR(IF($C163="",-0.00001,SUMIFS(Database!W:W,Database!$E:$E,$C163)/$E163),-0.00001)</f>
        <v>-1.0000000000000001E-5</v>
      </c>
      <c r="V163" s="186">
        <f t="shared" si="8"/>
        <v>-1.0000000000000001E-5</v>
      </c>
      <c r="W163" s="187"/>
      <c r="X163" s="187"/>
      <c r="Y163" s="187"/>
      <c r="Z163" s="187"/>
      <c r="AA163" s="187"/>
      <c r="AB163" s="187"/>
      <c r="AC163" s="187"/>
      <c r="AD163" s="187"/>
      <c r="AE163" s="187"/>
    </row>
    <row r="164" spans="1:31" x14ac:dyDescent="0.25">
      <c r="A164" s="187"/>
      <c r="B164" s="187" t="str">
        <f>IF($C164="","",MAX($B$4:$B163)+1)</f>
        <v/>
      </c>
      <c r="C164" s="183"/>
      <c r="D164" s="183" t="str">
        <f>IFERROR(VLOOKUP($C164,Rosters!$C$4:$M$239,INDEX(Lists!$N$5:$O$80,MATCH($C164,Lists!$N$5:$N$80,FALSE),2)),"")</f>
        <v/>
      </c>
      <c r="E164" s="185">
        <f>IF($C164="",-0.00001,COUNTIF(Database!E:E,$C164))</f>
        <v>-1.0000000000000001E-5</v>
      </c>
      <c r="F164" s="194">
        <f>IFERROR(IF($C164="",-0.00001,SUMIFS(Database!H:H,Database!$E:$E,$C164)/$E164),-0.00001)</f>
        <v>-1.0000000000000001E-5</v>
      </c>
      <c r="G164" s="194">
        <f>IFERROR(IF($C164="",-0.00001,SUMIFS(Database!I:I,Database!$E:$E,$C164)/$E164),-0.00001)</f>
        <v>-1.0000000000000001E-5</v>
      </c>
      <c r="H164" s="194">
        <f>IFERROR(IF($C164="",-0.00001,SUMIFS(Database!J:J,Database!$E:$E,$C164)/$E164),-0.00001)</f>
        <v>-1.0000000000000001E-5</v>
      </c>
      <c r="I164" s="194">
        <f>IFERROR(IF($C164="",-0.00001,SUMIFS(Database!K:K,Database!$E:$E,$C164)/$E164),-0.00001)</f>
        <v>-1.0000000000000001E-5</v>
      </c>
      <c r="J164" s="194">
        <f>IFERROR(IF($C164="",-0.00001,SUMIFS(Database!L:L,Database!$E:$E,$C164)/$E164),-0.00001)</f>
        <v>-1.0000000000000001E-5</v>
      </c>
      <c r="K164" s="194">
        <f>IFERROR(IF($C164="",-0.00001,SUMIFS(Database!M:M,Database!$E:$E,$C164)/$E164),-0.00001)</f>
        <v>-1.0000000000000001E-5</v>
      </c>
      <c r="L164" s="194">
        <f>IFERROR(IF($C164="",-0.00001,SUMIFS(Database!N:N,Database!$E:$E,$C164)/$E164),-0.00001)</f>
        <v>-1.0000000000000001E-5</v>
      </c>
      <c r="M164" s="194">
        <f>IFERROR(IF($C164="",-0.00001,SUMIFS(Database!O:O,Database!$E:$E,$C164)/$E164),-0.00001)</f>
        <v>-1.0000000000000001E-5</v>
      </c>
      <c r="N164" s="194">
        <f>IFERROR(IF($C164="",-0.00001,SUMIFS(Database!P:P,Database!$E:$E,$C164)/$E164),-0.00001)</f>
        <v>-1.0000000000000001E-5</v>
      </c>
      <c r="O164" s="194">
        <f>IFERROR(IF($C164="",-0.00001,SUMIFS(Database!Q:Q,Database!$E:$E,$C164)/$E164),-0.00001)</f>
        <v>-1.0000000000000001E-5</v>
      </c>
      <c r="P164" s="186">
        <f t="shared" si="6"/>
        <v>-1.0000000000000001E-5</v>
      </c>
      <c r="Q164" s="194">
        <f>IFERROR(IF($C164="",-0.00001,SUMIFS(Database!S:S,Database!$E:$E,$C164)/$E164),-0.00001)</f>
        <v>-1.0000000000000001E-5</v>
      </c>
      <c r="R164" s="194">
        <f>IFERROR(IF($C164="",-0.00001,SUMIFS(Database!T:T,Database!$E:$E,$C164)/$E164),-0.00001)</f>
        <v>-1.0000000000000001E-5</v>
      </c>
      <c r="S164" s="186">
        <f t="shared" si="7"/>
        <v>-1.0000000000000001E-5</v>
      </c>
      <c r="T164" s="194">
        <f>IFERROR(IF($C164="",-0.00001,SUMIFS(Database!V:V,Database!$E:$E,$C164)/$E164),-0.00001)</f>
        <v>-1.0000000000000001E-5</v>
      </c>
      <c r="U164" s="194">
        <f>IFERROR(IF($C164="",-0.00001,SUMIFS(Database!W:W,Database!$E:$E,$C164)/$E164),-0.00001)</f>
        <v>-1.0000000000000001E-5</v>
      </c>
      <c r="V164" s="186">
        <f t="shared" si="8"/>
        <v>-1.0000000000000001E-5</v>
      </c>
      <c r="W164" s="187"/>
      <c r="X164" s="187"/>
      <c r="Y164" s="187"/>
      <c r="Z164" s="187"/>
      <c r="AA164" s="187"/>
      <c r="AB164" s="187"/>
      <c r="AC164" s="187"/>
      <c r="AD164" s="187"/>
      <c r="AE164" s="187"/>
    </row>
    <row r="165" spans="1:31" x14ac:dyDescent="0.25">
      <c r="A165" s="187"/>
      <c r="B165" s="187" t="str">
        <f>IF($C165="","",MAX($B$4:$B164)+1)</f>
        <v/>
      </c>
      <c r="C165" s="183"/>
      <c r="D165" s="183" t="str">
        <f>IFERROR(VLOOKUP($C165,Rosters!$C$4:$M$239,INDEX(Lists!$N$5:$O$80,MATCH($C165,Lists!$N$5:$N$80,FALSE),2)),"")</f>
        <v/>
      </c>
      <c r="E165" s="185">
        <f>IF($C165="",-0.00001,COUNTIF(Database!E:E,$C165))</f>
        <v>-1.0000000000000001E-5</v>
      </c>
      <c r="F165" s="194">
        <f>IFERROR(IF($C165="",-0.00001,SUMIFS(Database!H:H,Database!$E:$E,$C165)/$E165),-0.00001)</f>
        <v>-1.0000000000000001E-5</v>
      </c>
      <c r="G165" s="194">
        <f>IFERROR(IF($C165="",-0.00001,SUMIFS(Database!I:I,Database!$E:$E,$C165)/$E165),-0.00001)</f>
        <v>-1.0000000000000001E-5</v>
      </c>
      <c r="H165" s="194">
        <f>IFERROR(IF($C165="",-0.00001,SUMIFS(Database!J:J,Database!$E:$E,$C165)/$E165),-0.00001)</f>
        <v>-1.0000000000000001E-5</v>
      </c>
      <c r="I165" s="194">
        <f>IFERROR(IF($C165="",-0.00001,SUMIFS(Database!K:K,Database!$E:$E,$C165)/$E165),-0.00001)</f>
        <v>-1.0000000000000001E-5</v>
      </c>
      <c r="J165" s="194">
        <f>IFERROR(IF($C165="",-0.00001,SUMIFS(Database!L:L,Database!$E:$E,$C165)/$E165),-0.00001)</f>
        <v>-1.0000000000000001E-5</v>
      </c>
      <c r="K165" s="194">
        <f>IFERROR(IF($C165="",-0.00001,SUMIFS(Database!M:M,Database!$E:$E,$C165)/$E165),-0.00001)</f>
        <v>-1.0000000000000001E-5</v>
      </c>
      <c r="L165" s="194">
        <f>IFERROR(IF($C165="",-0.00001,SUMIFS(Database!N:N,Database!$E:$E,$C165)/$E165),-0.00001)</f>
        <v>-1.0000000000000001E-5</v>
      </c>
      <c r="M165" s="194">
        <f>IFERROR(IF($C165="",-0.00001,SUMIFS(Database!O:O,Database!$E:$E,$C165)/$E165),-0.00001)</f>
        <v>-1.0000000000000001E-5</v>
      </c>
      <c r="N165" s="194">
        <f>IFERROR(IF($C165="",-0.00001,SUMIFS(Database!P:P,Database!$E:$E,$C165)/$E165),-0.00001)</f>
        <v>-1.0000000000000001E-5</v>
      </c>
      <c r="O165" s="194">
        <f>IFERROR(IF($C165="",-0.00001,SUMIFS(Database!Q:Q,Database!$E:$E,$C165)/$E165),-0.00001)</f>
        <v>-1.0000000000000001E-5</v>
      </c>
      <c r="P165" s="186">
        <f t="shared" si="6"/>
        <v>-1.0000000000000001E-5</v>
      </c>
      <c r="Q165" s="194">
        <f>IFERROR(IF($C165="",-0.00001,SUMIFS(Database!S:S,Database!$E:$E,$C165)/$E165),-0.00001)</f>
        <v>-1.0000000000000001E-5</v>
      </c>
      <c r="R165" s="194">
        <f>IFERROR(IF($C165="",-0.00001,SUMIFS(Database!T:T,Database!$E:$E,$C165)/$E165),-0.00001)</f>
        <v>-1.0000000000000001E-5</v>
      </c>
      <c r="S165" s="186">
        <f t="shared" si="7"/>
        <v>-1.0000000000000001E-5</v>
      </c>
      <c r="T165" s="194">
        <f>IFERROR(IF($C165="",-0.00001,SUMIFS(Database!V:V,Database!$E:$E,$C165)/$E165),-0.00001)</f>
        <v>-1.0000000000000001E-5</v>
      </c>
      <c r="U165" s="194">
        <f>IFERROR(IF($C165="",-0.00001,SUMIFS(Database!W:W,Database!$E:$E,$C165)/$E165),-0.00001)</f>
        <v>-1.0000000000000001E-5</v>
      </c>
      <c r="V165" s="186">
        <f t="shared" si="8"/>
        <v>-1.0000000000000001E-5</v>
      </c>
      <c r="W165" s="187"/>
      <c r="X165" s="187"/>
      <c r="Y165" s="187"/>
      <c r="Z165" s="187"/>
      <c r="AA165" s="187"/>
      <c r="AB165" s="187"/>
      <c r="AC165" s="187"/>
      <c r="AD165" s="187"/>
      <c r="AE165" s="187"/>
    </row>
    <row r="166" spans="1:31" x14ac:dyDescent="0.25">
      <c r="A166" s="187"/>
      <c r="B166" s="187" t="str">
        <f>IF($C166="","",MAX($B$4:$B165)+1)</f>
        <v/>
      </c>
      <c r="C166" s="183"/>
      <c r="D166" s="183" t="str">
        <f>IFERROR(VLOOKUP($C166,Rosters!$C$4:$M$239,INDEX(Lists!$N$5:$O$80,MATCH($C166,Lists!$N$5:$N$80,FALSE),2)),"")</f>
        <v/>
      </c>
      <c r="E166" s="185">
        <f>IF($C166="",-0.00001,COUNTIF(Database!E:E,$C166))</f>
        <v>-1.0000000000000001E-5</v>
      </c>
      <c r="F166" s="194">
        <f>IFERROR(IF($C166="",-0.00001,SUMIFS(Database!H:H,Database!$E:$E,$C166)/$E166),-0.00001)</f>
        <v>-1.0000000000000001E-5</v>
      </c>
      <c r="G166" s="194">
        <f>IFERROR(IF($C166="",-0.00001,SUMIFS(Database!I:I,Database!$E:$E,$C166)/$E166),-0.00001)</f>
        <v>-1.0000000000000001E-5</v>
      </c>
      <c r="H166" s="194">
        <f>IFERROR(IF($C166="",-0.00001,SUMIFS(Database!J:J,Database!$E:$E,$C166)/$E166),-0.00001)</f>
        <v>-1.0000000000000001E-5</v>
      </c>
      <c r="I166" s="194">
        <f>IFERROR(IF($C166="",-0.00001,SUMIFS(Database!K:K,Database!$E:$E,$C166)/$E166),-0.00001)</f>
        <v>-1.0000000000000001E-5</v>
      </c>
      <c r="J166" s="194">
        <f>IFERROR(IF($C166="",-0.00001,SUMIFS(Database!L:L,Database!$E:$E,$C166)/$E166),-0.00001)</f>
        <v>-1.0000000000000001E-5</v>
      </c>
      <c r="K166" s="194">
        <f>IFERROR(IF($C166="",-0.00001,SUMIFS(Database!M:M,Database!$E:$E,$C166)/$E166),-0.00001)</f>
        <v>-1.0000000000000001E-5</v>
      </c>
      <c r="L166" s="194">
        <f>IFERROR(IF($C166="",-0.00001,SUMIFS(Database!N:N,Database!$E:$E,$C166)/$E166),-0.00001)</f>
        <v>-1.0000000000000001E-5</v>
      </c>
      <c r="M166" s="194">
        <f>IFERROR(IF($C166="",-0.00001,SUMIFS(Database!O:O,Database!$E:$E,$C166)/$E166),-0.00001)</f>
        <v>-1.0000000000000001E-5</v>
      </c>
      <c r="N166" s="194">
        <f>IFERROR(IF($C166="",-0.00001,SUMIFS(Database!P:P,Database!$E:$E,$C166)/$E166),-0.00001)</f>
        <v>-1.0000000000000001E-5</v>
      </c>
      <c r="O166" s="194">
        <f>IFERROR(IF($C166="",-0.00001,SUMIFS(Database!Q:Q,Database!$E:$E,$C166)/$E166),-0.00001)</f>
        <v>-1.0000000000000001E-5</v>
      </c>
      <c r="P166" s="186">
        <f t="shared" si="6"/>
        <v>-1.0000000000000001E-5</v>
      </c>
      <c r="Q166" s="194">
        <f>IFERROR(IF($C166="",-0.00001,SUMIFS(Database!S:S,Database!$E:$E,$C166)/$E166),-0.00001)</f>
        <v>-1.0000000000000001E-5</v>
      </c>
      <c r="R166" s="194">
        <f>IFERROR(IF($C166="",-0.00001,SUMIFS(Database!T:T,Database!$E:$E,$C166)/$E166),-0.00001)</f>
        <v>-1.0000000000000001E-5</v>
      </c>
      <c r="S166" s="186">
        <f t="shared" si="7"/>
        <v>-1.0000000000000001E-5</v>
      </c>
      <c r="T166" s="194">
        <f>IFERROR(IF($C166="",-0.00001,SUMIFS(Database!V:V,Database!$E:$E,$C166)/$E166),-0.00001)</f>
        <v>-1.0000000000000001E-5</v>
      </c>
      <c r="U166" s="194">
        <f>IFERROR(IF($C166="",-0.00001,SUMIFS(Database!W:W,Database!$E:$E,$C166)/$E166),-0.00001)</f>
        <v>-1.0000000000000001E-5</v>
      </c>
      <c r="V166" s="186">
        <f t="shared" si="8"/>
        <v>-1.0000000000000001E-5</v>
      </c>
      <c r="W166" s="187"/>
      <c r="X166" s="187"/>
      <c r="Y166" s="187"/>
      <c r="Z166" s="187"/>
      <c r="AA166" s="187"/>
      <c r="AB166" s="187"/>
      <c r="AC166" s="187"/>
      <c r="AD166" s="187"/>
      <c r="AE166" s="187"/>
    </row>
    <row r="167" spans="1:31" x14ac:dyDescent="0.25">
      <c r="A167" s="187"/>
      <c r="B167" s="187" t="str">
        <f>IF($C167="","",MAX($B$4:$B166)+1)</f>
        <v/>
      </c>
      <c r="C167" s="183"/>
      <c r="D167" s="183" t="str">
        <f>IFERROR(VLOOKUP($C167,Rosters!$C$4:$M$239,INDEX(Lists!$N$5:$O$80,MATCH($C167,Lists!$N$5:$N$80,FALSE),2)),"")</f>
        <v/>
      </c>
      <c r="E167" s="185">
        <f>IF($C167="",-0.00001,COUNTIF(Database!E:E,$C167))</f>
        <v>-1.0000000000000001E-5</v>
      </c>
      <c r="F167" s="194">
        <f>IFERROR(IF($C167="",-0.00001,SUMIFS(Database!H:H,Database!$E:$E,$C167)/$E167),-0.00001)</f>
        <v>-1.0000000000000001E-5</v>
      </c>
      <c r="G167" s="194">
        <f>IFERROR(IF($C167="",-0.00001,SUMIFS(Database!I:I,Database!$E:$E,$C167)/$E167),-0.00001)</f>
        <v>-1.0000000000000001E-5</v>
      </c>
      <c r="H167" s="194">
        <f>IFERROR(IF($C167="",-0.00001,SUMIFS(Database!J:J,Database!$E:$E,$C167)/$E167),-0.00001)</f>
        <v>-1.0000000000000001E-5</v>
      </c>
      <c r="I167" s="194">
        <f>IFERROR(IF($C167="",-0.00001,SUMIFS(Database!K:K,Database!$E:$E,$C167)/$E167),-0.00001)</f>
        <v>-1.0000000000000001E-5</v>
      </c>
      <c r="J167" s="194">
        <f>IFERROR(IF($C167="",-0.00001,SUMIFS(Database!L:L,Database!$E:$E,$C167)/$E167),-0.00001)</f>
        <v>-1.0000000000000001E-5</v>
      </c>
      <c r="K167" s="194">
        <f>IFERROR(IF($C167="",-0.00001,SUMIFS(Database!M:M,Database!$E:$E,$C167)/$E167),-0.00001)</f>
        <v>-1.0000000000000001E-5</v>
      </c>
      <c r="L167" s="194">
        <f>IFERROR(IF($C167="",-0.00001,SUMIFS(Database!N:N,Database!$E:$E,$C167)/$E167),-0.00001)</f>
        <v>-1.0000000000000001E-5</v>
      </c>
      <c r="M167" s="194">
        <f>IFERROR(IF($C167="",-0.00001,SUMIFS(Database!O:O,Database!$E:$E,$C167)/$E167),-0.00001)</f>
        <v>-1.0000000000000001E-5</v>
      </c>
      <c r="N167" s="194">
        <f>IFERROR(IF($C167="",-0.00001,SUMIFS(Database!P:P,Database!$E:$E,$C167)/$E167),-0.00001)</f>
        <v>-1.0000000000000001E-5</v>
      </c>
      <c r="O167" s="194">
        <f>IFERROR(IF($C167="",-0.00001,SUMIFS(Database!Q:Q,Database!$E:$E,$C167)/$E167),-0.00001)</f>
        <v>-1.0000000000000001E-5</v>
      </c>
      <c r="P167" s="186">
        <f t="shared" si="6"/>
        <v>-1.0000000000000001E-5</v>
      </c>
      <c r="Q167" s="194">
        <f>IFERROR(IF($C167="",-0.00001,SUMIFS(Database!S:S,Database!$E:$E,$C167)/$E167),-0.00001)</f>
        <v>-1.0000000000000001E-5</v>
      </c>
      <c r="R167" s="194">
        <f>IFERROR(IF($C167="",-0.00001,SUMIFS(Database!T:T,Database!$E:$E,$C167)/$E167),-0.00001)</f>
        <v>-1.0000000000000001E-5</v>
      </c>
      <c r="S167" s="186">
        <f t="shared" si="7"/>
        <v>-1.0000000000000001E-5</v>
      </c>
      <c r="T167" s="194">
        <f>IFERROR(IF($C167="",-0.00001,SUMIFS(Database!V:V,Database!$E:$E,$C167)/$E167),-0.00001)</f>
        <v>-1.0000000000000001E-5</v>
      </c>
      <c r="U167" s="194">
        <f>IFERROR(IF($C167="",-0.00001,SUMIFS(Database!W:W,Database!$E:$E,$C167)/$E167),-0.00001)</f>
        <v>-1.0000000000000001E-5</v>
      </c>
      <c r="V167" s="186">
        <f t="shared" si="8"/>
        <v>-1.0000000000000001E-5</v>
      </c>
      <c r="W167" s="187"/>
      <c r="X167" s="187"/>
      <c r="Y167" s="187"/>
      <c r="Z167" s="187"/>
      <c r="AA167" s="187"/>
      <c r="AB167" s="187"/>
      <c r="AC167" s="187"/>
      <c r="AD167" s="187"/>
      <c r="AE167" s="187"/>
    </row>
    <row r="168" spans="1:31" x14ac:dyDescent="0.25">
      <c r="A168" s="187"/>
      <c r="B168" s="187" t="str">
        <f>IF($C168="","",MAX($B$4:$B167)+1)</f>
        <v/>
      </c>
      <c r="C168" s="183"/>
      <c r="D168" s="183" t="str">
        <f>IFERROR(VLOOKUP($C168,Rosters!$C$4:$M$239,INDEX(Lists!$N$5:$O$80,MATCH($C168,Lists!$N$5:$N$80,FALSE),2)),"")</f>
        <v/>
      </c>
      <c r="E168" s="185">
        <f>IF($C168="",-0.00001,COUNTIF(Database!E:E,$C168))</f>
        <v>-1.0000000000000001E-5</v>
      </c>
      <c r="F168" s="194">
        <f>IFERROR(IF($C168="",-0.00001,SUMIFS(Database!H:H,Database!$E:$E,$C168)/$E168),-0.00001)</f>
        <v>-1.0000000000000001E-5</v>
      </c>
      <c r="G168" s="194">
        <f>IFERROR(IF($C168="",-0.00001,SUMIFS(Database!I:I,Database!$E:$E,$C168)/$E168),-0.00001)</f>
        <v>-1.0000000000000001E-5</v>
      </c>
      <c r="H168" s="194">
        <f>IFERROR(IF($C168="",-0.00001,SUMIFS(Database!J:J,Database!$E:$E,$C168)/$E168),-0.00001)</f>
        <v>-1.0000000000000001E-5</v>
      </c>
      <c r="I168" s="194">
        <f>IFERROR(IF($C168="",-0.00001,SUMIFS(Database!K:K,Database!$E:$E,$C168)/$E168),-0.00001)</f>
        <v>-1.0000000000000001E-5</v>
      </c>
      <c r="J168" s="194">
        <f>IFERROR(IF($C168="",-0.00001,SUMIFS(Database!L:L,Database!$E:$E,$C168)/$E168),-0.00001)</f>
        <v>-1.0000000000000001E-5</v>
      </c>
      <c r="K168" s="194">
        <f>IFERROR(IF($C168="",-0.00001,SUMIFS(Database!M:M,Database!$E:$E,$C168)/$E168),-0.00001)</f>
        <v>-1.0000000000000001E-5</v>
      </c>
      <c r="L168" s="194">
        <f>IFERROR(IF($C168="",-0.00001,SUMIFS(Database!N:N,Database!$E:$E,$C168)/$E168),-0.00001)</f>
        <v>-1.0000000000000001E-5</v>
      </c>
      <c r="M168" s="194">
        <f>IFERROR(IF($C168="",-0.00001,SUMIFS(Database!O:O,Database!$E:$E,$C168)/$E168),-0.00001)</f>
        <v>-1.0000000000000001E-5</v>
      </c>
      <c r="N168" s="194">
        <f>IFERROR(IF($C168="",-0.00001,SUMIFS(Database!P:P,Database!$E:$E,$C168)/$E168),-0.00001)</f>
        <v>-1.0000000000000001E-5</v>
      </c>
      <c r="O168" s="194">
        <f>IFERROR(IF($C168="",-0.00001,SUMIFS(Database!Q:Q,Database!$E:$E,$C168)/$E168),-0.00001)</f>
        <v>-1.0000000000000001E-5</v>
      </c>
      <c r="P168" s="186">
        <f t="shared" si="6"/>
        <v>-1.0000000000000001E-5</v>
      </c>
      <c r="Q168" s="194">
        <f>IFERROR(IF($C168="",-0.00001,SUMIFS(Database!S:S,Database!$E:$E,$C168)/$E168),-0.00001)</f>
        <v>-1.0000000000000001E-5</v>
      </c>
      <c r="R168" s="194">
        <f>IFERROR(IF($C168="",-0.00001,SUMIFS(Database!T:T,Database!$E:$E,$C168)/$E168),-0.00001)</f>
        <v>-1.0000000000000001E-5</v>
      </c>
      <c r="S168" s="186">
        <f t="shared" si="7"/>
        <v>-1.0000000000000001E-5</v>
      </c>
      <c r="T168" s="194">
        <f>IFERROR(IF($C168="",-0.00001,SUMIFS(Database!V:V,Database!$E:$E,$C168)/$E168),-0.00001)</f>
        <v>-1.0000000000000001E-5</v>
      </c>
      <c r="U168" s="194">
        <f>IFERROR(IF($C168="",-0.00001,SUMIFS(Database!W:W,Database!$E:$E,$C168)/$E168),-0.00001)</f>
        <v>-1.0000000000000001E-5</v>
      </c>
      <c r="V168" s="186">
        <f t="shared" si="8"/>
        <v>-1.0000000000000001E-5</v>
      </c>
      <c r="W168" s="187"/>
      <c r="X168" s="187"/>
      <c r="Y168" s="187"/>
      <c r="Z168" s="187"/>
      <c r="AA168" s="187"/>
      <c r="AB168" s="187"/>
      <c r="AC168" s="187"/>
      <c r="AD168" s="187"/>
      <c r="AE168" s="187"/>
    </row>
    <row r="169" spans="1:31" x14ac:dyDescent="0.25">
      <c r="A169" s="187"/>
      <c r="B169" s="187" t="str">
        <f>IF($C169="","",MAX($B$4:$B168)+1)</f>
        <v/>
      </c>
      <c r="C169" s="183"/>
      <c r="D169" s="183" t="str">
        <f>IFERROR(VLOOKUP($C169,Rosters!$C$4:$M$239,INDEX(Lists!$N$5:$O$80,MATCH($C169,Lists!$N$5:$N$80,FALSE),2)),"")</f>
        <v/>
      </c>
      <c r="E169" s="185">
        <f>IF($C169="",-0.00001,COUNTIF(Database!E:E,$C169))</f>
        <v>-1.0000000000000001E-5</v>
      </c>
      <c r="F169" s="194">
        <f>IFERROR(IF($C169="",-0.00001,SUMIFS(Database!H:H,Database!$E:$E,$C169)/$E169),-0.00001)</f>
        <v>-1.0000000000000001E-5</v>
      </c>
      <c r="G169" s="194">
        <f>IFERROR(IF($C169="",-0.00001,SUMIFS(Database!I:I,Database!$E:$E,$C169)/$E169),-0.00001)</f>
        <v>-1.0000000000000001E-5</v>
      </c>
      <c r="H169" s="194">
        <f>IFERROR(IF($C169="",-0.00001,SUMIFS(Database!J:J,Database!$E:$E,$C169)/$E169),-0.00001)</f>
        <v>-1.0000000000000001E-5</v>
      </c>
      <c r="I169" s="194">
        <f>IFERROR(IF($C169="",-0.00001,SUMIFS(Database!K:K,Database!$E:$E,$C169)/$E169),-0.00001)</f>
        <v>-1.0000000000000001E-5</v>
      </c>
      <c r="J169" s="194">
        <f>IFERROR(IF($C169="",-0.00001,SUMIFS(Database!L:L,Database!$E:$E,$C169)/$E169),-0.00001)</f>
        <v>-1.0000000000000001E-5</v>
      </c>
      <c r="K169" s="194">
        <f>IFERROR(IF($C169="",-0.00001,SUMIFS(Database!M:M,Database!$E:$E,$C169)/$E169),-0.00001)</f>
        <v>-1.0000000000000001E-5</v>
      </c>
      <c r="L169" s="194">
        <f>IFERROR(IF($C169="",-0.00001,SUMIFS(Database!N:N,Database!$E:$E,$C169)/$E169),-0.00001)</f>
        <v>-1.0000000000000001E-5</v>
      </c>
      <c r="M169" s="194">
        <f>IFERROR(IF($C169="",-0.00001,SUMIFS(Database!O:O,Database!$E:$E,$C169)/$E169),-0.00001)</f>
        <v>-1.0000000000000001E-5</v>
      </c>
      <c r="N169" s="194">
        <f>IFERROR(IF($C169="",-0.00001,SUMIFS(Database!P:P,Database!$E:$E,$C169)/$E169),-0.00001)</f>
        <v>-1.0000000000000001E-5</v>
      </c>
      <c r="O169" s="194">
        <f>IFERROR(IF($C169="",-0.00001,SUMIFS(Database!Q:Q,Database!$E:$E,$C169)/$E169),-0.00001)</f>
        <v>-1.0000000000000001E-5</v>
      </c>
      <c r="P169" s="186">
        <f t="shared" si="6"/>
        <v>-1.0000000000000001E-5</v>
      </c>
      <c r="Q169" s="194">
        <f>IFERROR(IF($C169="",-0.00001,SUMIFS(Database!S:S,Database!$E:$E,$C169)/$E169),-0.00001)</f>
        <v>-1.0000000000000001E-5</v>
      </c>
      <c r="R169" s="194">
        <f>IFERROR(IF($C169="",-0.00001,SUMIFS(Database!T:T,Database!$E:$E,$C169)/$E169),-0.00001)</f>
        <v>-1.0000000000000001E-5</v>
      </c>
      <c r="S169" s="186">
        <f t="shared" si="7"/>
        <v>-1.0000000000000001E-5</v>
      </c>
      <c r="T169" s="194">
        <f>IFERROR(IF($C169="",-0.00001,SUMIFS(Database!V:V,Database!$E:$E,$C169)/$E169),-0.00001)</f>
        <v>-1.0000000000000001E-5</v>
      </c>
      <c r="U169" s="194">
        <f>IFERROR(IF($C169="",-0.00001,SUMIFS(Database!W:W,Database!$E:$E,$C169)/$E169),-0.00001)</f>
        <v>-1.0000000000000001E-5</v>
      </c>
      <c r="V169" s="186">
        <f t="shared" si="8"/>
        <v>-1.0000000000000001E-5</v>
      </c>
      <c r="W169" s="187"/>
      <c r="X169" s="187"/>
      <c r="Y169" s="187"/>
      <c r="Z169" s="187"/>
      <c r="AA169" s="187"/>
      <c r="AB169" s="187"/>
      <c r="AC169" s="187"/>
      <c r="AD169" s="187"/>
      <c r="AE169" s="187"/>
    </row>
    <row r="170" spans="1:31" x14ac:dyDescent="0.25">
      <c r="A170" s="187"/>
      <c r="B170" s="187" t="str">
        <f>IF($C170="","",MAX($B$4:$B169)+1)</f>
        <v/>
      </c>
      <c r="C170" s="183"/>
      <c r="D170" s="183" t="str">
        <f>IFERROR(VLOOKUP($C170,Rosters!$C$4:$M$239,INDEX(Lists!$N$5:$O$80,MATCH($C170,Lists!$N$5:$N$80,FALSE),2)),"")</f>
        <v/>
      </c>
      <c r="E170" s="185">
        <f>IF($C170="",-0.00001,COUNTIF(Database!E:E,$C170))</f>
        <v>-1.0000000000000001E-5</v>
      </c>
      <c r="F170" s="194">
        <f>IFERROR(IF($C170="",-0.00001,SUMIFS(Database!H:H,Database!$E:$E,$C170)/$E170),-0.00001)</f>
        <v>-1.0000000000000001E-5</v>
      </c>
      <c r="G170" s="194">
        <f>IFERROR(IF($C170="",-0.00001,SUMIFS(Database!I:I,Database!$E:$E,$C170)/$E170),-0.00001)</f>
        <v>-1.0000000000000001E-5</v>
      </c>
      <c r="H170" s="194">
        <f>IFERROR(IF($C170="",-0.00001,SUMIFS(Database!J:J,Database!$E:$E,$C170)/$E170),-0.00001)</f>
        <v>-1.0000000000000001E-5</v>
      </c>
      <c r="I170" s="194">
        <f>IFERROR(IF($C170="",-0.00001,SUMIFS(Database!K:K,Database!$E:$E,$C170)/$E170),-0.00001)</f>
        <v>-1.0000000000000001E-5</v>
      </c>
      <c r="J170" s="194">
        <f>IFERROR(IF($C170="",-0.00001,SUMIFS(Database!L:L,Database!$E:$E,$C170)/$E170),-0.00001)</f>
        <v>-1.0000000000000001E-5</v>
      </c>
      <c r="K170" s="194">
        <f>IFERROR(IF($C170="",-0.00001,SUMIFS(Database!M:M,Database!$E:$E,$C170)/$E170),-0.00001)</f>
        <v>-1.0000000000000001E-5</v>
      </c>
      <c r="L170" s="194">
        <f>IFERROR(IF($C170="",-0.00001,SUMIFS(Database!N:N,Database!$E:$E,$C170)/$E170),-0.00001)</f>
        <v>-1.0000000000000001E-5</v>
      </c>
      <c r="M170" s="194">
        <f>IFERROR(IF($C170="",-0.00001,SUMIFS(Database!O:O,Database!$E:$E,$C170)/$E170),-0.00001)</f>
        <v>-1.0000000000000001E-5</v>
      </c>
      <c r="N170" s="194">
        <f>IFERROR(IF($C170="",-0.00001,SUMIFS(Database!P:P,Database!$E:$E,$C170)/$E170),-0.00001)</f>
        <v>-1.0000000000000001E-5</v>
      </c>
      <c r="O170" s="194">
        <f>IFERROR(IF($C170="",-0.00001,SUMIFS(Database!Q:Q,Database!$E:$E,$C170)/$E170),-0.00001)</f>
        <v>-1.0000000000000001E-5</v>
      </c>
      <c r="P170" s="186">
        <f t="shared" si="6"/>
        <v>-1.0000000000000001E-5</v>
      </c>
      <c r="Q170" s="194">
        <f>IFERROR(IF($C170="",-0.00001,SUMIFS(Database!S:S,Database!$E:$E,$C170)/$E170),-0.00001)</f>
        <v>-1.0000000000000001E-5</v>
      </c>
      <c r="R170" s="194">
        <f>IFERROR(IF($C170="",-0.00001,SUMIFS(Database!T:T,Database!$E:$E,$C170)/$E170),-0.00001)</f>
        <v>-1.0000000000000001E-5</v>
      </c>
      <c r="S170" s="186">
        <f t="shared" si="7"/>
        <v>-1.0000000000000001E-5</v>
      </c>
      <c r="T170" s="194">
        <f>IFERROR(IF($C170="",-0.00001,SUMIFS(Database!V:V,Database!$E:$E,$C170)/$E170),-0.00001)</f>
        <v>-1.0000000000000001E-5</v>
      </c>
      <c r="U170" s="194">
        <f>IFERROR(IF($C170="",-0.00001,SUMIFS(Database!W:W,Database!$E:$E,$C170)/$E170),-0.00001)</f>
        <v>-1.0000000000000001E-5</v>
      </c>
      <c r="V170" s="186">
        <f t="shared" si="8"/>
        <v>-1.0000000000000001E-5</v>
      </c>
      <c r="W170" s="187"/>
      <c r="X170" s="187"/>
      <c r="Y170" s="187"/>
      <c r="Z170" s="187"/>
      <c r="AA170" s="187"/>
      <c r="AB170" s="187"/>
      <c r="AC170" s="187"/>
      <c r="AD170" s="187"/>
      <c r="AE170" s="187"/>
    </row>
    <row r="171" spans="1:31" x14ac:dyDescent="0.25">
      <c r="A171" s="187"/>
      <c r="B171" s="187" t="str">
        <f>IF($C171="","",MAX($B$4:$B170)+1)</f>
        <v/>
      </c>
      <c r="C171" s="183"/>
      <c r="D171" s="183" t="str">
        <f>IFERROR(VLOOKUP($C171,Rosters!$C$4:$M$239,INDEX(Lists!$N$5:$O$80,MATCH($C171,Lists!$N$5:$N$80,FALSE),2)),"")</f>
        <v/>
      </c>
      <c r="E171" s="185">
        <f>IF($C171="",-0.00001,COUNTIF(Database!E:E,$C171))</f>
        <v>-1.0000000000000001E-5</v>
      </c>
      <c r="F171" s="194">
        <f>IFERROR(IF($C171="",-0.00001,SUMIFS(Database!H:H,Database!$E:$E,$C171)/$E171),-0.00001)</f>
        <v>-1.0000000000000001E-5</v>
      </c>
      <c r="G171" s="194">
        <f>IFERROR(IF($C171="",-0.00001,SUMIFS(Database!I:I,Database!$E:$E,$C171)/$E171),-0.00001)</f>
        <v>-1.0000000000000001E-5</v>
      </c>
      <c r="H171" s="194">
        <f>IFERROR(IF($C171="",-0.00001,SUMIFS(Database!J:J,Database!$E:$E,$C171)/$E171),-0.00001)</f>
        <v>-1.0000000000000001E-5</v>
      </c>
      <c r="I171" s="194">
        <f>IFERROR(IF($C171="",-0.00001,SUMIFS(Database!K:K,Database!$E:$E,$C171)/$E171),-0.00001)</f>
        <v>-1.0000000000000001E-5</v>
      </c>
      <c r="J171" s="194">
        <f>IFERROR(IF($C171="",-0.00001,SUMIFS(Database!L:L,Database!$E:$E,$C171)/$E171),-0.00001)</f>
        <v>-1.0000000000000001E-5</v>
      </c>
      <c r="K171" s="194">
        <f>IFERROR(IF($C171="",-0.00001,SUMIFS(Database!M:M,Database!$E:$E,$C171)/$E171),-0.00001)</f>
        <v>-1.0000000000000001E-5</v>
      </c>
      <c r="L171" s="194">
        <f>IFERROR(IF($C171="",-0.00001,SUMIFS(Database!N:N,Database!$E:$E,$C171)/$E171),-0.00001)</f>
        <v>-1.0000000000000001E-5</v>
      </c>
      <c r="M171" s="194">
        <f>IFERROR(IF($C171="",-0.00001,SUMIFS(Database!O:O,Database!$E:$E,$C171)/$E171),-0.00001)</f>
        <v>-1.0000000000000001E-5</v>
      </c>
      <c r="N171" s="194">
        <f>IFERROR(IF($C171="",-0.00001,SUMIFS(Database!P:P,Database!$E:$E,$C171)/$E171),-0.00001)</f>
        <v>-1.0000000000000001E-5</v>
      </c>
      <c r="O171" s="194">
        <f>IFERROR(IF($C171="",-0.00001,SUMIFS(Database!Q:Q,Database!$E:$E,$C171)/$E171),-0.00001)</f>
        <v>-1.0000000000000001E-5</v>
      </c>
      <c r="P171" s="186">
        <f t="shared" si="6"/>
        <v>-1.0000000000000001E-5</v>
      </c>
      <c r="Q171" s="194">
        <f>IFERROR(IF($C171="",-0.00001,SUMIFS(Database!S:S,Database!$E:$E,$C171)/$E171),-0.00001)</f>
        <v>-1.0000000000000001E-5</v>
      </c>
      <c r="R171" s="194">
        <f>IFERROR(IF($C171="",-0.00001,SUMIFS(Database!T:T,Database!$E:$E,$C171)/$E171),-0.00001)</f>
        <v>-1.0000000000000001E-5</v>
      </c>
      <c r="S171" s="186">
        <f t="shared" si="7"/>
        <v>-1.0000000000000001E-5</v>
      </c>
      <c r="T171" s="194">
        <f>IFERROR(IF($C171="",-0.00001,SUMIFS(Database!V:V,Database!$E:$E,$C171)/$E171),-0.00001)</f>
        <v>-1.0000000000000001E-5</v>
      </c>
      <c r="U171" s="194">
        <f>IFERROR(IF($C171="",-0.00001,SUMIFS(Database!W:W,Database!$E:$E,$C171)/$E171),-0.00001)</f>
        <v>-1.0000000000000001E-5</v>
      </c>
      <c r="V171" s="186">
        <f t="shared" si="8"/>
        <v>-1.0000000000000001E-5</v>
      </c>
      <c r="W171" s="187"/>
      <c r="X171" s="187"/>
      <c r="Y171" s="187"/>
      <c r="Z171" s="187"/>
      <c r="AA171" s="187"/>
      <c r="AB171" s="187"/>
      <c r="AC171" s="187"/>
      <c r="AD171" s="187"/>
      <c r="AE171" s="187"/>
    </row>
    <row r="172" spans="1:31" x14ac:dyDescent="0.25">
      <c r="A172" s="187"/>
      <c r="B172" s="187" t="str">
        <f>IF($C172="","",MAX($B$4:$B171)+1)</f>
        <v/>
      </c>
      <c r="C172" s="183"/>
      <c r="D172" s="183" t="str">
        <f>IFERROR(VLOOKUP($C172,Rosters!$C$4:$M$239,INDEX(Lists!$N$5:$O$80,MATCH($C172,Lists!$N$5:$N$80,FALSE),2)),"")</f>
        <v/>
      </c>
      <c r="E172" s="185">
        <f>IF($C172="",-0.00001,COUNTIF(Database!E:E,$C172))</f>
        <v>-1.0000000000000001E-5</v>
      </c>
      <c r="F172" s="194">
        <f>IFERROR(IF($C172="",-0.00001,SUMIFS(Database!H:H,Database!$E:$E,$C172)/$E172),-0.00001)</f>
        <v>-1.0000000000000001E-5</v>
      </c>
      <c r="G172" s="194">
        <f>IFERROR(IF($C172="",-0.00001,SUMIFS(Database!I:I,Database!$E:$E,$C172)/$E172),-0.00001)</f>
        <v>-1.0000000000000001E-5</v>
      </c>
      <c r="H172" s="194">
        <f>IFERROR(IF($C172="",-0.00001,SUMIFS(Database!J:J,Database!$E:$E,$C172)/$E172),-0.00001)</f>
        <v>-1.0000000000000001E-5</v>
      </c>
      <c r="I172" s="194">
        <f>IFERROR(IF($C172="",-0.00001,SUMIFS(Database!K:K,Database!$E:$E,$C172)/$E172),-0.00001)</f>
        <v>-1.0000000000000001E-5</v>
      </c>
      <c r="J172" s="194">
        <f>IFERROR(IF($C172="",-0.00001,SUMIFS(Database!L:L,Database!$E:$E,$C172)/$E172),-0.00001)</f>
        <v>-1.0000000000000001E-5</v>
      </c>
      <c r="K172" s="194">
        <f>IFERROR(IF($C172="",-0.00001,SUMIFS(Database!M:M,Database!$E:$E,$C172)/$E172),-0.00001)</f>
        <v>-1.0000000000000001E-5</v>
      </c>
      <c r="L172" s="194">
        <f>IFERROR(IF($C172="",-0.00001,SUMIFS(Database!N:N,Database!$E:$E,$C172)/$E172),-0.00001)</f>
        <v>-1.0000000000000001E-5</v>
      </c>
      <c r="M172" s="194">
        <f>IFERROR(IF($C172="",-0.00001,SUMIFS(Database!O:O,Database!$E:$E,$C172)/$E172),-0.00001)</f>
        <v>-1.0000000000000001E-5</v>
      </c>
      <c r="N172" s="194">
        <f>IFERROR(IF($C172="",-0.00001,SUMIFS(Database!P:P,Database!$E:$E,$C172)/$E172),-0.00001)</f>
        <v>-1.0000000000000001E-5</v>
      </c>
      <c r="O172" s="194">
        <f>IFERROR(IF($C172="",-0.00001,SUMIFS(Database!Q:Q,Database!$E:$E,$C172)/$E172),-0.00001)</f>
        <v>-1.0000000000000001E-5</v>
      </c>
      <c r="P172" s="186">
        <f t="shared" si="6"/>
        <v>-1.0000000000000001E-5</v>
      </c>
      <c r="Q172" s="194">
        <f>IFERROR(IF($C172="",-0.00001,SUMIFS(Database!S:S,Database!$E:$E,$C172)/$E172),-0.00001)</f>
        <v>-1.0000000000000001E-5</v>
      </c>
      <c r="R172" s="194">
        <f>IFERROR(IF($C172="",-0.00001,SUMIFS(Database!T:T,Database!$E:$E,$C172)/$E172),-0.00001)</f>
        <v>-1.0000000000000001E-5</v>
      </c>
      <c r="S172" s="186">
        <f t="shared" si="7"/>
        <v>-1.0000000000000001E-5</v>
      </c>
      <c r="T172" s="194">
        <f>IFERROR(IF($C172="",-0.00001,SUMIFS(Database!V:V,Database!$E:$E,$C172)/$E172),-0.00001)</f>
        <v>-1.0000000000000001E-5</v>
      </c>
      <c r="U172" s="194">
        <f>IFERROR(IF($C172="",-0.00001,SUMIFS(Database!W:W,Database!$E:$E,$C172)/$E172),-0.00001)</f>
        <v>-1.0000000000000001E-5</v>
      </c>
      <c r="V172" s="186">
        <f t="shared" si="8"/>
        <v>-1.0000000000000001E-5</v>
      </c>
      <c r="W172" s="187"/>
      <c r="X172" s="187"/>
      <c r="Y172" s="187"/>
      <c r="Z172" s="187"/>
      <c r="AA172" s="187"/>
      <c r="AB172" s="187"/>
      <c r="AC172" s="187"/>
      <c r="AD172" s="187"/>
      <c r="AE172" s="187"/>
    </row>
    <row r="173" spans="1:31" x14ac:dyDescent="0.25">
      <c r="A173" s="187"/>
      <c r="B173" s="187" t="str">
        <f>IF($C173="","",MAX($B$4:$B172)+1)</f>
        <v/>
      </c>
      <c r="C173" s="183"/>
      <c r="D173" s="183" t="str">
        <f>IFERROR(VLOOKUP($C173,Rosters!$C$4:$M$239,INDEX(Lists!$N$5:$O$80,MATCH($C173,Lists!$N$5:$N$80,FALSE),2)),"")</f>
        <v/>
      </c>
      <c r="E173" s="185">
        <f>IF($C173="",-0.00001,COUNTIF(Database!E:E,$C173))</f>
        <v>-1.0000000000000001E-5</v>
      </c>
      <c r="F173" s="194">
        <f>IFERROR(IF($C173="",-0.00001,SUMIFS(Database!H:H,Database!$E:$E,$C173)/$E173),-0.00001)</f>
        <v>-1.0000000000000001E-5</v>
      </c>
      <c r="G173" s="194">
        <f>IFERROR(IF($C173="",-0.00001,SUMIFS(Database!I:I,Database!$E:$E,$C173)/$E173),-0.00001)</f>
        <v>-1.0000000000000001E-5</v>
      </c>
      <c r="H173" s="194">
        <f>IFERROR(IF($C173="",-0.00001,SUMIFS(Database!J:J,Database!$E:$E,$C173)/$E173),-0.00001)</f>
        <v>-1.0000000000000001E-5</v>
      </c>
      <c r="I173" s="194">
        <f>IFERROR(IF($C173="",-0.00001,SUMIFS(Database!K:K,Database!$E:$E,$C173)/$E173),-0.00001)</f>
        <v>-1.0000000000000001E-5</v>
      </c>
      <c r="J173" s="194">
        <f>IFERROR(IF($C173="",-0.00001,SUMIFS(Database!L:L,Database!$E:$E,$C173)/$E173),-0.00001)</f>
        <v>-1.0000000000000001E-5</v>
      </c>
      <c r="K173" s="194">
        <f>IFERROR(IF($C173="",-0.00001,SUMIFS(Database!M:M,Database!$E:$E,$C173)/$E173),-0.00001)</f>
        <v>-1.0000000000000001E-5</v>
      </c>
      <c r="L173" s="194">
        <f>IFERROR(IF($C173="",-0.00001,SUMIFS(Database!N:N,Database!$E:$E,$C173)/$E173),-0.00001)</f>
        <v>-1.0000000000000001E-5</v>
      </c>
      <c r="M173" s="194">
        <f>IFERROR(IF($C173="",-0.00001,SUMIFS(Database!O:O,Database!$E:$E,$C173)/$E173),-0.00001)</f>
        <v>-1.0000000000000001E-5</v>
      </c>
      <c r="N173" s="194">
        <f>IFERROR(IF($C173="",-0.00001,SUMIFS(Database!P:P,Database!$E:$E,$C173)/$E173),-0.00001)</f>
        <v>-1.0000000000000001E-5</v>
      </c>
      <c r="O173" s="194">
        <f>IFERROR(IF($C173="",-0.00001,SUMIFS(Database!Q:Q,Database!$E:$E,$C173)/$E173),-0.00001)</f>
        <v>-1.0000000000000001E-5</v>
      </c>
      <c r="P173" s="186">
        <f t="shared" si="6"/>
        <v>-1.0000000000000001E-5</v>
      </c>
      <c r="Q173" s="194">
        <f>IFERROR(IF($C173="",-0.00001,SUMIFS(Database!S:S,Database!$E:$E,$C173)/$E173),-0.00001)</f>
        <v>-1.0000000000000001E-5</v>
      </c>
      <c r="R173" s="194">
        <f>IFERROR(IF($C173="",-0.00001,SUMIFS(Database!T:T,Database!$E:$E,$C173)/$E173),-0.00001)</f>
        <v>-1.0000000000000001E-5</v>
      </c>
      <c r="S173" s="186">
        <f t="shared" si="7"/>
        <v>-1.0000000000000001E-5</v>
      </c>
      <c r="T173" s="194">
        <f>IFERROR(IF($C173="",-0.00001,SUMIFS(Database!V:V,Database!$E:$E,$C173)/$E173),-0.00001)</f>
        <v>-1.0000000000000001E-5</v>
      </c>
      <c r="U173" s="194">
        <f>IFERROR(IF($C173="",-0.00001,SUMIFS(Database!W:W,Database!$E:$E,$C173)/$E173),-0.00001)</f>
        <v>-1.0000000000000001E-5</v>
      </c>
      <c r="V173" s="186">
        <f t="shared" si="8"/>
        <v>-1.0000000000000001E-5</v>
      </c>
      <c r="W173" s="187"/>
      <c r="X173" s="187"/>
      <c r="Y173" s="187"/>
      <c r="Z173" s="187"/>
      <c r="AA173" s="187"/>
      <c r="AB173" s="187"/>
      <c r="AC173" s="187"/>
      <c r="AD173" s="187"/>
      <c r="AE173" s="187"/>
    </row>
    <row r="174" spans="1:31" x14ac:dyDescent="0.25">
      <c r="A174" s="187"/>
      <c r="B174" s="187" t="str">
        <f>IF($C174="","",MAX($B$4:$B173)+1)</f>
        <v/>
      </c>
      <c r="C174" s="183"/>
      <c r="D174" s="183" t="str">
        <f>IFERROR(VLOOKUP($C174,Rosters!$C$4:$M$239,INDEX(Lists!$N$5:$O$80,MATCH($C174,Lists!$N$5:$N$80,FALSE),2)),"")</f>
        <v/>
      </c>
      <c r="E174" s="185">
        <f>IF($C174="",-0.00001,COUNTIF(Database!E:E,$C174))</f>
        <v>-1.0000000000000001E-5</v>
      </c>
      <c r="F174" s="194">
        <f>IFERROR(IF($C174="",-0.00001,SUMIFS(Database!H:H,Database!$E:$E,$C174)/$E174),-0.00001)</f>
        <v>-1.0000000000000001E-5</v>
      </c>
      <c r="G174" s="194">
        <f>IFERROR(IF($C174="",-0.00001,SUMIFS(Database!I:I,Database!$E:$E,$C174)/$E174),-0.00001)</f>
        <v>-1.0000000000000001E-5</v>
      </c>
      <c r="H174" s="194">
        <f>IFERROR(IF($C174="",-0.00001,SUMIFS(Database!J:J,Database!$E:$E,$C174)/$E174),-0.00001)</f>
        <v>-1.0000000000000001E-5</v>
      </c>
      <c r="I174" s="194">
        <f>IFERROR(IF($C174="",-0.00001,SUMIFS(Database!K:K,Database!$E:$E,$C174)/$E174),-0.00001)</f>
        <v>-1.0000000000000001E-5</v>
      </c>
      <c r="J174" s="194">
        <f>IFERROR(IF($C174="",-0.00001,SUMIFS(Database!L:L,Database!$E:$E,$C174)/$E174),-0.00001)</f>
        <v>-1.0000000000000001E-5</v>
      </c>
      <c r="K174" s="194">
        <f>IFERROR(IF($C174="",-0.00001,SUMIFS(Database!M:M,Database!$E:$E,$C174)/$E174),-0.00001)</f>
        <v>-1.0000000000000001E-5</v>
      </c>
      <c r="L174" s="194">
        <f>IFERROR(IF($C174="",-0.00001,SUMIFS(Database!N:N,Database!$E:$E,$C174)/$E174),-0.00001)</f>
        <v>-1.0000000000000001E-5</v>
      </c>
      <c r="M174" s="194">
        <f>IFERROR(IF($C174="",-0.00001,SUMIFS(Database!O:O,Database!$E:$E,$C174)/$E174),-0.00001)</f>
        <v>-1.0000000000000001E-5</v>
      </c>
      <c r="N174" s="194">
        <f>IFERROR(IF($C174="",-0.00001,SUMIFS(Database!P:P,Database!$E:$E,$C174)/$E174),-0.00001)</f>
        <v>-1.0000000000000001E-5</v>
      </c>
      <c r="O174" s="194">
        <f>IFERROR(IF($C174="",-0.00001,SUMIFS(Database!Q:Q,Database!$E:$E,$C174)/$E174),-0.00001)</f>
        <v>-1.0000000000000001E-5</v>
      </c>
      <c r="P174" s="186">
        <f t="shared" si="6"/>
        <v>-1.0000000000000001E-5</v>
      </c>
      <c r="Q174" s="194">
        <f>IFERROR(IF($C174="",-0.00001,SUMIFS(Database!S:S,Database!$E:$E,$C174)/$E174),-0.00001)</f>
        <v>-1.0000000000000001E-5</v>
      </c>
      <c r="R174" s="194">
        <f>IFERROR(IF($C174="",-0.00001,SUMIFS(Database!T:T,Database!$E:$E,$C174)/$E174),-0.00001)</f>
        <v>-1.0000000000000001E-5</v>
      </c>
      <c r="S174" s="186">
        <f t="shared" si="7"/>
        <v>-1.0000000000000001E-5</v>
      </c>
      <c r="T174" s="194">
        <f>IFERROR(IF($C174="",-0.00001,SUMIFS(Database!V:V,Database!$E:$E,$C174)/$E174),-0.00001)</f>
        <v>-1.0000000000000001E-5</v>
      </c>
      <c r="U174" s="194">
        <f>IFERROR(IF($C174="",-0.00001,SUMIFS(Database!W:W,Database!$E:$E,$C174)/$E174),-0.00001)</f>
        <v>-1.0000000000000001E-5</v>
      </c>
      <c r="V174" s="186">
        <f t="shared" si="8"/>
        <v>-1.0000000000000001E-5</v>
      </c>
      <c r="W174" s="187"/>
      <c r="X174" s="187"/>
      <c r="Y174" s="187"/>
      <c r="Z174" s="187"/>
      <c r="AA174" s="187"/>
      <c r="AB174" s="187"/>
      <c r="AC174" s="187"/>
      <c r="AD174" s="187"/>
      <c r="AE174" s="187"/>
    </row>
    <row r="175" spans="1:31" x14ac:dyDescent="0.25">
      <c r="A175" s="187"/>
      <c r="B175" s="187" t="str">
        <f>IF($C175="","",MAX($B$4:$B174)+1)</f>
        <v/>
      </c>
      <c r="C175" s="183"/>
      <c r="D175" s="183" t="str">
        <f>IFERROR(VLOOKUP($C175,Rosters!$C$4:$M$239,INDEX(Lists!$N$5:$O$80,MATCH($C175,Lists!$N$5:$N$80,FALSE),2)),"")</f>
        <v/>
      </c>
      <c r="E175" s="185">
        <f>IF($C175="",-0.00001,COUNTIF(Database!E:E,$C175))</f>
        <v>-1.0000000000000001E-5</v>
      </c>
      <c r="F175" s="194">
        <f>IFERROR(IF($C175="",-0.00001,SUMIFS(Database!H:H,Database!$E:$E,$C175)/$E175),-0.00001)</f>
        <v>-1.0000000000000001E-5</v>
      </c>
      <c r="G175" s="194">
        <f>IFERROR(IF($C175="",-0.00001,SUMIFS(Database!I:I,Database!$E:$E,$C175)/$E175),-0.00001)</f>
        <v>-1.0000000000000001E-5</v>
      </c>
      <c r="H175" s="194">
        <f>IFERROR(IF($C175="",-0.00001,SUMIFS(Database!J:J,Database!$E:$E,$C175)/$E175),-0.00001)</f>
        <v>-1.0000000000000001E-5</v>
      </c>
      <c r="I175" s="194">
        <f>IFERROR(IF($C175="",-0.00001,SUMIFS(Database!K:K,Database!$E:$E,$C175)/$E175),-0.00001)</f>
        <v>-1.0000000000000001E-5</v>
      </c>
      <c r="J175" s="194">
        <f>IFERROR(IF($C175="",-0.00001,SUMIFS(Database!L:L,Database!$E:$E,$C175)/$E175),-0.00001)</f>
        <v>-1.0000000000000001E-5</v>
      </c>
      <c r="K175" s="194">
        <f>IFERROR(IF($C175="",-0.00001,SUMIFS(Database!M:M,Database!$E:$E,$C175)/$E175),-0.00001)</f>
        <v>-1.0000000000000001E-5</v>
      </c>
      <c r="L175" s="194">
        <f>IFERROR(IF($C175="",-0.00001,SUMIFS(Database!N:N,Database!$E:$E,$C175)/$E175),-0.00001)</f>
        <v>-1.0000000000000001E-5</v>
      </c>
      <c r="M175" s="194">
        <f>IFERROR(IF($C175="",-0.00001,SUMIFS(Database!O:O,Database!$E:$E,$C175)/$E175),-0.00001)</f>
        <v>-1.0000000000000001E-5</v>
      </c>
      <c r="N175" s="194">
        <f>IFERROR(IF($C175="",-0.00001,SUMIFS(Database!P:P,Database!$E:$E,$C175)/$E175),-0.00001)</f>
        <v>-1.0000000000000001E-5</v>
      </c>
      <c r="O175" s="194">
        <f>IFERROR(IF($C175="",-0.00001,SUMIFS(Database!Q:Q,Database!$E:$E,$C175)/$E175),-0.00001)</f>
        <v>-1.0000000000000001E-5</v>
      </c>
      <c r="P175" s="186">
        <f t="shared" si="6"/>
        <v>-1.0000000000000001E-5</v>
      </c>
      <c r="Q175" s="194">
        <f>IFERROR(IF($C175="",-0.00001,SUMIFS(Database!S:S,Database!$E:$E,$C175)/$E175),-0.00001)</f>
        <v>-1.0000000000000001E-5</v>
      </c>
      <c r="R175" s="194">
        <f>IFERROR(IF($C175="",-0.00001,SUMIFS(Database!T:T,Database!$E:$E,$C175)/$E175),-0.00001)</f>
        <v>-1.0000000000000001E-5</v>
      </c>
      <c r="S175" s="186">
        <f t="shared" si="7"/>
        <v>-1.0000000000000001E-5</v>
      </c>
      <c r="T175" s="194">
        <f>IFERROR(IF($C175="",-0.00001,SUMIFS(Database!V:V,Database!$E:$E,$C175)/$E175),-0.00001)</f>
        <v>-1.0000000000000001E-5</v>
      </c>
      <c r="U175" s="194">
        <f>IFERROR(IF($C175="",-0.00001,SUMIFS(Database!W:W,Database!$E:$E,$C175)/$E175),-0.00001)</f>
        <v>-1.0000000000000001E-5</v>
      </c>
      <c r="V175" s="186">
        <f t="shared" si="8"/>
        <v>-1.0000000000000001E-5</v>
      </c>
      <c r="W175" s="187"/>
      <c r="X175" s="187"/>
      <c r="Y175" s="187"/>
      <c r="Z175" s="187"/>
      <c r="AA175" s="187"/>
      <c r="AB175" s="187"/>
      <c r="AC175" s="187"/>
      <c r="AD175" s="187"/>
      <c r="AE175" s="187"/>
    </row>
    <row r="176" spans="1:31" x14ac:dyDescent="0.25">
      <c r="A176" s="187"/>
      <c r="B176" s="187" t="str">
        <f>IF($C176="","",MAX($B$4:$B175)+1)</f>
        <v/>
      </c>
      <c r="C176" s="183"/>
      <c r="D176" s="183" t="str">
        <f>IFERROR(VLOOKUP($C176,Rosters!$C$4:$M$239,INDEX(Lists!$N$5:$O$80,MATCH($C176,Lists!$N$5:$N$80,FALSE),2)),"")</f>
        <v/>
      </c>
      <c r="E176" s="185">
        <f>IF($C176="",-0.00001,COUNTIF(Database!E:E,$C176))</f>
        <v>-1.0000000000000001E-5</v>
      </c>
      <c r="F176" s="194">
        <f>IFERROR(IF($C176="",-0.00001,SUMIFS(Database!H:H,Database!$E:$E,$C176)/$E176),-0.00001)</f>
        <v>-1.0000000000000001E-5</v>
      </c>
      <c r="G176" s="194">
        <f>IFERROR(IF($C176="",-0.00001,SUMIFS(Database!I:I,Database!$E:$E,$C176)/$E176),-0.00001)</f>
        <v>-1.0000000000000001E-5</v>
      </c>
      <c r="H176" s="194">
        <f>IFERROR(IF($C176="",-0.00001,SUMIFS(Database!J:J,Database!$E:$E,$C176)/$E176),-0.00001)</f>
        <v>-1.0000000000000001E-5</v>
      </c>
      <c r="I176" s="194">
        <f>IFERROR(IF($C176="",-0.00001,SUMIFS(Database!K:K,Database!$E:$E,$C176)/$E176),-0.00001)</f>
        <v>-1.0000000000000001E-5</v>
      </c>
      <c r="J176" s="194">
        <f>IFERROR(IF($C176="",-0.00001,SUMIFS(Database!L:L,Database!$E:$E,$C176)/$E176),-0.00001)</f>
        <v>-1.0000000000000001E-5</v>
      </c>
      <c r="K176" s="194">
        <f>IFERROR(IF($C176="",-0.00001,SUMIFS(Database!M:M,Database!$E:$E,$C176)/$E176),-0.00001)</f>
        <v>-1.0000000000000001E-5</v>
      </c>
      <c r="L176" s="194">
        <f>IFERROR(IF($C176="",-0.00001,SUMIFS(Database!N:N,Database!$E:$E,$C176)/$E176),-0.00001)</f>
        <v>-1.0000000000000001E-5</v>
      </c>
      <c r="M176" s="194">
        <f>IFERROR(IF($C176="",-0.00001,SUMIFS(Database!O:O,Database!$E:$E,$C176)/$E176),-0.00001)</f>
        <v>-1.0000000000000001E-5</v>
      </c>
      <c r="N176" s="194">
        <f>IFERROR(IF($C176="",-0.00001,SUMIFS(Database!P:P,Database!$E:$E,$C176)/$E176),-0.00001)</f>
        <v>-1.0000000000000001E-5</v>
      </c>
      <c r="O176" s="194">
        <f>IFERROR(IF($C176="",-0.00001,SUMIFS(Database!Q:Q,Database!$E:$E,$C176)/$E176),-0.00001)</f>
        <v>-1.0000000000000001E-5</v>
      </c>
      <c r="P176" s="186">
        <f t="shared" si="6"/>
        <v>-1.0000000000000001E-5</v>
      </c>
      <c r="Q176" s="194">
        <f>IFERROR(IF($C176="",-0.00001,SUMIFS(Database!S:S,Database!$E:$E,$C176)/$E176),-0.00001)</f>
        <v>-1.0000000000000001E-5</v>
      </c>
      <c r="R176" s="194">
        <f>IFERROR(IF($C176="",-0.00001,SUMIFS(Database!T:T,Database!$E:$E,$C176)/$E176),-0.00001)</f>
        <v>-1.0000000000000001E-5</v>
      </c>
      <c r="S176" s="186">
        <f t="shared" si="7"/>
        <v>-1.0000000000000001E-5</v>
      </c>
      <c r="T176" s="194">
        <f>IFERROR(IF($C176="",-0.00001,SUMIFS(Database!V:V,Database!$E:$E,$C176)/$E176),-0.00001)</f>
        <v>-1.0000000000000001E-5</v>
      </c>
      <c r="U176" s="194">
        <f>IFERROR(IF($C176="",-0.00001,SUMIFS(Database!W:W,Database!$E:$E,$C176)/$E176),-0.00001)</f>
        <v>-1.0000000000000001E-5</v>
      </c>
      <c r="V176" s="186">
        <f t="shared" si="8"/>
        <v>-1.0000000000000001E-5</v>
      </c>
      <c r="W176" s="187"/>
      <c r="X176" s="187"/>
      <c r="Y176" s="187"/>
      <c r="Z176" s="187"/>
      <c r="AA176" s="187"/>
      <c r="AB176" s="187"/>
      <c r="AC176" s="187"/>
      <c r="AD176" s="187"/>
      <c r="AE176" s="187"/>
    </row>
    <row r="177" spans="1:31" x14ac:dyDescent="0.25">
      <c r="A177" s="187"/>
      <c r="B177" s="187" t="str">
        <f>IF($C177="","",MAX($B$4:$B176)+1)</f>
        <v/>
      </c>
      <c r="C177" s="183"/>
      <c r="D177" s="183" t="str">
        <f>IFERROR(VLOOKUP($C177,Rosters!$C$4:$M$239,INDEX(Lists!$N$5:$O$80,MATCH($C177,Lists!$N$5:$N$80,FALSE),2)),"")</f>
        <v/>
      </c>
      <c r="E177" s="185">
        <f>IF($C177="",-0.00001,COUNTIF(Database!E:E,$C177))</f>
        <v>-1.0000000000000001E-5</v>
      </c>
      <c r="F177" s="194">
        <f>IFERROR(IF($C177="",-0.00001,SUMIFS(Database!H:H,Database!$E:$E,$C177)/$E177),-0.00001)</f>
        <v>-1.0000000000000001E-5</v>
      </c>
      <c r="G177" s="194">
        <f>IFERROR(IF($C177="",-0.00001,SUMIFS(Database!I:I,Database!$E:$E,$C177)/$E177),-0.00001)</f>
        <v>-1.0000000000000001E-5</v>
      </c>
      <c r="H177" s="194">
        <f>IFERROR(IF($C177="",-0.00001,SUMIFS(Database!J:J,Database!$E:$E,$C177)/$E177),-0.00001)</f>
        <v>-1.0000000000000001E-5</v>
      </c>
      <c r="I177" s="194">
        <f>IFERROR(IF($C177="",-0.00001,SUMIFS(Database!K:K,Database!$E:$E,$C177)/$E177),-0.00001)</f>
        <v>-1.0000000000000001E-5</v>
      </c>
      <c r="J177" s="194">
        <f>IFERROR(IF($C177="",-0.00001,SUMIFS(Database!L:L,Database!$E:$E,$C177)/$E177),-0.00001)</f>
        <v>-1.0000000000000001E-5</v>
      </c>
      <c r="K177" s="194">
        <f>IFERROR(IF($C177="",-0.00001,SUMIFS(Database!M:M,Database!$E:$E,$C177)/$E177),-0.00001)</f>
        <v>-1.0000000000000001E-5</v>
      </c>
      <c r="L177" s="194">
        <f>IFERROR(IF($C177="",-0.00001,SUMIFS(Database!N:N,Database!$E:$E,$C177)/$E177),-0.00001)</f>
        <v>-1.0000000000000001E-5</v>
      </c>
      <c r="M177" s="194">
        <f>IFERROR(IF($C177="",-0.00001,SUMIFS(Database!O:O,Database!$E:$E,$C177)/$E177),-0.00001)</f>
        <v>-1.0000000000000001E-5</v>
      </c>
      <c r="N177" s="194">
        <f>IFERROR(IF($C177="",-0.00001,SUMIFS(Database!P:P,Database!$E:$E,$C177)/$E177),-0.00001)</f>
        <v>-1.0000000000000001E-5</v>
      </c>
      <c r="O177" s="194">
        <f>IFERROR(IF($C177="",-0.00001,SUMIFS(Database!Q:Q,Database!$E:$E,$C177)/$E177),-0.00001)</f>
        <v>-1.0000000000000001E-5</v>
      </c>
      <c r="P177" s="186">
        <f t="shared" si="6"/>
        <v>-1.0000000000000001E-5</v>
      </c>
      <c r="Q177" s="194">
        <f>IFERROR(IF($C177="",-0.00001,SUMIFS(Database!S:S,Database!$E:$E,$C177)/$E177),-0.00001)</f>
        <v>-1.0000000000000001E-5</v>
      </c>
      <c r="R177" s="194">
        <f>IFERROR(IF($C177="",-0.00001,SUMIFS(Database!T:T,Database!$E:$E,$C177)/$E177),-0.00001)</f>
        <v>-1.0000000000000001E-5</v>
      </c>
      <c r="S177" s="186">
        <f t="shared" si="7"/>
        <v>-1.0000000000000001E-5</v>
      </c>
      <c r="T177" s="194">
        <f>IFERROR(IF($C177="",-0.00001,SUMIFS(Database!V:V,Database!$E:$E,$C177)/$E177),-0.00001)</f>
        <v>-1.0000000000000001E-5</v>
      </c>
      <c r="U177" s="194">
        <f>IFERROR(IF($C177="",-0.00001,SUMIFS(Database!W:W,Database!$E:$E,$C177)/$E177),-0.00001)</f>
        <v>-1.0000000000000001E-5</v>
      </c>
      <c r="V177" s="186">
        <f t="shared" si="8"/>
        <v>-1.0000000000000001E-5</v>
      </c>
      <c r="W177" s="187"/>
      <c r="X177" s="187"/>
      <c r="Y177" s="187"/>
      <c r="Z177" s="187"/>
      <c r="AA177" s="187"/>
      <c r="AB177" s="187"/>
      <c r="AC177" s="187"/>
      <c r="AD177" s="187"/>
      <c r="AE177" s="187"/>
    </row>
    <row r="178" spans="1:31" x14ac:dyDescent="0.25">
      <c r="A178" s="187"/>
      <c r="B178" s="187" t="str">
        <f>IF($C178="","",MAX($B$4:$B177)+1)</f>
        <v/>
      </c>
      <c r="C178" s="183"/>
      <c r="D178" s="183" t="str">
        <f>IFERROR(VLOOKUP($C178,Rosters!$C$4:$M$239,INDEX(Lists!$N$5:$O$80,MATCH($C178,Lists!$N$5:$N$80,FALSE),2)),"")</f>
        <v/>
      </c>
      <c r="E178" s="185">
        <f>IF($C178="",-0.00001,COUNTIF(Database!E:E,$C178))</f>
        <v>-1.0000000000000001E-5</v>
      </c>
      <c r="F178" s="194">
        <f>IFERROR(IF($C178="",-0.00001,SUMIFS(Database!H:H,Database!$E:$E,$C178)/$E178),-0.00001)</f>
        <v>-1.0000000000000001E-5</v>
      </c>
      <c r="G178" s="194">
        <f>IFERROR(IF($C178="",-0.00001,SUMIFS(Database!I:I,Database!$E:$E,$C178)/$E178),-0.00001)</f>
        <v>-1.0000000000000001E-5</v>
      </c>
      <c r="H178" s="194">
        <f>IFERROR(IF($C178="",-0.00001,SUMIFS(Database!J:J,Database!$E:$E,$C178)/$E178),-0.00001)</f>
        <v>-1.0000000000000001E-5</v>
      </c>
      <c r="I178" s="194">
        <f>IFERROR(IF($C178="",-0.00001,SUMIFS(Database!K:K,Database!$E:$E,$C178)/$E178),-0.00001)</f>
        <v>-1.0000000000000001E-5</v>
      </c>
      <c r="J178" s="194">
        <f>IFERROR(IF($C178="",-0.00001,SUMIFS(Database!L:L,Database!$E:$E,$C178)/$E178),-0.00001)</f>
        <v>-1.0000000000000001E-5</v>
      </c>
      <c r="K178" s="194">
        <f>IFERROR(IF($C178="",-0.00001,SUMIFS(Database!M:M,Database!$E:$E,$C178)/$E178),-0.00001)</f>
        <v>-1.0000000000000001E-5</v>
      </c>
      <c r="L178" s="194">
        <f>IFERROR(IF($C178="",-0.00001,SUMIFS(Database!N:N,Database!$E:$E,$C178)/$E178),-0.00001)</f>
        <v>-1.0000000000000001E-5</v>
      </c>
      <c r="M178" s="194">
        <f>IFERROR(IF($C178="",-0.00001,SUMIFS(Database!O:O,Database!$E:$E,$C178)/$E178),-0.00001)</f>
        <v>-1.0000000000000001E-5</v>
      </c>
      <c r="N178" s="194">
        <f>IFERROR(IF($C178="",-0.00001,SUMIFS(Database!P:P,Database!$E:$E,$C178)/$E178),-0.00001)</f>
        <v>-1.0000000000000001E-5</v>
      </c>
      <c r="O178" s="194">
        <f>IFERROR(IF($C178="",-0.00001,SUMIFS(Database!Q:Q,Database!$E:$E,$C178)/$E178),-0.00001)</f>
        <v>-1.0000000000000001E-5</v>
      </c>
      <c r="P178" s="186">
        <f t="shared" si="6"/>
        <v>-1.0000000000000001E-5</v>
      </c>
      <c r="Q178" s="194">
        <f>IFERROR(IF($C178="",-0.00001,SUMIFS(Database!S:S,Database!$E:$E,$C178)/$E178),-0.00001)</f>
        <v>-1.0000000000000001E-5</v>
      </c>
      <c r="R178" s="194">
        <f>IFERROR(IF($C178="",-0.00001,SUMIFS(Database!T:T,Database!$E:$E,$C178)/$E178),-0.00001)</f>
        <v>-1.0000000000000001E-5</v>
      </c>
      <c r="S178" s="186">
        <f t="shared" si="7"/>
        <v>-1.0000000000000001E-5</v>
      </c>
      <c r="T178" s="194">
        <f>IFERROR(IF($C178="",-0.00001,SUMIFS(Database!V:V,Database!$E:$E,$C178)/$E178),-0.00001)</f>
        <v>-1.0000000000000001E-5</v>
      </c>
      <c r="U178" s="194">
        <f>IFERROR(IF($C178="",-0.00001,SUMIFS(Database!W:W,Database!$E:$E,$C178)/$E178),-0.00001)</f>
        <v>-1.0000000000000001E-5</v>
      </c>
      <c r="V178" s="186">
        <f t="shared" si="8"/>
        <v>-1.0000000000000001E-5</v>
      </c>
      <c r="W178" s="187"/>
      <c r="X178" s="187"/>
      <c r="Y178" s="187"/>
      <c r="Z178" s="187"/>
      <c r="AA178" s="187"/>
      <c r="AB178" s="187"/>
      <c r="AC178" s="187"/>
      <c r="AD178" s="187"/>
      <c r="AE178" s="187"/>
    </row>
    <row r="179" spans="1:31" x14ac:dyDescent="0.25">
      <c r="A179" s="187"/>
      <c r="B179" s="187" t="str">
        <f>IF($C179="","",MAX($B$4:$B178)+1)</f>
        <v/>
      </c>
      <c r="C179" s="183"/>
      <c r="D179" s="183" t="str">
        <f>IFERROR(VLOOKUP($C179,Rosters!$C$4:$M$239,INDEX(Lists!$N$5:$O$80,MATCH($C179,Lists!$N$5:$N$80,FALSE),2)),"")</f>
        <v/>
      </c>
      <c r="E179" s="185">
        <f>IF($C179="",-0.00001,COUNTIF(Database!E:E,$C179))</f>
        <v>-1.0000000000000001E-5</v>
      </c>
      <c r="F179" s="194">
        <f>IFERROR(IF($C179="",-0.00001,SUMIFS(Database!H:H,Database!$E:$E,$C179)/$E179),-0.00001)</f>
        <v>-1.0000000000000001E-5</v>
      </c>
      <c r="G179" s="194">
        <f>IFERROR(IF($C179="",-0.00001,SUMIFS(Database!I:I,Database!$E:$E,$C179)/$E179),-0.00001)</f>
        <v>-1.0000000000000001E-5</v>
      </c>
      <c r="H179" s="194">
        <f>IFERROR(IF($C179="",-0.00001,SUMIFS(Database!J:J,Database!$E:$E,$C179)/$E179),-0.00001)</f>
        <v>-1.0000000000000001E-5</v>
      </c>
      <c r="I179" s="194">
        <f>IFERROR(IF($C179="",-0.00001,SUMIFS(Database!K:K,Database!$E:$E,$C179)/$E179),-0.00001)</f>
        <v>-1.0000000000000001E-5</v>
      </c>
      <c r="J179" s="194">
        <f>IFERROR(IF($C179="",-0.00001,SUMIFS(Database!L:L,Database!$E:$E,$C179)/$E179),-0.00001)</f>
        <v>-1.0000000000000001E-5</v>
      </c>
      <c r="K179" s="194">
        <f>IFERROR(IF($C179="",-0.00001,SUMIFS(Database!M:M,Database!$E:$E,$C179)/$E179),-0.00001)</f>
        <v>-1.0000000000000001E-5</v>
      </c>
      <c r="L179" s="194">
        <f>IFERROR(IF($C179="",-0.00001,SUMIFS(Database!N:N,Database!$E:$E,$C179)/$E179),-0.00001)</f>
        <v>-1.0000000000000001E-5</v>
      </c>
      <c r="M179" s="194">
        <f>IFERROR(IF($C179="",-0.00001,SUMIFS(Database!O:O,Database!$E:$E,$C179)/$E179),-0.00001)</f>
        <v>-1.0000000000000001E-5</v>
      </c>
      <c r="N179" s="194">
        <f>IFERROR(IF($C179="",-0.00001,SUMIFS(Database!P:P,Database!$E:$E,$C179)/$E179),-0.00001)</f>
        <v>-1.0000000000000001E-5</v>
      </c>
      <c r="O179" s="194">
        <f>IFERROR(IF($C179="",-0.00001,SUMIFS(Database!Q:Q,Database!$E:$E,$C179)/$E179),-0.00001)</f>
        <v>-1.0000000000000001E-5</v>
      </c>
      <c r="P179" s="186">
        <f t="shared" si="6"/>
        <v>-1.0000000000000001E-5</v>
      </c>
      <c r="Q179" s="194">
        <f>IFERROR(IF($C179="",-0.00001,SUMIFS(Database!S:S,Database!$E:$E,$C179)/$E179),-0.00001)</f>
        <v>-1.0000000000000001E-5</v>
      </c>
      <c r="R179" s="194">
        <f>IFERROR(IF($C179="",-0.00001,SUMIFS(Database!T:T,Database!$E:$E,$C179)/$E179),-0.00001)</f>
        <v>-1.0000000000000001E-5</v>
      </c>
      <c r="S179" s="186">
        <f t="shared" si="7"/>
        <v>-1.0000000000000001E-5</v>
      </c>
      <c r="T179" s="194">
        <f>IFERROR(IF($C179="",-0.00001,SUMIFS(Database!V:V,Database!$E:$E,$C179)/$E179),-0.00001)</f>
        <v>-1.0000000000000001E-5</v>
      </c>
      <c r="U179" s="194">
        <f>IFERROR(IF($C179="",-0.00001,SUMIFS(Database!W:W,Database!$E:$E,$C179)/$E179),-0.00001)</f>
        <v>-1.0000000000000001E-5</v>
      </c>
      <c r="V179" s="186">
        <f t="shared" si="8"/>
        <v>-1.0000000000000001E-5</v>
      </c>
      <c r="W179" s="187"/>
      <c r="X179" s="187"/>
      <c r="Y179" s="187"/>
      <c r="Z179" s="187"/>
      <c r="AA179" s="187"/>
      <c r="AB179" s="187"/>
      <c r="AC179" s="187"/>
      <c r="AD179" s="187"/>
      <c r="AE179" s="187"/>
    </row>
    <row r="180" spans="1:31" x14ac:dyDescent="0.25">
      <c r="A180" s="187"/>
      <c r="B180" s="187" t="str">
        <f>IF($C180="","",MAX($B$4:$B179)+1)</f>
        <v/>
      </c>
      <c r="C180" s="183"/>
      <c r="D180" s="183" t="str">
        <f>IFERROR(VLOOKUP($C180,Rosters!$C$4:$M$239,INDEX(Lists!$N$5:$O$80,MATCH($C180,Lists!$N$5:$N$80,FALSE),2)),"")</f>
        <v/>
      </c>
      <c r="E180" s="185">
        <f>IF($C180="",-0.00001,COUNTIF(Database!E:E,$C180))</f>
        <v>-1.0000000000000001E-5</v>
      </c>
      <c r="F180" s="194">
        <f>IFERROR(IF($C180="",-0.00001,SUMIFS(Database!H:H,Database!$E:$E,$C180)/$E180),-0.00001)</f>
        <v>-1.0000000000000001E-5</v>
      </c>
      <c r="G180" s="194">
        <f>IFERROR(IF($C180="",-0.00001,SUMIFS(Database!I:I,Database!$E:$E,$C180)/$E180),-0.00001)</f>
        <v>-1.0000000000000001E-5</v>
      </c>
      <c r="H180" s="194">
        <f>IFERROR(IF($C180="",-0.00001,SUMIFS(Database!J:J,Database!$E:$E,$C180)/$E180),-0.00001)</f>
        <v>-1.0000000000000001E-5</v>
      </c>
      <c r="I180" s="194">
        <f>IFERROR(IF($C180="",-0.00001,SUMIFS(Database!K:K,Database!$E:$E,$C180)/$E180),-0.00001)</f>
        <v>-1.0000000000000001E-5</v>
      </c>
      <c r="J180" s="194">
        <f>IFERROR(IF($C180="",-0.00001,SUMIFS(Database!L:L,Database!$E:$E,$C180)/$E180),-0.00001)</f>
        <v>-1.0000000000000001E-5</v>
      </c>
      <c r="K180" s="194">
        <f>IFERROR(IF($C180="",-0.00001,SUMIFS(Database!M:M,Database!$E:$E,$C180)/$E180),-0.00001)</f>
        <v>-1.0000000000000001E-5</v>
      </c>
      <c r="L180" s="194">
        <f>IFERROR(IF($C180="",-0.00001,SUMIFS(Database!N:N,Database!$E:$E,$C180)/$E180),-0.00001)</f>
        <v>-1.0000000000000001E-5</v>
      </c>
      <c r="M180" s="194">
        <f>IFERROR(IF($C180="",-0.00001,SUMIFS(Database!O:O,Database!$E:$E,$C180)/$E180),-0.00001)</f>
        <v>-1.0000000000000001E-5</v>
      </c>
      <c r="N180" s="194">
        <f>IFERROR(IF($C180="",-0.00001,SUMIFS(Database!P:P,Database!$E:$E,$C180)/$E180),-0.00001)</f>
        <v>-1.0000000000000001E-5</v>
      </c>
      <c r="O180" s="194">
        <f>IFERROR(IF($C180="",-0.00001,SUMIFS(Database!Q:Q,Database!$E:$E,$C180)/$E180),-0.00001)</f>
        <v>-1.0000000000000001E-5</v>
      </c>
      <c r="P180" s="186">
        <f t="shared" si="6"/>
        <v>-1.0000000000000001E-5</v>
      </c>
      <c r="Q180" s="194">
        <f>IFERROR(IF($C180="",-0.00001,SUMIFS(Database!S:S,Database!$E:$E,$C180)/$E180),-0.00001)</f>
        <v>-1.0000000000000001E-5</v>
      </c>
      <c r="R180" s="194">
        <f>IFERROR(IF($C180="",-0.00001,SUMIFS(Database!T:T,Database!$E:$E,$C180)/$E180),-0.00001)</f>
        <v>-1.0000000000000001E-5</v>
      </c>
      <c r="S180" s="186">
        <f t="shared" si="7"/>
        <v>-1.0000000000000001E-5</v>
      </c>
      <c r="T180" s="194">
        <f>IFERROR(IF($C180="",-0.00001,SUMIFS(Database!V:V,Database!$E:$E,$C180)/$E180),-0.00001)</f>
        <v>-1.0000000000000001E-5</v>
      </c>
      <c r="U180" s="194">
        <f>IFERROR(IF($C180="",-0.00001,SUMIFS(Database!W:W,Database!$E:$E,$C180)/$E180),-0.00001)</f>
        <v>-1.0000000000000001E-5</v>
      </c>
      <c r="V180" s="186">
        <f t="shared" si="8"/>
        <v>-1.0000000000000001E-5</v>
      </c>
      <c r="W180" s="187"/>
      <c r="X180" s="187"/>
      <c r="Y180" s="187"/>
      <c r="Z180" s="187"/>
      <c r="AA180" s="187"/>
      <c r="AB180" s="187"/>
      <c r="AC180" s="187"/>
      <c r="AD180" s="187"/>
      <c r="AE180" s="187"/>
    </row>
    <row r="181" spans="1:31" x14ac:dyDescent="0.25">
      <c r="A181" s="187"/>
      <c r="B181" s="187" t="str">
        <f>IF($C181="","",MAX($B$4:$B180)+1)</f>
        <v/>
      </c>
      <c r="C181" s="183"/>
      <c r="D181" s="183" t="str">
        <f>IFERROR(VLOOKUP($C181,Rosters!$C$4:$M$239,INDEX(Lists!$N$5:$O$80,MATCH($C181,Lists!$N$5:$N$80,FALSE),2)),"")</f>
        <v/>
      </c>
      <c r="E181" s="185">
        <f>IF($C181="",-0.00001,COUNTIF(Database!E:E,$C181))</f>
        <v>-1.0000000000000001E-5</v>
      </c>
      <c r="F181" s="194">
        <f>IFERROR(IF($C181="",-0.00001,SUMIFS(Database!H:H,Database!$E:$E,$C181)/$E181),-0.00001)</f>
        <v>-1.0000000000000001E-5</v>
      </c>
      <c r="G181" s="194">
        <f>IFERROR(IF($C181="",-0.00001,SUMIFS(Database!I:I,Database!$E:$E,$C181)/$E181),-0.00001)</f>
        <v>-1.0000000000000001E-5</v>
      </c>
      <c r="H181" s="194">
        <f>IFERROR(IF($C181="",-0.00001,SUMIFS(Database!J:J,Database!$E:$E,$C181)/$E181),-0.00001)</f>
        <v>-1.0000000000000001E-5</v>
      </c>
      <c r="I181" s="194">
        <f>IFERROR(IF($C181="",-0.00001,SUMIFS(Database!K:K,Database!$E:$E,$C181)/$E181),-0.00001)</f>
        <v>-1.0000000000000001E-5</v>
      </c>
      <c r="J181" s="194">
        <f>IFERROR(IF($C181="",-0.00001,SUMIFS(Database!L:L,Database!$E:$E,$C181)/$E181),-0.00001)</f>
        <v>-1.0000000000000001E-5</v>
      </c>
      <c r="K181" s="194">
        <f>IFERROR(IF($C181="",-0.00001,SUMIFS(Database!M:M,Database!$E:$E,$C181)/$E181),-0.00001)</f>
        <v>-1.0000000000000001E-5</v>
      </c>
      <c r="L181" s="194">
        <f>IFERROR(IF($C181="",-0.00001,SUMIFS(Database!N:N,Database!$E:$E,$C181)/$E181),-0.00001)</f>
        <v>-1.0000000000000001E-5</v>
      </c>
      <c r="M181" s="194">
        <f>IFERROR(IF($C181="",-0.00001,SUMIFS(Database!O:O,Database!$E:$E,$C181)/$E181),-0.00001)</f>
        <v>-1.0000000000000001E-5</v>
      </c>
      <c r="N181" s="194">
        <f>IFERROR(IF($C181="",-0.00001,SUMIFS(Database!P:P,Database!$E:$E,$C181)/$E181),-0.00001)</f>
        <v>-1.0000000000000001E-5</v>
      </c>
      <c r="O181" s="194">
        <f>IFERROR(IF($C181="",-0.00001,SUMIFS(Database!Q:Q,Database!$E:$E,$C181)/$E181),-0.00001)</f>
        <v>-1.0000000000000001E-5</v>
      </c>
      <c r="P181" s="186">
        <f t="shared" si="6"/>
        <v>-1.0000000000000001E-5</v>
      </c>
      <c r="Q181" s="194">
        <f>IFERROR(IF($C181="",-0.00001,SUMIFS(Database!S:S,Database!$E:$E,$C181)/$E181),-0.00001)</f>
        <v>-1.0000000000000001E-5</v>
      </c>
      <c r="R181" s="194">
        <f>IFERROR(IF($C181="",-0.00001,SUMIFS(Database!T:T,Database!$E:$E,$C181)/$E181),-0.00001)</f>
        <v>-1.0000000000000001E-5</v>
      </c>
      <c r="S181" s="186">
        <f t="shared" si="7"/>
        <v>-1.0000000000000001E-5</v>
      </c>
      <c r="T181" s="194">
        <f>IFERROR(IF($C181="",-0.00001,SUMIFS(Database!V:V,Database!$E:$E,$C181)/$E181),-0.00001)</f>
        <v>-1.0000000000000001E-5</v>
      </c>
      <c r="U181" s="194">
        <f>IFERROR(IF($C181="",-0.00001,SUMIFS(Database!W:W,Database!$E:$E,$C181)/$E181),-0.00001)</f>
        <v>-1.0000000000000001E-5</v>
      </c>
      <c r="V181" s="186">
        <f t="shared" si="8"/>
        <v>-1.0000000000000001E-5</v>
      </c>
      <c r="W181" s="187"/>
      <c r="X181" s="187"/>
      <c r="Y181" s="187"/>
      <c r="Z181" s="187"/>
      <c r="AA181" s="187"/>
      <c r="AB181" s="187"/>
      <c r="AC181" s="187"/>
      <c r="AD181" s="187"/>
      <c r="AE181" s="187"/>
    </row>
    <row r="182" spans="1:31" x14ac:dyDescent="0.25">
      <c r="A182" s="187"/>
      <c r="B182" s="187" t="str">
        <f>IF($C182="","",MAX($B$4:$B181)+1)</f>
        <v/>
      </c>
      <c r="C182" s="183"/>
      <c r="D182" s="183" t="str">
        <f>IFERROR(VLOOKUP($C182,Rosters!$C$4:$M$239,INDEX(Lists!$N$5:$O$80,MATCH($C182,Lists!$N$5:$N$80,FALSE),2)),"")</f>
        <v/>
      </c>
      <c r="E182" s="185">
        <f>IF($C182="",-0.00001,COUNTIF(Database!E:E,$C182))</f>
        <v>-1.0000000000000001E-5</v>
      </c>
      <c r="F182" s="194">
        <f>IFERROR(IF($C182="",-0.00001,SUMIFS(Database!H:H,Database!$E:$E,$C182)/$E182),-0.00001)</f>
        <v>-1.0000000000000001E-5</v>
      </c>
      <c r="G182" s="194">
        <f>IFERROR(IF($C182="",-0.00001,SUMIFS(Database!I:I,Database!$E:$E,$C182)/$E182),-0.00001)</f>
        <v>-1.0000000000000001E-5</v>
      </c>
      <c r="H182" s="194">
        <f>IFERROR(IF($C182="",-0.00001,SUMIFS(Database!J:J,Database!$E:$E,$C182)/$E182),-0.00001)</f>
        <v>-1.0000000000000001E-5</v>
      </c>
      <c r="I182" s="194">
        <f>IFERROR(IF($C182="",-0.00001,SUMIFS(Database!K:K,Database!$E:$E,$C182)/$E182),-0.00001)</f>
        <v>-1.0000000000000001E-5</v>
      </c>
      <c r="J182" s="194">
        <f>IFERROR(IF($C182="",-0.00001,SUMIFS(Database!L:L,Database!$E:$E,$C182)/$E182),-0.00001)</f>
        <v>-1.0000000000000001E-5</v>
      </c>
      <c r="K182" s="194">
        <f>IFERROR(IF($C182="",-0.00001,SUMIFS(Database!M:M,Database!$E:$E,$C182)/$E182),-0.00001)</f>
        <v>-1.0000000000000001E-5</v>
      </c>
      <c r="L182" s="194">
        <f>IFERROR(IF($C182="",-0.00001,SUMIFS(Database!N:N,Database!$E:$E,$C182)/$E182),-0.00001)</f>
        <v>-1.0000000000000001E-5</v>
      </c>
      <c r="M182" s="194">
        <f>IFERROR(IF($C182="",-0.00001,SUMIFS(Database!O:O,Database!$E:$E,$C182)/$E182),-0.00001)</f>
        <v>-1.0000000000000001E-5</v>
      </c>
      <c r="N182" s="194">
        <f>IFERROR(IF($C182="",-0.00001,SUMIFS(Database!P:P,Database!$E:$E,$C182)/$E182),-0.00001)</f>
        <v>-1.0000000000000001E-5</v>
      </c>
      <c r="O182" s="194">
        <f>IFERROR(IF($C182="",-0.00001,SUMIFS(Database!Q:Q,Database!$E:$E,$C182)/$E182),-0.00001)</f>
        <v>-1.0000000000000001E-5</v>
      </c>
      <c r="P182" s="186">
        <f t="shared" si="6"/>
        <v>-1.0000000000000001E-5</v>
      </c>
      <c r="Q182" s="194">
        <f>IFERROR(IF($C182="",-0.00001,SUMIFS(Database!S:S,Database!$E:$E,$C182)/$E182),-0.00001)</f>
        <v>-1.0000000000000001E-5</v>
      </c>
      <c r="R182" s="194">
        <f>IFERROR(IF($C182="",-0.00001,SUMIFS(Database!T:T,Database!$E:$E,$C182)/$E182),-0.00001)</f>
        <v>-1.0000000000000001E-5</v>
      </c>
      <c r="S182" s="186">
        <f t="shared" si="7"/>
        <v>-1.0000000000000001E-5</v>
      </c>
      <c r="T182" s="194">
        <f>IFERROR(IF($C182="",-0.00001,SUMIFS(Database!V:V,Database!$E:$E,$C182)/$E182),-0.00001)</f>
        <v>-1.0000000000000001E-5</v>
      </c>
      <c r="U182" s="194">
        <f>IFERROR(IF($C182="",-0.00001,SUMIFS(Database!W:W,Database!$E:$E,$C182)/$E182),-0.00001)</f>
        <v>-1.0000000000000001E-5</v>
      </c>
      <c r="V182" s="186">
        <f t="shared" si="8"/>
        <v>-1.0000000000000001E-5</v>
      </c>
      <c r="W182" s="187"/>
      <c r="X182" s="187"/>
      <c r="Y182" s="187"/>
      <c r="Z182" s="187"/>
      <c r="AA182" s="187"/>
      <c r="AB182" s="187"/>
      <c r="AC182" s="187"/>
      <c r="AD182" s="187"/>
      <c r="AE182" s="187"/>
    </row>
    <row r="183" spans="1:31" x14ac:dyDescent="0.25">
      <c r="A183" s="187"/>
      <c r="B183" s="187" t="str">
        <f>IF($C183="","",MAX($B$4:$B182)+1)</f>
        <v/>
      </c>
      <c r="C183" s="183"/>
      <c r="D183" s="183" t="str">
        <f>IFERROR(VLOOKUP($C183,Rosters!$C$4:$M$239,INDEX(Lists!$N$5:$O$80,MATCH($C183,Lists!$N$5:$N$80,FALSE),2)),"")</f>
        <v/>
      </c>
      <c r="E183" s="185">
        <f>IF($C183="",-0.00001,COUNTIF(Database!E:E,$C183))</f>
        <v>-1.0000000000000001E-5</v>
      </c>
      <c r="F183" s="194">
        <f>IFERROR(IF($C183="",-0.00001,SUMIFS(Database!H:H,Database!$E:$E,$C183)/$E183),-0.00001)</f>
        <v>-1.0000000000000001E-5</v>
      </c>
      <c r="G183" s="194">
        <f>IFERROR(IF($C183="",-0.00001,SUMIFS(Database!I:I,Database!$E:$E,$C183)/$E183),-0.00001)</f>
        <v>-1.0000000000000001E-5</v>
      </c>
      <c r="H183" s="194">
        <f>IFERROR(IF($C183="",-0.00001,SUMIFS(Database!J:J,Database!$E:$E,$C183)/$E183),-0.00001)</f>
        <v>-1.0000000000000001E-5</v>
      </c>
      <c r="I183" s="194">
        <f>IFERROR(IF($C183="",-0.00001,SUMIFS(Database!K:K,Database!$E:$E,$C183)/$E183),-0.00001)</f>
        <v>-1.0000000000000001E-5</v>
      </c>
      <c r="J183" s="194">
        <f>IFERROR(IF($C183="",-0.00001,SUMIFS(Database!L:L,Database!$E:$E,$C183)/$E183),-0.00001)</f>
        <v>-1.0000000000000001E-5</v>
      </c>
      <c r="K183" s="194">
        <f>IFERROR(IF($C183="",-0.00001,SUMIFS(Database!M:M,Database!$E:$E,$C183)/$E183),-0.00001)</f>
        <v>-1.0000000000000001E-5</v>
      </c>
      <c r="L183" s="194">
        <f>IFERROR(IF($C183="",-0.00001,SUMIFS(Database!N:N,Database!$E:$E,$C183)/$E183),-0.00001)</f>
        <v>-1.0000000000000001E-5</v>
      </c>
      <c r="M183" s="194">
        <f>IFERROR(IF($C183="",-0.00001,SUMIFS(Database!O:O,Database!$E:$E,$C183)/$E183),-0.00001)</f>
        <v>-1.0000000000000001E-5</v>
      </c>
      <c r="N183" s="194">
        <f>IFERROR(IF($C183="",-0.00001,SUMIFS(Database!P:P,Database!$E:$E,$C183)/$E183),-0.00001)</f>
        <v>-1.0000000000000001E-5</v>
      </c>
      <c r="O183" s="194">
        <f>IFERROR(IF($C183="",-0.00001,SUMIFS(Database!Q:Q,Database!$E:$E,$C183)/$E183),-0.00001)</f>
        <v>-1.0000000000000001E-5</v>
      </c>
      <c r="P183" s="186">
        <f t="shared" si="6"/>
        <v>-1.0000000000000001E-5</v>
      </c>
      <c r="Q183" s="194">
        <f>IFERROR(IF($C183="",-0.00001,SUMIFS(Database!S:S,Database!$E:$E,$C183)/$E183),-0.00001)</f>
        <v>-1.0000000000000001E-5</v>
      </c>
      <c r="R183" s="194">
        <f>IFERROR(IF($C183="",-0.00001,SUMIFS(Database!T:T,Database!$E:$E,$C183)/$E183),-0.00001)</f>
        <v>-1.0000000000000001E-5</v>
      </c>
      <c r="S183" s="186">
        <f t="shared" si="7"/>
        <v>-1.0000000000000001E-5</v>
      </c>
      <c r="T183" s="194">
        <f>IFERROR(IF($C183="",-0.00001,SUMIFS(Database!V:V,Database!$E:$E,$C183)/$E183),-0.00001)</f>
        <v>-1.0000000000000001E-5</v>
      </c>
      <c r="U183" s="194">
        <f>IFERROR(IF($C183="",-0.00001,SUMIFS(Database!W:W,Database!$E:$E,$C183)/$E183),-0.00001)</f>
        <v>-1.0000000000000001E-5</v>
      </c>
      <c r="V183" s="186">
        <f t="shared" si="8"/>
        <v>-1.0000000000000001E-5</v>
      </c>
      <c r="W183" s="187"/>
      <c r="X183" s="187"/>
      <c r="Y183" s="187"/>
      <c r="Z183" s="187"/>
      <c r="AA183" s="187"/>
      <c r="AB183" s="187"/>
      <c r="AC183" s="187"/>
      <c r="AD183" s="187"/>
      <c r="AE183" s="187"/>
    </row>
    <row r="184" spans="1:31" x14ac:dyDescent="0.25">
      <c r="A184" s="187"/>
      <c r="B184" s="187" t="str">
        <f>IF($C184="","",MAX($B$4:$B183)+1)</f>
        <v/>
      </c>
      <c r="C184" s="183"/>
      <c r="D184" s="183" t="str">
        <f>IFERROR(VLOOKUP($C184,Rosters!$C$4:$M$239,INDEX(Lists!$N$5:$O$80,MATCH($C184,Lists!$N$5:$N$80,FALSE),2)),"")</f>
        <v/>
      </c>
      <c r="E184" s="185">
        <f>IF($C184="",-0.00001,COUNTIF(Database!E:E,$C184))</f>
        <v>-1.0000000000000001E-5</v>
      </c>
      <c r="F184" s="194">
        <f>IFERROR(IF($C184="",-0.00001,SUMIFS(Database!H:H,Database!$E:$E,$C184)/$E184),-0.00001)</f>
        <v>-1.0000000000000001E-5</v>
      </c>
      <c r="G184" s="194">
        <f>IFERROR(IF($C184="",-0.00001,SUMIFS(Database!I:I,Database!$E:$E,$C184)/$E184),-0.00001)</f>
        <v>-1.0000000000000001E-5</v>
      </c>
      <c r="H184" s="194">
        <f>IFERROR(IF($C184="",-0.00001,SUMIFS(Database!J:J,Database!$E:$E,$C184)/$E184),-0.00001)</f>
        <v>-1.0000000000000001E-5</v>
      </c>
      <c r="I184" s="194">
        <f>IFERROR(IF($C184="",-0.00001,SUMIFS(Database!K:K,Database!$E:$E,$C184)/$E184),-0.00001)</f>
        <v>-1.0000000000000001E-5</v>
      </c>
      <c r="J184" s="194">
        <f>IFERROR(IF($C184="",-0.00001,SUMIFS(Database!L:L,Database!$E:$E,$C184)/$E184),-0.00001)</f>
        <v>-1.0000000000000001E-5</v>
      </c>
      <c r="K184" s="194">
        <f>IFERROR(IF($C184="",-0.00001,SUMIFS(Database!M:M,Database!$E:$E,$C184)/$E184),-0.00001)</f>
        <v>-1.0000000000000001E-5</v>
      </c>
      <c r="L184" s="194">
        <f>IFERROR(IF($C184="",-0.00001,SUMIFS(Database!N:N,Database!$E:$E,$C184)/$E184),-0.00001)</f>
        <v>-1.0000000000000001E-5</v>
      </c>
      <c r="M184" s="194">
        <f>IFERROR(IF($C184="",-0.00001,SUMIFS(Database!O:O,Database!$E:$E,$C184)/$E184),-0.00001)</f>
        <v>-1.0000000000000001E-5</v>
      </c>
      <c r="N184" s="194">
        <f>IFERROR(IF($C184="",-0.00001,SUMIFS(Database!P:P,Database!$E:$E,$C184)/$E184),-0.00001)</f>
        <v>-1.0000000000000001E-5</v>
      </c>
      <c r="O184" s="194">
        <f>IFERROR(IF($C184="",-0.00001,SUMIFS(Database!Q:Q,Database!$E:$E,$C184)/$E184),-0.00001)</f>
        <v>-1.0000000000000001E-5</v>
      </c>
      <c r="P184" s="186">
        <f t="shared" si="6"/>
        <v>-1.0000000000000001E-5</v>
      </c>
      <c r="Q184" s="194">
        <f>IFERROR(IF($C184="",-0.00001,SUMIFS(Database!S:S,Database!$E:$E,$C184)/$E184),-0.00001)</f>
        <v>-1.0000000000000001E-5</v>
      </c>
      <c r="R184" s="194">
        <f>IFERROR(IF($C184="",-0.00001,SUMIFS(Database!T:T,Database!$E:$E,$C184)/$E184),-0.00001)</f>
        <v>-1.0000000000000001E-5</v>
      </c>
      <c r="S184" s="186">
        <f t="shared" si="7"/>
        <v>-1.0000000000000001E-5</v>
      </c>
      <c r="T184" s="194">
        <f>IFERROR(IF($C184="",-0.00001,SUMIFS(Database!V:V,Database!$E:$E,$C184)/$E184),-0.00001)</f>
        <v>-1.0000000000000001E-5</v>
      </c>
      <c r="U184" s="194">
        <f>IFERROR(IF($C184="",-0.00001,SUMIFS(Database!W:W,Database!$E:$E,$C184)/$E184),-0.00001)</f>
        <v>-1.0000000000000001E-5</v>
      </c>
      <c r="V184" s="186">
        <f t="shared" si="8"/>
        <v>-1.0000000000000001E-5</v>
      </c>
      <c r="W184" s="187"/>
      <c r="X184" s="187"/>
      <c r="Y184" s="187"/>
      <c r="Z184" s="187"/>
      <c r="AA184" s="187"/>
      <c r="AB184" s="187"/>
      <c r="AC184" s="187"/>
      <c r="AD184" s="187"/>
      <c r="AE184" s="187"/>
    </row>
    <row r="185" spans="1:31" x14ac:dyDescent="0.25">
      <c r="A185" s="187"/>
      <c r="B185" s="187" t="str">
        <f>IF($C185="","",MAX($B$4:$B184)+1)</f>
        <v/>
      </c>
      <c r="C185" s="183"/>
      <c r="D185" s="183" t="str">
        <f>IFERROR(VLOOKUP($C185,Rosters!$C$4:$M$239,INDEX(Lists!$N$5:$O$80,MATCH($C185,Lists!$N$5:$N$80,FALSE),2)),"")</f>
        <v/>
      </c>
      <c r="E185" s="185">
        <f>IF($C185="",-0.00001,COUNTIF(Database!E:E,$C185))</f>
        <v>-1.0000000000000001E-5</v>
      </c>
      <c r="F185" s="194">
        <f>IFERROR(IF($C185="",-0.00001,SUMIFS(Database!H:H,Database!$E:$E,$C185)/$E185),-0.00001)</f>
        <v>-1.0000000000000001E-5</v>
      </c>
      <c r="G185" s="194">
        <f>IFERROR(IF($C185="",-0.00001,SUMIFS(Database!I:I,Database!$E:$E,$C185)/$E185),-0.00001)</f>
        <v>-1.0000000000000001E-5</v>
      </c>
      <c r="H185" s="194">
        <f>IFERROR(IF($C185="",-0.00001,SUMIFS(Database!J:J,Database!$E:$E,$C185)/$E185),-0.00001)</f>
        <v>-1.0000000000000001E-5</v>
      </c>
      <c r="I185" s="194">
        <f>IFERROR(IF($C185="",-0.00001,SUMIFS(Database!K:K,Database!$E:$E,$C185)/$E185),-0.00001)</f>
        <v>-1.0000000000000001E-5</v>
      </c>
      <c r="J185" s="194">
        <f>IFERROR(IF($C185="",-0.00001,SUMIFS(Database!L:L,Database!$E:$E,$C185)/$E185),-0.00001)</f>
        <v>-1.0000000000000001E-5</v>
      </c>
      <c r="K185" s="194">
        <f>IFERROR(IF($C185="",-0.00001,SUMIFS(Database!M:M,Database!$E:$E,$C185)/$E185),-0.00001)</f>
        <v>-1.0000000000000001E-5</v>
      </c>
      <c r="L185" s="194">
        <f>IFERROR(IF($C185="",-0.00001,SUMIFS(Database!N:N,Database!$E:$E,$C185)/$E185),-0.00001)</f>
        <v>-1.0000000000000001E-5</v>
      </c>
      <c r="M185" s="194">
        <f>IFERROR(IF($C185="",-0.00001,SUMIFS(Database!O:O,Database!$E:$E,$C185)/$E185),-0.00001)</f>
        <v>-1.0000000000000001E-5</v>
      </c>
      <c r="N185" s="194">
        <f>IFERROR(IF($C185="",-0.00001,SUMIFS(Database!P:P,Database!$E:$E,$C185)/$E185),-0.00001)</f>
        <v>-1.0000000000000001E-5</v>
      </c>
      <c r="O185" s="194">
        <f>IFERROR(IF($C185="",-0.00001,SUMIFS(Database!Q:Q,Database!$E:$E,$C185)/$E185),-0.00001)</f>
        <v>-1.0000000000000001E-5</v>
      </c>
      <c r="P185" s="186">
        <f t="shared" si="6"/>
        <v>-1.0000000000000001E-5</v>
      </c>
      <c r="Q185" s="194">
        <f>IFERROR(IF($C185="",-0.00001,SUMIFS(Database!S:S,Database!$E:$E,$C185)/$E185),-0.00001)</f>
        <v>-1.0000000000000001E-5</v>
      </c>
      <c r="R185" s="194">
        <f>IFERROR(IF($C185="",-0.00001,SUMIFS(Database!T:T,Database!$E:$E,$C185)/$E185),-0.00001)</f>
        <v>-1.0000000000000001E-5</v>
      </c>
      <c r="S185" s="186">
        <f t="shared" si="7"/>
        <v>-1.0000000000000001E-5</v>
      </c>
      <c r="T185" s="194">
        <f>IFERROR(IF($C185="",-0.00001,SUMIFS(Database!V:V,Database!$E:$E,$C185)/$E185),-0.00001)</f>
        <v>-1.0000000000000001E-5</v>
      </c>
      <c r="U185" s="194">
        <f>IFERROR(IF($C185="",-0.00001,SUMIFS(Database!W:W,Database!$E:$E,$C185)/$E185),-0.00001)</f>
        <v>-1.0000000000000001E-5</v>
      </c>
      <c r="V185" s="186">
        <f t="shared" si="8"/>
        <v>-1.0000000000000001E-5</v>
      </c>
      <c r="W185" s="187"/>
      <c r="X185" s="187"/>
      <c r="Y185" s="187"/>
      <c r="Z185" s="187"/>
      <c r="AA185" s="187"/>
      <c r="AB185" s="187"/>
      <c r="AC185" s="187"/>
      <c r="AD185" s="187"/>
      <c r="AE185" s="187"/>
    </row>
    <row r="186" spans="1:31" x14ac:dyDescent="0.25">
      <c r="A186" s="187"/>
      <c r="B186" s="187" t="str">
        <f>IF($C186="","",MAX($B$4:$B185)+1)</f>
        <v/>
      </c>
      <c r="C186" s="183"/>
      <c r="D186" s="183" t="str">
        <f>IFERROR(VLOOKUP($C186,Rosters!$C$4:$M$239,INDEX(Lists!$N$5:$O$80,MATCH($C186,Lists!$N$5:$N$80,FALSE),2)),"")</f>
        <v/>
      </c>
      <c r="E186" s="185">
        <f>IF($C186="",-0.00001,COUNTIF(Database!E:E,$C186))</f>
        <v>-1.0000000000000001E-5</v>
      </c>
      <c r="F186" s="194">
        <f>IFERROR(IF($C186="",-0.00001,SUMIFS(Database!H:H,Database!$E:$E,$C186)/$E186),-0.00001)</f>
        <v>-1.0000000000000001E-5</v>
      </c>
      <c r="G186" s="194">
        <f>IFERROR(IF($C186="",-0.00001,SUMIFS(Database!I:I,Database!$E:$E,$C186)/$E186),-0.00001)</f>
        <v>-1.0000000000000001E-5</v>
      </c>
      <c r="H186" s="194">
        <f>IFERROR(IF($C186="",-0.00001,SUMIFS(Database!J:J,Database!$E:$E,$C186)/$E186),-0.00001)</f>
        <v>-1.0000000000000001E-5</v>
      </c>
      <c r="I186" s="194">
        <f>IFERROR(IF($C186="",-0.00001,SUMIFS(Database!K:K,Database!$E:$E,$C186)/$E186),-0.00001)</f>
        <v>-1.0000000000000001E-5</v>
      </c>
      <c r="J186" s="194">
        <f>IFERROR(IF($C186="",-0.00001,SUMIFS(Database!L:L,Database!$E:$E,$C186)/$E186),-0.00001)</f>
        <v>-1.0000000000000001E-5</v>
      </c>
      <c r="K186" s="194">
        <f>IFERROR(IF($C186="",-0.00001,SUMIFS(Database!M:M,Database!$E:$E,$C186)/$E186),-0.00001)</f>
        <v>-1.0000000000000001E-5</v>
      </c>
      <c r="L186" s="194">
        <f>IFERROR(IF($C186="",-0.00001,SUMIFS(Database!N:N,Database!$E:$E,$C186)/$E186),-0.00001)</f>
        <v>-1.0000000000000001E-5</v>
      </c>
      <c r="M186" s="194">
        <f>IFERROR(IF($C186="",-0.00001,SUMIFS(Database!O:O,Database!$E:$E,$C186)/$E186),-0.00001)</f>
        <v>-1.0000000000000001E-5</v>
      </c>
      <c r="N186" s="194">
        <f>IFERROR(IF($C186="",-0.00001,SUMIFS(Database!P:P,Database!$E:$E,$C186)/$E186),-0.00001)</f>
        <v>-1.0000000000000001E-5</v>
      </c>
      <c r="O186" s="194">
        <f>IFERROR(IF($C186="",-0.00001,SUMIFS(Database!Q:Q,Database!$E:$E,$C186)/$E186),-0.00001)</f>
        <v>-1.0000000000000001E-5</v>
      </c>
      <c r="P186" s="186">
        <f t="shared" si="6"/>
        <v>-1.0000000000000001E-5</v>
      </c>
      <c r="Q186" s="194">
        <f>IFERROR(IF($C186="",-0.00001,SUMIFS(Database!S:S,Database!$E:$E,$C186)/$E186),-0.00001)</f>
        <v>-1.0000000000000001E-5</v>
      </c>
      <c r="R186" s="194">
        <f>IFERROR(IF($C186="",-0.00001,SUMIFS(Database!T:T,Database!$E:$E,$C186)/$E186),-0.00001)</f>
        <v>-1.0000000000000001E-5</v>
      </c>
      <c r="S186" s="186">
        <f t="shared" si="7"/>
        <v>-1.0000000000000001E-5</v>
      </c>
      <c r="T186" s="194">
        <f>IFERROR(IF($C186="",-0.00001,SUMIFS(Database!V:V,Database!$E:$E,$C186)/$E186),-0.00001)</f>
        <v>-1.0000000000000001E-5</v>
      </c>
      <c r="U186" s="194">
        <f>IFERROR(IF($C186="",-0.00001,SUMIFS(Database!W:W,Database!$E:$E,$C186)/$E186),-0.00001)</f>
        <v>-1.0000000000000001E-5</v>
      </c>
      <c r="V186" s="186">
        <f t="shared" si="8"/>
        <v>-1.0000000000000001E-5</v>
      </c>
      <c r="W186" s="187"/>
      <c r="X186" s="187"/>
      <c r="Y186" s="187"/>
      <c r="Z186" s="187"/>
      <c r="AA186" s="187"/>
      <c r="AB186" s="187"/>
      <c r="AC186" s="187"/>
      <c r="AD186" s="187"/>
      <c r="AE186" s="187"/>
    </row>
    <row r="187" spans="1:31" x14ac:dyDescent="0.25">
      <c r="A187" s="187"/>
      <c r="B187" s="187" t="str">
        <f>IF($C187="","",MAX($B$4:$B186)+1)</f>
        <v/>
      </c>
      <c r="C187" s="183"/>
      <c r="D187" s="183" t="str">
        <f>IFERROR(VLOOKUP($C187,Rosters!$C$4:$M$239,INDEX(Lists!$N$5:$O$80,MATCH($C187,Lists!$N$5:$N$80,FALSE),2)),"")</f>
        <v/>
      </c>
      <c r="E187" s="185">
        <f>IF($C187="",-0.00001,COUNTIF(Database!E:E,$C187))</f>
        <v>-1.0000000000000001E-5</v>
      </c>
      <c r="F187" s="194">
        <f>IFERROR(IF($C187="",-0.00001,SUMIFS(Database!H:H,Database!$E:$E,$C187)/$E187),-0.00001)</f>
        <v>-1.0000000000000001E-5</v>
      </c>
      <c r="G187" s="194">
        <f>IFERROR(IF($C187="",-0.00001,SUMIFS(Database!I:I,Database!$E:$E,$C187)/$E187),-0.00001)</f>
        <v>-1.0000000000000001E-5</v>
      </c>
      <c r="H187" s="194">
        <f>IFERROR(IF($C187="",-0.00001,SUMIFS(Database!J:J,Database!$E:$E,$C187)/$E187),-0.00001)</f>
        <v>-1.0000000000000001E-5</v>
      </c>
      <c r="I187" s="194">
        <f>IFERROR(IF($C187="",-0.00001,SUMIFS(Database!K:K,Database!$E:$E,$C187)/$E187),-0.00001)</f>
        <v>-1.0000000000000001E-5</v>
      </c>
      <c r="J187" s="194">
        <f>IFERROR(IF($C187="",-0.00001,SUMIFS(Database!L:L,Database!$E:$E,$C187)/$E187),-0.00001)</f>
        <v>-1.0000000000000001E-5</v>
      </c>
      <c r="K187" s="194">
        <f>IFERROR(IF($C187="",-0.00001,SUMIFS(Database!M:M,Database!$E:$E,$C187)/$E187),-0.00001)</f>
        <v>-1.0000000000000001E-5</v>
      </c>
      <c r="L187" s="194">
        <f>IFERROR(IF($C187="",-0.00001,SUMIFS(Database!N:N,Database!$E:$E,$C187)/$E187),-0.00001)</f>
        <v>-1.0000000000000001E-5</v>
      </c>
      <c r="M187" s="194">
        <f>IFERROR(IF($C187="",-0.00001,SUMIFS(Database!O:O,Database!$E:$E,$C187)/$E187),-0.00001)</f>
        <v>-1.0000000000000001E-5</v>
      </c>
      <c r="N187" s="194">
        <f>IFERROR(IF($C187="",-0.00001,SUMIFS(Database!P:P,Database!$E:$E,$C187)/$E187),-0.00001)</f>
        <v>-1.0000000000000001E-5</v>
      </c>
      <c r="O187" s="194">
        <f>IFERROR(IF($C187="",-0.00001,SUMIFS(Database!Q:Q,Database!$E:$E,$C187)/$E187),-0.00001)</f>
        <v>-1.0000000000000001E-5</v>
      </c>
      <c r="P187" s="186">
        <f t="shared" si="6"/>
        <v>-1.0000000000000001E-5</v>
      </c>
      <c r="Q187" s="194">
        <f>IFERROR(IF($C187="",-0.00001,SUMIFS(Database!S:S,Database!$E:$E,$C187)/$E187),-0.00001)</f>
        <v>-1.0000000000000001E-5</v>
      </c>
      <c r="R187" s="194">
        <f>IFERROR(IF($C187="",-0.00001,SUMIFS(Database!T:T,Database!$E:$E,$C187)/$E187),-0.00001)</f>
        <v>-1.0000000000000001E-5</v>
      </c>
      <c r="S187" s="186">
        <f t="shared" si="7"/>
        <v>-1.0000000000000001E-5</v>
      </c>
      <c r="T187" s="194">
        <f>IFERROR(IF($C187="",-0.00001,SUMIFS(Database!V:V,Database!$E:$E,$C187)/$E187),-0.00001)</f>
        <v>-1.0000000000000001E-5</v>
      </c>
      <c r="U187" s="194">
        <f>IFERROR(IF($C187="",-0.00001,SUMIFS(Database!W:W,Database!$E:$E,$C187)/$E187),-0.00001)</f>
        <v>-1.0000000000000001E-5</v>
      </c>
      <c r="V187" s="186">
        <f t="shared" si="8"/>
        <v>-1.0000000000000001E-5</v>
      </c>
      <c r="W187" s="187"/>
      <c r="X187" s="187"/>
      <c r="Y187" s="187"/>
      <c r="Z187" s="187"/>
      <c r="AA187" s="187"/>
      <c r="AB187" s="187"/>
      <c r="AC187" s="187"/>
      <c r="AD187" s="187"/>
      <c r="AE187" s="187"/>
    </row>
    <row r="188" spans="1:31" x14ac:dyDescent="0.25">
      <c r="A188" s="187"/>
      <c r="B188" s="187" t="str">
        <f>IF($C188="","",MAX($B$4:$B187)+1)</f>
        <v/>
      </c>
      <c r="C188" s="183"/>
      <c r="D188" s="183" t="str">
        <f>IFERROR(VLOOKUP($C188,Rosters!$C$4:$M$239,INDEX(Lists!$N$5:$O$80,MATCH($C188,Lists!$N$5:$N$80,FALSE),2)),"")</f>
        <v/>
      </c>
      <c r="E188" s="185">
        <f>IF($C188="",-0.00001,COUNTIF(Database!E:E,$C188))</f>
        <v>-1.0000000000000001E-5</v>
      </c>
      <c r="F188" s="194">
        <f>IFERROR(IF($C188="",-0.00001,SUMIFS(Database!H:H,Database!$E:$E,$C188)/$E188),-0.00001)</f>
        <v>-1.0000000000000001E-5</v>
      </c>
      <c r="G188" s="194">
        <f>IFERROR(IF($C188="",-0.00001,SUMIFS(Database!I:I,Database!$E:$E,$C188)/$E188),-0.00001)</f>
        <v>-1.0000000000000001E-5</v>
      </c>
      <c r="H188" s="194">
        <f>IFERROR(IF($C188="",-0.00001,SUMIFS(Database!J:J,Database!$E:$E,$C188)/$E188),-0.00001)</f>
        <v>-1.0000000000000001E-5</v>
      </c>
      <c r="I188" s="194">
        <f>IFERROR(IF($C188="",-0.00001,SUMIFS(Database!K:K,Database!$E:$E,$C188)/$E188),-0.00001)</f>
        <v>-1.0000000000000001E-5</v>
      </c>
      <c r="J188" s="194">
        <f>IFERROR(IF($C188="",-0.00001,SUMIFS(Database!L:L,Database!$E:$E,$C188)/$E188),-0.00001)</f>
        <v>-1.0000000000000001E-5</v>
      </c>
      <c r="K188" s="194">
        <f>IFERROR(IF($C188="",-0.00001,SUMIFS(Database!M:M,Database!$E:$E,$C188)/$E188),-0.00001)</f>
        <v>-1.0000000000000001E-5</v>
      </c>
      <c r="L188" s="194">
        <f>IFERROR(IF($C188="",-0.00001,SUMIFS(Database!N:N,Database!$E:$E,$C188)/$E188),-0.00001)</f>
        <v>-1.0000000000000001E-5</v>
      </c>
      <c r="M188" s="194">
        <f>IFERROR(IF($C188="",-0.00001,SUMIFS(Database!O:O,Database!$E:$E,$C188)/$E188),-0.00001)</f>
        <v>-1.0000000000000001E-5</v>
      </c>
      <c r="N188" s="194">
        <f>IFERROR(IF($C188="",-0.00001,SUMIFS(Database!P:P,Database!$E:$E,$C188)/$E188),-0.00001)</f>
        <v>-1.0000000000000001E-5</v>
      </c>
      <c r="O188" s="194">
        <f>IFERROR(IF($C188="",-0.00001,SUMIFS(Database!Q:Q,Database!$E:$E,$C188)/$E188),-0.00001)</f>
        <v>-1.0000000000000001E-5</v>
      </c>
      <c r="P188" s="186">
        <f t="shared" si="6"/>
        <v>-1.0000000000000001E-5</v>
      </c>
      <c r="Q188" s="194">
        <f>IFERROR(IF($C188="",-0.00001,SUMIFS(Database!S:S,Database!$E:$E,$C188)/$E188),-0.00001)</f>
        <v>-1.0000000000000001E-5</v>
      </c>
      <c r="R188" s="194">
        <f>IFERROR(IF($C188="",-0.00001,SUMIFS(Database!T:T,Database!$E:$E,$C188)/$E188),-0.00001)</f>
        <v>-1.0000000000000001E-5</v>
      </c>
      <c r="S188" s="186">
        <f t="shared" si="7"/>
        <v>-1.0000000000000001E-5</v>
      </c>
      <c r="T188" s="194">
        <f>IFERROR(IF($C188="",-0.00001,SUMIFS(Database!V:V,Database!$E:$E,$C188)/$E188),-0.00001)</f>
        <v>-1.0000000000000001E-5</v>
      </c>
      <c r="U188" s="194">
        <f>IFERROR(IF($C188="",-0.00001,SUMIFS(Database!W:W,Database!$E:$E,$C188)/$E188),-0.00001)</f>
        <v>-1.0000000000000001E-5</v>
      </c>
      <c r="V188" s="186">
        <f t="shared" si="8"/>
        <v>-1.0000000000000001E-5</v>
      </c>
      <c r="W188" s="187"/>
      <c r="X188" s="187"/>
      <c r="Y188" s="187"/>
      <c r="Z188" s="187"/>
      <c r="AA188" s="187"/>
      <c r="AB188" s="187"/>
      <c r="AC188" s="187"/>
      <c r="AD188" s="187"/>
      <c r="AE188" s="187"/>
    </row>
    <row r="189" spans="1:31" x14ac:dyDescent="0.25">
      <c r="A189" s="187"/>
      <c r="B189" s="187" t="str">
        <f>IF($C189="","",MAX($B$4:$B188)+1)</f>
        <v/>
      </c>
      <c r="C189" s="183"/>
      <c r="D189" s="183" t="str">
        <f>IFERROR(VLOOKUP($C189,Rosters!$C$4:$M$239,INDEX(Lists!$N$5:$O$80,MATCH($C189,Lists!$N$5:$N$80,FALSE),2)),"")</f>
        <v/>
      </c>
      <c r="E189" s="185">
        <f>IF($C189="",-0.00001,COUNTIF(Database!E:E,$C189))</f>
        <v>-1.0000000000000001E-5</v>
      </c>
      <c r="F189" s="194">
        <f>IFERROR(IF($C189="",-0.00001,SUMIFS(Database!H:H,Database!$E:$E,$C189)/$E189),-0.00001)</f>
        <v>-1.0000000000000001E-5</v>
      </c>
      <c r="G189" s="194">
        <f>IFERROR(IF($C189="",-0.00001,SUMIFS(Database!I:I,Database!$E:$E,$C189)/$E189),-0.00001)</f>
        <v>-1.0000000000000001E-5</v>
      </c>
      <c r="H189" s="194">
        <f>IFERROR(IF($C189="",-0.00001,SUMIFS(Database!J:J,Database!$E:$E,$C189)/$E189),-0.00001)</f>
        <v>-1.0000000000000001E-5</v>
      </c>
      <c r="I189" s="194">
        <f>IFERROR(IF($C189="",-0.00001,SUMIFS(Database!K:K,Database!$E:$E,$C189)/$E189),-0.00001)</f>
        <v>-1.0000000000000001E-5</v>
      </c>
      <c r="J189" s="194">
        <f>IFERROR(IF($C189="",-0.00001,SUMIFS(Database!L:L,Database!$E:$E,$C189)/$E189),-0.00001)</f>
        <v>-1.0000000000000001E-5</v>
      </c>
      <c r="K189" s="194">
        <f>IFERROR(IF($C189="",-0.00001,SUMIFS(Database!M:M,Database!$E:$E,$C189)/$E189),-0.00001)</f>
        <v>-1.0000000000000001E-5</v>
      </c>
      <c r="L189" s="194">
        <f>IFERROR(IF($C189="",-0.00001,SUMIFS(Database!N:N,Database!$E:$E,$C189)/$E189),-0.00001)</f>
        <v>-1.0000000000000001E-5</v>
      </c>
      <c r="M189" s="194">
        <f>IFERROR(IF($C189="",-0.00001,SUMIFS(Database!O:O,Database!$E:$E,$C189)/$E189),-0.00001)</f>
        <v>-1.0000000000000001E-5</v>
      </c>
      <c r="N189" s="194">
        <f>IFERROR(IF($C189="",-0.00001,SUMIFS(Database!P:P,Database!$E:$E,$C189)/$E189),-0.00001)</f>
        <v>-1.0000000000000001E-5</v>
      </c>
      <c r="O189" s="194">
        <f>IFERROR(IF($C189="",-0.00001,SUMIFS(Database!Q:Q,Database!$E:$E,$C189)/$E189),-0.00001)</f>
        <v>-1.0000000000000001E-5</v>
      </c>
      <c r="P189" s="186">
        <f t="shared" si="6"/>
        <v>-1.0000000000000001E-5</v>
      </c>
      <c r="Q189" s="194">
        <f>IFERROR(IF($C189="",-0.00001,SUMIFS(Database!S:S,Database!$E:$E,$C189)/$E189),-0.00001)</f>
        <v>-1.0000000000000001E-5</v>
      </c>
      <c r="R189" s="194">
        <f>IFERROR(IF($C189="",-0.00001,SUMIFS(Database!T:T,Database!$E:$E,$C189)/$E189),-0.00001)</f>
        <v>-1.0000000000000001E-5</v>
      </c>
      <c r="S189" s="186">
        <f t="shared" si="7"/>
        <v>-1.0000000000000001E-5</v>
      </c>
      <c r="T189" s="194">
        <f>IFERROR(IF($C189="",-0.00001,SUMIFS(Database!V:V,Database!$E:$E,$C189)/$E189),-0.00001)</f>
        <v>-1.0000000000000001E-5</v>
      </c>
      <c r="U189" s="194">
        <f>IFERROR(IF($C189="",-0.00001,SUMIFS(Database!W:W,Database!$E:$E,$C189)/$E189),-0.00001)</f>
        <v>-1.0000000000000001E-5</v>
      </c>
      <c r="V189" s="186">
        <f t="shared" si="8"/>
        <v>-1.0000000000000001E-5</v>
      </c>
      <c r="W189" s="187"/>
      <c r="X189" s="187"/>
      <c r="Y189" s="187"/>
      <c r="Z189" s="187"/>
      <c r="AA189" s="187"/>
      <c r="AB189" s="187"/>
      <c r="AC189" s="187"/>
      <c r="AD189" s="187"/>
      <c r="AE189" s="187"/>
    </row>
    <row r="190" spans="1:31" x14ac:dyDescent="0.25">
      <c r="A190" s="187"/>
      <c r="B190" s="187" t="str">
        <f>IF($C190="","",MAX($B$4:$B189)+1)</f>
        <v/>
      </c>
      <c r="C190" s="183"/>
      <c r="D190" s="183" t="str">
        <f>IFERROR(VLOOKUP($C190,Rosters!$C$4:$M$239,INDEX(Lists!$N$5:$O$80,MATCH($C190,Lists!$N$5:$N$80,FALSE),2)),"")</f>
        <v/>
      </c>
      <c r="E190" s="185">
        <f>IF($C190="",-0.00001,COUNTIF(Database!E:E,$C190))</f>
        <v>-1.0000000000000001E-5</v>
      </c>
      <c r="F190" s="194">
        <f>IFERROR(IF($C190="",-0.00001,SUMIFS(Database!H:H,Database!$E:$E,$C190)/$E190),-0.00001)</f>
        <v>-1.0000000000000001E-5</v>
      </c>
      <c r="G190" s="194">
        <f>IFERROR(IF($C190="",-0.00001,SUMIFS(Database!I:I,Database!$E:$E,$C190)/$E190),-0.00001)</f>
        <v>-1.0000000000000001E-5</v>
      </c>
      <c r="H190" s="194">
        <f>IFERROR(IF($C190="",-0.00001,SUMIFS(Database!J:J,Database!$E:$E,$C190)/$E190),-0.00001)</f>
        <v>-1.0000000000000001E-5</v>
      </c>
      <c r="I190" s="194">
        <f>IFERROR(IF($C190="",-0.00001,SUMIFS(Database!K:K,Database!$E:$E,$C190)/$E190),-0.00001)</f>
        <v>-1.0000000000000001E-5</v>
      </c>
      <c r="J190" s="194">
        <f>IFERROR(IF($C190="",-0.00001,SUMIFS(Database!L:L,Database!$E:$E,$C190)/$E190),-0.00001)</f>
        <v>-1.0000000000000001E-5</v>
      </c>
      <c r="K190" s="194">
        <f>IFERROR(IF($C190="",-0.00001,SUMIFS(Database!M:M,Database!$E:$E,$C190)/$E190),-0.00001)</f>
        <v>-1.0000000000000001E-5</v>
      </c>
      <c r="L190" s="194">
        <f>IFERROR(IF($C190="",-0.00001,SUMIFS(Database!N:N,Database!$E:$E,$C190)/$E190),-0.00001)</f>
        <v>-1.0000000000000001E-5</v>
      </c>
      <c r="M190" s="194">
        <f>IFERROR(IF($C190="",-0.00001,SUMIFS(Database!O:O,Database!$E:$E,$C190)/$E190),-0.00001)</f>
        <v>-1.0000000000000001E-5</v>
      </c>
      <c r="N190" s="194">
        <f>IFERROR(IF($C190="",-0.00001,SUMIFS(Database!P:P,Database!$E:$E,$C190)/$E190),-0.00001)</f>
        <v>-1.0000000000000001E-5</v>
      </c>
      <c r="O190" s="194">
        <f>IFERROR(IF($C190="",-0.00001,SUMIFS(Database!Q:Q,Database!$E:$E,$C190)/$E190),-0.00001)</f>
        <v>-1.0000000000000001E-5</v>
      </c>
      <c r="P190" s="186">
        <f t="shared" si="6"/>
        <v>-1.0000000000000001E-5</v>
      </c>
      <c r="Q190" s="194">
        <f>IFERROR(IF($C190="",-0.00001,SUMIFS(Database!S:S,Database!$E:$E,$C190)/$E190),-0.00001)</f>
        <v>-1.0000000000000001E-5</v>
      </c>
      <c r="R190" s="194">
        <f>IFERROR(IF($C190="",-0.00001,SUMIFS(Database!T:T,Database!$E:$E,$C190)/$E190),-0.00001)</f>
        <v>-1.0000000000000001E-5</v>
      </c>
      <c r="S190" s="186">
        <f t="shared" si="7"/>
        <v>-1.0000000000000001E-5</v>
      </c>
      <c r="T190" s="194">
        <f>IFERROR(IF($C190="",-0.00001,SUMIFS(Database!V:V,Database!$E:$E,$C190)/$E190),-0.00001)</f>
        <v>-1.0000000000000001E-5</v>
      </c>
      <c r="U190" s="194">
        <f>IFERROR(IF($C190="",-0.00001,SUMIFS(Database!W:W,Database!$E:$E,$C190)/$E190),-0.00001)</f>
        <v>-1.0000000000000001E-5</v>
      </c>
      <c r="V190" s="186">
        <f t="shared" si="8"/>
        <v>-1.0000000000000001E-5</v>
      </c>
      <c r="W190" s="187"/>
      <c r="X190" s="187"/>
      <c r="Y190" s="187"/>
      <c r="Z190" s="187"/>
      <c r="AA190" s="187"/>
      <c r="AB190" s="187"/>
      <c r="AC190" s="187"/>
      <c r="AD190" s="187"/>
      <c r="AE190" s="187"/>
    </row>
    <row r="191" spans="1:31" x14ac:dyDescent="0.25">
      <c r="A191" s="187"/>
      <c r="B191" s="187" t="str">
        <f>IF($C191="","",MAX($B$4:$B190)+1)</f>
        <v/>
      </c>
      <c r="C191" s="183"/>
      <c r="D191" s="183" t="str">
        <f>IFERROR(VLOOKUP($C191,Rosters!$C$4:$M$239,INDEX(Lists!$N$5:$O$80,MATCH($C191,Lists!$N$5:$N$80,FALSE),2)),"")</f>
        <v/>
      </c>
      <c r="E191" s="185">
        <f>IF($C191="",-0.00001,COUNTIF(Database!E:E,$C191))</f>
        <v>-1.0000000000000001E-5</v>
      </c>
      <c r="F191" s="194">
        <f>IFERROR(IF($C191="",-0.00001,SUMIFS(Database!H:H,Database!$E:$E,$C191)/$E191),-0.00001)</f>
        <v>-1.0000000000000001E-5</v>
      </c>
      <c r="G191" s="194">
        <f>IFERROR(IF($C191="",-0.00001,SUMIFS(Database!I:I,Database!$E:$E,$C191)/$E191),-0.00001)</f>
        <v>-1.0000000000000001E-5</v>
      </c>
      <c r="H191" s="194">
        <f>IFERROR(IF($C191="",-0.00001,SUMIFS(Database!J:J,Database!$E:$E,$C191)/$E191),-0.00001)</f>
        <v>-1.0000000000000001E-5</v>
      </c>
      <c r="I191" s="194">
        <f>IFERROR(IF($C191="",-0.00001,SUMIFS(Database!K:K,Database!$E:$E,$C191)/$E191),-0.00001)</f>
        <v>-1.0000000000000001E-5</v>
      </c>
      <c r="J191" s="194">
        <f>IFERROR(IF($C191="",-0.00001,SUMIFS(Database!L:L,Database!$E:$E,$C191)/$E191),-0.00001)</f>
        <v>-1.0000000000000001E-5</v>
      </c>
      <c r="K191" s="194">
        <f>IFERROR(IF($C191="",-0.00001,SUMIFS(Database!M:M,Database!$E:$E,$C191)/$E191),-0.00001)</f>
        <v>-1.0000000000000001E-5</v>
      </c>
      <c r="L191" s="194">
        <f>IFERROR(IF($C191="",-0.00001,SUMIFS(Database!N:N,Database!$E:$E,$C191)/$E191),-0.00001)</f>
        <v>-1.0000000000000001E-5</v>
      </c>
      <c r="M191" s="194">
        <f>IFERROR(IF($C191="",-0.00001,SUMIFS(Database!O:O,Database!$E:$E,$C191)/$E191),-0.00001)</f>
        <v>-1.0000000000000001E-5</v>
      </c>
      <c r="N191" s="194">
        <f>IFERROR(IF($C191="",-0.00001,SUMIFS(Database!P:P,Database!$E:$E,$C191)/$E191),-0.00001)</f>
        <v>-1.0000000000000001E-5</v>
      </c>
      <c r="O191" s="194">
        <f>IFERROR(IF($C191="",-0.00001,SUMIFS(Database!Q:Q,Database!$E:$E,$C191)/$E191),-0.00001)</f>
        <v>-1.0000000000000001E-5</v>
      </c>
      <c r="P191" s="186">
        <f t="shared" si="6"/>
        <v>-1.0000000000000001E-5</v>
      </c>
      <c r="Q191" s="194">
        <f>IFERROR(IF($C191="",-0.00001,SUMIFS(Database!S:S,Database!$E:$E,$C191)/$E191),-0.00001)</f>
        <v>-1.0000000000000001E-5</v>
      </c>
      <c r="R191" s="194">
        <f>IFERROR(IF($C191="",-0.00001,SUMIFS(Database!T:T,Database!$E:$E,$C191)/$E191),-0.00001)</f>
        <v>-1.0000000000000001E-5</v>
      </c>
      <c r="S191" s="186">
        <f t="shared" si="7"/>
        <v>-1.0000000000000001E-5</v>
      </c>
      <c r="T191" s="194">
        <f>IFERROR(IF($C191="",-0.00001,SUMIFS(Database!V:V,Database!$E:$E,$C191)/$E191),-0.00001)</f>
        <v>-1.0000000000000001E-5</v>
      </c>
      <c r="U191" s="194">
        <f>IFERROR(IF($C191="",-0.00001,SUMIFS(Database!W:W,Database!$E:$E,$C191)/$E191),-0.00001)</f>
        <v>-1.0000000000000001E-5</v>
      </c>
      <c r="V191" s="186">
        <f t="shared" si="8"/>
        <v>-1.0000000000000001E-5</v>
      </c>
      <c r="W191" s="187"/>
      <c r="X191" s="187"/>
      <c r="Y191" s="187"/>
      <c r="Z191" s="187"/>
      <c r="AA191" s="187"/>
      <c r="AB191" s="187"/>
      <c r="AC191" s="187"/>
      <c r="AD191" s="187"/>
      <c r="AE191" s="187"/>
    </row>
    <row r="192" spans="1:31" x14ac:dyDescent="0.25">
      <c r="A192" s="187"/>
      <c r="B192" s="187" t="str">
        <f>IF($C192="","",MAX($B$4:$B191)+1)</f>
        <v/>
      </c>
      <c r="C192" s="183"/>
      <c r="D192" s="183" t="str">
        <f>IFERROR(VLOOKUP($C192,Rosters!$C$4:$M$239,INDEX(Lists!$N$5:$O$80,MATCH($C192,Lists!$N$5:$N$80,FALSE),2)),"")</f>
        <v/>
      </c>
      <c r="E192" s="185">
        <f>IF($C192="",-0.00001,COUNTIF(Database!E:E,$C192))</f>
        <v>-1.0000000000000001E-5</v>
      </c>
      <c r="F192" s="194">
        <f>IFERROR(IF($C192="",-0.00001,SUMIFS(Database!H:H,Database!$E:$E,$C192)/$E192),-0.00001)</f>
        <v>-1.0000000000000001E-5</v>
      </c>
      <c r="G192" s="194">
        <f>IFERROR(IF($C192="",-0.00001,SUMIFS(Database!I:I,Database!$E:$E,$C192)/$E192),-0.00001)</f>
        <v>-1.0000000000000001E-5</v>
      </c>
      <c r="H192" s="194">
        <f>IFERROR(IF($C192="",-0.00001,SUMIFS(Database!J:J,Database!$E:$E,$C192)/$E192),-0.00001)</f>
        <v>-1.0000000000000001E-5</v>
      </c>
      <c r="I192" s="194">
        <f>IFERROR(IF($C192="",-0.00001,SUMIFS(Database!K:K,Database!$E:$E,$C192)/$E192),-0.00001)</f>
        <v>-1.0000000000000001E-5</v>
      </c>
      <c r="J192" s="194">
        <f>IFERROR(IF($C192="",-0.00001,SUMIFS(Database!L:L,Database!$E:$E,$C192)/$E192),-0.00001)</f>
        <v>-1.0000000000000001E-5</v>
      </c>
      <c r="K192" s="194">
        <f>IFERROR(IF($C192="",-0.00001,SUMIFS(Database!M:M,Database!$E:$E,$C192)/$E192),-0.00001)</f>
        <v>-1.0000000000000001E-5</v>
      </c>
      <c r="L192" s="194">
        <f>IFERROR(IF($C192="",-0.00001,SUMIFS(Database!N:N,Database!$E:$E,$C192)/$E192),-0.00001)</f>
        <v>-1.0000000000000001E-5</v>
      </c>
      <c r="M192" s="194">
        <f>IFERROR(IF($C192="",-0.00001,SUMIFS(Database!O:O,Database!$E:$E,$C192)/$E192),-0.00001)</f>
        <v>-1.0000000000000001E-5</v>
      </c>
      <c r="N192" s="194">
        <f>IFERROR(IF($C192="",-0.00001,SUMIFS(Database!P:P,Database!$E:$E,$C192)/$E192),-0.00001)</f>
        <v>-1.0000000000000001E-5</v>
      </c>
      <c r="O192" s="194">
        <f>IFERROR(IF($C192="",-0.00001,SUMIFS(Database!Q:Q,Database!$E:$E,$C192)/$E192),-0.00001)</f>
        <v>-1.0000000000000001E-5</v>
      </c>
      <c r="P192" s="186">
        <f t="shared" si="6"/>
        <v>-1.0000000000000001E-5</v>
      </c>
      <c r="Q192" s="194">
        <f>IFERROR(IF($C192="",-0.00001,SUMIFS(Database!S:S,Database!$E:$E,$C192)/$E192),-0.00001)</f>
        <v>-1.0000000000000001E-5</v>
      </c>
      <c r="R192" s="194">
        <f>IFERROR(IF($C192="",-0.00001,SUMIFS(Database!T:T,Database!$E:$E,$C192)/$E192),-0.00001)</f>
        <v>-1.0000000000000001E-5</v>
      </c>
      <c r="S192" s="186">
        <f t="shared" si="7"/>
        <v>-1.0000000000000001E-5</v>
      </c>
      <c r="T192" s="194">
        <f>IFERROR(IF($C192="",-0.00001,SUMIFS(Database!V:V,Database!$E:$E,$C192)/$E192),-0.00001)</f>
        <v>-1.0000000000000001E-5</v>
      </c>
      <c r="U192" s="194">
        <f>IFERROR(IF($C192="",-0.00001,SUMIFS(Database!W:W,Database!$E:$E,$C192)/$E192),-0.00001)</f>
        <v>-1.0000000000000001E-5</v>
      </c>
      <c r="V192" s="186">
        <f t="shared" si="8"/>
        <v>-1.0000000000000001E-5</v>
      </c>
      <c r="W192" s="187"/>
      <c r="X192" s="187"/>
      <c r="Y192" s="187"/>
      <c r="Z192" s="187"/>
      <c r="AA192" s="187"/>
      <c r="AB192" s="187"/>
      <c r="AC192" s="187"/>
      <c r="AD192" s="187"/>
      <c r="AE192" s="187"/>
    </row>
    <row r="193" spans="1:31" x14ac:dyDescent="0.25">
      <c r="A193" s="187"/>
      <c r="B193" s="187" t="str">
        <f>IF($C193="","",MAX($B$4:$B192)+1)</f>
        <v/>
      </c>
      <c r="C193" s="183"/>
      <c r="D193" s="183" t="str">
        <f>IFERROR(VLOOKUP($C193,Rosters!$C$4:$M$239,INDEX(Lists!$N$5:$O$80,MATCH($C193,Lists!$N$5:$N$80,FALSE),2)),"")</f>
        <v/>
      </c>
      <c r="E193" s="185">
        <f>IF($C193="",-0.00001,COUNTIF(Database!E:E,$C193))</f>
        <v>-1.0000000000000001E-5</v>
      </c>
      <c r="F193" s="194">
        <f>IFERROR(IF($C193="",-0.00001,SUMIFS(Database!H:H,Database!$E:$E,$C193)/$E193),-0.00001)</f>
        <v>-1.0000000000000001E-5</v>
      </c>
      <c r="G193" s="194">
        <f>IFERROR(IF($C193="",-0.00001,SUMIFS(Database!I:I,Database!$E:$E,$C193)/$E193),-0.00001)</f>
        <v>-1.0000000000000001E-5</v>
      </c>
      <c r="H193" s="194">
        <f>IFERROR(IF($C193="",-0.00001,SUMIFS(Database!J:J,Database!$E:$E,$C193)/$E193),-0.00001)</f>
        <v>-1.0000000000000001E-5</v>
      </c>
      <c r="I193" s="194">
        <f>IFERROR(IF($C193="",-0.00001,SUMIFS(Database!K:K,Database!$E:$E,$C193)/$E193),-0.00001)</f>
        <v>-1.0000000000000001E-5</v>
      </c>
      <c r="J193" s="194">
        <f>IFERROR(IF($C193="",-0.00001,SUMIFS(Database!L:L,Database!$E:$E,$C193)/$E193),-0.00001)</f>
        <v>-1.0000000000000001E-5</v>
      </c>
      <c r="K193" s="194">
        <f>IFERROR(IF($C193="",-0.00001,SUMIFS(Database!M:M,Database!$E:$E,$C193)/$E193),-0.00001)</f>
        <v>-1.0000000000000001E-5</v>
      </c>
      <c r="L193" s="194">
        <f>IFERROR(IF($C193="",-0.00001,SUMIFS(Database!N:N,Database!$E:$E,$C193)/$E193),-0.00001)</f>
        <v>-1.0000000000000001E-5</v>
      </c>
      <c r="M193" s="194">
        <f>IFERROR(IF($C193="",-0.00001,SUMIFS(Database!O:O,Database!$E:$E,$C193)/$E193),-0.00001)</f>
        <v>-1.0000000000000001E-5</v>
      </c>
      <c r="N193" s="194">
        <f>IFERROR(IF($C193="",-0.00001,SUMIFS(Database!P:P,Database!$E:$E,$C193)/$E193),-0.00001)</f>
        <v>-1.0000000000000001E-5</v>
      </c>
      <c r="O193" s="194">
        <f>IFERROR(IF($C193="",-0.00001,SUMIFS(Database!Q:Q,Database!$E:$E,$C193)/$E193),-0.00001)</f>
        <v>-1.0000000000000001E-5</v>
      </c>
      <c r="P193" s="186">
        <f t="shared" si="6"/>
        <v>-1.0000000000000001E-5</v>
      </c>
      <c r="Q193" s="194">
        <f>IFERROR(IF($C193="",-0.00001,SUMIFS(Database!S:S,Database!$E:$E,$C193)/$E193),-0.00001)</f>
        <v>-1.0000000000000001E-5</v>
      </c>
      <c r="R193" s="194">
        <f>IFERROR(IF($C193="",-0.00001,SUMIFS(Database!T:T,Database!$E:$E,$C193)/$E193),-0.00001)</f>
        <v>-1.0000000000000001E-5</v>
      </c>
      <c r="S193" s="186">
        <f t="shared" si="7"/>
        <v>-1.0000000000000001E-5</v>
      </c>
      <c r="T193" s="194">
        <f>IFERROR(IF($C193="",-0.00001,SUMIFS(Database!V:V,Database!$E:$E,$C193)/$E193),-0.00001)</f>
        <v>-1.0000000000000001E-5</v>
      </c>
      <c r="U193" s="194">
        <f>IFERROR(IF($C193="",-0.00001,SUMIFS(Database!W:W,Database!$E:$E,$C193)/$E193),-0.00001)</f>
        <v>-1.0000000000000001E-5</v>
      </c>
      <c r="V193" s="186">
        <f t="shared" si="8"/>
        <v>-1.0000000000000001E-5</v>
      </c>
      <c r="W193" s="187"/>
      <c r="X193" s="187"/>
      <c r="Y193" s="187"/>
      <c r="Z193" s="187"/>
      <c r="AA193" s="187"/>
      <c r="AB193" s="187"/>
      <c r="AC193" s="187"/>
      <c r="AD193" s="187"/>
      <c r="AE193" s="187"/>
    </row>
    <row r="194" spans="1:31" x14ac:dyDescent="0.25">
      <c r="A194" s="187"/>
      <c r="B194" s="187" t="str">
        <f>IF($C194="","",MAX($B$4:$B193)+1)</f>
        <v/>
      </c>
      <c r="C194" s="183"/>
      <c r="D194" s="183" t="str">
        <f>IFERROR(VLOOKUP($C194,Rosters!$C$4:$M$239,INDEX(Lists!$N$5:$O$80,MATCH($C194,Lists!$N$5:$N$80,FALSE),2)),"")</f>
        <v/>
      </c>
      <c r="E194" s="185">
        <f>IF($C194="",-0.00001,COUNTIF(Database!E:E,$C194))</f>
        <v>-1.0000000000000001E-5</v>
      </c>
      <c r="F194" s="194">
        <f>IFERROR(IF($C194="",-0.00001,SUMIFS(Database!H:H,Database!$E:$E,$C194)/$E194),-0.00001)</f>
        <v>-1.0000000000000001E-5</v>
      </c>
      <c r="G194" s="194">
        <f>IFERROR(IF($C194="",-0.00001,SUMIFS(Database!I:I,Database!$E:$E,$C194)/$E194),-0.00001)</f>
        <v>-1.0000000000000001E-5</v>
      </c>
      <c r="H194" s="194">
        <f>IFERROR(IF($C194="",-0.00001,SUMIFS(Database!J:J,Database!$E:$E,$C194)/$E194),-0.00001)</f>
        <v>-1.0000000000000001E-5</v>
      </c>
      <c r="I194" s="194">
        <f>IFERROR(IF($C194="",-0.00001,SUMIFS(Database!K:K,Database!$E:$E,$C194)/$E194),-0.00001)</f>
        <v>-1.0000000000000001E-5</v>
      </c>
      <c r="J194" s="194">
        <f>IFERROR(IF($C194="",-0.00001,SUMIFS(Database!L:L,Database!$E:$E,$C194)/$E194),-0.00001)</f>
        <v>-1.0000000000000001E-5</v>
      </c>
      <c r="K194" s="194">
        <f>IFERROR(IF($C194="",-0.00001,SUMIFS(Database!M:M,Database!$E:$E,$C194)/$E194),-0.00001)</f>
        <v>-1.0000000000000001E-5</v>
      </c>
      <c r="L194" s="194">
        <f>IFERROR(IF($C194="",-0.00001,SUMIFS(Database!N:N,Database!$E:$E,$C194)/$E194),-0.00001)</f>
        <v>-1.0000000000000001E-5</v>
      </c>
      <c r="M194" s="194">
        <f>IFERROR(IF($C194="",-0.00001,SUMIFS(Database!O:O,Database!$E:$E,$C194)/$E194),-0.00001)</f>
        <v>-1.0000000000000001E-5</v>
      </c>
      <c r="N194" s="194">
        <f>IFERROR(IF($C194="",-0.00001,SUMIFS(Database!P:P,Database!$E:$E,$C194)/$E194),-0.00001)</f>
        <v>-1.0000000000000001E-5</v>
      </c>
      <c r="O194" s="194">
        <f>IFERROR(IF($C194="",-0.00001,SUMIFS(Database!Q:Q,Database!$E:$E,$C194)/$E194),-0.00001)</f>
        <v>-1.0000000000000001E-5</v>
      </c>
      <c r="P194" s="186">
        <f t="shared" si="6"/>
        <v>-1.0000000000000001E-5</v>
      </c>
      <c r="Q194" s="194">
        <f>IFERROR(IF($C194="",-0.00001,SUMIFS(Database!S:S,Database!$E:$E,$C194)/$E194),-0.00001)</f>
        <v>-1.0000000000000001E-5</v>
      </c>
      <c r="R194" s="194">
        <f>IFERROR(IF($C194="",-0.00001,SUMIFS(Database!T:T,Database!$E:$E,$C194)/$E194),-0.00001)</f>
        <v>-1.0000000000000001E-5</v>
      </c>
      <c r="S194" s="186">
        <f t="shared" si="7"/>
        <v>-1.0000000000000001E-5</v>
      </c>
      <c r="T194" s="194">
        <f>IFERROR(IF($C194="",-0.00001,SUMIFS(Database!V:V,Database!$E:$E,$C194)/$E194),-0.00001)</f>
        <v>-1.0000000000000001E-5</v>
      </c>
      <c r="U194" s="194">
        <f>IFERROR(IF($C194="",-0.00001,SUMIFS(Database!W:W,Database!$E:$E,$C194)/$E194),-0.00001)</f>
        <v>-1.0000000000000001E-5</v>
      </c>
      <c r="V194" s="186">
        <f t="shared" si="8"/>
        <v>-1.0000000000000001E-5</v>
      </c>
      <c r="W194" s="187"/>
      <c r="X194" s="187"/>
      <c r="Y194" s="187"/>
      <c r="Z194" s="187"/>
      <c r="AA194" s="187"/>
      <c r="AB194" s="187"/>
      <c r="AC194" s="187"/>
      <c r="AD194" s="187"/>
      <c r="AE194" s="187"/>
    </row>
    <row r="195" spans="1:31" x14ac:dyDescent="0.25">
      <c r="A195" s="187"/>
      <c r="B195" s="187" t="str">
        <f>IF($C195="","",MAX($B$4:$B194)+1)</f>
        <v/>
      </c>
      <c r="C195" s="183"/>
      <c r="D195" s="183" t="str">
        <f>IFERROR(VLOOKUP($C195,Rosters!$C$4:$M$239,INDEX(Lists!$N$5:$O$80,MATCH($C195,Lists!$N$5:$N$80,FALSE),2)),"")</f>
        <v/>
      </c>
      <c r="E195" s="185">
        <f>IF($C195="",-0.00001,COUNTIF(Database!E:E,$C195))</f>
        <v>-1.0000000000000001E-5</v>
      </c>
      <c r="F195" s="194">
        <f>IFERROR(IF($C195="",-0.00001,SUMIFS(Database!H:H,Database!$E:$E,$C195)/$E195),-0.00001)</f>
        <v>-1.0000000000000001E-5</v>
      </c>
      <c r="G195" s="194">
        <f>IFERROR(IF($C195="",-0.00001,SUMIFS(Database!I:I,Database!$E:$E,$C195)/$E195),-0.00001)</f>
        <v>-1.0000000000000001E-5</v>
      </c>
      <c r="H195" s="194">
        <f>IFERROR(IF($C195="",-0.00001,SUMIFS(Database!J:J,Database!$E:$E,$C195)/$E195),-0.00001)</f>
        <v>-1.0000000000000001E-5</v>
      </c>
      <c r="I195" s="194">
        <f>IFERROR(IF($C195="",-0.00001,SUMIFS(Database!K:K,Database!$E:$E,$C195)/$E195),-0.00001)</f>
        <v>-1.0000000000000001E-5</v>
      </c>
      <c r="J195" s="194">
        <f>IFERROR(IF($C195="",-0.00001,SUMIFS(Database!L:L,Database!$E:$E,$C195)/$E195),-0.00001)</f>
        <v>-1.0000000000000001E-5</v>
      </c>
      <c r="K195" s="194">
        <f>IFERROR(IF($C195="",-0.00001,SUMIFS(Database!M:M,Database!$E:$E,$C195)/$E195),-0.00001)</f>
        <v>-1.0000000000000001E-5</v>
      </c>
      <c r="L195" s="194">
        <f>IFERROR(IF($C195="",-0.00001,SUMIFS(Database!N:N,Database!$E:$E,$C195)/$E195),-0.00001)</f>
        <v>-1.0000000000000001E-5</v>
      </c>
      <c r="M195" s="194">
        <f>IFERROR(IF($C195="",-0.00001,SUMIFS(Database!O:O,Database!$E:$E,$C195)/$E195),-0.00001)</f>
        <v>-1.0000000000000001E-5</v>
      </c>
      <c r="N195" s="194">
        <f>IFERROR(IF($C195="",-0.00001,SUMIFS(Database!P:P,Database!$E:$E,$C195)/$E195),-0.00001)</f>
        <v>-1.0000000000000001E-5</v>
      </c>
      <c r="O195" s="194">
        <f>IFERROR(IF($C195="",-0.00001,SUMIFS(Database!Q:Q,Database!$E:$E,$C195)/$E195),-0.00001)</f>
        <v>-1.0000000000000001E-5</v>
      </c>
      <c r="P195" s="186">
        <f t="shared" si="6"/>
        <v>-1.0000000000000001E-5</v>
      </c>
      <c r="Q195" s="194">
        <f>IFERROR(IF($C195="",-0.00001,SUMIFS(Database!S:S,Database!$E:$E,$C195)/$E195),-0.00001)</f>
        <v>-1.0000000000000001E-5</v>
      </c>
      <c r="R195" s="194">
        <f>IFERROR(IF($C195="",-0.00001,SUMIFS(Database!T:T,Database!$E:$E,$C195)/$E195),-0.00001)</f>
        <v>-1.0000000000000001E-5</v>
      </c>
      <c r="S195" s="186">
        <f t="shared" si="7"/>
        <v>-1.0000000000000001E-5</v>
      </c>
      <c r="T195" s="194">
        <f>IFERROR(IF($C195="",-0.00001,SUMIFS(Database!V:V,Database!$E:$E,$C195)/$E195),-0.00001)</f>
        <v>-1.0000000000000001E-5</v>
      </c>
      <c r="U195" s="194">
        <f>IFERROR(IF($C195="",-0.00001,SUMIFS(Database!W:W,Database!$E:$E,$C195)/$E195),-0.00001)</f>
        <v>-1.0000000000000001E-5</v>
      </c>
      <c r="V195" s="186">
        <f t="shared" si="8"/>
        <v>-1.0000000000000001E-5</v>
      </c>
      <c r="W195" s="187"/>
      <c r="X195" s="187"/>
      <c r="Y195" s="187"/>
      <c r="Z195" s="187"/>
      <c r="AA195" s="187"/>
      <c r="AB195" s="187"/>
      <c r="AC195" s="187"/>
      <c r="AD195" s="187"/>
      <c r="AE195" s="187"/>
    </row>
    <row r="196" spans="1:31" x14ac:dyDescent="0.25">
      <c r="A196" s="187"/>
      <c r="B196" s="187" t="str">
        <f>IF($C196="","",MAX($B$4:$B195)+1)</f>
        <v/>
      </c>
      <c r="C196" s="183"/>
      <c r="D196" s="183" t="str">
        <f>IFERROR(VLOOKUP($C196,Rosters!$C$4:$M$239,INDEX(Lists!$N$5:$O$80,MATCH($C196,Lists!$N$5:$N$80,FALSE),2)),"")</f>
        <v/>
      </c>
      <c r="E196" s="185">
        <f>IF($C196="",-0.00001,COUNTIF(Database!E:E,$C196))</f>
        <v>-1.0000000000000001E-5</v>
      </c>
      <c r="F196" s="194">
        <f>IFERROR(IF($C196="",-0.00001,SUMIFS(Database!H:H,Database!$E:$E,$C196)/$E196),-0.00001)</f>
        <v>-1.0000000000000001E-5</v>
      </c>
      <c r="G196" s="194">
        <f>IFERROR(IF($C196="",-0.00001,SUMIFS(Database!I:I,Database!$E:$E,$C196)/$E196),-0.00001)</f>
        <v>-1.0000000000000001E-5</v>
      </c>
      <c r="H196" s="194">
        <f>IFERROR(IF($C196="",-0.00001,SUMIFS(Database!J:J,Database!$E:$E,$C196)/$E196),-0.00001)</f>
        <v>-1.0000000000000001E-5</v>
      </c>
      <c r="I196" s="194">
        <f>IFERROR(IF($C196="",-0.00001,SUMIFS(Database!K:K,Database!$E:$E,$C196)/$E196),-0.00001)</f>
        <v>-1.0000000000000001E-5</v>
      </c>
      <c r="J196" s="194">
        <f>IFERROR(IF($C196="",-0.00001,SUMIFS(Database!L:L,Database!$E:$E,$C196)/$E196),-0.00001)</f>
        <v>-1.0000000000000001E-5</v>
      </c>
      <c r="K196" s="194">
        <f>IFERROR(IF($C196="",-0.00001,SUMIFS(Database!M:M,Database!$E:$E,$C196)/$E196),-0.00001)</f>
        <v>-1.0000000000000001E-5</v>
      </c>
      <c r="L196" s="194">
        <f>IFERROR(IF($C196="",-0.00001,SUMIFS(Database!N:N,Database!$E:$E,$C196)/$E196),-0.00001)</f>
        <v>-1.0000000000000001E-5</v>
      </c>
      <c r="M196" s="194">
        <f>IFERROR(IF($C196="",-0.00001,SUMIFS(Database!O:O,Database!$E:$E,$C196)/$E196),-0.00001)</f>
        <v>-1.0000000000000001E-5</v>
      </c>
      <c r="N196" s="194">
        <f>IFERROR(IF($C196="",-0.00001,SUMIFS(Database!P:P,Database!$E:$E,$C196)/$E196),-0.00001)</f>
        <v>-1.0000000000000001E-5</v>
      </c>
      <c r="O196" s="194">
        <f>IFERROR(IF($C196="",-0.00001,SUMIFS(Database!Q:Q,Database!$E:$E,$C196)/$E196),-0.00001)</f>
        <v>-1.0000000000000001E-5</v>
      </c>
      <c r="P196" s="186">
        <f t="shared" ref="P196:P250" si="9">IFERROR(IF($C196="",-0.00001,$N196/$O196),-0.00001)</f>
        <v>-1.0000000000000001E-5</v>
      </c>
      <c r="Q196" s="194">
        <f>IFERROR(IF($C196="",-0.00001,SUMIFS(Database!S:S,Database!$E:$E,$C196)/$E196),-0.00001)</f>
        <v>-1.0000000000000001E-5</v>
      </c>
      <c r="R196" s="194">
        <f>IFERROR(IF($C196="",-0.00001,SUMIFS(Database!T:T,Database!$E:$E,$C196)/$E196),-0.00001)</f>
        <v>-1.0000000000000001E-5</v>
      </c>
      <c r="S196" s="186">
        <f t="shared" ref="S196:S250" si="10">IFERROR(IF($C196="",-0.00001,$Q196/$R196),-0.00001)</f>
        <v>-1.0000000000000001E-5</v>
      </c>
      <c r="T196" s="194">
        <f>IFERROR(IF($C196="",-0.00001,SUMIFS(Database!V:V,Database!$E:$E,$C196)/$E196),-0.00001)</f>
        <v>-1.0000000000000001E-5</v>
      </c>
      <c r="U196" s="194">
        <f>IFERROR(IF($C196="",-0.00001,SUMIFS(Database!W:W,Database!$E:$E,$C196)/$E196),-0.00001)</f>
        <v>-1.0000000000000001E-5</v>
      </c>
      <c r="V196" s="186">
        <f t="shared" ref="V196:V250" si="11">IFERROR(IF($C196="",-0.00001,$T196/$U196),-0.00001)</f>
        <v>-1.0000000000000001E-5</v>
      </c>
      <c r="W196" s="187"/>
      <c r="X196" s="187"/>
      <c r="Y196" s="187"/>
      <c r="Z196" s="187"/>
      <c r="AA196" s="187"/>
      <c r="AB196" s="187"/>
      <c r="AC196" s="187"/>
      <c r="AD196" s="187"/>
      <c r="AE196" s="187"/>
    </row>
    <row r="197" spans="1:31" x14ac:dyDescent="0.25">
      <c r="A197" s="187"/>
      <c r="B197" s="187" t="str">
        <f>IF($C197="","",MAX($B$4:$B196)+1)</f>
        <v/>
      </c>
      <c r="C197" s="183"/>
      <c r="D197" s="183" t="str">
        <f>IFERROR(VLOOKUP($C197,Rosters!$C$4:$M$239,INDEX(Lists!$N$5:$O$80,MATCH($C197,Lists!$N$5:$N$80,FALSE),2)),"")</f>
        <v/>
      </c>
      <c r="E197" s="185">
        <f>IF($C197="",-0.00001,COUNTIF(Database!E:E,$C197))</f>
        <v>-1.0000000000000001E-5</v>
      </c>
      <c r="F197" s="194">
        <f>IFERROR(IF($C197="",-0.00001,SUMIFS(Database!H:H,Database!$E:$E,$C197)/$E197),-0.00001)</f>
        <v>-1.0000000000000001E-5</v>
      </c>
      <c r="G197" s="194">
        <f>IFERROR(IF($C197="",-0.00001,SUMIFS(Database!I:I,Database!$E:$E,$C197)/$E197),-0.00001)</f>
        <v>-1.0000000000000001E-5</v>
      </c>
      <c r="H197" s="194">
        <f>IFERROR(IF($C197="",-0.00001,SUMIFS(Database!J:J,Database!$E:$E,$C197)/$E197),-0.00001)</f>
        <v>-1.0000000000000001E-5</v>
      </c>
      <c r="I197" s="194">
        <f>IFERROR(IF($C197="",-0.00001,SUMIFS(Database!K:K,Database!$E:$E,$C197)/$E197),-0.00001)</f>
        <v>-1.0000000000000001E-5</v>
      </c>
      <c r="J197" s="194">
        <f>IFERROR(IF($C197="",-0.00001,SUMIFS(Database!L:L,Database!$E:$E,$C197)/$E197),-0.00001)</f>
        <v>-1.0000000000000001E-5</v>
      </c>
      <c r="K197" s="194">
        <f>IFERROR(IF($C197="",-0.00001,SUMIFS(Database!M:M,Database!$E:$E,$C197)/$E197),-0.00001)</f>
        <v>-1.0000000000000001E-5</v>
      </c>
      <c r="L197" s="194">
        <f>IFERROR(IF($C197="",-0.00001,SUMIFS(Database!N:N,Database!$E:$E,$C197)/$E197),-0.00001)</f>
        <v>-1.0000000000000001E-5</v>
      </c>
      <c r="M197" s="194">
        <f>IFERROR(IF($C197="",-0.00001,SUMIFS(Database!O:O,Database!$E:$E,$C197)/$E197),-0.00001)</f>
        <v>-1.0000000000000001E-5</v>
      </c>
      <c r="N197" s="194">
        <f>IFERROR(IF($C197="",-0.00001,SUMIFS(Database!P:P,Database!$E:$E,$C197)/$E197),-0.00001)</f>
        <v>-1.0000000000000001E-5</v>
      </c>
      <c r="O197" s="194">
        <f>IFERROR(IF($C197="",-0.00001,SUMIFS(Database!Q:Q,Database!$E:$E,$C197)/$E197),-0.00001)</f>
        <v>-1.0000000000000001E-5</v>
      </c>
      <c r="P197" s="186">
        <f t="shared" si="9"/>
        <v>-1.0000000000000001E-5</v>
      </c>
      <c r="Q197" s="194">
        <f>IFERROR(IF($C197="",-0.00001,SUMIFS(Database!S:S,Database!$E:$E,$C197)/$E197),-0.00001)</f>
        <v>-1.0000000000000001E-5</v>
      </c>
      <c r="R197" s="194">
        <f>IFERROR(IF($C197="",-0.00001,SUMIFS(Database!T:T,Database!$E:$E,$C197)/$E197),-0.00001)</f>
        <v>-1.0000000000000001E-5</v>
      </c>
      <c r="S197" s="186">
        <f t="shared" si="10"/>
        <v>-1.0000000000000001E-5</v>
      </c>
      <c r="T197" s="194">
        <f>IFERROR(IF($C197="",-0.00001,SUMIFS(Database!V:V,Database!$E:$E,$C197)/$E197),-0.00001)</f>
        <v>-1.0000000000000001E-5</v>
      </c>
      <c r="U197" s="194">
        <f>IFERROR(IF($C197="",-0.00001,SUMIFS(Database!W:W,Database!$E:$E,$C197)/$E197),-0.00001)</f>
        <v>-1.0000000000000001E-5</v>
      </c>
      <c r="V197" s="186">
        <f t="shared" si="11"/>
        <v>-1.0000000000000001E-5</v>
      </c>
      <c r="W197" s="187"/>
      <c r="X197" s="187"/>
      <c r="Y197" s="187"/>
      <c r="Z197" s="187"/>
      <c r="AA197" s="187"/>
      <c r="AB197" s="187"/>
      <c r="AC197" s="187"/>
      <c r="AD197" s="187"/>
      <c r="AE197" s="187"/>
    </row>
    <row r="198" spans="1:31" x14ac:dyDescent="0.25">
      <c r="A198" s="187"/>
      <c r="B198" s="187" t="str">
        <f>IF($C198="","",MAX($B$4:$B197)+1)</f>
        <v/>
      </c>
      <c r="C198" s="183"/>
      <c r="D198" s="183" t="str">
        <f>IFERROR(VLOOKUP($C198,Rosters!$C$4:$M$239,INDEX(Lists!$N$5:$O$80,MATCH($C198,Lists!$N$5:$N$80,FALSE),2)),"")</f>
        <v/>
      </c>
      <c r="E198" s="185">
        <f>IF($C198="",-0.00001,COUNTIF(Database!E:E,$C198))</f>
        <v>-1.0000000000000001E-5</v>
      </c>
      <c r="F198" s="194">
        <f>IFERROR(IF($C198="",-0.00001,SUMIFS(Database!H:H,Database!$E:$E,$C198)/$E198),-0.00001)</f>
        <v>-1.0000000000000001E-5</v>
      </c>
      <c r="G198" s="194">
        <f>IFERROR(IF($C198="",-0.00001,SUMIFS(Database!I:I,Database!$E:$E,$C198)/$E198),-0.00001)</f>
        <v>-1.0000000000000001E-5</v>
      </c>
      <c r="H198" s="194">
        <f>IFERROR(IF($C198="",-0.00001,SUMIFS(Database!J:J,Database!$E:$E,$C198)/$E198),-0.00001)</f>
        <v>-1.0000000000000001E-5</v>
      </c>
      <c r="I198" s="194">
        <f>IFERROR(IF($C198="",-0.00001,SUMIFS(Database!K:K,Database!$E:$E,$C198)/$E198),-0.00001)</f>
        <v>-1.0000000000000001E-5</v>
      </c>
      <c r="J198" s="194">
        <f>IFERROR(IF($C198="",-0.00001,SUMIFS(Database!L:L,Database!$E:$E,$C198)/$E198),-0.00001)</f>
        <v>-1.0000000000000001E-5</v>
      </c>
      <c r="K198" s="194">
        <f>IFERROR(IF($C198="",-0.00001,SUMIFS(Database!M:M,Database!$E:$E,$C198)/$E198),-0.00001)</f>
        <v>-1.0000000000000001E-5</v>
      </c>
      <c r="L198" s="194">
        <f>IFERROR(IF($C198="",-0.00001,SUMIFS(Database!N:N,Database!$E:$E,$C198)/$E198),-0.00001)</f>
        <v>-1.0000000000000001E-5</v>
      </c>
      <c r="M198" s="194">
        <f>IFERROR(IF($C198="",-0.00001,SUMIFS(Database!O:O,Database!$E:$E,$C198)/$E198),-0.00001)</f>
        <v>-1.0000000000000001E-5</v>
      </c>
      <c r="N198" s="194">
        <f>IFERROR(IF($C198="",-0.00001,SUMIFS(Database!P:P,Database!$E:$E,$C198)/$E198),-0.00001)</f>
        <v>-1.0000000000000001E-5</v>
      </c>
      <c r="O198" s="194">
        <f>IFERROR(IF($C198="",-0.00001,SUMIFS(Database!Q:Q,Database!$E:$E,$C198)/$E198),-0.00001)</f>
        <v>-1.0000000000000001E-5</v>
      </c>
      <c r="P198" s="186">
        <f t="shared" si="9"/>
        <v>-1.0000000000000001E-5</v>
      </c>
      <c r="Q198" s="194">
        <f>IFERROR(IF($C198="",-0.00001,SUMIFS(Database!S:S,Database!$E:$E,$C198)/$E198),-0.00001)</f>
        <v>-1.0000000000000001E-5</v>
      </c>
      <c r="R198" s="194">
        <f>IFERROR(IF($C198="",-0.00001,SUMIFS(Database!T:T,Database!$E:$E,$C198)/$E198),-0.00001)</f>
        <v>-1.0000000000000001E-5</v>
      </c>
      <c r="S198" s="186">
        <f t="shared" si="10"/>
        <v>-1.0000000000000001E-5</v>
      </c>
      <c r="T198" s="194">
        <f>IFERROR(IF($C198="",-0.00001,SUMIFS(Database!V:V,Database!$E:$E,$C198)/$E198),-0.00001)</f>
        <v>-1.0000000000000001E-5</v>
      </c>
      <c r="U198" s="194">
        <f>IFERROR(IF($C198="",-0.00001,SUMIFS(Database!W:W,Database!$E:$E,$C198)/$E198),-0.00001)</f>
        <v>-1.0000000000000001E-5</v>
      </c>
      <c r="V198" s="186">
        <f t="shared" si="11"/>
        <v>-1.0000000000000001E-5</v>
      </c>
      <c r="W198" s="187"/>
      <c r="X198" s="187"/>
      <c r="Y198" s="187"/>
      <c r="Z198" s="187"/>
      <c r="AA198" s="187"/>
      <c r="AB198" s="187"/>
      <c r="AC198" s="187"/>
      <c r="AD198" s="187"/>
      <c r="AE198" s="187"/>
    </row>
    <row r="199" spans="1:31" x14ac:dyDescent="0.25">
      <c r="A199" s="187"/>
      <c r="B199" s="187" t="str">
        <f>IF($C199="","",MAX($B$4:$B198)+1)</f>
        <v/>
      </c>
      <c r="C199" s="183"/>
      <c r="D199" s="183" t="str">
        <f>IFERROR(VLOOKUP($C199,Rosters!$C$4:$M$239,INDEX(Lists!$N$5:$O$80,MATCH($C199,Lists!$N$5:$N$80,FALSE),2)),"")</f>
        <v/>
      </c>
      <c r="E199" s="185">
        <f>IF($C199="",-0.00001,COUNTIF(Database!E:E,$C199))</f>
        <v>-1.0000000000000001E-5</v>
      </c>
      <c r="F199" s="194">
        <f>IFERROR(IF($C199="",-0.00001,SUMIFS(Database!H:H,Database!$E:$E,$C199)/$E199),-0.00001)</f>
        <v>-1.0000000000000001E-5</v>
      </c>
      <c r="G199" s="194">
        <f>IFERROR(IF($C199="",-0.00001,SUMIFS(Database!I:I,Database!$E:$E,$C199)/$E199),-0.00001)</f>
        <v>-1.0000000000000001E-5</v>
      </c>
      <c r="H199" s="194">
        <f>IFERROR(IF($C199="",-0.00001,SUMIFS(Database!J:J,Database!$E:$E,$C199)/$E199),-0.00001)</f>
        <v>-1.0000000000000001E-5</v>
      </c>
      <c r="I199" s="194">
        <f>IFERROR(IF($C199="",-0.00001,SUMIFS(Database!K:K,Database!$E:$E,$C199)/$E199),-0.00001)</f>
        <v>-1.0000000000000001E-5</v>
      </c>
      <c r="J199" s="194">
        <f>IFERROR(IF($C199="",-0.00001,SUMIFS(Database!L:L,Database!$E:$E,$C199)/$E199),-0.00001)</f>
        <v>-1.0000000000000001E-5</v>
      </c>
      <c r="K199" s="194">
        <f>IFERROR(IF($C199="",-0.00001,SUMIFS(Database!M:M,Database!$E:$E,$C199)/$E199),-0.00001)</f>
        <v>-1.0000000000000001E-5</v>
      </c>
      <c r="L199" s="194">
        <f>IFERROR(IF($C199="",-0.00001,SUMIFS(Database!N:N,Database!$E:$E,$C199)/$E199),-0.00001)</f>
        <v>-1.0000000000000001E-5</v>
      </c>
      <c r="M199" s="194">
        <f>IFERROR(IF($C199="",-0.00001,SUMIFS(Database!O:O,Database!$E:$E,$C199)/$E199),-0.00001)</f>
        <v>-1.0000000000000001E-5</v>
      </c>
      <c r="N199" s="194">
        <f>IFERROR(IF($C199="",-0.00001,SUMIFS(Database!P:P,Database!$E:$E,$C199)/$E199),-0.00001)</f>
        <v>-1.0000000000000001E-5</v>
      </c>
      <c r="O199" s="194">
        <f>IFERROR(IF($C199="",-0.00001,SUMIFS(Database!Q:Q,Database!$E:$E,$C199)/$E199),-0.00001)</f>
        <v>-1.0000000000000001E-5</v>
      </c>
      <c r="P199" s="186">
        <f t="shared" si="9"/>
        <v>-1.0000000000000001E-5</v>
      </c>
      <c r="Q199" s="194">
        <f>IFERROR(IF($C199="",-0.00001,SUMIFS(Database!S:S,Database!$E:$E,$C199)/$E199),-0.00001)</f>
        <v>-1.0000000000000001E-5</v>
      </c>
      <c r="R199" s="194">
        <f>IFERROR(IF($C199="",-0.00001,SUMIFS(Database!T:T,Database!$E:$E,$C199)/$E199),-0.00001)</f>
        <v>-1.0000000000000001E-5</v>
      </c>
      <c r="S199" s="186">
        <f t="shared" si="10"/>
        <v>-1.0000000000000001E-5</v>
      </c>
      <c r="T199" s="194">
        <f>IFERROR(IF($C199="",-0.00001,SUMIFS(Database!V:V,Database!$E:$E,$C199)/$E199),-0.00001)</f>
        <v>-1.0000000000000001E-5</v>
      </c>
      <c r="U199" s="194">
        <f>IFERROR(IF($C199="",-0.00001,SUMIFS(Database!W:W,Database!$E:$E,$C199)/$E199),-0.00001)</f>
        <v>-1.0000000000000001E-5</v>
      </c>
      <c r="V199" s="186">
        <f t="shared" si="11"/>
        <v>-1.0000000000000001E-5</v>
      </c>
      <c r="W199" s="187"/>
      <c r="X199" s="187"/>
      <c r="Y199" s="187"/>
      <c r="Z199" s="187"/>
      <c r="AA199" s="187"/>
      <c r="AB199" s="187"/>
      <c r="AC199" s="187"/>
      <c r="AD199" s="187"/>
      <c r="AE199" s="187"/>
    </row>
    <row r="200" spans="1:31" x14ac:dyDescent="0.25">
      <c r="A200" s="187"/>
      <c r="B200" s="187" t="str">
        <f>IF($C200="","",MAX($B$4:$B199)+1)</f>
        <v/>
      </c>
      <c r="C200" s="183"/>
      <c r="D200" s="183" t="str">
        <f>IFERROR(VLOOKUP($C200,Rosters!$C$4:$M$239,INDEX(Lists!$N$5:$O$80,MATCH($C200,Lists!$N$5:$N$80,FALSE),2)),"")</f>
        <v/>
      </c>
      <c r="E200" s="185">
        <f>IF($C200="",-0.00001,COUNTIF(Database!E:E,$C200))</f>
        <v>-1.0000000000000001E-5</v>
      </c>
      <c r="F200" s="194">
        <f>IFERROR(IF($C200="",-0.00001,SUMIFS(Database!H:H,Database!$E:$E,$C200)/$E200),-0.00001)</f>
        <v>-1.0000000000000001E-5</v>
      </c>
      <c r="G200" s="194">
        <f>IFERROR(IF($C200="",-0.00001,SUMIFS(Database!I:I,Database!$E:$E,$C200)/$E200),-0.00001)</f>
        <v>-1.0000000000000001E-5</v>
      </c>
      <c r="H200" s="194">
        <f>IFERROR(IF($C200="",-0.00001,SUMIFS(Database!J:J,Database!$E:$E,$C200)/$E200),-0.00001)</f>
        <v>-1.0000000000000001E-5</v>
      </c>
      <c r="I200" s="194">
        <f>IFERROR(IF($C200="",-0.00001,SUMIFS(Database!K:K,Database!$E:$E,$C200)/$E200),-0.00001)</f>
        <v>-1.0000000000000001E-5</v>
      </c>
      <c r="J200" s="194">
        <f>IFERROR(IF($C200="",-0.00001,SUMIFS(Database!L:L,Database!$E:$E,$C200)/$E200),-0.00001)</f>
        <v>-1.0000000000000001E-5</v>
      </c>
      <c r="K200" s="194">
        <f>IFERROR(IF($C200="",-0.00001,SUMIFS(Database!M:M,Database!$E:$E,$C200)/$E200),-0.00001)</f>
        <v>-1.0000000000000001E-5</v>
      </c>
      <c r="L200" s="194">
        <f>IFERROR(IF($C200="",-0.00001,SUMIFS(Database!N:N,Database!$E:$E,$C200)/$E200),-0.00001)</f>
        <v>-1.0000000000000001E-5</v>
      </c>
      <c r="M200" s="194">
        <f>IFERROR(IF($C200="",-0.00001,SUMIFS(Database!O:O,Database!$E:$E,$C200)/$E200),-0.00001)</f>
        <v>-1.0000000000000001E-5</v>
      </c>
      <c r="N200" s="194">
        <f>IFERROR(IF($C200="",-0.00001,SUMIFS(Database!P:P,Database!$E:$E,$C200)/$E200),-0.00001)</f>
        <v>-1.0000000000000001E-5</v>
      </c>
      <c r="O200" s="194">
        <f>IFERROR(IF($C200="",-0.00001,SUMIFS(Database!Q:Q,Database!$E:$E,$C200)/$E200),-0.00001)</f>
        <v>-1.0000000000000001E-5</v>
      </c>
      <c r="P200" s="186">
        <f t="shared" si="9"/>
        <v>-1.0000000000000001E-5</v>
      </c>
      <c r="Q200" s="194">
        <f>IFERROR(IF($C200="",-0.00001,SUMIFS(Database!S:S,Database!$E:$E,$C200)/$E200),-0.00001)</f>
        <v>-1.0000000000000001E-5</v>
      </c>
      <c r="R200" s="194">
        <f>IFERROR(IF($C200="",-0.00001,SUMIFS(Database!T:T,Database!$E:$E,$C200)/$E200),-0.00001)</f>
        <v>-1.0000000000000001E-5</v>
      </c>
      <c r="S200" s="186">
        <f t="shared" si="10"/>
        <v>-1.0000000000000001E-5</v>
      </c>
      <c r="T200" s="194">
        <f>IFERROR(IF($C200="",-0.00001,SUMIFS(Database!V:V,Database!$E:$E,$C200)/$E200),-0.00001)</f>
        <v>-1.0000000000000001E-5</v>
      </c>
      <c r="U200" s="194">
        <f>IFERROR(IF($C200="",-0.00001,SUMIFS(Database!W:W,Database!$E:$E,$C200)/$E200),-0.00001)</f>
        <v>-1.0000000000000001E-5</v>
      </c>
      <c r="V200" s="186">
        <f t="shared" si="11"/>
        <v>-1.0000000000000001E-5</v>
      </c>
      <c r="W200" s="187"/>
      <c r="X200" s="187"/>
      <c r="Y200" s="187"/>
      <c r="Z200" s="187"/>
      <c r="AA200" s="187"/>
      <c r="AB200" s="187"/>
      <c r="AC200" s="187"/>
      <c r="AD200" s="187"/>
      <c r="AE200" s="187"/>
    </row>
    <row r="201" spans="1:31" x14ac:dyDescent="0.25">
      <c r="A201" s="187"/>
      <c r="B201" s="187" t="str">
        <f>IF($C201="","",MAX($B$4:$B200)+1)</f>
        <v/>
      </c>
      <c r="C201" s="183"/>
      <c r="D201" s="183" t="str">
        <f>IFERROR(VLOOKUP($C201,Rosters!$C$4:$M$239,INDEX(Lists!$N$5:$O$80,MATCH($C201,Lists!$N$5:$N$80,FALSE),2)),"")</f>
        <v/>
      </c>
      <c r="E201" s="185">
        <f>IF($C201="",-0.00001,COUNTIF(Database!E:E,$C201))</f>
        <v>-1.0000000000000001E-5</v>
      </c>
      <c r="F201" s="194">
        <f>IFERROR(IF($C201="",-0.00001,SUMIFS(Database!H:H,Database!$E:$E,$C201)/$E201),-0.00001)</f>
        <v>-1.0000000000000001E-5</v>
      </c>
      <c r="G201" s="194">
        <f>IFERROR(IF($C201="",-0.00001,SUMIFS(Database!I:I,Database!$E:$E,$C201)/$E201),-0.00001)</f>
        <v>-1.0000000000000001E-5</v>
      </c>
      <c r="H201" s="194">
        <f>IFERROR(IF($C201="",-0.00001,SUMIFS(Database!J:J,Database!$E:$E,$C201)/$E201),-0.00001)</f>
        <v>-1.0000000000000001E-5</v>
      </c>
      <c r="I201" s="194">
        <f>IFERROR(IF($C201="",-0.00001,SUMIFS(Database!K:K,Database!$E:$E,$C201)/$E201),-0.00001)</f>
        <v>-1.0000000000000001E-5</v>
      </c>
      <c r="J201" s="194">
        <f>IFERROR(IF($C201="",-0.00001,SUMIFS(Database!L:L,Database!$E:$E,$C201)/$E201),-0.00001)</f>
        <v>-1.0000000000000001E-5</v>
      </c>
      <c r="K201" s="194">
        <f>IFERROR(IF($C201="",-0.00001,SUMIFS(Database!M:M,Database!$E:$E,$C201)/$E201),-0.00001)</f>
        <v>-1.0000000000000001E-5</v>
      </c>
      <c r="L201" s="194">
        <f>IFERROR(IF($C201="",-0.00001,SUMIFS(Database!N:N,Database!$E:$E,$C201)/$E201),-0.00001)</f>
        <v>-1.0000000000000001E-5</v>
      </c>
      <c r="M201" s="194">
        <f>IFERROR(IF($C201="",-0.00001,SUMIFS(Database!O:O,Database!$E:$E,$C201)/$E201),-0.00001)</f>
        <v>-1.0000000000000001E-5</v>
      </c>
      <c r="N201" s="194">
        <f>IFERROR(IF($C201="",-0.00001,SUMIFS(Database!P:P,Database!$E:$E,$C201)/$E201),-0.00001)</f>
        <v>-1.0000000000000001E-5</v>
      </c>
      <c r="O201" s="194">
        <f>IFERROR(IF($C201="",-0.00001,SUMIFS(Database!Q:Q,Database!$E:$E,$C201)/$E201),-0.00001)</f>
        <v>-1.0000000000000001E-5</v>
      </c>
      <c r="P201" s="186">
        <f t="shared" si="9"/>
        <v>-1.0000000000000001E-5</v>
      </c>
      <c r="Q201" s="194">
        <f>IFERROR(IF($C201="",-0.00001,SUMIFS(Database!S:S,Database!$E:$E,$C201)/$E201),-0.00001)</f>
        <v>-1.0000000000000001E-5</v>
      </c>
      <c r="R201" s="194">
        <f>IFERROR(IF($C201="",-0.00001,SUMIFS(Database!T:T,Database!$E:$E,$C201)/$E201),-0.00001)</f>
        <v>-1.0000000000000001E-5</v>
      </c>
      <c r="S201" s="186">
        <f t="shared" si="10"/>
        <v>-1.0000000000000001E-5</v>
      </c>
      <c r="T201" s="194">
        <f>IFERROR(IF($C201="",-0.00001,SUMIFS(Database!V:V,Database!$E:$E,$C201)/$E201),-0.00001)</f>
        <v>-1.0000000000000001E-5</v>
      </c>
      <c r="U201" s="194">
        <f>IFERROR(IF($C201="",-0.00001,SUMIFS(Database!W:W,Database!$E:$E,$C201)/$E201),-0.00001)</f>
        <v>-1.0000000000000001E-5</v>
      </c>
      <c r="V201" s="186">
        <f t="shared" si="11"/>
        <v>-1.0000000000000001E-5</v>
      </c>
      <c r="W201" s="187"/>
      <c r="X201" s="187"/>
      <c r="Y201" s="187"/>
      <c r="Z201" s="187"/>
      <c r="AA201" s="187"/>
      <c r="AB201" s="187"/>
      <c r="AC201" s="187"/>
      <c r="AD201" s="187"/>
      <c r="AE201" s="187"/>
    </row>
    <row r="202" spans="1:31" x14ac:dyDescent="0.25">
      <c r="A202" s="187"/>
      <c r="B202" s="187" t="str">
        <f>IF($C202="","",MAX($B$4:$B201)+1)</f>
        <v/>
      </c>
      <c r="C202" s="183"/>
      <c r="D202" s="183" t="str">
        <f>IFERROR(VLOOKUP($C202,Rosters!$C$4:$M$239,INDEX(Lists!$N$5:$O$80,MATCH($C202,Lists!$N$5:$N$80,FALSE),2)),"")</f>
        <v/>
      </c>
      <c r="E202" s="185">
        <f>IF($C202="",-0.00001,COUNTIF(Database!E:E,$C202))</f>
        <v>-1.0000000000000001E-5</v>
      </c>
      <c r="F202" s="194">
        <f>IFERROR(IF($C202="",-0.00001,SUMIFS(Database!H:H,Database!$E:$E,$C202)/$E202),-0.00001)</f>
        <v>-1.0000000000000001E-5</v>
      </c>
      <c r="G202" s="194">
        <f>IFERROR(IF($C202="",-0.00001,SUMIFS(Database!I:I,Database!$E:$E,$C202)/$E202),-0.00001)</f>
        <v>-1.0000000000000001E-5</v>
      </c>
      <c r="H202" s="194">
        <f>IFERROR(IF($C202="",-0.00001,SUMIFS(Database!J:J,Database!$E:$E,$C202)/$E202),-0.00001)</f>
        <v>-1.0000000000000001E-5</v>
      </c>
      <c r="I202" s="194">
        <f>IFERROR(IF($C202="",-0.00001,SUMIFS(Database!K:K,Database!$E:$E,$C202)/$E202),-0.00001)</f>
        <v>-1.0000000000000001E-5</v>
      </c>
      <c r="J202" s="194">
        <f>IFERROR(IF($C202="",-0.00001,SUMIFS(Database!L:L,Database!$E:$E,$C202)/$E202),-0.00001)</f>
        <v>-1.0000000000000001E-5</v>
      </c>
      <c r="K202" s="194">
        <f>IFERROR(IF($C202="",-0.00001,SUMIFS(Database!M:M,Database!$E:$E,$C202)/$E202),-0.00001)</f>
        <v>-1.0000000000000001E-5</v>
      </c>
      <c r="L202" s="194">
        <f>IFERROR(IF($C202="",-0.00001,SUMIFS(Database!N:N,Database!$E:$E,$C202)/$E202),-0.00001)</f>
        <v>-1.0000000000000001E-5</v>
      </c>
      <c r="M202" s="194">
        <f>IFERROR(IF($C202="",-0.00001,SUMIFS(Database!O:O,Database!$E:$E,$C202)/$E202),-0.00001)</f>
        <v>-1.0000000000000001E-5</v>
      </c>
      <c r="N202" s="194">
        <f>IFERROR(IF($C202="",-0.00001,SUMIFS(Database!P:P,Database!$E:$E,$C202)/$E202),-0.00001)</f>
        <v>-1.0000000000000001E-5</v>
      </c>
      <c r="O202" s="194">
        <f>IFERROR(IF($C202="",-0.00001,SUMIFS(Database!Q:Q,Database!$E:$E,$C202)/$E202),-0.00001)</f>
        <v>-1.0000000000000001E-5</v>
      </c>
      <c r="P202" s="186">
        <f t="shared" si="9"/>
        <v>-1.0000000000000001E-5</v>
      </c>
      <c r="Q202" s="194">
        <f>IFERROR(IF($C202="",-0.00001,SUMIFS(Database!S:S,Database!$E:$E,$C202)/$E202),-0.00001)</f>
        <v>-1.0000000000000001E-5</v>
      </c>
      <c r="R202" s="194">
        <f>IFERROR(IF($C202="",-0.00001,SUMIFS(Database!T:T,Database!$E:$E,$C202)/$E202),-0.00001)</f>
        <v>-1.0000000000000001E-5</v>
      </c>
      <c r="S202" s="186">
        <f t="shared" si="10"/>
        <v>-1.0000000000000001E-5</v>
      </c>
      <c r="T202" s="194">
        <f>IFERROR(IF($C202="",-0.00001,SUMIFS(Database!V:V,Database!$E:$E,$C202)/$E202),-0.00001)</f>
        <v>-1.0000000000000001E-5</v>
      </c>
      <c r="U202" s="194">
        <f>IFERROR(IF($C202="",-0.00001,SUMIFS(Database!W:W,Database!$E:$E,$C202)/$E202),-0.00001)</f>
        <v>-1.0000000000000001E-5</v>
      </c>
      <c r="V202" s="186">
        <f t="shared" si="11"/>
        <v>-1.0000000000000001E-5</v>
      </c>
      <c r="W202" s="187"/>
      <c r="X202" s="187"/>
      <c r="Y202" s="187"/>
      <c r="Z202" s="187"/>
      <c r="AA202" s="187"/>
      <c r="AB202" s="187"/>
      <c r="AC202" s="187"/>
      <c r="AD202" s="187"/>
      <c r="AE202" s="187"/>
    </row>
    <row r="203" spans="1:31" x14ac:dyDescent="0.25">
      <c r="A203" s="187"/>
      <c r="B203" s="187" t="str">
        <f>IF($C203="","",MAX($B$4:$B202)+1)</f>
        <v/>
      </c>
      <c r="C203" s="183"/>
      <c r="D203" s="183" t="str">
        <f>IFERROR(VLOOKUP($C203,Rosters!$C$4:$M$239,INDEX(Lists!$N$5:$O$80,MATCH($C203,Lists!$N$5:$N$80,FALSE),2)),"")</f>
        <v/>
      </c>
      <c r="E203" s="185">
        <f>IF($C203="",-0.00001,COUNTIF(Database!E:E,$C203))</f>
        <v>-1.0000000000000001E-5</v>
      </c>
      <c r="F203" s="194">
        <f>IFERROR(IF($C203="",-0.00001,SUMIFS(Database!H:H,Database!$E:$E,$C203)/$E203),-0.00001)</f>
        <v>-1.0000000000000001E-5</v>
      </c>
      <c r="G203" s="194">
        <f>IFERROR(IF($C203="",-0.00001,SUMIFS(Database!I:I,Database!$E:$E,$C203)/$E203),-0.00001)</f>
        <v>-1.0000000000000001E-5</v>
      </c>
      <c r="H203" s="194">
        <f>IFERROR(IF($C203="",-0.00001,SUMIFS(Database!J:J,Database!$E:$E,$C203)/$E203),-0.00001)</f>
        <v>-1.0000000000000001E-5</v>
      </c>
      <c r="I203" s="194">
        <f>IFERROR(IF($C203="",-0.00001,SUMIFS(Database!K:K,Database!$E:$E,$C203)/$E203),-0.00001)</f>
        <v>-1.0000000000000001E-5</v>
      </c>
      <c r="J203" s="194">
        <f>IFERROR(IF($C203="",-0.00001,SUMIFS(Database!L:L,Database!$E:$E,$C203)/$E203),-0.00001)</f>
        <v>-1.0000000000000001E-5</v>
      </c>
      <c r="K203" s="194">
        <f>IFERROR(IF($C203="",-0.00001,SUMIFS(Database!M:M,Database!$E:$E,$C203)/$E203),-0.00001)</f>
        <v>-1.0000000000000001E-5</v>
      </c>
      <c r="L203" s="194">
        <f>IFERROR(IF($C203="",-0.00001,SUMIFS(Database!N:N,Database!$E:$E,$C203)/$E203),-0.00001)</f>
        <v>-1.0000000000000001E-5</v>
      </c>
      <c r="M203" s="194">
        <f>IFERROR(IF($C203="",-0.00001,SUMIFS(Database!O:O,Database!$E:$E,$C203)/$E203),-0.00001)</f>
        <v>-1.0000000000000001E-5</v>
      </c>
      <c r="N203" s="194">
        <f>IFERROR(IF($C203="",-0.00001,SUMIFS(Database!P:P,Database!$E:$E,$C203)/$E203),-0.00001)</f>
        <v>-1.0000000000000001E-5</v>
      </c>
      <c r="O203" s="194">
        <f>IFERROR(IF($C203="",-0.00001,SUMIFS(Database!Q:Q,Database!$E:$E,$C203)/$E203),-0.00001)</f>
        <v>-1.0000000000000001E-5</v>
      </c>
      <c r="P203" s="186">
        <f t="shared" si="9"/>
        <v>-1.0000000000000001E-5</v>
      </c>
      <c r="Q203" s="194">
        <f>IFERROR(IF($C203="",-0.00001,SUMIFS(Database!S:S,Database!$E:$E,$C203)/$E203),-0.00001)</f>
        <v>-1.0000000000000001E-5</v>
      </c>
      <c r="R203" s="194">
        <f>IFERROR(IF($C203="",-0.00001,SUMIFS(Database!T:T,Database!$E:$E,$C203)/$E203),-0.00001)</f>
        <v>-1.0000000000000001E-5</v>
      </c>
      <c r="S203" s="186">
        <f t="shared" si="10"/>
        <v>-1.0000000000000001E-5</v>
      </c>
      <c r="T203" s="194">
        <f>IFERROR(IF($C203="",-0.00001,SUMIFS(Database!V:V,Database!$E:$E,$C203)/$E203),-0.00001)</f>
        <v>-1.0000000000000001E-5</v>
      </c>
      <c r="U203" s="194">
        <f>IFERROR(IF($C203="",-0.00001,SUMIFS(Database!W:W,Database!$E:$E,$C203)/$E203),-0.00001)</f>
        <v>-1.0000000000000001E-5</v>
      </c>
      <c r="V203" s="186">
        <f t="shared" si="11"/>
        <v>-1.0000000000000001E-5</v>
      </c>
      <c r="W203" s="187"/>
      <c r="X203" s="187"/>
      <c r="Y203" s="187"/>
      <c r="Z203" s="187"/>
      <c r="AA203" s="187"/>
      <c r="AB203" s="187"/>
      <c r="AC203" s="187"/>
      <c r="AD203" s="187"/>
      <c r="AE203" s="187"/>
    </row>
    <row r="204" spans="1:31" x14ac:dyDescent="0.25">
      <c r="A204" s="187"/>
      <c r="B204" s="187" t="str">
        <f>IF($C204="","",MAX($B$4:$B203)+1)</f>
        <v/>
      </c>
      <c r="C204" s="183"/>
      <c r="D204" s="183" t="str">
        <f>IFERROR(VLOOKUP($C204,Rosters!$C$4:$M$239,INDEX(Lists!$N$5:$O$80,MATCH($C204,Lists!$N$5:$N$80,FALSE),2)),"")</f>
        <v/>
      </c>
      <c r="E204" s="185">
        <f>IF($C204="",-0.00001,COUNTIF(Database!E:E,$C204))</f>
        <v>-1.0000000000000001E-5</v>
      </c>
      <c r="F204" s="194">
        <f>IFERROR(IF($C204="",-0.00001,SUMIFS(Database!H:H,Database!$E:$E,$C204)/$E204),-0.00001)</f>
        <v>-1.0000000000000001E-5</v>
      </c>
      <c r="G204" s="194">
        <f>IFERROR(IF($C204="",-0.00001,SUMIFS(Database!I:I,Database!$E:$E,$C204)/$E204),-0.00001)</f>
        <v>-1.0000000000000001E-5</v>
      </c>
      <c r="H204" s="194">
        <f>IFERROR(IF($C204="",-0.00001,SUMIFS(Database!J:J,Database!$E:$E,$C204)/$E204),-0.00001)</f>
        <v>-1.0000000000000001E-5</v>
      </c>
      <c r="I204" s="194">
        <f>IFERROR(IF($C204="",-0.00001,SUMIFS(Database!K:K,Database!$E:$E,$C204)/$E204),-0.00001)</f>
        <v>-1.0000000000000001E-5</v>
      </c>
      <c r="J204" s="194">
        <f>IFERROR(IF($C204="",-0.00001,SUMIFS(Database!L:L,Database!$E:$E,$C204)/$E204),-0.00001)</f>
        <v>-1.0000000000000001E-5</v>
      </c>
      <c r="K204" s="194">
        <f>IFERROR(IF($C204="",-0.00001,SUMIFS(Database!M:M,Database!$E:$E,$C204)/$E204),-0.00001)</f>
        <v>-1.0000000000000001E-5</v>
      </c>
      <c r="L204" s="194">
        <f>IFERROR(IF($C204="",-0.00001,SUMIFS(Database!N:N,Database!$E:$E,$C204)/$E204),-0.00001)</f>
        <v>-1.0000000000000001E-5</v>
      </c>
      <c r="M204" s="194">
        <f>IFERROR(IF($C204="",-0.00001,SUMIFS(Database!O:O,Database!$E:$E,$C204)/$E204),-0.00001)</f>
        <v>-1.0000000000000001E-5</v>
      </c>
      <c r="N204" s="194">
        <f>IFERROR(IF($C204="",-0.00001,SUMIFS(Database!P:P,Database!$E:$E,$C204)/$E204),-0.00001)</f>
        <v>-1.0000000000000001E-5</v>
      </c>
      <c r="O204" s="194">
        <f>IFERROR(IF($C204="",-0.00001,SUMIFS(Database!Q:Q,Database!$E:$E,$C204)/$E204),-0.00001)</f>
        <v>-1.0000000000000001E-5</v>
      </c>
      <c r="P204" s="186">
        <f t="shared" si="9"/>
        <v>-1.0000000000000001E-5</v>
      </c>
      <c r="Q204" s="194">
        <f>IFERROR(IF($C204="",-0.00001,SUMIFS(Database!S:S,Database!$E:$E,$C204)/$E204),-0.00001)</f>
        <v>-1.0000000000000001E-5</v>
      </c>
      <c r="R204" s="194">
        <f>IFERROR(IF($C204="",-0.00001,SUMIFS(Database!T:T,Database!$E:$E,$C204)/$E204),-0.00001)</f>
        <v>-1.0000000000000001E-5</v>
      </c>
      <c r="S204" s="186">
        <f t="shared" si="10"/>
        <v>-1.0000000000000001E-5</v>
      </c>
      <c r="T204" s="194">
        <f>IFERROR(IF($C204="",-0.00001,SUMIFS(Database!V:V,Database!$E:$E,$C204)/$E204),-0.00001)</f>
        <v>-1.0000000000000001E-5</v>
      </c>
      <c r="U204" s="194">
        <f>IFERROR(IF($C204="",-0.00001,SUMIFS(Database!W:W,Database!$E:$E,$C204)/$E204),-0.00001)</f>
        <v>-1.0000000000000001E-5</v>
      </c>
      <c r="V204" s="186">
        <f t="shared" si="11"/>
        <v>-1.0000000000000001E-5</v>
      </c>
      <c r="W204" s="187"/>
      <c r="X204" s="187"/>
      <c r="Y204" s="187"/>
      <c r="Z204" s="187"/>
      <c r="AA204" s="187"/>
      <c r="AB204" s="187"/>
      <c r="AC204" s="187"/>
      <c r="AD204" s="187"/>
      <c r="AE204" s="187"/>
    </row>
    <row r="205" spans="1:31" x14ac:dyDescent="0.25">
      <c r="A205" s="187"/>
      <c r="B205" s="187" t="str">
        <f>IF($C205="","",MAX($B$4:$B204)+1)</f>
        <v/>
      </c>
      <c r="C205" s="183"/>
      <c r="D205" s="183" t="str">
        <f>IFERROR(VLOOKUP($C205,Rosters!$C$4:$M$239,INDEX(Lists!$N$5:$O$80,MATCH($C205,Lists!$N$5:$N$80,FALSE),2)),"")</f>
        <v/>
      </c>
      <c r="E205" s="185">
        <f>IF($C205="",-0.00001,COUNTIF(Database!E:E,$C205))</f>
        <v>-1.0000000000000001E-5</v>
      </c>
      <c r="F205" s="194">
        <f>IFERROR(IF($C205="",-0.00001,SUMIFS(Database!H:H,Database!$E:$E,$C205)/$E205),-0.00001)</f>
        <v>-1.0000000000000001E-5</v>
      </c>
      <c r="G205" s="194">
        <f>IFERROR(IF($C205="",-0.00001,SUMIFS(Database!I:I,Database!$E:$E,$C205)/$E205),-0.00001)</f>
        <v>-1.0000000000000001E-5</v>
      </c>
      <c r="H205" s="194">
        <f>IFERROR(IF($C205="",-0.00001,SUMIFS(Database!J:J,Database!$E:$E,$C205)/$E205),-0.00001)</f>
        <v>-1.0000000000000001E-5</v>
      </c>
      <c r="I205" s="194">
        <f>IFERROR(IF($C205="",-0.00001,SUMIFS(Database!K:K,Database!$E:$E,$C205)/$E205),-0.00001)</f>
        <v>-1.0000000000000001E-5</v>
      </c>
      <c r="J205" s="194">
        <f>IFERROR(IF($C205="",-0.00001,SUMIFS(Database!L:L,Database!$E:$E,$C205)/$E205),-0.00001)</f>
        <v>-1.0000000000000001E-5</v>
      </c>
      <c r="K205" s="194">
        <f>IFERROR(IF($C205="",-0.00001,SUMIFS(Database!M:M,Database!$E:$E,$C205)/$E205),-0.00001)</f>
        <v>-1.0000000000000001E-5</v>
      </c>
      <c r="L205" s="194">
        <f>IFERROR(IF($C205="",-0.00001,SUMIFS(Database!N:N,Database!$E:$E,$C205)/$E205),-0.00001)</f>
        <v>-1.0000000000000001E-5</v>
      </c>
      <c r="M205" s="194">
        <f>IFERROR(IF($C205="",-0.00001,SUMIFS(Database!O:O,Database!$E:$E,$C205)/$E205),-0.00001)</f>
        <v>-1.0000000000000001E-5</v>
      </c>
      <c r="N205" s="194">
        <f>IFERROR(IF($C205="",-0.00001,SUMIFS(Database!P:P,Database!$E:$E,$C205)/$E205),-0.00001)</f>
        <v>-1.0000000000000001E-5</v>
      </c>
      <c r="O205" s="194">
        <f>IFERROR(IF($C205="",-0.00001,SUMIFS(Database!Q:Q,Database!$E:$E,$C205)/$E205),-0.00001)</f>
        <v>-1.0000000000000001E-5</v>
      </c>
      <c r="P205" s="186">
        <f t="shared" si="9"/>
        <v>-1.0000000000000001E-5</v>
      </c>
      <c r="Q205" s="194">
        <f>IFERROR(IF($C205="",-0.00001,SUMIFS(Database!S:S,Database!$E:$E,$C205)/$E205),-0.00001)</f>
        <v>-1.0000000000000001E-5</v>
      </c>
      <c r="R205" s="194">
        <f>IFERROR(IF($C205="",-0.00001,SUMIFS(Database!T:T,Database!$E:$E,$C205)/$E205),-0.00001)</f>
        <v>-1.0000000000000001E-5</v>
      </c>
      <c r="S205" s="186">
        <f t="shared" si="10"/>
        <v>-1.0000000000000001E-5</v>
      </c>
      <c r="T205" s="194">
        <f>IFERROR(IF($C205="",-0.00001,SUMIFS(Database!V:V,Database!$E:$E,$C205)/$E205),-0.00001)</f>
        <v>-1.0000000000000001E-5</v>
      </c>
      <c r="U205" s="194">
        <f>IFERROR(IF($C205="",-0.00001,SUMIFS(Database!W:W,Database!$E:$E,$C205)/$E205),-0.00001)</f>
        <v>-1.0000000000000001E-5</v>
      </c>
      <c r="V205" s="186">
        <f t="shared" si="11"/>
        <v>-1.0000000000000001E-5</v>
      </c>
      <c r="W205" s="187"/>
      <c r="X205" s="187"/>
      <c r="Y205" s="187"/>
      <c r="Z205" s="187"/>
      <c r="AA205" s="187"/>
      <c r="AB205" s="187"/>
      <c r="AC205" s="187"/>
      <c r="AD205" s="187"/>
      <c r="AE205" s="187"/>
    </row>
    <row r="206" spans="1:31" x14ac:dyDescent="0.25">
      <c r="A206" s="187"/>
      <c r="B206" s="187" t="str">
        <f>IF($C206="","",MAX($B$4:$B205)+1)</f>
        <v/>
      </c>
      <c r="C206" s="183"/>
      <c r="D206" s="183" t="str">
        <f>IFERROR(VLOOKUP($C206,Rosters!$C$4:$M$239,INDEX(Lists!$N$5:$O$80,MATCH($C206,Lists!$N$5:$N$80,FALSE),2)),"")</f>
        <v/>
      </c>
      <c r="E206" s="185">
        <f>IF($C206="",-0.00001,COUNTIF(Database!E:E,$C206))</f>
        <v>-1.0000000000000001E-5</v>
      </c>
      <c r="F206" s="194">
        <f>IFERROR(IF($C206="",-0.00001,SUMIFS(Database!H:H,Database!$E:$E,$C206)/$E206),-0.00001)</f>
        <v>-1.0000000000000001E-5</v>
      </c>
      <c r="G206" s="194">
        <f>IFERROR(IF($C206="",-0.00001,SUMIFS(Database!I:I,Database!$E:$E,$C206)/$E206),-0.00001)</f>
        <v>-1.0000000000000001E-5</v>
      </c>
      <c r="H206" s="194">
        <f>IFERROR(IF($C206="",-0.00001,SUMIFS(Database!J:J,Database!$E:$E,$C206)/$E206),-0.00001)</f>
        <v>-1.0000000000000001E-5</v>
      </c>
      <c r="I206" s="194">
        <f>IFERROR(IF($C206="",-0.00001,SUMIFS(Database!K:K,Database!$E:$E,$C206)/$E206),-0.00001)</f>
        <v>-1.0000000000000001E-5</v>
      </c>
      <c r="J206" s="194">
        <f>IFERROR(IF($C206="",-0.00001,SUMIFS(Database!L:L,Database!$E:$E,$C206)/$E206),-0.00001)</f>
        <v>-1.0000000000000001E-5</v>
      </c>
      <c r="K206" s="194">
        <f>IFERROR(IF($C206="",-0.00001,SUMIFS(Database!M:M,Database!$E:$E,$C206)/$E206),-0.00001)</f>
        <v>-1.0000000000000001E-5</v>
      </c>
      <c r="L206" s="194">
        <f>IFERROR(IF($C206="",-0.00001,SUMIFS(Database!N:N,Database!$E:$E,$C206)/$E206),-0.00001)</f>
        <v>-1.0000000000000001E-5</v>
      </c>
      <c r="M206" s="194">
        <f>IFERROR(IF($C206="",-0.00001,SUMIFS(Database!O:O,Database!$E:$E,$C206)/$E206),-0.00001)</f>
        <v>-1.0000000000000001E-5</v>
      </c>
      <c r="N206" s="194">
        <f>IFERROR(IF($C206="",-0.00001,SUMIFS(Database!P:P,Database!$E:$E,$C206)/$E206),-0.00001)</f>
        <v>-1.0000000000000001E-5</v>
      </c>
      <c r="O206" s="194">
        <f>IFERROR(IF($C206="",-0.00001,SUMIFS(Database!Q:Q,Database!$E:$E,$C206)/$E206),-0.00001)</f>
        <v>-1.0000000000000001E-5</v>
      </c>
      <c r="P206" s="186">
        <f t="shared" si="9"/>
        <v>-1.0000000000000001E-5</v>
      </c>
      <c r="Q206" s="194">
        <f>IFERROR(IF($C206="",-0.00001,SUMIFS(Database!S:S,Database!$E:$E,$C206)/$E206),-0.00001)</f>
        <v>-1.0000000000000001E-5</v>
      </c>
      <c r="R206" s="194">
        <f>IFERROR(IF($C206="",-0.00001,SUMIFS(Database!T:T,Database!$E:$E,$C206)/$E206),-0.00001)</f>
        <v>-1.0000000000000001E-5</v>
      </c>
      <c r="S206" s="186">
        <f t="shared" si="10"/>
        <v>-1.0000000000000001E-5</v>
      </c>
      <c r="T206" s="194">
        <f>IFERROR(IF($C206="",-0.00001,SUMIFS(Database!V:V,Database!$E:$E,$C206)/$E206),-0.00001)</f>
        <v>-1.0000000000000001E-5</v>
      </c>
      <c r="U206" s="194">
        <f>IFERROR(IF($C206="",-0.00001,SUMIFS(Database!W:W,Database!$E:$E,$C206)/$E206),-0.00001)</f>
        <v>-1.0000000000000001E-5</v>
      </c>
      <c r="V206" s="186">
        <f t="shared" si="11"/>
        <v>-1.0000000000000001E-5</v>
      </c>
      <c r="W206" s="187"/>
      <c r="X206" s="187"/>
      <c r="Y206" s="187"/>
      <c r="Z206" s="187"/>
      <c r="AA206" s="187"/>
      <c r="AB206" s="187"/>
      <c r="AC206" s="187"/>
      <c r="AD206" s="187"/>
      <c r="AE206" s="187"/>
    </row>
    <row r="207" spans="1:31" x14ac:dyDescent="0.25">
      <c r="A207" s="187"/>
      <c r="B207" s="187" t="str">
        <f>IF($C207="","",MAX($B$4:$B206)+1)</f>
        <v/>
      </c>
      <c r="C207" s="183"/>
      <c r="D207" s="183" t="str">
        <f>IFERROR(VLOOKUP($C207,Rosters!$C$4:$M$239,INDEX(Lists!$N$5:$O$80,MATCH($C207,Lists!$N$5:$N$80,FALSE),2)),"")</f>
        <v/>
      </c>
      <c r="E207" s="185">
        <f>IF($C207="",-0.00001,COUNTIF(Database!E:E,$C207))</f>
        <v>-1.0000000000000001E-5</v>
      </c>
      <c r="F207" s="194">
        <f>IFERROR(IF($C207="",-0.00001,SUMIFS(Database!H:H,Database!$E:$E,$C207)/$E207),-0.00001)</f>
        <v>-1.0000000000000001E-5</v>
      </c>
      <c r="G207" s="194">
        <f>IFERROR(IF($C207="",-0.00001,SUMIFS(Database!I:I,Database!$E:$E,$C207)/$E207),-0.00001)</f>
        <v>-1.0000000000000001E-5</v>
      </c>
      <c r="H207" s="194">
        <f>IFERROR(IF($C207="",-0.00001,SUMIFS(Database!J:J,Database!$E:$E,$C207)/$E207),-0.00001)</f>
        <v>-1.0000000000000001E-5</v>
      </c>
      <c r="I207" s="194">
        <f>IFERROR(IF($C207="",-0.00001,SUMIFS(Database!K:K,Database!$E:$E,$C207)/$E207),-0.00001)</f>
        <v>-1.0000000000000001E-5</v>
      </c>
      <c r="J207" s="194">
        <f>IFERROR(IF($C207="",-0.00001,SUMIFS(Database!L:L,Database!$E:$E,$C207)/$E207),-0.00001)</f>
        <v>-1.0000000000000001E-5</v>
      </c>
      <c r="K207" s="194">
        <f>IFERROR(IF($C207="",-0.00001,SUMIFS(Database!M:M,Database!$E:$E,$C207)/$E207),-0.00001)</f>
        <v>-1.0000000000000001E-5</v>
      </c>
      <c r="L207" s="194">
        <f>IFERROR(IF($C207="",-0.00001,SUMIFS(Database!N:N,Database!$E:$E,$C207)/$E207),-0.00001)</f>
        <v>-1.0000000000000001E-5</v>
      </c>
      <c r="M207" s="194">
        <f>IFERROR(IF($C207="",-0.00001,SUMIFS(Database!O:O,Database!$E:$E,$C207)/$E207),-0.00001)</f>
        <v>-1.0000000000000001E-5</v>
      </c>
      <c r="N207" s="194">
        <f>IFERROR(IF($C207="",-0.00001,SUMIFS(Database!P:P,Database!$E:$E,$C207)/$E207),-0.00001)</f>
        <v>-1.0000000000000001E-5</v>
      </c>
      <c r="O207" s="194">
        <f>IFERROR(IF($C207="",-0.00001,SUMIFS(Database!Q:Q,Database!$E:$E,$C207)/$E207),-0.00001)</f>
        <v>-1.0000000000000001E-5</v>
      </c>
      <c r="P207" s="186">
        <f t="shared" si="9"/>
        <v>-1.0000000000000001E-5</v>
      </c>
      <c r="Q207" s="194">
        <f>IFERROR(IF($C207="",-0.00001,SUMIFS(Database!S:S,Database!$E:$E,$C207)/$E207),-0.00001)</f>
        <v>-1.0000000000000001E-5</v>
      </c>
      <c r="R207" s="194">
        <f>IFERROR(IF($C207="",-0.00001,SUMIFS(Database!T:T,Database!$E:$E,$C207)/$E207),-0.00001)</f>
        <v>-1.0000000000000001E-5</v>
      </c>
      <c r="S207" s="186">
        <f t="shared" si="10"/>
        <v>-1.0000000000000001E-5</v>
      </c>
      <c r="T207" s="194">
        <f>IFERROR(IF($C207="",-0.00001,SUMIFS(Database!V:V,Database!$E:$E,$C207)/$E207),-0.00001)</f>
        <v>-1.0000000000000001E-5</v>
      </c>
      <c r="U207" s="194">
        <f>IFERROR(IF($C207="",-0.00001,SUMIFS(Database!W:W,Database!$E:$E,$C207)/$E207),-0.00001)</f>
        <v>-1.0000000000000001E-5</v>
      </c>
      <c r="V207" s="186">
        <f t="shared" si="11"/>
        <v>-1.0000000000000001E-5</v>
      </c>
      <c r="W207" s="187"/>
      <c r="X207" s="187"/>
      <c r="Y207" s="187"/>
      <c r="Z207" s="187"/>
      <c r="AA207" s="187"/>
      <c r="AB207" s="187"/>
      <c r="AC207" s="187"/>
      <c r="AD207" s="187"/>
      <c r="AE207" s="187"/>
    </row>
    <row r="208" spans="1:31" x14ac:dyDescent="0.25">
      <c r="A208" s="187"/>
      <c r="B208" s="187" t="str">
        <f>IF($C208="","",MAX($B$4:$B207)+1)</f>
        <v/>
      </c>
      <c r="C208" s="183"/>
      <c r="D208" s="183" t="str">
        <f>IFERROR(VLOOKUP($C208,Rosters!$C$4:$M$239,INDEX(Lists!$N$5:$O$80,MATCH($C208,Lists!$N$5:$N$80,FALSE),2)),"")</f>
        <v/>
      </c>
      <c r="E208" s="185">
        <f>IF($C208="",-0.00001,COUNTIF(Database!E:E,$C208))</f>
        <v>-1.0000000000000001E-5</v>
      </c>
      <c r="F208" s="194">
        <f>IFERROR(IF($C208="",-0.00001,SUMIFS(Database!H:H,Database!$E:$E,$C208)/$E208),-0.00001)</f>
        <v>-1.0000000000000001E-5</v>
      </c>
      <c r="G208" s="194">
        <f>IFERROR(IF($C208="",-0.00001,SUMIFS(Database!I:I,Database!$E:$E,$C208)/$E208),-0.00001)</f>
        <v>-1.0000000000000001E-5</v>
      </c>
      <c r="H208" s="194">
        <f>IFERROR(IF($C208="",-0.00001,SUMIFS(Database!J:J,Database!$E:$E,$C208)/$E208),-0.00001)</f>
        <v>-1.0000000000000001E-5</v>
      </c>
      <c r="I208" s="194">
        <f>IFERROR(IF($C208="",-0.00001,SUMIFS(Database!K:K,Database!$E:$E,$C208)/$E208),-0.00001)</f>
        <v>-1.0000000000000001E-5</v>
      </c>
      <c r="J208" s="194">
        <f>IFERROR(IF($C208="",-0.00001,SUMIFS(Database!L:L,Database!$E:$E,$C208)/$E208),-0.00001)</f>
        <v>-1.0000000000000001E-5</v>
      </c>
      <c r="K208" s="194">
        <f>IFERROR(IF($C208="",-0.00001,SUMIFS(Database!M:M,Database!$E:$E,$C208)/$E208),-0.00001)</f>
        <v>-1.0000000000000001E-5</v>
      </c>
      <c r="L208" s="194">
        <f>IFERROR(IF($C208="",-0.00001,SUMIFS(Database!N:N,Database!$E:$E,$C208)/$E208),-0.00001)</f>
        <v>-1.0000000000000001E-5</v>
      </c>
      <c r="M208" s="194">
        <f>IFERROR(IF($C208="",-0.00001,SUMIFS(Database!O:O,Database!$E:$E,$C208)/$E208),-0.00001)</f>
        <v>-1.0000000000000001E-5</v>
      </c>
      <c r="N208" s="194">
        <f>IFERROR(IF($C208="",-0.00001,SUMIFS(Database!P:P,Database!$E:$E,$C208)/$E208),-0.00001)</f>
        <v>-1.0000000000000001E-5</v>
      </c>
      <c r="O208" s="194">
        <f>IFERROR(IF($C208="",-0.00001,SUMIFS(Database!Q:Q,Database!$E:$E,$C208)/$E208),-0.00001)</f>
        <v>-1.0000000000000001E-5</v>
      </c>
      <c r="P208" s="186">
        <f t="shared" si="9"/>
        <v>-1.0000000000000001E-5</v>
      </c>
      <c r="Q208" s="194">
        <f>IFERROR(IF($C208="",-0.00001,SUMIFS(Database!S:S,Database!$E:$E,$C208)/$E208),-0.00001)</f>
        <v>-1.0000000000000001E-5</v>
      </c>
      <c r="R208" s="194">
        <f>IFERROR(IF($C208="",-0.00001,SUMIFS(Database!T:T,Database!$E:$E,$C208)/$E208),-0.00001)</f>
        <v>-1.0000000000000001E-5</v>
      </c>
      <c r="S208" s="186">
        <f t="shared" si="10"/>
        <v>-1.0000000000000001E-5</v>
      </c>
      <c r="T208" s="194">
        <f>IFERROR(IF($C208="",-0.00001,SUMIFS(Database!V:V,Database!$E:$E,$C208)/$E208),-0.00001)</f>
        <v>-1.0000000000000001E-5</v>
      </c>
      <c r="U208" s="194">
        <f>IFERROR(IF($C208="",-0.00001,SUMIFS(Database!W:W,Database!$E:$E,$C208)/$E208),-0.00001)</f>
        <v>-1.0000000000000001E-5</v>
      </c>
      <c r="V208" s="186">
        <f t="shared" si="11"/>
        <v>-1.0000000000000001E-5</v>
      </c>
      <c r="W208" s="187"/>
      <c r="X208" s="187"/>
      <c r="Y208" s="187"/>
      <c r="Z208" s="187"/>
      <c r="AA208" s="187"/>
      <c r="AB208" s="187"/>
      <c r="AC208" s="187"/>
      <c r="AD208" s="187"/>
      <c r="AE208" s="187"/>
    </row>
    <row r="209" spans="1:31" x14ac:dyDescent="0.25">
      <c r="A209" s="187"/>
      <c r="B209" s="187" t="str">
        <f>IF($C209="","",MAX($B$4:$B208)+1)</f>
        <v/>
      </c>
      <c r="C209" s="183"/>
      <c r="D209" s="183" t="str">
        <f>IFERROR(VLOOKUP($C209,Rosters!$C$4:$M$239,INDEX(Lists!$N$5:$O$80,MATCH($C209,Lists!$N$5:$N$80,FALSE),2)),"")</f>
        <v/>
      </c>
      <c r="E209" s="185">
        <f>IF($C209="",-0.00001,COUNTIF(Database!E:E,$C209))</f>
        <v>-1.0000000000000001E-5</v>
      </c>
      <c r="F209" s="194">
        <f>IFERROR(IF($C209="",-0.00001,SUMIFS(Database!H:H,Database!$E:$E,$C209)/$E209),-0.00001)</f>
        <v>-1.0000000000000001E-5</v>
      </c>
      <c r="G209" s="194">
        <f>IFERROR(IF($C209="",-0.00001,SUMIFS(Database!I:I,Database!$E:$E,$C209)/$E209),-0.00001)</f>
        <v>-1.0000000000000001E-5</v>
      </c>
      <c r="H209" s="194">
        <f>IFERROR(IF($C209="",-0.00001,SUMIFS(Database!J:J,Database!$E:$E,$C209)/$E209),-0.00001)</f>
        <v>-1.0000000000000001E-5</v>
      </c>
      <c r="I209" s="194">
        <f>IFERROR(IF($C209="",-0.00001,SUMIFS(Database!K:K,Database!$E:$E,$C209)/$E209),-0.00001)</f>
        <v>-1.0000000000000001E-5</v>
      </c>
      <c r="J209" s="194">
        <f>IFERROR(IF($C209="",-0.00001,SUMIFS(Database!L:L,Database!$E:$E,$C209)/$E209),-0.00001)</f>
        <v>-1.0000000000000001E-5</v>
      </c>
      <c r="K209" s="194">
        <f>IFERROR(IF($C209="",-0.00001,SUMIFS(Database!M:M,Database!$E:$E,$C209)/$E209),-0.00001)</f>
        <v>-1.0000000000000001E-5</v>
      </c>
      <c r="L209" s="194">
        <f>IFERROR(IF($C209="",-0.00001,SUMIFS(Database!N:N,Database!$E:$E,$C209)/$E209),-0.00001)</f>
        <v>-1.0000000000000001E-5</v>
      </c>
      <c r="M209" s="194">
        <f>IFERROR(IF($C209="",-0.00001,SUMIFS(Database!O:O,Database!$E:$E,$C209)/$E209),-0.00001)</f>
        <v>-1.0000000000000001E-5</v>
      </c>
      <c r="N209" s="194">
        <f>IFERROR(IF($C209="",-0.00001,SUMIFS(Database!P:P,Database!$E:$E,$C209)/$E209),-0.00001)</f>
        <v>-1.0000000000000001E-5</v>
      </c>
      <c r="O209" s="194">
        <f>IFERROR(IF($C209="",-0.00001,SUMIFS(Database!Q:Q,Database!$E:$E,$C209)/$E209),-0.00001)</f>
        <v>-1.0000000000000001E-5</v>
      </c>
      <c r="P209" s="186">
        <f t="shared" si="9"/>
        <v>-1.0000000000000001E-5</v>
      </c>
      <c r="Q209" s="194">
        <f>IFERROR(IF($C209="",-0.00001,SUMIFS(Database!S:S,Database!$E:$E,$C209)/$E209),-0.00001)</f>
        <v>-1.0000000000000001E-5</v>
      </c>
      <c r="R209" s="194">
        <f>IFERROR(IF($C209="",-0.00001,SUMIFS(Database!T:T,Database!$E:$E,$C209)/$E209),-0.00001)</f>
        <v>-1.0000000000000001E-5</v>
      </c>
      <c r="S209" s="186">
        <f t="shared" si="10"/>
        <v>-1.0000000000000001E-5</v>
      </c>
      <c r="T209" s="194">
        <f>IFERROR(IF($C209="",-0.00001,SUMIFS(Database!V:V,Database!$E:$E,$C209)/$E209),-0.00001)</f>
        <v>-1.0000000000000001E-5</v>
      </c>
      <c r="U209" s="194">
        <f>IFERROR(IF($C209="",-0.00001,SUMIFS(Database!W:W,Database!$E:$E,$C209)/$E209),-0.00001)</f>
        <v>-1.0000000000000001E-5</v>
      </c>
      <c r="V209" s="186">
        <f t="shared" si="11"/>
        <v>-1.0000000000000001E-5</v>
      </c>
      <c r="W209" s="187"/>
      <c r="X209" s="187"/>
      <c r="Y209" s="187"/>
      <c r="Z209" s="187"/>
      <c r="AA209" s="187"/>
      <c r="AB209" s="187"/>
      <c r="AC209" s="187"/>
      <c r="AD209" s="187"/>
      <c r="AE209" s="187"/>
    </row>
    <row r="210" spans="1:31" x14ac:dyDescent="0.25">
      <c r="A210" s="187"/>
      <c r="B210" s="187" t="str">
        <f>IF($C210="","",MAX($B$4:$B209)+1)</f>
        <v/>
      </c>
      <c r="C210" s="183"/>
      <c r="D210" s="183" t="str">
        <f>IFERROR(VLOOKUP($C210,Rosters!$C$4:$M$239,INDEX(Lists!$N$5:$O$80,MATCH($C210,Lists!$N$5:$N$80,FALSE),2)),"")</f>
        <v/>
      </c>
      <c r="E210" s="185">
        <f>IF($C210="",-0.00001,COUNTIF(Database!E:E,$C210))</f>
        <v>-1.0000000000000001E-5</v>
      </c>
      <c r="F210" s="194">
        <f>IFERROR(IF($C210="",-0.00001,SUMIFS(Database!H:H,Database!$E:$E,$C210)/$E210),-0.00001)</f>
        <v>-1.0000000000000001E-5</v>
      </c>
      <c r="G210" s="194">
        <f>IFERROR(IF($C210="",-0.00001,SUMIFS(Database!I:I,Database!$E:$E,$C210)/$E210),-0.00001)</f>
        <v>-1.0000000000000001E-5</v>
      </c>
      <c r="H210" s="194">
        <f>IFERROR(IF($C210="",-0.00001,SUMIFS(Database!J:J,Database!$E:$E,$C210)/$E210),-0.00001)</f>
        <v>-1.0000000000000001E-5</v>
      </c>
      <c r="I210" s="194">
        <f>IFERROR(IF($C210="",-0.00001,SUMIFS(Database!K:K,Database!$E:$E,$C210)/$E210),-0.00001)</f>
        <v>-1.0000000000000001E-5</v>
      </c>
      <c r="J210" s="194">
        <f>IFERROR(IF($C210="",-0.00001,SUMIFS(Database!L:L,Database!$E:$E,$C210)/$E210),-0.00001)</f>
        <v>-1.0000000000000001E-5</v>
      </c>
      <c r="K210" s="194">
        <f>IFERROR(IF($C210="",-0.00001,SUMIFS(Database!M:M,Database!$E:$E,$C210)/$E210),-0.00001)</f>
        <v>-1.0000000000000001E-5</v>
      </c>
      <c r="L210" s="194">
        <f>IFERROR(IF($C210="",-0.00001,SUMIFS(Database!N:N,Database!$E:$E,$C210)/$E210),-0.00001)</f>
        <v>-1.0000000000000001E-5</v>
      </c>
      <c r="M210" s="194">
        <f>IFERROR(IF($C210="",-0.00001,SUMIFS(Database!O:O,Database!$E:$E,$C210)/$E210),-0.00001)</f>
        <v>-1.0000000000000001E-5</v>
      </c>
      <c r="N210" s="194">
        <f>IFERROR(IF($C210="",-0.00001,SUMIFS(Database!P:P,Database!$E:$E,$C210)/$E210),-0.00001)</f>
        <v>-1.0000000000000001E-5</v>
      </c>
      <c r="O210" s="194">
        <f>IFERROR(IF($C210="",-0.00001,SUMIFS(Database!Q:Q,Database!$E:$E,$C210)/$E210),-0.00001)</f>
        <v>-1.0000000000000001E-5</v>
      </c>
      <c r="P210" s="186">
        <f t="shared" si="9"/>
        <v>-1.0000000000000001E-5</v>
      </c>
      <c r="Q210" s="194">
        <f>IFERROR(IF($C210="",-0.00001,SUMIFS(Database!S:S,Database!$E:$E,$C210)/$E210),-0.00001)</f>
        <v>-1.0000000000000001E-5</v>
      </c>
      <c r="R210" s="194">
        <f>IFERROR(IF($C210="",-0.00001,SUMIFS(Database!T:T,Database!$E:$E,$C210)/$E210),-0.00001)</f>
        <v>-1.0000000000000001E-5</v>
      </c>
      <c r="S210" s="186">
        <f t="shared" si="10"/>
        <v>-1.0000000000000001E-5</v>
      </c>
      <c r="T210" s="194">
        <f>IFERROR(IF($C210="",-0.00001,SUMIFS(Database!V:V,Database!$E:$E,$C210)/$E210),-0.00001)</f>
        <v>-1.0000000000000001E-5</v>
      </c>
      <c r="U210" s="194">
        <f>IFERROR(IF($C210="",-0.00001,SUMIFS(Database!W:W,Database!$E:$E,$C210)/$E210),-0.00001)</f>
        <v>-1.0000000000000001E-5</v>
      </c>
      <c r="V210" s="186">
        <f t="shared" si="11"/>
        <v>-1.0000000000000001E-5</v>
      </c>
      <c r="W210" s="187"/>
      <c r="X210" s="187"/>
      <c r="Y210" s="187"/>
      <c r="Z210" s="187"/>
      <c r="AA210" s="187"/>
      <c r="AB210" s="187"/>
      <c r="AC210" s="187"/>
      <c r="AD210" s="187"/>
      <c r="AE210" s="187"/>
    </row>
    <row r="211" spans="1:31" x14ac:dyDescent="0.25">
      <c r="A211" s="187"/>
      <c r="B211" s="187" t="str">
        <f>IF($C211="","",MAX($B$4:$B210)+1)</f>
        <v/>
      </c>
      <c r="C211" s="183"/>
      <c r="D211" s="183" t="str">
        <f>IFERROR(VLOOKUP($C211,Rosters!$C$4:$M$239,INDEX(Lists!$N$5:$O$80,MATCH($C211,Lists!$N$5:$N$80,FALSE),2)),"")</f>
        <v/>
      </c>
      <c r="E211" s="185">
        <f>IF($C211="",-0.00001,COUNTIF(Database!E:E,$C211))</f>
        <v>-1.0000000000000001E-5</v>
      </c>
      <c r="F211" s="194">
        <f>IFERROR(IF($C211="",-0.00001,SUMIFS(Database!H:H,Database!$E:$E,$C211)/$E211),-0.00001)</f>
        <v>-1.0000000000000001E-5</v>
      </c>
      <c r="G211" s="194">
        <f>IFERROR(IF($C211="",-0.00001,SUMIFS(Database!I:I,Database!$E:$E,$C211)/$E211),-0.00001)</f>
        <v>-1.0000000000000001E-5</v>
      </c>
      <c r="H211" s="194">
        <f>IFERROR(IF($C211="",-0.00001,SUMIFS(Database!J:J,Database!$E:$E,$C211)/$E211),-0.00001)</f>
        <v>-1.0000000000000001E-5</v>
      </c>
      <c r="I211" s="194">
        <f>IFERROR(IF($C211="",-0.00001,SUMIFS(Database!K:K,Database!$E:$E,$C211)/$E211),-0.00001)</f>
        <v>-1.0000000000000001E-5</v>
      </c>
      <c r="J211" s="194">
        <f>IFERROR(IF($C211="",-0.00001,SUMIFS(Database!L:L,Database!$E:$E,$C211)/$E211),-0.00001)</f>
        <v>-1.0000000000000001E-5</v>
      </c>
      <c r="K211" s="194">
        <f>IFERROR(IF($C211="",-0.00001,SUMIFS(Database!M:M,Database!$E:$E,$C211)/$E211),-0.00001)</f>
        <v>-1.0000000000000001E-5</v>
      </c>
      <c r="L211" s="194">
        <f>IFERROR(IF($C211="",-0.00001,SUMIFS(Database!N:N,Database!$E:$E,$C211)/$E211),-0.00001)</f>
        <v>-1.0000000000000001E-5</v>
      </c>
      <c r="M211" s="194">
        <f>IFERROR(IF($C211="",-0.00001,SUMIFS(Database!O:O,Database!$E:$E,$C211)/$E211),-0.00001)</f>
        <v>-1.0000000000000001E-5</v>
      </c>
      <c r="N211" s="194">
        <f>IFERROR(IF($C211="",-0.00001,SUMIFS(Database!P:P,Database!$E:$E,$C211)/$E211),-0.00001)</f>
        <v>-1.0000000000000001E-5</v>
      </c>
      <c r="O211" s="194">
        <f>IFERROR(IF($C211="",-0.00001,SUMIFS(Database!Q:Q,Database!$E:$E,$C211)/$E211),-0.00001)</f>
        <v>-1.0000000000000001E-5</v>
      </c>
      <c r="P211" s="186">
        <f t="shared" si="9"/>
        <v>-1.0000000000000001E-5</v>
      </c>
      <c r="Q211" s="194">
        <f>IFERROR(IF($C211="",-0.00001,SUMIFS(Database!S:S,Database!$E:$E,$C211)/$E211),-0.00001)</f>
        <v>-1.0000000000000001E-5</v>
      </c>
      <c r="R211" s="194">
        <f>IFERROR(IF($C211="",-0.00001,SUMIFS(Database!T:T,Database!$E:$E,$C211)/$E211),-0.00001)</f>
        <v>-1.0000000000000001E-5</v>
      </c>
      <c r="S211" s="186">
        <f t="shared" si="10"/>
        <v>-1.0000000000000001E-5</v>
      </c>
      <c r="T211" s="194">
        <f>IFERROR(IF($C211="",-0.00001,SUMIFS(Database!V:V,Database!$E:$E,$C211)/$E211),-0.00001)</f>
        <v>-1.0000000000000001E-5</v>
      </c>
      <c r="U211" s="194">
        <f>IFERROR(IF($C211="",-0.00001,SUMIFS(Database!W:W,Database!$E:$E,$C211)/$E211),-0.00001)</f>
        <v>-1.0000000000000001E-5</v>
      </c>
      <c r="V211" s="186">
        <f t="shared" si="11"/>
        <v>-1.0000000000000001E-5</v>
      </c>
      <c r="W211" s="187"/>
      <c r="X211" s="187"/>
      <c r="Y211" s="187"/>
      <c r="Z211" s="187"/>
      <c r="AA211" s="187"/>
      <c r="AB211" s="187"/>
      <c r="AC211" s="187"/>
      <c r="AD211" s="187"/>
      <c r="AE211" s="187"/>
    </row>
    <row r="212" spans="1:31" x14ac:dyDescent="0.25">
      <c r="A212" s="187"/>
      <c r="B212" s="187" t="str">
        <f>IF($C212="","",MAX($B$4:$B211)+1)</f>
        <v/>
      </c>
      <c r="C212" s="183"/>
      <c r="D212" s="183" t="str">
        <f>IFERROR(VLOOKUP($C212,Rosters!$C$4:$M$239,INDEX(Lists!$N$5:$O$80,MATCH($C212,Lists!$N$5:$N$80,FALSE),2)),"")</f>
        <v/>
      </c>
      <c r="E212" s="185">
        <f>IF($C212="",-0.00001,COUNTIF(Database!E:E,$C212))</f>
        <v>-1.0000000000000001E-5</v>
      </c>
      <c r="F212" s="194">
        <f>IFERROR(IF($C212="",-0.00001,SUMIFS(Database!H:H,Database!$E:$E,$C212)/$E212),-0.00001)</f>
        <v>-1.0000000000000001E-5</v>
      </c>
      <c r="G212" s="194">
        <f>IFERROR(IF($C212="",-0.00001,SUMIFS(Database!I:I,Database!$E:$E,$C212)/$E212),-0.00001)</f>
        <v>-1.0000000000000001E-5</v>
      </c>
      <c r="H212" s="194">
        <f>IFERROR(IF($C212="",-0.00001,SUMIFS(Database!J:J,Database!$E:$E,$C212)/$E212),-0.00001)</f>
        <v>-1.0000000000000001E-5</v>
      </c>
      <c r="I212" s="194">
        <f>IFERROR(IF($C212="",-0.00001,SUMIFS(Database!K:K,Database!$E:$E,$C212)/$E212),-0.00001)</f>
        <v>-1.0000000000000001E-5</v>
      </c>
      <c r="J212" s="194">
        <f>IFERROR(IF($C212="",-0.00001,SUMIFS(Database!L:L,Database!$E:$E,$C212)/$E212),-0.00001)</f>
        <v>-1.0000000000000001E-5</v>
      </c>
      <c r="K212" s="194">
        <f>IFERROR(IF($C212="",-0.00001,SUMIFS(Database!M:M,Database!$E:$E,$C212)/$E212),-0.00001)</f>
        <v>-1.0000000000000001E-5</v>
      </c>
      <c r="L212" s="194">
        <f>IFERROR(IF($C212="",-0.00001,SUMIFS(Database!N:N,Database!$E:$E,$C212)/$E212),-0.00001)</f>
        <v>-1.0000000000000001E-5</v>
      </c>
      <c r="M212" s="194">
        <f>IFERROR(IF($C212="",-0.00001,SUMIFS(Database!O:O,Database!$E:$E,$C212)/$E212),-0.00001)</f>
        <v>-1.0000000000000001E-5</v>
      </c>
      <c r="N212" s="194">
        <f>IFERROR(IF($C212="",-0.00001,SUMIFS(Database!P:P,Database!$E:$E,$C212)/$E212),-0.00001)</f>
        <v>-1.0000000000000001E-5</v>
      </c>
      <c r="O212" s="194">
        <f>IFERROR(IF($C212="",-0.00001,SUMIFS(Database!Q:Q,Database!$E:$E,$C212)/$E212),-0.00001)</f>
        <v>-1.0000000000000001E-5</v>
      </c>
      <c r="P212" s="186">
        <f t="shared" si="9"/>
        <v>-1.0000000000000001E-5</v>
      </c>
      <c r="Q212" s="194">
        <f>IFERROR(IF($C212="",-0.00001,SUMIFS(Database!S:S,Database!$E:$E,$C212)/$E212),-0.00001)</f>
        <v>-1.0000000000000001E-5</v>
      </c>
      <c r="R212" s="194">
        <f>IFERROR(IF($C212="",-0.00001,SUMIFS(Database!T:T,Database!$E:$E,$C212)/$E212),-0.00001)</f>
        <v>-1.0000000000000001E-5</v>
      </c>
      <c r="S212" s="186">
        <f t="shared" si="10"/>
        <v>-1.0000000000000001E-5</v>
      </c>
      <c r="T212" s="194">
        <f>IFERROR(IF($C212="",-0.00001,SUMIFS(Database!V:V,Database!$E:$E,$C212)/$E212),-0.00001)</f>
        <v>-1.0000000000000001E-5</v>
      </c>
      <c r="U212" s="194">
        <f>IFERROR(IF($C212="",-0.00001,SUMIFS(Database!W:W,Database!$E:$E,$C212)/$E212),-0.00001)</f>
        <v>-1.0000000000000001E-5</v>
      </c>
      <c r="V212" s="186">
        <f t="shared" si="11"/>
        <v>-1.0000000000000001E-5</v>
      </c>
      <c r="W212" s="187"/>
      <c r="X212" s="187"/>
      <c r="Y212" s="187"/>
      <c r="Z212" s="187"/>
      <c r="AA212" s="187"/>
      <c r="AB212" s="187"/>
      <c r="AC212" s="187"/>
      <c r="AD212" s="187"/>
      <c r="AE212" s="187"/>
    </row>
    <row r="213" spans="1:31" x14ac:dyDescent="0.25">
      <c r="A213" s="187"/>
      <c r="B213" s="187" t="str">
        <f>IF($C213="","",MAX($B$4:$B212)+1)</f>
        <v/>
      </c>
      <c r="C213" s="183"/>
      <c r="D213" s="183" t="str">
        <f>IFERROR(VLOOKUP($C213,Rosters!$C$4:$M$239,INDEX(Lists!$N$5:$O$80,MATCH($C213,Lists!$N$5:$N$80,FALSE),2)),"")</f>
        <v/>
      </c>
      <c r="E213" s="185">
        <f>IF($C213="",-0.00001,COUNTIF(Database!E:E,$C213))</f>
        <v>-1.0000000000000001E-5</v>
      </c>
      <c r="F213" s="194">
        <f>IFERROR(IF($C213="",-0.00001,SUMIFS(Database!H:H,Database!$E:$E,$C213)/$E213),-0.00001)</f>
        <v>-1.0000000000000001E-5</v>
      </c>
      <c r="G213" s="194">
        <f>IFERROR(IF($C213="",-0.00001,SUMIFS(Database!I:I,Database!$E:$E,$C213)/$E213),-0.00001)</f>
        <v>-1.0000000000000001E-5</v>
      </c>
      <c r="H213" s="194">
        <f>IFERROR(IF($C213="",-0.00001,SUMIFS(Database!J:J,Database!$E:$E,$C213)/$E213),-0.00001)</f>
        <v>-1.0000000000000001E-5</v>
      </c>
      <c r="I213" s="194">
        <f>IFERROR(IF($C213="",-0.00001,SUMIFS(Database!K:K,Database!$E:$E,$C213)/$E213),-0.00001)</f>
        <v>-1.0000000000000001E-5</v>
      </c>
      <c r="J213" s="194">
        <f>IFERROR(IF($C213="",-0.00001,SUMIFS(Database!L:L,Database!$E:$E,$C213)/$E213),-0.00001)</f>
        <v>-1.0000000000000001E-5</v>
      </c>
      <c r="K213" s="194">
        <f>IFERROR(IF($C213="",-0.00001,SUMIFS(Database!M:M,Database!$E:$E,$C213)/$E213),-0.00001)</f>
        <v>-1.0000000000000001E-5</v>
      </c>
      <c r="L213" s="194">
        <f>IFERROR(IF($C213="",-0.00001,SUMIFS(Database!N:N,Database!$E:$E,$C213)/$E213),-0.00001)</f>
        <v>-1.0000000000000001E-5</v>
      </c>
      <c r="M213" s="194">
        <f>IFERROR(IF($C213="",-0.00001,SUMIFS(Database!O:O,Database!$E:$E,$C213)/$E213),-0.00001)</f>
        <v>-1.0000000000000001E-5</v>
      </c>
      <c r="N213" s="194">
        <f>IFERROR(IF($C213="",-0.00001,SUMIFS(Database!P:P,Database!$E:$E,$C213)/$E213),-0.00001)</f>
        <v>-1.0000000000000001E-5</v>
      </c>
      <c r="O213" s="194">
        <f>IFERROR(IF($C213="",-0.00001,SUMIFS(Database!Q:Q,Database!$E:$E,$C213)/$E213),-0.00001)</f>
        <v>-1.0000000000000001E-5</v>
      </c>
      <c r="P213" s="186">
        <f t="shared" si="9"/>
        <v>-1.0000000000000001E-5</v>
      </c>
      <c r="Q213" s="194">
        <f>IFERROR(IF($C213="",-0.00001,SUMIFS(Database!S:S,Database!$E:$E,$C213)/$E213),-0.00001)</f>
        <v>-1.0000000000000001E-5</v>
      </c>
      <c r="R213" s="194">
        <f>IFERROR(IF($C213="",-0.00001,SUMIFS(Database!T:T,Database!$E:$E,$C213)/$E213),-0.00001)</f>
        <v>-1.0000000000000001E-5</v>
      </c>
      <c r="S213" s="186">
        <f t="shared" si="10"/>
        <v>-1.0000000000000001E-5</v>
      </c>
      <c r="T213" s="194">
        <f>IFERROR(IF($C213="",-0.00001,SUMIFS(Database!V:V,Database!$E:$E,$C213)/$E213),-0.00001)</f>
        <v>-1.0000000000000001E-5</v>
      </c>
      <c r="U213" s="194">
        <f>IFERROR(IF($C213="",-0.00001,SUMIFS(Database!W:W,Database!$E:$E,$C213)/$E213),-0.00001)</f>
        <v>-1.0000000000000001E-5</v>
      </c>
      <c r="V213" s="186">
        <f t="shared" si="11"/>
        <v>-1.0000000000000001E-5</v>
      </c>
      <c r="W213" s="187"/>
      <c r="X213" s="187"/>
      <c r="Y213" s="187"/>
      <c r="Z213" s="187"/>
      <c r="AA213" s="187"/>
      <c r="AB213" s="187"/>
      <c r="AC213" s="187"/>
      <c r="AD213" s="187"/>
      <c r="AE213" s="187"/>
    </row>
    <row r="214" spans="1:31" x14ac:dyDescent="0.25">
      <c r="A214" s="187"/>
      <c r="B214" s="187" t="str">
        <f>IF($C214="","",MAX($B$4:$B213)+1)</f>
        <v/>
      </c>
      <c r="C214" s="183"/>
      <c r="D214" s="183" t="str">
        <f>IFERROR(VLOOKUP($C214,Rosters!$C$4:$M$239,INDEX(Lists!$N$5:$O$80,MATCH($C214,Lists!$N$5:$N$80,FALSE),2)),"")</f>
        <v/>
      </c>
      <c r="E214" s="185">
        <f>IF($C214="",-0.00001,COUNTIF(Database!E:E,$C214))</f>
        <v>-1.0000000000000001E-5</v>
      </c>
      <c r="F214" s="194">
        <f>IFERROR(IF($C214="",-0.00001,SUMIFS(Database!H:H,Database!$E:$E,$C214)/$E214),-0.00001)</f>
        <v>-1.0000000000000001E-5</v>
      </c>
      <c r="G214" s="194">
        <f>IFERROR(IF($C214="",-0.00001,SUMIFS(Database!I:I,Database!$E:$E,$C214)/$E214),-0.00001)</f>
        <v>-1.0000000000000001E-5</v>
      </c>
      <c r="H214" s="194">
        <f>IFERROR(IF($C214="",-0.00001,SUMIFS(Database!J:J,Database!$E:$E,$C214)/$E214),-0.00001)</f>
        <v>-1.0000000000000001E-5</v>
      </c>
      <c r="I214" s="194">
        <f>IFERROR(IF($C214="",-0.00001,SUMIFS(Database!K:K,Database!$E:$E,$C214)/$E214),-0.00001)</f>
        <v>-1.0000000000000001E-5</v>
      </c>
      <c r="J214" s="194">
        <f>IFERROR(IF($C214="",-0.00001,SUMIFS(Database!L:L,Database!$E:$E,$C214)/$E214),-0.00001)</f>
        <v>-1.0000000000000001E-5</v>
      </c>
      <c r="K214" s="194">
        <f>IFERROR(IF($C214="",-0.00001,SUMIFS(Database!M:M,Database!$E:$E,$C214)/$E214),-0.00001)</f>
        <v>-1.0000000000000001E-5</v>
      </c>
      <c r="L214" s="194">
        <f>IFERROR(IF($C214="",-0.00001,SUMIFS(Database!N:N,Database!$E:$E,$C214)/$E214),-0.00001)</f>
        <v>-1.0000000000000001E-5</v>
      </c>
      <c r="M214" s="194">
        <f>IFERROR(IF($C214="",-0.00001,SUMIFS(Database!O:O,Database!$E:$E,$C214)/$E214),-0.00001)</f>
        <v>-1.0000000000000001E-5</v>
      </c>
      <c r="N214" s="194">
        <f>IFERROR(IF($C214="",-0.00001,SUMIFS(Database!P:P,Database!$E:$E,$C214)/$E214),-0.00001)</f>
        <v>-1.0000000000000001E-5</v>
      </c>
      <c r="O214" s="194">
        <f>IFERROR(IF($C214="",-0.00001,SUMIFS(Database!Q:Q,Database!$E:$E,$C214)/$E214),-0.00001)</f>
        <v>-1.0000000000000001E-5</v>
      </c>
      <c r="P214" s="186">
        <f t="shared" si="9"/>
        <v>-1.0000000000000001E-5</v>
      </c>
      <c r="Q214" s="194">
        <f>IFERROR(IF($C214="",-0.00001,SUMIFS(Database!S:S,Database!$E:$E,$C214)/$E214),-0.00001)</f>
        <v>-1.0000000000000001E-5</v>
      </c>
      <c r="R214" s="194">
        <f>IFERROR(IF($C214="",-0.00001,SUMIFS(Database!T:T,Database!$E:$E,$C214)/$E214),-0.00001)</f>
        <v>-1.0000000000000001E-5</v>
      </c>
      <c r="S214" s="186">
        <f t="shared" si="10"/>
        <v>-1.0000000000000001E-5</v>
      </c>
      <c r="T214" s="194">
        <f>IFERROR(IF($C214="",-0.00001,SUMIFS(Database!V:V,Database!$E:$E,$C214)/$E214),-0.00001)</f>
        <v>-1.0000000000000001E-5</v>
      </c>
      <c r="U214" s="194">
        <f>IFERROR(IF($C214="",-0.00001,SUMIFS(Database!W:W,Database!$E:$E,$C214)/$E214),-0.00001)</f>
        <v>-1.0000000000000001E-5</v>
      </c>
      <c r="V214" s="186">
        <f t="shared" si="11"/>
        <v>-1.0000000000000001E-5</v>
      </c>
      <c r="W214" s="187"/>
      <c r="X214" s="187"/>
      <c r="Y214" s="187"/>
      <c r="Z214" s="187"/>
      <c r="AA214" s="187"/>
      <c r="AB214" s="187"/>
      <c r="AC214" s="187"/>
      <c r="AD214" s="187"/>
      <c r="AE214" s="187"/>
    </row>
    <row r="215" spans="1:31" x14ac:dyDescent="0.25">
      <c r="A215" s="187"/>
      <c r="B215" s="187" t="str">
        <f>IF($C215="","",MAX($B$4:$B214)+1)</f>
        <v/>
      </c>
      <c r="C215" s="183"/>
      <c r="D215" s="183" t="str">
        <f>IFERROR(VLOOKUP($C215,Rosters!$C$4:$M$239,INDEX(Lists!$N$5:$O$80,MATCH($C215,Lists!$N$5:$N$80,FALSE),2)),"")</f>
        <v/>
      </c>
      <c r="E215" s="185">
        <f>IF($C215="",-0.00001,COUNTIF(Database!E:E,$C215))</f>
        <v>-1.0000000000000001E-5</v>
      </c>
      <c r="F215" s="194">
        <f>IFERROR(IF($C215="",-0.00001,SUMIFS(Database!H:H,Database!$E:$E,$C215)/$E215),-0.00001)</f>
        <v>-1.0000000000000001E-5</v>
      </c>
      <c r="G215" s="194">
        <f>IFERROR(IF($C215="",-0.00001,SUMIFS(Database!I:I,Database!$E:$E,$C215)/$E215),-0.00001)</f>
        <v>-1.0000000000000001E-5</v>
      </c>
      <c r="H215" s="194">
        <f>IFERROR(IF($C215="",-0.00001,SUMIFS(Database!J:J,Database!$E:$E,$C215)/$E215),-0.00001)</f>
        <v>-1.0000000000000001E-5</v>
      </c>
      <c r="I215" s="194">
        <f>IFERROR(IF($C215="",-0.00001,SUMIFS(Database!K:K,Database!$E:$E,$C215)/$E215),-0.00001)</f>
        <v>-1.0000000000000001E-5</v>
      </c>
      <c r="J215" s="194">
        <f>IFERROR(IF($C215="",-0.00001,SUMIFS(Database!L:L,Database!$E:$E,$C215)/$E215),-0.00001)</f>
        <v>-1.0000000000000001E-5</v>
      </c>
      <c r="K215" s="194">
        <f>IFERROR(IF($C215="",-0.00001,SUMIFS(Database!M:M,Database!$E:$E,$C215)/$E215),-0.00001)</f>
        <v>-1.0000000000000001E-5</v>
      </c>
      <c r="L215" s="194">
        <f>IFERROR(IF($C215="",-0.00001,SUMIFS(Database!N:N,Database!$E:$E,$C215)/$E215),-0.00001)</f>
        <v>-1.0000000000000001E-5</v>
      </c>
      <c r="M215" s="194">
        <f>IFERROR(IF($C215="",-0.00001,SUMIFS(Database!O:O,Database!$E:$E,$C215)/$E215),-0.00001)</f>
        <v>-1.0000000000000001E-5</v>
      </c>
      <c r="N215" s="194">
        <f>IFERROR(IF($C215="",-0.00001,SUMIFS(Database!P:P,Database!$E:$E,$C215)/$E215),-0.00001)</f>
        <v>-1.0000000000000001E-5</v>
      </c>
      <c r="O215" s="194">
        <f>IFERROR(IF($C215="",-0.00001,SUMIFS(Database!Q:Q,Database!$E:$E,$C215)/$E215),-0.00001)</f>
        <v>-1.0000000000000001E-5</v>
      </c>
      <c r="P215" s="186">
        <f t="shared" si="9"/>
        <v>-1.0000000000000001E-5</v>
      </c>
      <c r="Q215" s="194">
        <f>IFERROR(IF($C215="",-0.00001,SUMIFS(Database!S:S,Database!$E:$E,$C215)/$E215),-0.00001)</f>
        <v>-1.0000000000000001E-5</v>
      </c>
      <c r="R215" s="194">
        <f>IFERROR(IF($C215="",-0.00001,SUMIFS(Database!T:T,Database!$E:$E,$C215)/$E215),-0.00001)</f>
        <v>-1.0000000000000001E-5</v>
      </c>
      <c r="S215" s="186">
        <f t="shared" si="10"/>
        <v>-1.0000000000000001E-5</v>
      </c>
      <c r="T215" s="194">
        <f>IFERROR(IF($C215="",-0.00001,SUMIFS(Database!V:V,Database!$E:$E,$C215)/$E215),-0.00001)</f>
        <v>-1.0000000000000001E-5</v>
      </c>
      <c r="U215" s="194">
        <f>IFERROR(IF($C215="",-0.00001,SUMIFS(Database!W:W,Database!$E:$E,$C215)/$E215),-0.00001)</f>
        <v>-1.0000000000000001E-5</v>
      </c>
      <c r="V215" s="186">
        <f t="shared" si="11"/>
        <v>-1.0000000000000001E-5</v>
      </c>
      <c r="W215" s="187"/>
      <c r="X215" s="187"/>
      <c r="Y215" s="187"/>
      <c r="Z215" s="187"/>
      <c r="AA215" s="187"/>
      <c r="AB215" s="187"/>
      <c r="AC215" s="187"/>
      <c r="AD215" s="187"/>
      <c r="AE215" s="187"/>
    </row>
    <row r="216" spans="1:31" x14ac:dyDescent="0.25">
      <c r="A216" s="187"/>
      <c r="B216" s="187" t="str">
        <f>IF($C216="","",MAX($B$4:$B215)+1)</f>
        <v/>
      </c>
      <c r="C216" s="183"/>
      <c r="D216" s="183" t="str">
        <f>IFERROR(VLOOKUP($C216,Rosters!$C$4:$M$239,INDEX(Lists!$N$5:$O$80,MATCH($C216,Lists!$N$5:$N$80,FALSE),2)),"")</f>
        <v/>
      </c>
      <c r="E216" s="185">
        <f>IF($C216="",-0.00001,COUNTIF(Database!E:E,$C216))</f>
        <v>-1.0000000000000001E-5</v>
      </c>
      <c r="F216" s="194">
        <f>IFERROR(IF($C216="",-0.00001,SUMIFS(Database!H:H,Database!$E:$E,$C216)/$E216),-0.00001)</f>
        <v>-1.0000000000000001E-5</v>
      </c>
      <c r="G216" s="194">
        <f>IFERROR(IF($C216="",-0.00001,SUMIFS(Database!I:I,Database!$E:$E,$C216)/$E216),-0.00001)</f>
        <v>-1.0000000000000001E-5</v>
      </c>
      <c r="H216" s="194">
        <f>IFERROR(IF($C216="",-0.00001,SUMIFS(Database!J:J,Database!$E:$E,$C216)/$E216),-0.00001)</f>
        <v>-1.0000000000000001E-5</v>
      </c>
      <c r="I216" s="194">
        <f>IFERROR(IF($C216="",-0.00001,SUMIFS(Database!K:K,Database!$E:$E,$C216)/$E216),-0.00001)</f>
        <v>-1.0000000000000001E-5</v>
      </c>
      <c r="J216" s="194">
        <f>IFERROR(IF($C216="",-0.00001,SUMIFS(Database!L:L,Database!$E:$E,$C216)/$E216),-0.00001)</f>
        <v>-1.0000000000000001E-5</v>
      </c>
      <c r="K216" s="194">
        <f>IFERROR(IF($C216="",-0.00001,SUMIFS(Database!M:M,Database!$E:$E,$C216)/$E216),-0.00001)</f>
        <v>-1.0000000000000001E-5</v>
      </c>
      <c r="L216" s="194">
        <f>IFERROR(IF($C216="",-0.00001,SUMIFS(Database!N:N,Database!$E:$E,$C216)/$E216),-0.00001)</f>
        <v>-1.0000000000000001E-5</v>
      </c>
      <c r="M216" s="194">
        <f>IFERROR(IF($C216="",-0.00001,SUMIFS(Database!O:O,Database!$E:$E,$C216)/$E216),-0.00001)</f>
        <v>-1.0000000000000001E-5</v>
      </c>
      <c r="N216" s="194">
        <f>IFERROR(IF($C216="",-0.00001,SUMIFS(Database!P:P,Database!$E:$E,$C216)/$E216),-0.00001)</f>
        <v>-1.0000000000000001E-5</v>
      </c>
      <c r="O216" s="194">
        <f>IFERROR(IF($C216="",-0.00001,SUMIFS(Database!Q:Q,Database!$E:$E,$C216)/$E216),-0.00001)</f>
        <v>-1.0000000000000001E-5</v>
      </c>
      <c r="P216" s="186">
        <f t="shared" si="9"/>
        <v>-1.0000000000000001E-5</v>
      </c>
      <c r="Q216" s="194">
        <f>IFERROR(IF($C216="",-0.00001,SUMIFS(Database!S:S,Database!$E:$E,$C216)/$E216),-0.00001)</f>
        <v>-1.0000000000000001E-5</v>
      </c>
      <c r="R216" s="194">
        <f>IFERROR(IF($C216="",-0.00001,SUMIFS(Database!T:T,Database!$E:$E,$C216)/$E216),-0.00001)</f>
        <v>-1.0000000000000001E-5</v>
      </c>
      <c r="S216" s="186">
        <f t="shared" si="10"/>
        <v>-1.0000000000000001E-5</v>
      </c>
      <c r="T216" s="194">
        <f>IFERROR(IF($C216="",-0.00001,SUMIFS(Database!V:V,Database!$E:$E,$C216)/$E216),-0.00001)</f>
        <v>-1.0000000000000001E-5</v>
      </c>
      <c r="U216" s="194">
        <f>IFERROR(IF($C216="",-0.00001,SUMIFS(Database!W:W,Database!$E:$E,$C216)/$E216),-0.00001)</f>
        <v>-1.0000000000000001E-5</v>
      </c>
      <c r="V216" s="186">
        <f t="shared" si="11"/>
        <v>-1.0000000000000001E-5</v>
      </c>
      <c r="W216" s="187"/>
      <c r="X216" s="187"/>
      <c r="Y216" s="187"/>
      <c r="Z216" s="187"/>
      <c r="AA216" s="187"/>
      <c r="AB216" s="187"/>
      <c r="AC216" s="187"/>
      <c r="AD216" s="187"/>
      <c r="AE216" s="187"/>
    </row>
    <row r="217" spans="1:31" x14ac:dyDescent="0.25">
      <c r="A217" s="187"/>
      <c r="B217" s="187" t="str">
        <f>IF($C217="","",MAX($B$4:$B216)+1)</f>
        <v/>
      </c>
      <c r="C217" s="183"/>
      <c r="D217" s="183" t="str">
        <f>IFERROR(VLOOKUP($C217,Rosters!$C$4:$M$239,INDEX(Lists!$N$5:$O$80,MATCH($C217,Lists!$N$5:$N$80,FALSE),2)),"")</f>
        <v/>
      </c>
      <c r="E217" s="185">
        <f>IF($C217="",-0.00001,COUNTIF(Database!E:E,$C217))</f>
        <v>-1.0000000000000001E-5</v>
      </c>
      <c r="F217" s="194">
        <f>IFERROR(IF($C217="",-0.00001,SUMIFS(Database!H:H,Database!$E:$E,$C217)/$E217),-0.00001)</f>
        <v>-1.0000000000000001E-5</v>
      </c>
      <c r="G217" s="194">
        <f>IFERROR(IF($C217="",-0.00001,SUMIFS(Database!I:I,Database!$E:$E,$C217)/$E217),-0.00001)</f>
        <v>-1.0000000000000001E-5</v>
      </c>
      <c r="H217" s="194">
        <f>IFERROR(IF($C217="",-0.00001,SUMIFS(Database!J:J,Database!$E:$E,$C217)/$E217),-0.00001)</f>
        <v>-1.0000000000000001E-5</v>
      </c>
      <c r="I217" s="194">
        <f>IFERROR(IF($C217="",-0.00001,SUMIFS(Database!K:K,Database!$E:$E,$C217)/$E217),-0.00001)</f>
        <v>-1.0000000000000001E-5</v>
      </c>
      <c r="J217" s="194">
        <f>IFERROR(IF($C217="",-0.00001,SUMIFS(Database!L:L,Database!$E:$E,$C217)/$E217),-0.00001)</f>
        <v>-1.0000000000000001E-5</v>
      </c>
      <c r="K217" s="194">
        <f>IFERROR(IF($C217="",-0.00001,SUMIFS(Database!M:M,Database!$E:$E,$C217)/$E217),-0.00001)</f>
        <v>-1.0000000000000001E-5</v>
      </c>
      <c r="L217" s="194">
        <f>IFERROR(IF($C217="",-0.00001,SUMIFS(Database!N:N,Database!$E:$E,$C217)/$E217),-0.00001)</f>
        <v>-1.0000000000000001E-5</v>
      </c>
      <c r="M217" s="194">
        <f>IFERROR(IF($C217="",-0.00001,SUMIFS(Database!O:O,Database!$E:$E,$C217)/$E217),-0.00001)</f>
        <v>-1.0000000000000001E-5</v>
      </c>
      <c r="N217" s="194">
        <f>IFERROR(IF($C217="",-0.00001,SUMIFS(Database!P:P,Database!$E:$E,$C217)/$E217),-0.00001)</f>
        <v>-1.0000000000000001E-5</v>
      </c>
      <c r="O217" s="194">
        <f>IFERROR(IF($C217="",-0.00001,SUMIFS(Database!Q:Q,Database!$E:$E,$C217)/$E217),-0.00001)</f>
        <v>-1.0000000000000001E-5</v>
      </c>
      <c r="P217" s="186">
        <f t="shared" si="9"/>
        <v>-1.0000000000000001E-5</v>
      </c>
      <c r="Q217" s="194">
        <f>IFERROR(IF($C217="",-0.00001,SUMIFS(Database!S:S,Database!$E:$E,$C217)/$E217),-0.00001)</f>
        <v>-1.0000000000000001E-5</v>
      </c>
      <c r="R217" s="194">
        <f>IFERROR(IF($C217="",-0.00001,SUMIFS(Database!T:T,Database!$E:$E,$C217)/$E217),-0.00001)</f>
        <v>-1.0000000000000001E-5</v>
      </c>
      <c r="S217" s="186">
        <f t="shared" si="10"/>
        <v>-1.0000000000000001E-5</v>
      </c>
      <c r="T217" s="194">
        <f>IFERROR(IF($C217="",-0.00001,SUMIFS(Database!V:V,Database!$E:$E,$C217)/$E217),-0.00001)</f>
        <v>-1.0000000000000001E-5</v>
      </c>
      <c r="U217" s="194">
        <f>IFERROR(IF($C217="",-0.00001,SUMIFS(Database!W:W,Database!$E:$E,$C217)/$E217),-0.00001)</f>
        <v>-1.0000000000000001E-5</v>
      </c>
      <c r="V217" s="186">
        <f t="shared" si="11"/>
        <v>-1.0000000000000001E-5</v>
      </c>
      <c r="W217" s="187"/>
      <c r="X217" s="187"/>
      <c r="Y217" s="187"/>
      <c r="Z217" s="187"/>
      <c r="AA217" s="187"/>
      <c r="AB217" s="187"/>
      <c r="AC217" s="187"/>
      <c r="AD217" s="187"/>
      <c r="AE217" s="187"/>
    </row>
    <row r="218" spans="1:31" x14ac:dyDescent="0.25">
      <c r="A218" s="187"/>
      <c r="B218" s="187" t="str">
        <f>IF($C218="","",MAX($B$4:$B217)+1)</f>
        <v/>
      </c>
      <c r="C218" s="183"/>
      <c r="D218" s="183" t="str">
        <f>IFERROR(VLOOKUP($C218,Rosters!$C$4:$M$239,INDEX(Lists!$N$5:$O$80,MATCH($C218,Lists!$N$5:$N$80,FALSE),2)),"")</f>
        <v/>
      </c>
      <c r="E218" s="185">
        <f>IF($C218="",-0.00001,COUNTIF(Database!E:E,$C218))</f>
        <v>-1.0000000000000001E-5</v>
      </c>
      <c r="F218" s="194">
        <f>IFERROR(IF($C218="",-0.00001,SUMIFS(Database!H:H,Database!$E:$E,$C218)/$E218),-0.00001)</f>
        <v>-1.0000000000000001E-5</v>
      </c>
      <c r="G218" s="194">
        <f>IFERROR(IF($C218="",-0.00001,SUMIFS(Database!I:I,Database!$E:$E,$C218)/$E218),-0.00001)</f>
        <v>-1.0000000000000001E-5</v>
      </c>
      <c r="H218" s="194">
        <f>IFERROR(IF($C218="",-0.00001,SUMIFS(Database!J:J,Database!$E:$E,$C218)/$E218),-0.00001)</f>
        <v>-1.0000000000000001E-5</v>
      </c>
      <c r="I218" s="194">
        <f>IFERROR(IF($C218="",-0.00001,SUMIFS(Database!K:K,Database!$E:$E,$C218)/$E218),-0.00001)</f>
        <v>-1.0000000000000001E-5</v>
      </c>
      <c r="J218" s="194">
        <f>IFERROR(IF($C218="",-0.00001,SUMIFS(Database!L:L,Database!$E:$E,$C218)/$E218),-0.00001)</f>
        <v>-1.0000000000000001E-5</v>
      </c>
      <c r="K218" s="194">
        <f>IFERROR(IF($C218="",-0.00001,SUMIFS(Database!M:M,Database!$E:$E,$C218)/$E218),-0.00001)</f>
        <v>-1.0000000000000001E-5</v>
      </c>
      <c r="L218" s="194">
        <f>IFERROR(IF($C218="",-0.00001,SUMIFS(Database!N:N,Database!$E:$E,$C218)/$E218),-0.00001)</f>
        <v>-1.0000000000000001E-5</v>
      </c>
      <c r="M218" s="194">
        <f>IFERROR(IF($C218="",-0.00001,SUMIFS(Database!O:O,Database!$E:$E,$C218)/$E218),-0.00001)</f>
        <v>-1.0000000000000001E-5</v>
      </c>
      <c r="N218" s="194">
        <f>IFERROR(IF($C218="",-0.00001,SUMIFS(Database!P:P,Database!$E:$E,$C218)/$E218),-0.00001)</f>
        <v>-1.0000000000000001E-5</v>
      </c>
      <c r="O218" s="194">
        <f>IFERROR(IF($C218="",-0.00001,SUMIFS(Database!Q:Q,Database!$E:$E,$C218)/$E218),-0.00001)</f>
        <v>-1.0000000000000001E-5</v>
      </c>
      <c r="P218" s="186">
        <f t="shared" si="9"/>
        <v>-1.0000000000000001E-5</v>
      </c>
      <c r="Q218" s="194">
        <f>IFERROR(IF($C218="",-0.00001,SUMIFS(Database!S:S,Database!$E:$E,$C218)/$E218),-0.00001)</f>
        <v>-1.0000000000000001E-5</v>
      </c>
      <c r="R218" s="194">
        <f>IFERROR(IF($C218="",-0.00001,SUMIFS(Database!T:T,Database!$E:$E,$C218)/$E218),-0.00001)</f>
        <v>-1.0000000000000001E-5</v>
      </c>
      <c r="S218" s="186">
        <f t="shared" si="10"/>
        <v>-1.0000000000000001E-5</v>
      </c>
      <c r="T218" s="194">
        <f>IFERROR(IF($C218="",-0.00001,SUMIFS(Database!V:V,Database!$E:$E,$C218)/$E218),-0.00001)</f>
        <v>-1.0000000000000001E-5</v>
      </c>
      <c r="U218" s="194">
        <f>IFERROR(IF($C218="",-0.00001,SUMIFS(Database!W:W,Database!$E:$E,$C218)/$E218),-0.00001)</f>
        <v>-1.0000000000000001E-5</v>
      </c>
      <c r="V218" s="186">
        <f t="shared" si="11"/>
        <v>-1.0000000000000001E-5</v>
      </c>
      <c r="W218" s="187"/>
      <c r="X218" s="187"/>
      <c r="Y218" s="187"/>
      <c r="Z218" s="187"/>
      <c r="AA218" s="187"/>
      <c r="AB218" s="187"/>
      <c r="AC218" s="187"/>
      <c r="AD218" s="187"/>
      <c r="AE218" s="187"/>
    </row>
    <row r="219" spans="1:31" x14ac:dyDescent="0.25">
      <c r="A219" s="187"/>
      <c r="B219" s="187" t="str">
        <f>IF($C219="","",MAX($B$4:$B218)+1)</f>
        <v/>
      </c>
      <c r="C219" s="183"/>
      <c r="D219" s="183" t="str">
        <f>IFERROR(VLOOKUP($C219,Rosters!$C$4:$M$239,INDEX(Lists!$N$5:$O$80,MATCH($C219,Lists!$N$5:$N$80,FALSE),2)),"")</f>
        <v/>
      </c>
      <c r="E219" s="185">
        <f>IF($C219="",-0.00001,COUNTIF(Database!E:E,$C219))</f>
        <v>-1.0000000000000001E-5</v>
      </c>
      <c r="F219" s="194">
        <f>IFERROR(IF($C219="",-0.00001,SUMIFS(Database!H:H,Database!$E:$E,$C219)/$E219),-0.00001)</f>
        <v>-1.0000000000000001E-5</v>
      </c>
      <c r="G219" s="194">
        <f>IFERROR(IF($C219="",-0.00001,SUMIFS(Database!I:I,Database!$E:$E,$C219)/$E219),-0.00001)</f>
        <v>-1.0000000000000001E-5</v>
      </c>
      <c r="H219" s="194">
        <f>IFERROR(IF($C219="",-0.00001,SUMIFS(Database!J:J,Database!$E:$E,$C219)/$E219),-0.00001)</f>
        <v>-1.0000000000000001E-5</v>
      </c>
      <c r="I219" s="194">
        <f>IFERROR(IF($C219="",-0.00001,SUMIFS(Database!K:K,Database!$E:$E,$C219)/$E219),-0.00001)</f>
        <v>-1.0000000000000001E-5</v>
      </c>
      <c r="J219" s="194">
        <f>IFERROR(IF($C219="",-0.00001,SUMIFS(Database!L:L,Database!$E:$E,$C219)/$E219),-0.00001)</f>
        <v>-1.0000000000000001E-5</v>
      </c>
      <c r="K219" s="194">
        <f>IFERROR(IF($C219="",-0.00001,SUMIFS(Database!M:M,Database!$E:$E,$C219)/$E219),-0.00001)</f>
        <v>-1.0000000000000001E-5</v>
      </c>
      <c r="L219" s="194">
        <f>IFERROR(IF($C219="",-0.00001,SUMIFS(Database!N:N,Database!$E:$E,$C219)/$E219),-0.00001)</f>
        <v>-1.0000000000000001E-5</v>
      </c>
      <c r="M219" s="194">
        <f>IFERROR(IF($C219="",-0.00001,SUMIFS(Database!O:O,Database!$E:$E,$C219)/$E219),-0.00001)</f>
        <v>-1.0000000000000001E-5</v>
      </c>
      <c r="N219" s="194">
        <f>IFERROR(IF($C219="",-0.00001,SUMIFS(Database!P:P,Database!$E:$E,$C219)/$E219),-0.00001)</f>
        <v>-1.0000000000000001E-5</v>
      </c>
      <c r="O219" s="194">
        <f>IFERROR(IF($C219="",-0.00001,SUMIFS(Database!Q:Q,Database!$E:$E,$C219)/$E219),-0.00001)</f>
        <v>-1.0000000000000001E-5</v>
      </c>
      <c r="P219" s="186">
        <f t="shared" si="9"/>
        <v>-1.0000000000000001E-5</v>
      </c>
      <c r="Q219" s="194">
        <f>IFERROR(IF($C219="",-0.00001,SUMIFS(Database!S:S,Database!$E:$E,$C219)/$E219),-0.00001)</f>
        <v>-1.0000000000000001E-5</v>
      </c>
      <c r="R219" s="194">
        <f>IFERROR(IF($C219="",-0.00001,SUMIFS(Database!T:T,Database!$E:$E,$C219)/$E219),-0.00001)</f>
        <v>-1.0000000000000001E-5</v>
      </c>
      <c r="S219" s="186">
        <f t="shared" si="10"/>
        <v>-1.0000000000000001E-5</v>
      </c>
      <c r="T219" s="194">
        <f>IFERROR(IF($C219="",-0.00001,SUMIFS(Database!V:V,Database!$E:$E,$C219)/$E219),-0.00001)</f>
        <v>-1.0000000000000001E-5</v>
      </c>
      <c r="U219" s="194">
        <f>IFERROR(IF($C219="",-0.00001,SUMIFS(Database!W:W,Database!$E:$E,$C219)/$E219),-0.00001)</f>
        <v>-1.0000000000000001E-5</v>
      </c>
      <c r="V219" s="186">
        <f t="shared" si="11"/>
        <v>-1.0000000000000001E-5</v>
      </c>
      <c r="W219" s="187"/>
      <c r="X219" s="187"/>
      <c r="Y219" s="187"/>
      <c r="Z219" s="187"/>
      <c r="AA219" s="187"/>
      <c r="AB219" s="187"/>
      <c r="AC219" s="187"/>
      <c r="AD219" s="187"/>
      <c r="AE219" s="187"/>
    </row>
    <row r="220" spans="1:31" x14ac:dyDescent="0.25">
      <c r="A220" s="187"/>
      <c r="B220" s="187" t="str">
        <f>IF($C220="","",MAX($B$4:$B219)+1)</f>
        <v/>
      </c>
      <c r="C220" s="183"/>
      <c r="D220" s="183" t="str">
        <f>IFERROR(VLOOKUP($C220,Rosters!$C$4:$M$239,INDEX(Lists!$N$5:$O$80,MATCH($C220,Lists!$N$5:$N$80,FALSE),2)),"")</f>
        <v/>
      </c>
      <c r="E220" s="185">
        <f>IF($C220="",-0.00001,COUNTIF(Database!E:E,$C220))</f>
        <v>-1.0000000000000001E-5</v>
      </c>
      <c r="F220" s="194">
        <f>IFERROR(IF($C220="",-0.00001,SUMIFS(Database!H:H,Database!$E:$E,$C220)/$E220),-0.00001)</f>
        <v>-1.0000000000000001E-5</v>
      </c>
      <c r="G220" s="194">
        <f>IFERROR(IF($C220="",-0.00001,SUMIFS(Database!I:I,Database!$E:$E,$C220)/$E220),-0.00001)</f>
        <v>-1.0000000000000001E-5</v>
      </c>
      <c r="H220" s="194">
        <f>IFERROR(IF($C220="",-0.00001,SUMIFS(Database!J:J,Database!$E:$E,$C220)/$E220),-0.00001)</f>
        <v>-1.0000000000000001E-5</v>
      </c>
      <c r="I220" s="194">
        <f>IFERROR(IF($C220="",-0.00001,SUMIFS(Database!K:K,Database!$E:$E,$C220)/$E220),-0.00001)</f>
        <v>-1.0000000000000001E-5</v>
      </c>
      <c r="J220" s="194">
        <f>IFERROR(IF($C220="",-0.00001,SUMIFS(Database!L:L,Database!$E:$E,$C220)/$E220),-0.00001)</f>
        <v>-1.0000000000000001E-5</v>
      </c>
      <c r="K220" s="194">
        <f>IFERROR(IF($C220="",-0.00001,SUMIFS(Database!M:M,Database!$E:$E,$C220)/$E220),-0.00001)</f>
        <v>-1.0000000000000001E-5</v>
      </c>
      <c r="L220" s="194">
        <f>IFERROR(IF($C220="",-0.00001,SUMIFS(Database!N:N,Database!$E:$E,$C220)/$E220),-0.00001)</f>
        <v>-1.0000000000000001E-5</v>
      </c>
      <c r="M220" s="194">
        <f>IFERROR(IF($C220="",-0.00001,SUMIFS(Database!O:O,Database!$E:$E,$C220)/$E220),-0.00001)</f>
        <v>-1.0000000000000001E-5</v>
      </c>
      <c r="N220" s="194">
        <f>IFERROR(IF($C220="",-0.00001,SUMIFS(Database!P:P,Database!$E:$E,$C220)/$E220),-0.00001)</f>
        <v>-1.0000000000000001E-5</v>
      </c>
      <c r="O220" s="194">
        <f>IFERROR(IF($C220="",-0.00001,SUMIFS(Database!Q:Q,Database!$E:$E,$C220)/$E220),-0.00001)</f>
        <v>-1.0000000000000001E-5</v>
      </c>
      <c r="P220" s="186">
        <f t="shared" si="9"/>
        <v>-1.0000000000000001E-5</v>
      </c>
      <c r="Q220" s="194">
        <f>IFERROR(IF($C220="",-0.00001,SUMIFS(Database!S:S,Database!$E:$E,$C220)/$E220),-0.00001)</f>
        <v>-1.0000000000000001E-5</v>
      </c>
      <c r="R220" s="194">
        <f>IFERROR(IF($C220="",-0.00001,SUMIFS(Database!T:T,Database!$E:$E,$C220)/$E220),-0.00001)</f>
        <v>-1.0000000000000001E-5</v>
      </c>
      <c r="S220" s="186">
        <f t="shared" si="10"/>
        <v>-1.0000000000000001E-5</v>
      </c>
      <c r="T220" s="194">
        <f>IFERROR(IF($C220="",-0.00001,SUMIFS(Database!V:V,Database!$E:$E,$C220)/$E220),-0.00001)</f>
        <v>-1.0000000000000001E-5</v>
      </c>
      <c r="U220" s="194">
        <f>IFERROR(IF($C220="",-0.00001,SUMIFS(Database!W:W,Database!$E:$E,$C220)/$E220),-0.00001)</f>
        <v>-1.0000000000000001E-5</v>
      </c>
      <c r="V220" s="186">
        <f t="shared" si="11"/>
        <v>-1.0000000000000001E-5</v>
      </c>
      <c r="W220" s="187"/>
      <c r="X220" s="187"/>
      <c r="Y220" s="187"/>
      <c r="Z220" s="187"/>
      <c r="AA220" s="187"/>
      <c r="AB220" s="187"/>
      <c r="AC220" s="187"/>
      <c r="AD220" s="187"/>
      <c r="AE220" s="187"/>
    </row>
    <row r="221" spans="1:31" x14ac:dyDescent="0.25">
      <c r="A221" s="187"/>
      <c r="B221" s="187" t="str">
        <f>IF($C221="","",MAX($B$4:$B220)+1)</f>
        <v/>
      </c>
      <c r="C221" s="183"/>
      <c r="D221" s="183" t="str">
        <f>IFERROR(VLOOKUP($C221,Rosters!$C$4:$M$239,INDEX(Lists!$N$5:$O$80,MATCH($C221,Lists!$N$5:$N$80,FALSE),2)),"")</f>
        <v/>
      </c>
      <c r="E221" s="185">
        <f>IF($C221="",-0.00001,COUNTIF(Database!E:E,$C221))</f>
        <v>-1.0000000000000001E-5</v>
      </c>
      <c r="F221" s="194">
        <f>IFERROR(IF($C221="",-0.00001,SUMIFS(Database!H:H,Database!$E:$E,$C221)/$E221),-0.00001)</f>
        <v>-1.0000000000000001E-5</v>
      </c>
      <c r="G221" s="194">
        <f>IFERROR(IF($C221="",-0.00001,SUMIFS(Database!I:I,Database!$E:$E,$C221)/$E221),-0.00001)</f>
        <v>-1.0000000000000001E-5</v>
      </c>
      <c r="H221" s="194">
        <f>IFERROR(IF($C221="",-0.00001,SUMIFS(Database!J:J,Database!$E:$E,$C221)/$E221),-0.00001)</f>
        <v>-1.0000000000000001E-5</v>
      </c>
      <c r="I221" s="194">
        <f>IFERROR(IF($C221="",-0.00001,SUMIFS(Database!K:K,Database!$E:$E,$C221)/$E221),-0.00001)</f>
        <v>-1.0000000000000001E-5</v>
      </c>
      <c r="J221" s="194">
        <f>IFERROR(IF($C221="",-0.00001,SUMIFS(Database!L:L,Database!$E:$E,$C221)/$E221),-0.00001)</f>
        <v>-1.0000000000000001E-5</v>
      </c>
      <c r="K221" s="194">
        <f>IFERROR(IF($C221="",-0.00001,SUMIFS(Database!M:M,Database!$E:$E,$C221)/$E221),-0.00001)</f>
        <v>-1.0000000000000001E-5</v>
      </c>
      <c r="L221" s="194">
        <f>IFERROR(IF($C221="",-0.00001,SUMIFS(Database!N:N,Database!$E:$E,$C221)/$E221),-0.00001)</f>
        <v>-1.0000000000000001E-5</v>
      </c>
      <c r="M221" s="194">
        <f>IFERROR(IF($C221="",-0.00001,SUMIFS(Database!O:O,Database!$E:$E,$C221)/$E221),-0.00001)</f>
        <v>-1.0000000000000001E-5</v>
      </c>
      <c r="N221" s="194">
        <f>IFERROR(IF($C221="",-0.00001,SUMIFS(Database!P:P,Database!$E:$E,$C221)/$E221),-0.00001)</f>
        <v>-1.0000000000000001E-5</v>
      </c>
      <c r="O221" s="194">
        <f>IFERROR(IF($C221="",-0.00001,SUMIFS(Database!Q:Q,Database!$E:$E,$C221)/$E221),-0.00001)</f>
        <v>-1.0000000000000001E-5</v>
      </c>
      <c r="P221" s="186">
        <f t="shared" si="9"/>
        <v>-1.0000000000000001E-5</v>
      </c>
      <c r="Q221" s="194">
        <f>IFERROR(IF($C221="",-0.00001,SUMIFS(Database!S:S,Database!$E:$E,$C221)/$E221),-0.00001)</f>
        <v>-1.0000000000000001E-5</v>
      </c>
      <c r="R221" s="194">
        <f>IFERROR(IF($C221="",-0.00001,SUMIFS(Database!T:T,Database!$E:$E,$C221)/$E221),-0.00001)</f>
        <v>-1.0000000000000001E-5</v>
      </c>
      <c r="S221" s="186">
        <f t="shared" si="10"/>
        <v>-1.0000000000000001E-5</v>
      </c>
      <c r="T221" s="194">
        <f>IFERROR(IF($C221="",-0.00001,SUMIFS(Database!V:V,Database!$E:$E,$C221)/$E221),-0.00001)</f>
        <v>-1.0000000000000001E-5</v>
      </c>
      <c r="U221" s="194">
        <f>IFERROR(IF($C221="",-0.00001,SUMIFS(Database!W:W,Database!$E:$E,$C221)/$E221),-0.00001)</f>
        <v>-1.0000000000000001E-5</v>
      </c>
      <c r="V221" s="186">
        <f t="shared" si="11"/>
        <v>-1.0000000000000001E-5</v>
      </c>
      <c r="W221" s="187"/>
      <c r="X221" s="187"/>
      <c r="Y221" s="187"/>
      <c r="Z221" s="187"/>
      <c r="AA221" s="187"/>
      <c r="AB221" s="187"/>
      <c r="AC221" s="187"/>
      <c r="AD221" s="187"/>
      <c r="AE221" s="187"/>
    </row>
    <row r="222" spans="1:31" x14ac:dyDescent="0.25">
      <c r="A222" s="187"/>
      <c r="B222" s="187" t="str">
        <f>IF($C222="","",MAX($B$4:$B221)+1)</f>
        <v/>
      </c>
      <c r="C222" s="183"/>
      <c r="D222" s="183" t="str">
        <f>IFERROR(VLOOKUP($C222,Rosters!$C$4:$M$239,INDEX(Lists!$N$5:$O$80,MATCH($C222,Lists!$N$5:$N$80,FALSE),2)),"")</f>
        <v/>
      </c>
      <c r="E222" s="185">
        <f>IF($C222="",-0.00001,COUNTIF(Database!E:E,$C222))</f>
        <v>-1.0000000000000001E-5</v>
      </c>
      <c r="F222" s="194">
        <f>IFERROR(IF($C222="",-0.00001,SUMIFS(Database!H:H,Database!$E:$E,$C222)/$E222),-0.00001)</f>
        <v>-1.0000000000000001E-5</v>
      </c>
      <c r="G222" s="194">
        <f>IFERROR(IF($C222="",-0.00001,SUMIFS(Database!I:I,Database!$E:$E,$C222)/$E222),-0.00001)</f>
        <v>-1.0000000000000001E-5</v>
      </c>
      <c r="H222" s="194">
        <f>IFERROR(IF($C222="",-0.00001,SUMIFS(Database!J:J,Database!$E:$E,$C222)/$E222),-0.00001)</f>
        <v>-1.0000000000000001E-5</v>
      </c>
      <c r="I222" s="194">
        <f>IFERROR(IF($C222="",-0.00001,SUMIFS(Database!K:K,Database!$E:$E,$C222)/$E222),-0.00001)</f>
        <v>-1.0000000000000001E-5</v>
      </c>
      <c r="J222" s="194">
        <f>IFERROR(IF($C222="",-0.00001,SUMIFS(Database!L:L,Database!$E:$E,$C222)/$E222),-0.00001)</f>
        <v>-1.0000000000000001E-5</v>
      </c>
      <c r="K222" s="194">
        <f>IFERROR(IF($C222="",-0.00001,SUMIFS(Database!M:M,Database!$E:$E,$C222)/$E222),-0.00001)</f>
        <v>-1.0000000000000001E-5</v>
      </c>
      <c r="L222" s="194">
        <f>IFERROR(IF($C222="",-0.00001,SUMIFS(Database!N:N,Database!$E:$E,$C222)/$E222),-0.00001)</f>
        <v>-1.0000000000000001E-5</v>
      </c>
      <c r="M222" s="194">
        <f>IFERROR(IF($C222="",-0.00001,SUMIFS(Database!O:O,Database!$E:$E,$C222)/$E222),-0.00001)</f>
        <v>-1.0000000000000001E-5</v>
      </c>
      <c r="N222" s="194">
        <f>IFERROR(IF($C222="",-0.00001,SUMIFS(Database!P:P,Database!$E:$E,$C222)/$E222),-0.00001)</f>
        <v>-1.0000000000000001E-5</v>
      </c>
      <c r="O222" s="194">
        <f>IFERROR(IF($C222="",-0.00001,SUMIFS(Database!Q:Q,Database!$E:$E,$C222)/$E222),-0.00001)</f>
        <v>-1.0000000000000001E-5</v>
      </c>
      <c r="P222" s="186">
        <f t="shared" si="9"/>
        <v>-1.0000000000000001E-5</v>
      </c>
      <c r="Q222" s="194">
        <f>IFERROR(IF($C222="",-0.00001,SUMIFS(Database!S:S,Database!$E:$E,$C222)/$E222),-0.00001)</f>
        <v>-1.0000000000000001E-5</v>
      </c>
      <c r="R222" s="194">
        <f>IFERROR(IF($C222="",-0.00001,SUMIFS(Database!T:T,Database!$E:$E,$C222)/$E222),-0.00001)</f>
        <v>-1.0000000000000001E-5</v>
      </c>
      <c r="S222" s="186">
        <f t="shared" si="10"/>
        <v>-1.0000000000000001E-5</v>
      </c>
      <c r="T222" s="194">
        <f>IFERROR(IF($C222="",-0.00001,SUMIFS(Database!V:V,Database!$E:$E,$C222)/$E222),-0.00001)</f>
        <v>-1.0000000000000001E-5</v>
      </c>
      <c r="U222" s="194">
        <f>IFERROR(IF($C222="",-0.00001,SUMIFS(Database!W:W,Database!$E:$E,$C222)/$E222),-0.00001)</f>
        <v>-1.0000000000000001E-5</v>
      </c>
      <c r="V222" s="186">
        <f t="shared" si="11"/>
        <v>-1.0000000000000001E-5</v>
      </c>
      <c r="W222" s="187"/>
      <c r="X222" s="187"/>
      <c r="Y222" s="187"/>
      <c r="Z222" s="187"/>
      <c r="AA222" s="187"/>
      <c r="AB222" s="187"/>
      <c r="AC222" s="187"/>
      <c r="AD222" s="187"/>
      <c r="AE222" s="187"/>
    </row>
    <row r="223" spans="1:31" x14ac:dyDescent="0.25">
      <c r="A223" s="187"/>
      <c r="B223" s="187" t="str">
        <f>IF($C223="","",MAX($B$4:$B222)+1)</f>
        <v/>
      </c>
      <c r="C223" s="183"/>
      <c r="D223" s="183" t="str">
        <f>IFERROR(VLOOKUP($C223,Rosters!$C$4:$M$239,INDEX(Lists!$N$5:$O$80,MATCH($C223,Lists!$N$5:$N$80,FALSE),2)),"")</f>
        <v/>
      </c>
      <c r="E223" s="185">
        <f>IF($C223="",-0.00001,COUNTIF(Database!E:E,$C223))</f>
        <v>-1.0000000000000001E-5</v>
      </c>
      <c r="F223" s="194">
        <f>IFERROR(IF($C223="",-0.00001,SUMIFS(Database!H:H,Database!$E:$E,$C223)/$E223),-0.00001)</f>
        <v>-1.0000000000000001E-5</v>
      </c>
      <c r="G223" s="194">
        <f>IFERROR(IF($C223="",-0.00001,SUMIFS(Database!I:I,Database!$E:$E,$C223)/$E223),-0.00001)</f>
        <v>-1.0000000000000001E-5</v>
      </c>
      <c r="H223" s="194">
        <f>IFERROR(IF($C223="",-0.00001,SUMIFS(Database!J:J,Database!$E:$E,$C223)/$E223),-0.00001)</f>
        <v>-1.0000000000000001E-5</v>
      </c>
      <c r="I223" s="194">
        <f>IFERROR(IF($C223="",-0.00001,SUMIFS(Database!K:K,Database!$E:$E,$C223)/$E223),-0.00001)</f>
        <v>-1.0000000000000001E-5</v>
      </c>
      <c r="J223" s="194">
        <f>IFERROR(IF($C223="",-0.00001,SUMIFS(Database!L:L,Database!$E:$E,$C223)/$E223),-0.00001)</f>
        <v>-1.0000000000000001E-5</v>
      </c>
      <c r="K223" s="194">
        <f>IFERROR(IF($C223="",-0.00001,SUMIFS(Database!M:M,Database!$E:$E,$C223)/$E223),-0.00001)</f>
        <v>-1.0000000000000001E-5</v>
      </c>
      <c r="L223" s="194">
        <f>IFERROR(IF($C223="",-0.00001,SUMIFS(Database!N:N,Database!$E:$E,$C223)/$E223),-0.00001)</f>
        <v>-1.0000000000000001E-5</v>
      </c>
      <c r="M223" s="194">
        <f>IFERROR(IF($C223="",-0.00001,SUMIFS(Database!O:O,Database!$E:$E,$C223)/$E223),-0.00001)</f>
        <v>-1.0000000000000001E-5</v>
      </c>
      <c r="N223" s="194">
        <f>IFERROR(IF($C223="",-0.00001,SUMIFS(Database!P:P,Database!$E:$E,$C223)/$E223),-0.00001)</f>
        <v>-1.0000000000000001E-5</v>
      </c>
      <c r="O223" s="194">
        <f>IFERROR(IF($C223="",-0.00001,SUMIFS(Database!Q:Q,Database!$E:$E,$C223)/$E223),-0.00001)</f>
        <v>-1.0000000000000001E-5</v>
      </c>
      <c r="P223" s="186">
        <f t="shared" si="9"/>
        <v>-1.0000000000000001E-5</v>
      </c>
      <c r="Q223" s="194">
        <f>IFERROR(IF($C223="",-0.00001,SUMIFS(Database!S:S,Database!$E:$E,$C223)/$E223),-0.00001)</f>
        <v>-1.0000000000000001E-5</v>
      </c>
      <c r="R223" s="194">
        <f>IFERROR(IF($C223="",-0.00001,SUMIFS(Database!T:T,Database!$E:$E,$C223)/$E223),-0.00001)</f>
        <v>-1.0000000000000001E-5</v>
      </c>
      <c r="S223" s="186">
        <f t="shared" si="10"/>
        <v>-1.0000000000000001E-5</v>
      </c>
      <c r="T223" s="194">
        <f>IFERROR(IF($C223="",-0.00001,SUMIFS(Database!V:V,Database!$E:$E,$C223)/$E223),-0.00001)</f>
        <v>-1.0000000000000001E-5</v>
      </c>
      <c r="U223" s="194">
        <f>IFERROR(IF($C223="",-0.00001,SUMIFS(Database!W:W,Database!$E:$E,$C223)/$E223),-0.00001)</f>
        <v>-1.0000000000000001E-5</v>
      </c>
      <c r="V223" s="186">
        <f t="shared" si="11"/>
        <v>-1.0000000000000001E-5</v>
      </c>
      <c r="W223" s="187"/>
      <c r="X223" s="187"/>
      <c r="Y223" s="187"/>
      <c r="Z223" s="187"/>
      <c r="AA223" s="187"/>
      <c r="AB223" s="187"/>
      <c r="AC223" s="187"/>
      <c r="AD223" s="187"/>
      <c r="AE223" s="187"/>
    </row>
    <row r="224" spans="1:31" x14ac:dyDescent="0.25">
      <c r="A224" s="187"/>
      <c r="B224" s="187" t="str">
        <f>IF($C224="","",MAX($B$4:$B223)+1)</f>
        <v/>
      </c>
      <c r="C224" s="183"/>
      <c r="D224" s="183" t="str">
        <f>IFERROR(VLOOKUP($C224,Rosters!$C$4:$M$239,INDEX(Lists!$N$5:$O$80,MATCH($C224,Lists!$N$5:$N$80,FALSE),2)),"")</f>
        <v/>
      </c>
      <c r="E224" s="185">
        <f>IF($C224="",-0.00001,COUNTIF(Database!E:E,$C224))</f>
        <v>-1.0000000000000001E-5</v>
      </c>
      <c r="F224" s="194">
        <f>IFERROR(IF($C224="",-0.00001,SUMIFS(Database!H:H,Database!$E:$E,$C224)/$E224),-0.00001)</f>
        <v>-1.0000000000000001E-5</v>
      </c>
      <c r="G224" s="194">
        <f>IFERROR(IF($C224="",-0.00001,SUMIFS(Database!I:I,Database!$E:$E,$C224)/$E224),-0.00001)</f>
        <v>-1.0000000000000001E-5</v>
      </c>
      <c r="H224" s="194">
        <f>IFERROR(IF($C224="",-0.00001,SUMIFS(Database!J:J,Database!$E:$E,$C224)/$E224),-0.00001)</f>
        <v>-1.0000000000000001E-5</v>
      </c>
      <c r="I224" s="194">
        <f>IFERROR(IF($C224="",-0.00001,SUMIFS(Database!K:K,Database!$E:$E,$C224)/$E224),-0.00001)</f>
        <v>-1.0000000000000001E-5</v>
      </c>
      <c r="J224" s="194">
        <f>IFERROR(IF($C224="",-0.00001,SUMIFS(Database!L:L,Database!$E:$E,$C224)/$E224),-0.00001)</f>
        <v>-1.0000000000000001E-5</v>
      </c>
      <c r="K224" s="194">
        <f>IFERROR(IF($C224="",-0.00001,SUMIFS(Database!M:M,Database!$E:$E,$C224)/$E224),-0.00001)</f>
        <v>-1.0000000000000001E-5</v>
      </c>
      <c r="L224" s="194">
        <f>IFERROR(IF($C224="",-0.00001,SUMIFS(Database!N:N,Database!$E:$E,$C224)/$E224),-0.00001)</f>
        <v>-1.0000000000000001E-5</v>
      </c>
      <c r="M224" s="194">
        <f>IFERROR(IF($C224="",-0.00001,SUMIFS(Database!O:O,Database!$E:$E,$C224)/$E224),-0.00001)</f>
        <v>-1.0000000000000001E-5</v>
      </c>
      <c r="N224" s="194">
        <f>IFERROR(IF($C224="",-0.00001,SUMIFS(Database!P:P,Database!$E:$E,$C224)/$E224),-0.00001)</f>
        <v>-1.0000000000000001E-5</v>
      </c>
      <c r="O224" s="194">
        <f>IFERROR(IF($C224="",-0.00001,SUMIFS(Database!Q:Q,Database!$E:$E,$C224)/$E224),-0.00001)</f>
        <v>-1.0000000000000001E-5</v>
      </c>
      <c r="P224" s="186">
        <f t="shared" si="9"/>
        <v>-1.0000000000000001E-5</v>
      </c>
      <c r="Q224" s="194">
        <f>IFERROR(IF($C224="",-0.00001,SUMIFS(Database!S:S,Database!$E:$E,$C224)/$E224),-0.00001)</f>
        <v>-1.0000000000000001E-5</v>
      </c>
      <c r="R224" s="194">
        <f>IFERROR(IF($C224="",-0.00001,SUMIFS(Database!T:T,Database!$E:$E,$C224)/$E224),-0.00001)</f>
        <v>-1.0000000000000001E-5</v>
      </c>
      <c r="S224" s="186">
        <f t="shared" si="10"/>
        <v>-1.0000000000000001E-5</v>
      </c>
      <c r="T224" s="194">
        <f>IFERROR(IF($C224="",-0.00001,SUMIFS(Database!V:V,Database!$E:$E,$C224)/$E224),-0.00001)</f>
        <v>-1.0000000000000001E-5</v>
      </c>
      <c r="U224" s="194">
        <f>IFERROR(IF($C224="",-0.00001,SUMIFS(Database!W:W,Database!$E:$E,$C224)/$E224),-0.00001)</f>
        <v>-1.0000000000000001E-5</v>
      </c>
      <c r="V224" s="186">
        <f t="shared" si="11"/>
        <v>-1.0000000000000001E-5</v>
      </c>
      <c r="W224" s="187"/>
      <c r="X224" s="187"/>
      <c r="Y224" s="187"/>
      <c r="Z224" s="187"/>
      <c r="AA224" s="187"/>
      <c r="AB224" s="187"/>
      <c r="AC224" s="187"/>
      <c r="AD224" s="187"/>
      <c r="AE224" s="187"/>
    </row>
    <row r="225" spans="1:31" x14ac:dyDescent="0.25">
      <c r="A225" s="187"/>
      <c r="B225" s="187" t="str">
        <f>IF($C225="","",MAX($B$4:$B224)+1)</f>
        <v/>
      </c>
      <c r="C225" s="183"/>
      <c r="D225" s="183" t="str">
        <f>IFERROR(VLOOKUP($C225,Rosters!$C$4:$M$239,INDEX(Lists!$N$5:$O$80,MATCH($C225,Lists!$N$5:$N$80,FALSE),2)),"")</f>
        <v/>
      </c>
      <c r="E225" s="185">
        <f>IF($C225="",-0.00001,COUNTIF(Database!E:E,$C225))</f>
        <v>-1.0000000000000001E-5</v>
      </c>
      <c r="F225" s="194">
        <f>IFERROR(IF($C225="",-0.00001,SUMIFS(Database!H:H,Database!$E:$E,$C225)/$E225),-0.00001)</f>
        <v>-1.0000000000000001E-5</v>
      </c>
      <c r="G225" s="194">
        <f>IFERROR(IF($C225="",-0.00001,SUMIFS(Database!I:I,Database!$E:$E,$C225)/$E225),-0.00001)</f>
        <v>-1.0000000000000001E-5</v>
      </c>
      <c r="H225" s="194">
        <f>IFERROR(IF($C225="",-0.00001,SUMIFS(Database!J:J,Database!$E:$E,$C225)/$E225),-0.00001)</f>
        <v>-1.0000000000000001E-5</v>
      </c>
      <c r="I225" s="194">
        <f>IFERROR(IF($C225="",-0.00001,SUMIFS(Database!K:K,Database!$E:$E,$C225)/$E225),-0.00001)</f>
        <v>-1.0000000000000001E-5</v>
      </c>
      <c r="J225" s="194">
        <f>IFERROR(IF($C225="",-0.00001,SUMIFS(Database!L:L,Database!$E:$E,$C225)/$E225),-0.00001)</f>
        <v>-1.0000000000000001E-5</v>
      </c>
      <c r="K225" s="194">
        <f>IFERROR(IF($C225="",-0.00001,SUMIFS(Database!M:M,Database!$E:$E,$C225)/$E225),-0.00001)</f>
        <v>-1.0000000000000001E-5</v>
      </c>
      <c r="L225" s="194">
        <f>IFERROR(IF($C225="",-0.00001,SUMIFS(Database!N:N,Database!$E:$E,$C225)/$E225),-0.00001)</f>
        <v>-1.0000000000000001E-5</v>
      </c>
      <c r="M225" s="194">
        <f>IFERROR(IF($C225="",-0.00001,SUMIFS(Database!O:O,Database!$E:$E,$C225)/$E225),-0.00001)</f>
        <v>-1.0000000000000001E-5</v>
      </c>
      <c r="N225" s="194">
        <f>IFERROR(IF($C225="",-0.00001,SUMIFS(Database!P:P,Database!$E:$E,$C225)/$E225),-0.00001)</f>
        <v>-1.0000000000000001E-5</v>
      </c>
      <c r="O225" s="194">
        <f>IFERROR(IF($C225="",-0.00001,SUMIFS(Database!Q:Q,Database!$E:$E,$C225)/$E225),-0.00001)</f>
        <v>-1.0000000000000001E-5</v>
      </c>
      <c r="P225" s="186">
        <f t="shared" si="9"/>
        <v>-1.0000000000000001E-5</v>
      </c>
      <c r="Q225" s="194">
        <f>IFERROR(IF($C225="",-0.00001,SUMIFS(Database!S:S,Database!$E:$E,$C225)/$E225),-0.00001)</f>
        <v>-1.0000000000000001E-5</v>
      </c>
      <c r="R225" s="194">
        <f>IFERROR(IF($C225="",-0.00001,SUMIFS(Database!T:T,Database!$E:$E,$C225)/$E225),-0.00001)</f>
        <v>-1.0000000000000001E-5</v>
      </c>
      <c r="S225" s="186">
        <f t="shared" si="10"/>
        <v>-1.0000000000000001E-5</v>
      </c>
      <c r="T225" s="194">
        <f>IFERROR(IF($C225="",-0.00001,SUMIFS(Database!V:V,Database!$E:$E,$C225)/$E225),-0.00001)</f>
        <v>-1.0000000000000001E-5</v>
      </c>
      <c r="U225" s="194">
        <f>IFERROR(IF($C225="",-0.00001,SUMIFS(Database!W:W,Database!$E:$E,$C225)/$E225),-0.00001)</f>
        <v>-1.0000000000000001E-5</v>
      </c>
      <c r="V225" s="186">
        <f t="shared" si="11"/>
        <v>-1.0000000000000001E-5</v>
      </c>
      <c r="W225" s="187"/>
      <c r="X225" s="187"/>
      <c r="Y225" s="187"/>
      <c r="Z225" s="187"/>
      <c r="AA225" s="187"/>
      <c r="AB225" s="187"/>
      <c r="AC225" s="187"/>
      <c r="AD225" s="187"/>
      <c r="AE225" s="187"/>
    </row>
    <row r="226" spans="1:31" x14ac:dyDescent="0.25">
      <c r="A226" s="187"/>
      <c r="B226" s="187" t="str">
        <f>IF($C226="","",MAX($B$4:$B225)+1)</f>
        <v/>
      </c>
      <c r="C226" s="183"/>
      <c r="D226" s="183" t="str">
        <f>IFERROR(VLOOKUP($C226,Rosters!$C$4:$M$239,INDEX(Lists!$N$5:$O$80,MATCH($C226,Lists!$N$5:$N$80,FALSE),2)),"")</f>
        <v/>
      </c>
      <c r="E226" s="185">
        <f>IF($C226="",-0.00001,COUNTIF(Database!E:E,$C226))</f>
        <v>-1.0000000000000001E-5</v>
      </c>
      <c r="F226" s="194">
        <f>IFERROR(IF($C226="",-0.00001,SUMIFS(Database!H:H,Database!$E:$E,$C226)/$E226),-0.00001)</f>
        <v>-1.0000000000000001E-5</v>
      </c>
      <c r="G226" s="194">
        <f>IFERROR(IF($C226="",-0.00001,SUMIFS(Database!I:I,Database!$E:$E,$C226)/$E226),-0.00001)</f>
        <v>-1.0000000000000001E-5</v>
      </c>
      <c r="H226" s="194">
        <f>IFERROR(IF($C226="",-0.00001,SUMIFS(Database!J:J,Database!$E:$E,$C226)/$E226),-0.00001)</f>
        <v>-1.0000000000000001E-5</v>
      </c>
      <c r="I226" s="194">
        <f>IFERROR(IF($C226="",-0.00001,SUMIFS(Database!K:K,Database!$E:$E,$C226)/$E226),-0.00001)</f>
        <v>-1.0000000000000001E-5</v>
      </c>
      <c r="J226" s="194">
        <f>IFERROR(IF($C226="",-0.00001,SUMIFS(Database!L:L,Database!$E:$E,$C226)/$E226),-0.00001)</f>
        <v>-1.0000000000000001E-5</v>
      </c>
      <c r="K226" s="194">
        <f>IFERROR(IF($C226="",-0.00001,SUMIFS(Database!M:M,Database!$E:$E,$C226)/$E226),-0.00001)</f>
        <v>-1.0000000000000001E-5</v>
      </c>
      <c r="L226" s="194">
        <f>IFERROR(IF($C226="",-0.00001,SUMIFS(Database!N:N,Database!$E:$E,$C226)/$E226),-0.00001)</f>
        <v>-1.0000000000000001E-5</v>
      </c>
      <c r="M226" s="194">
        <f>IFERROR(IF($C226="",-0.00001,SUMIFS(Database!O:O,Database!$E:$E,$C226)/$E226),-0.00001)</f>
        <v>-1.0000000000000001E-5</v>
      </c>
      <c r="N226" s="194">
        <f>IFERROR(IF($C226="",-0.00001,SUMIFS(Database!P:P,Database!$E:$E,$C226)/$E226),-0.00001)</f>
        <v>-1.0000000000000001E-5</v>
      </c>
      <c r="O226" s="194">
        <f>IFERROR(IF($C226="",-0.00001,SUMIFS(Database!Q:Q,Database!$E:$E,$C226)/$E226),-0.00001)</f>
        <v>-1.0000000000000001E-5</v>
      </c>
      <c r="P226" s="186">
        <f t="shared" si="9"/>
        <v>-1.0000000000000001E-5</v>
      </c>
      <c r="Q226" s="194">
        <f>IFERROR(IF($C226="",-0.00001,SUMIFS(Database!S:S,Database!$E:$E,$C226)/$E226),-0.00001)</f>
        <v>-1.0000000000000001E-5</v>
      </c>
      <c r="R226" s="194">
        <f>IFERROR(IF($C226="",-0.00001,SUMIFS(Database!T:T,Database!$E:$E,$C226)/$E226),-0.00001)</f>
        <v>-1.0000000000000001E-5</v>
      </c>
      <c r="S226" s="186">
        <f t="shared" si="10"/>
        <v>-1.0000000000000001E-5</v>
      </c>
      <c r="T226" s="194">
        <f>IFERROR(IF($C226="",-0.00001,SUMIFS(Database!V:V,Database!$E:$E,$C226)/$E226),-0.00001)</f>
        <v>-1.0000000000000001E-5</v>
      </c>
      <c r="U226" s="194">
        <f>IFERROR(IF($C226="",-0.00001,SUMIFS(Database!W:W,Database!$E:$E,$C226)/$E226),-0.00001)</f>
        <v>-1.0000000000000001E-5</v>
      </c>
      <c r="V226" s="186">
        <f t="shared" si="11"/>
        <v>-1.0000000000000001E-5</v>
      </c>
      <c r="W226" s="187"/>
      <c r="X226" s="187"/>
      <c r="Y226" s="187"/>
      <c r="Z226" s="187"/>
      <c r="AA226" s="187"/>
      <c r="AB226" s="187"/>
      <c r="AC226" s="187"/>
      <c r="AD226" s="187"/>
      <c r="AE226" s="187"/>
    </row>
    <row r="227" spans="1:31" x14ac:dyDescent="0.25">
      <c r="A227" s="187"/>
      <c r="B227" s="187" t="str">
        <f>IF($C227="","",MAX($B$4:$B226)+1)</f>
        <v/>
      </c>
      <c r="C227" s="183"/>
      <c r="D227" s="183" t="str">
        <f>IFERROR(VLOOKUP($C227,Rosters!$C$4:$M$239,INDEX(Lists!$N$5:$O$80,MATCH($C227,Lists!$N$5:$N$80,FALSE),2)),"")</f>
        <v/>
      </c>
      <c r="E227" s="185">
        <f>IF($C227="",-0.00001,COUNTIF(Database!E:E,$C227))</f>
        <v>-1.0000000000000001E-5</v>
      </c>
      <c r="F227" s="194">
        <f>IFERROR(IF($C227="",-0.00001,SUMIFS(Database!H:H,Database!$E:$E,$C227)/$E227),-0.00001)</f>
        <v>-1.0000000000000001E-5</v>
      </c>
      <c r="G227" s="194">
        <f>IFERROR(IF($C227="",-0.00001,SUMIFS(Database!I:I,Database!$E:$E,$C227)/$E227),-0.00001)</f>
        <v>-1.0000000000000001E-5</v>
      </c>
      <c r="H227" s="194">
        <f>IFERROR(IF($C227="",-0.00001,SUMIFS(Database!J:J,Database!$E:$E,$C227)/$E227),-0.00001)</f>
        <v>-1.0000000000000001E-5</v>
      </c>
      <c r="I227" s="194">
        <f>IFERROR(IF($C227="",-0.00001,SUMIFS(Database!K:K,Database!$E:$E,$C227)/$E227),-0.00001)</f>
        <v>-1.0000000000000001E-5</v>
      </c>
      <c r="J227" s="194">
        <f>IFERROR(IF($C227="",-0.00001,SUMIFS(Database!L:L,Database!$E:$E,$C227)/$E227),-0.00001)</f>
        <v>-1.0000000000000001E-5</v>
      </c>
      <c r="K227" s="194">
        <f>IFERROR(IF($C227="",-0.00001,SUMIFS(Database!M:M,Database!$E:$E,$C227)/$E227),-0.00001)</f>
        <v>-1.0000000000000001E-5</v>
      </c>
      <c r="L227" s="194">
        <f>IFERROR(IF($C227="",-0.00001,SUMIFS(Database!N:N,Database!$E:$E,$C227)/$E227),-0.00001)</f>
        <v>-1.0000000000000001E-5</v>
      </c>
      <c r="M227" s="194">
        <f>IFERROR(IF($C227="",-0.00001,SUMIFS(Database!O:O,Database!$E:$E,$C227)/$E227),-0.00001)</f>
        <v>-1.0000000000000001E-5</v>
      </c>
      <c r="N227" s="194">
        <f>IFERROR(IF($C227="",-0.00001,SUMIFS(Database!P:P,Database!$E:$E,$C227)/$E227),-0.00001)</f>
        <v>-1.0000000000000001E-5</v>
      </c>
      <c r="O227" s="194">
        <f>IFERROR(IF($C227="",-0.00001,SUMIFS(Database!Q:Q,Database!$E:$E,$C227)/$E227),-0.00001)</f>
        <v>-1.0000000000000001E-5</v>
      </c>
      <c r="P227" s="186">
        <f t="shared" si="9"/>
        <v>-1.0000000000000001E-5</v>
      </c>
      <c r="Q227" s="194">
        <f>IFERROR(IF($C227="",-0.00001,SUMIFS(Database!S:S,Database!$E:$E,$C227)/$E227),-0.00001)</f>
        <v>-1.0000000000000001E-5</v>
      </c>
      <c r="R227" s="194">
        <f>IFERROR(IF($C227="",-0.00001,SUMIFS(Database!T:T,Database!$E:$E,$C227)/$E227),-0.00001)</f>
        <v>-1.0000000000000001E-5</v>
      </c>
      <c r="S227" s="186">
        <f t="shared" si="10"/>
        <v>-1.0000000000000001E-5</v>
      </c>
      <c r="T227" s="194">
        <f>IFERROR(IF($C227="",-0.00001,SUMIFS(Database!V:V,Database!$E:$E,$C227)/$E227),-0.00001)</f>
        <v>-1.0000000000000001E-5</v>
      </c>
      <c r="U227" s="194">
        <f>IFERROR(IF($C227="",-0.00001,SUMIFS(Database!W:W,Database!$E:$E,$C227)/$E227),-0.00001)</f>
        <v>-1.0000000000000001E-5</v>
      </c>
      <c r="V227" s="186">
        <f t="shared" si="11"/>
        <v>-1.0000000000000001E-5</v>
      </c>
      <c r="W227" s="187"/>
      <c r="X227" s="187"/>
      <c r="Y227" s="187"/>
      <c r="Z227" s="187"/>
      <c r="AA227" s="187"/>
      <c r="AB227" s="187"/>
      <c r="AC227" s="187"/>
      <c r="AD227" s="187"/>
      <c r="AE227" s="187"/>
    </row>
    <row r="228" spans="1:31" x14ac:dyDescent="0.25">
      <c r="A228" s="187"/>
      <c r="B228" s="187" t="str">
        <f>IF($C228="","",MAX($B$4:$B227)+1)</f>
        <v/>
      </c>
      <c r="C228" s="183"/>
      <c r="D228" s="183" t="str">
        <f>IFERROR(VLOOKUP($C228,Rosters!$C$4:$M$239,INDEX(Lists!$N$5:$O$80,MATCH($C228,Lists!$N$5:$N$80,FALSE),2)),"")</f>
        <v/>
      </c>
      <c r="E228" s="185">
        <f>IF($C228="",-0.00001,COUNTIF(Database!E:E,$C228))</f>
        <v>-1.0000000000000001E-5</v>
      </c>
      <c r="F228" s="194">
        <f>IFERROR(IF($C228="",-0.00001,SUMIFS(Database!H:H,Database!$E:$E,$C228)/$E228),-0.00001)</f>
        <v>-1.0000000000000001E-5</v>
      </c>
      <c r="G228" s="194">
        <f>IFERROR(IF($C228="",-0.00001,SUMIFS(Database!I:I,Database!$E:$E,$C228)/$E228),-0.00001)</f>
        <v>-1.0000000000000001E-5</v>
      </c>
      <c r="H228" s="194">
        <f>IFERROR(IF($C228="",-0.00001,SUMIFS(Database!J:J,Database!$E:$E,$C228)/$E228),-0.00001)</f>
        <v>-1.0000000000000001E-5</v>
      </c>
      <c r="I228" s="194">
        <f>IFERROR(IF($C228="",-0.00001,SUMIFS(Database!K:K,Database!$E:$E,$C228)/$E228),-0.00001)</f>
        <v>-1.0000000000000001E-5</v>
      </c>
      <c r="J228" s="194">
        <f>IFERROR(IF($C228="",-0.00001,SUMIFS(Database!L:L,Database!$E:$E,$C228)/$E228),-0.00001)</f>
        <v>-1.0000000000000001E-5</v>
      </c>
      <c r="K228" s="194">
        <f>IFERROR(IF($C228="",-0.00001,SUMIFS(Database!M:M,Database!$E:$E,$C228)/$E228),-0.00001)</f>
        <v>-1.0000000000000001E-5</v>
      </c>
      <c r="L228" s="194">
        <f>IFERROR(IF($C228="",-0.00001,SUMIFS(Database!N:N,Database!$E:$E,$C228)/$E228),-0.00001)</f>
        <v>-1.0000000000000001E-5</v>
      </c>
      <c r="M228" s="194">
        <f>IFERROR(IF($C228="",-0.00001,SUMIFS(Database!O:O,Database!$E:$E,$C228)/$E228),-0.00001)</f>
        <v>-1.0000000000000001E-5</v>
      </c>
      <c r="N228" s="194">
        <f>IFERROR(IF($C228="",-0.00001,SUMIFS(Database!P:P,Database!$E:$E,$C228)/$E228),-0.00001)</f>
        <v>-1.0000000000000001E-5</v>
      </c>
      <c r="O228" s="194">
        <f>IFERROR(IF($C228="",-0.00001,SUMIFS(Database!Q:Q,Database!$E:$E,$C228)/$E228),-0.00001)</f>
        <v>-1.0000000000000001E-5</v>
      </c>
      <c r="P228" s="186">
        <f t="shared" si="9"/>
        <v>-1.0000000000000001E-5</v>
      </c>
      <c r="Q228" s="194">
        <f>IFERROR(IF($C228="",-0.00001,SUMIFS(Database!S:S,Database!$E:$E,$C228)/$E228),-0.00001)</f>
        <v>-1.0000000000000001E-5</v>
      </c>
      <c r="R228" s="194">
        <f>IFERROR(IF($C228="",-0.00001,SUMIFS(Database!T:T,Database!$E:$E,$C228)/$E228),-0.00001)</f>
        <v>-1.0000000000000001E-5</v>
      </c>
      <c r="S228" s="186">
        <f t="shared" si="10"/>
        <v>-1.0000000000000001E-5</v>
      </c>
      <c r="T228" s="194">
        <f>IFERROR(IF($C228="",-0.00001,SUMIFS(Database!V:V,Database!$E:$E,$C228)/$E228),-0.00001)</f>
        <v>-1.0000000000000001E-5</v>
      </c>
      <c r="U228" s="194">
        <f>IFERROR(IF($C228="",-0.00001,SUMIFS(Database!W:W,Database!$E:$E,$C228)/$E228),-0.00001)</f>
        <v>-1.0000000000000001E-5</v>
      </c>
      <c r="V228" s="186">
        <f t="shared" si="11"/>
        <v>-1.0000000000000001E-5</v>
      </c>
      <c r="W228" s="187"/>
      <c r="X228" s="187"/>
      <c r="Y228" s="187"/>
      <c r="Z228" s="187"/>
      <c r="AA228" s="187"/>
      <c r="AB228" s="187"/>
      <c r="AC228" s="187"/>
      <c r="AD228" s="187"/>
      <c r="AE228" s="187"/>
    </row>
    <row r="229" spans="1:31" x14ac:dyDescent="0.25">
      <c r="A229" s="187"/>
      <c r="B229" s="187" t="str">
        <f>IF($C229="","",MAX($B$4:$B228)+1)</f>
        <v/>
      </c>
      <c r="C229" s="183"/>
      <c r="D229" s="183" t="str">
        <f>IFERROR(VLOOKUP($C229,Rosters!$C$4:$M$239,INDEX(Lists!$N$5:$O$80,MATCH($C229,Lists!$N$5:$N$80,FALSE),2)),"")</f>
        <v/>
      </c>
      <c r="E229" s="185">
        <f>IF($C229="",-0.00001,COUNTIF(Database!E:E,$C229))</f>
        <v>-1.0000000000000001E-5</v>
      </c>
      <c r="F229" s="194">
        <f>IFERROR(IF($C229="",-0.00001,SUMIFS(Database!H:H,Database!$E:$E,$C229)/$E229),-0.00001)</f>
        <v>-1.0000000000000001E-5</v>
      </c>
      <c r="G229" s="194">
        <f>IFERROR(IF($C229="",-0.00001,SUMIFS(Database!I:I,Database!$E:$E,$C229)/$E229),-0.00001)</f>
        <v>-1.0000000000000001E-5</v>
      </c>
      <c r="H229" s="194">
        <f>IFERROR(IF($C229="",-0.00001,SUMIFS(Database!J:J,Database!$E:$E,$C229)/$E229),-0.00001)</f>
        <v>-1.0000000000000001E-5</v>
      </c>
      <c r="I229" s="194">
        <f>IFERROR(IF($C229="",-0.00001,SUMIFS(Database!K:K,Database!$E:$E,$C229)/$E229),-0.00001)</f>
        <v>-1.0000000000000001E-5</v>
      </c>
      <c r="J229" s="194">
        <f>IFERROR(IF($C229="",-0.00001,SUMIFS(Database!L:L,Database!$E:$E,$C229)/$E229),-0.00001)</f>
        <v>-1.0000000000000001E-5</v>
      </c>
      <c r="K229" s="194">
        <f>IFERROR(IF($C229="",-0.00001,SUMIFS(Database!M:M,Database!$E:$E,$C229)/$E229),-0.00001)</f>
        <v>-1.0000000000000001E-5</v>
      </c>
      <c r="L229" s="194">
        <f>IFERROR(IF($C229="",-0.00001,SUMIFS(Database!N:N,Database!$E:$E,$C229)/$E229),-0.00001)</f>
        <v>-1.0000000000000001E-5</v>
      </c>
      <c r="M229" s="194">
        <f>IFERROR(IF($C229="",-0.00001,SUMIFS(Database!O:O,Database!$E:$E,$C229)/$E229),-0.00001)</f>
        <v>-1.0000000000000001E-5</v>
      </c>
      <c r="N229" s="194">
        <f>IFERROR(IF($C229="",-0.00001,SUMIFS(Database!P:P,Database!$E:$E,$C229)/$E229),-0.00001)</f>
        <v>-1.0000000000000001E-5</v>
      </c>
      <c r="O229" s="194">
        <f>IFERROR(IF($C229="",-0.00001,SUMIFS(Database!Q:Q,Database!$E:$E,$C229)/$E229),-0.00001)</f>
        <v>-1.0000000000000001E-5</v>
      </c>
      <c r="P229" s="186">
        <f t="shared" si="9"/>
        <v>-1.0000000000000001E-5</v>
      </c>
      <c r="Q229" s="194">
        <f>IFERROR(IF($C229="",-0.00001,SUMIFS(Database!S:S,Database!$E:$E,$C229)/$E229),-0.00001)</f>
        <v>-1.0000000000000001E-5</v>
      </c>
      <c r="R229" s="194">
        <f>IFERROR(IF($C229="",-0.00001,SUMIFS(Database!T:T,Database!$E:$E,$C229)/$E229),-0.00001)</f>
        <v>-1.0000000000000001E-5</v>
      </c>
      <c r="S229" s="186">
        <f t="shared" si="10"/>
        <v>-1.0000000000000001E-5</v>
      </c>
      <c r="T229" s="194">
        <f>IFERROR(IF($C229="",-0.00001,SUMIFS(Database!V:V,Database!$E:$E,$C229)/$E229),-0.00001)</f>
        <v>-1.0000000000000001E-5</v>
      </c>
      <c r="U229" s="194">
        <f>IFERROR(IF($C229="",-0.00001,SUMIFS(Database!W:W,Database!$E:$E,$C229)/$E229),-0.00001)</f>
        <v>-1.0000000000000001E-5</v>
      </c>
      <c r="V229" s="186">
        <f t="shared" si="11"/>
        <v>-1.0000000000000001E-5</v>
      </c>
      <c r="W229" s="187"/>
      <c r="X229" s="187"/>
      <c r="Y229" s="187"/>
      <c r="Z229" s="187"/>
      <c r="AA229" s="187"/>
      <c r="AB229" s="187"/>
      <c r="AC229" s="187"/>
      <c r="AD229" s="187"/>
      <c r="AE229" s="187"/>
    </row>
    <row r="230" spans="1:31" x14ac:dyDescent="0.25">
      <c r="A230" s="187"/>
      <c r="B230" s="187" t="str">
        <f>IF($C230="","",MAX($B$4:$B229)+1)</f>
        <v/>
      </c>
      <c r="C230" s="183"/>
      <c r="D230" s="183" t="str">
        <f>IFERROR(VLOOKUP($C230,Rosters!$C$4:$M$239,INDEX(Lists!$N$5:$O$80,MATCH($C230,Lists!$N$5:$N$80,FALSE),2)),"")</f>
        <v/>
      </c>
      <c r="E230" s="185">
        <f>IF($C230="",-0.00001,COUNTIF(Database!E:E,$C230))</f>
        <v>-1.0000000000000001E-5</v>
      </c>
      <c r="F230" s="194">
        <f>IFERROR(IF($C230="",-0.00001,SUMIFS(Database!H:H,Database!$E:$E,$C230)/$E230),-0.00001)</f>
        <v>-1.0000000000000001E-5</v>
      </c>
      <c r="G230" s="194">
        <f>IFERROR(IF($C230="",-0.00001,SUMIFS(Database!I:I,Database!$E:$E,$C230)/$E230),-0.00001)</f>
        <v>-1.0000000000000001E-5</v>
      </c>
      <c r="H230" s="194">
        <f>IFERROR(IF($C230="",-0.00001,SUMIFS(Database!J:J,Database!$E:$E,$C230)/$E230),-0.00001)</f>
        <v>-1.0000000000000001E-5</v>
      </c>
      <c r="I230" s="194">
        <f>IFERROR(IF($C230="",-0.00001,SUMIFS(Database!K:K,Database!$E:$E,$C230)/$E230),-0.00001)</f>
        <v>-1.0000000000000001E-5</v>
      </c>
      <c r="J230" s="194">
        <f>IFERROR(IF($C230="",-0.00001,SUMIFS(Database!L:L,Database!$E:$E,$C230)/$E230),-0.00001)</f>
        <v>-1.0000000000000001E-5</v>
      </c>
      <c r="K230" s="194">
        <f>IFERROR(IF($C230="",-0.00001,SUMIFS(Database!M:M,Database!$E:$E,$C230)/$E230),-0.00001)</f>
        <v>-1.0000000000000001E-5</v>
      </c>
      <c r="L230" s="194">
        <f>IFERROR(IF($C230="",-0.00001,SUMIFS(Database!N:N,Database!$E:$E,$C230)/$E230),-0.00001)</f>
        <v>-1.0000000000000001E-5</v>
      </c>
      <c r="M230" s="194">
        <f>IFERROR(IF($C230="",-0.00001,SUMIFS(Database!O:O,Database!$E:$E,$C230)/$E230),-0.00001)</f>
        <v>-1.0000000000000001E-5</v>
      </c>
      <c r="N230" s="194">
        <f>IFERROR(IF($C230="",-0.00001,SUMIFS(Database!P:P,Database!$E:$E,$C230)/$E230),-0.00001)</f>
        <v>-1.0000000000000001E-5</v>
      </c>
      <c r="O230" s="194">
        <f>IFERROR(IF($C230="",-0.00001,SUMIFS(Database!Q:Q,Database!$E:$E,$C230)/$E230),-0.00001)</f>
        <v>-1.0000000000000001E-5</v>
      </c>
      <c r="P230" s="186">
        <f t="shared" si="9"/>
        <v>-1.0000000000000001E-5</v>
      </c>
      <c r="Q230" s="194">
        <f>IFERROR(IF($C230="",-0.00001,SUMIFS(Database!S:S,Database!$E:$E,$C230)/$E230),-0.00001)</f>
        <v>-1.0000000000000001E-5</v>
      </c>
      <c r="R230" s="194">
        <f>IFERROR(IF($C230="",-0.00001,SUMIFS(Database!T:T,Database!$E:$E,$C230)/$E230),-0.00001)</f>
        <v>-1.0000000000000001E-5</v>
      </c>
      <c r="S230" s="186">
        <f t="shared" si="10"/>
        <v>-1.0000000000000001E-5</v>
      </c>
      <c r="T230" s="194">
        <f>IFERROR(IF($C230="",-0.00001,SUMIFS(Database!V:V,Database!$E:$E,$C230)/$E230),-0.00001)</f>
        <v>-1.0000000000000001E-5</v>
      </c>
      <c r="U230" s="194">
        <f>IFERROR(IF($C230="",-0.00001,SUMIFS(Database!W:W,Database!$E:$E,$C230)/$E230),-0.00001)</f>
        <v>-1.0000000000000001E-5</v>
      </c>
      <c r="V230" s="186">
        <f t="shared" si="11"/>
        <v>-1.0000000000000001E-5</v>
      </c>
      <c r="W230" s="187"/>
      <c r="X230" s="187"/>
      <c r="Y230" s="187"/>
      <c r="Z230" s="187"/>
      <c r="AA230" s="187"/>
      <c r="AB230" s="187"/>
      <c r="AC230" s="187"/>
      <c r="AD230" s="187"/>
      <c r="AE230" s="187"/>
    </row>
    <row r="231" spans="1:31" x14ac:dyDescent="0.25">
      <c r="A231" s="187"/>
      <c r="B231" s="187" t="str">
        <f>IF($C231="","",MAX($B$4:$B230)+1)</f>
        <v/>
      </c>
      <c r="C231" s="183"/>
      <c r="D231" s="183" t="str">
        <f>IFERROR(VLOOKUP($C231,Rosters!$C$4:$M$239,INDEX(Lists!$N$5:$O$80,MATCH($C231,Lists!$N$5:$N$80,FALSE),2)),"")</f>
        <v/>
      </c>
      <c r="E231" s="185">
        <f>IF($C231="",-0.00001,COUNTIF(Database!E:E,$C231))</f>
        <v>-1.0000000000000001E-5</v>
      </c>
      <c r="F231" s="194">
        <f>IFERROR(IF($C231="",-0.00001,SUMIFS(Database!H:H,Database!$E:$E,$C231)/$E231),-0.00001)</f>
        <v>-1.0000000000000001E-5</v>
      </c>
      <c r="G231" s="194">
        <f>IFERROR(IF($C231="",-0.00001,SUMIFS(Database!I:I,Database!$E:$E,$C231)/$E231),-0.00001)</f>
        <v>-1.0000000000000001E-5</v>
      </c>
      <c r="H231" s="194">
        <f>IFERROR(IF($C231="",-0.00001,SUMIFS(Database!J:J,Database!$E:$E,$C231)/$E231),-0.00001)</f>
        <v>-1.0000000000000001E-5</v>
      </c>
      <c r="I231" s="194">
        <f>IFERROR(IF($C231="",-0.00001,SUMIFS(Database!K:K,Database!$E:$E,$C231)/$E231),-0.00001)</f>
        <v>-1.0000000000000001E-5</v>
      </c>
      <c r="J231" s="194">
        <f>IFERROR(IF($C231="",-0.00001,SUMIFS(Database!L:L,Database!$E:$E,$C231)/$E231),-0.00001)</f>
        <v>-1.0000000000000001E-5</v>
      </c>
      <c r="K231" s="194">
        <f>IFERROR(IF($C231="",-0.00001,SUMIFS(Database!M:M,Database!$E:$E,$C231)/$E231),-0.00001)</f>
        <v>-1.0000000000000001E-5</v>
      </c>
      <c r="L231" s="194">
        <f>IFERROR(IF($C231="",-0.00001,SUMIFS(Database!N:N,Database!$E:$E,$C231)/$E231),-0.00001)</f>
        <v>-1.0000000000000001E-5</v>
      </c>
      <c r="M231" s="194">
        <f>IFERROR(IF($C231="",-0.00001,SUMIFS(Database!O:O,Database!$E:$E,$C231)/$E231),-0.00001)</f>
        <v>-1.0000000000000001E-5</v>
      </c>
      <c r="N231" s="194">
        <f>IFERROR(IF($C231="",-0.00001,SUMIFS(Database!P:P,Database!$E:$E,$C231)/$E231),-0.00001)</f>
        <v>-1.0000000000000001E-5</v>
      </c>
      <c r="O231" s="194">
        <f>IFERROR(IF($C231="",-0.00001,SUMIFS(Database!Q:Q,Database!$E:$E,$C231)/$E231),-0.00001)</f>
        <v>-1.0000000000000001E-5</v>
      </c>
      <c r="P231" s="186">
        <f t="shared" si="9"/>
        <v>-1.0000000000000001E-5</v>
      </c>
      <c r="Q231" s="194">
        <f>IFERROR(IF($C231="",-0.00001,SUMIFS(Database!S:S,Database!$E:$E,$C231)/$E231),-0.00001)</f>
        <v>-1.0000000000000001E-5</v>
      </c>
      <c r="R231" s="194">
        <f>IFERROR(IF($C231="",-0.00001,SUMIFS(Database!T:T,Database!$E:$E,$C231)/$E231),-0.00001)</f>
        <v>-1.0000000000000001E-5</v>
      </c>
      <c r="S231" s="186">
        <f t="shared" si="10"/>
        <v>-1.0000000000000001E-5</v>
      </c>
      <c r="T231" s="194">
        <f>IFERROR(IF($C231="",-0.00001,SUMIFS(Database!V:V,Database!$E:$E,$C231)/$E231),-0.00001)</f>
        <v>-1.0000000000000001E-5</v>
      </c>
      <c r="U231" s="194">
        <f>IFERROR(IF($C231="",-0.00001,SUMIFS(Database!W:W,Database!$E:$E,$C231)/$E231),-0.00001)</f>
        <v>-1.0000000000000001E-5</v>
      </c>
      <c r="V231" s="186">
        <f t="shared" si="11"/>
        <v>-1.0000000000000001E-5</v>
      </c>
      <c r="W231" s="187"/>
      <c r="X231" s="187"/>
      <c r="Y231" s="187"/>
      <c r="Z231" s="187"/>
      <c r="AA231" s="187"/>
      <c r="AB231" s="187"/>
      <c r="AC231" s="187"/>
      <c r="AD231" s="187"/>
      <c r="AE231" s="187"/>
    </row>
    <row r="232" spans="1:31" x14ac:dyDescent="0.25">
      <c r="A232" s="187"/>
      <c r="B232" s="187" t="str">
        <f>IF($C232="","",MAX($B$4:$B231)+1)</f>
        <v/>
      </c>
      <c r="C232" s="183"/>
      <c r="D232" s="183" t="str">
        <f>IFERROR(VLOOKUP($C232,Rosters!$C$4:$M$239,INDEX(Lists!$N$5:$O$80,MATCH($C232,Lists!$N$5:$N$80,FALSE),2)),"")</f>
        <v/>
      </c>
      <c r="E232" s="185">
        <f>IF($C232="",-0.00001,COUNTIF(Database!E:E,$C232))</f>
        <v>-1.0000000000000001E-5</v>
      </c>
      <c r="F232" s="194">
        <f>IFERROR(IF($C232="",-0.00001,SUMIFS(Database!H:H,Database!$E:$E,$C232)/$E232),-0.00001)</f>
        <v>-1.0000000000000001E-5</v>
      </c>
      <c r="G232" s="194">
        <f>IFERROR(IF($C232="",-0.00001,SUMIFS(Database!I:I,Database!$E:$E,$C232)/$E232),-0.00001)</f>
        <v>-1.0000000000000001E-5</v>
      </c>
      <c r="H232" s="194">
        <f>IFERROR(IF($C232="",-0.00001,SUMIFS(Database!J:J,Database!$E:$E,$C232)/$E232),-0.00001)</f>
        <v>-1.0000000000000001E-5</v>
      </c>
      <c r="I232" s="194">
        <f>IFERROR(IF($C232="",-0.00001,SUMIFS(Database!K:K,Database!$E:$E,$C232)/$E232),-0.00001)</f>
        <v>-1.0000000000000001E-5</v>
      </c>
      <c r="J232" s="194">
        <f>IFERROR(IF($C232="",-0.00001,SUMIFS(Database!L:L,Database!$E:$E,$C232)/$E232),-0.00001)</f>
        <v>-1.0000000000000001E-5</v>
      </c>
      <c r="K232" s="194">
        <f>IFERROR(IF($C232="",-0.00001,SUMIFS(Database!M:M,Database!$E:$E,$C232)/$E232),-0.00001)</f>
        <v>-1.0000000000000001E-5</v>
      </c>
      <c r="L232" s="194">
        <f>IFERROR(IF($C232="",-0.00001,SUMIFS(Database!N:N,Database!$E:$E,$C232)/$E232),-0.00001)</f>
        <v>-1.0000000000000001E-5</v>
      </c>
      <c r="M232" s="194">
        <f>IFERROR(IF($C232="",-0.00001,SUMIFS(Database!O:O,Database!$E:$E,$C232)/$E232),-0.00001)</f>
        <v>-1.0000000000000001E-5</v>
      </c>
      <c r="N232" s="194">
        <f>IFERROR(IF($C232="",-0.00001,SUMIFS(Database!P:P,Database!$E:$E,$C232)/$E232),-0.00001)</f>
        <v>-1.0000000000000001E-5</v>
      </c>
      <c r="O232" s="194">
        <f>IFERROR(IF($C232="",-0.00001,SUMIFS(Database!Q:Q,Database!$E:$E,$C232)/$E232),-0.00001)</f>
        <v>-1.0000000000000001E-5</v>
      </c>
      <c r="P232" s="186">
        <f t="shared" si="9"/>
        <v>-1.0000000000000001E-5</v>
      </c>
      <c r="Q232" s="194">
        <f>IFERROR(IF($C232="",-0.00001,SUMIFS(Database!S:S,Database!$E:$E,$C232)/$E232),-0.00001)</f>
        <v>-1.0000000000000001E-5</v>
      </c>
      <c r="R232" s="194">
        <f>IFERROR(IF($C232="",-0.00001,SUMIFS(Database!T:T,Database!$E:$E,$C232)/$E232),-0.00001)</f>
        <v>-1.0000000000000001E-5</v>
      </c>
      <c r="S232" s="186">
        <f t="shared" si="10"/>
        <v>-1.0000000000000001E-5</v>
      </c>
      <c r="T232" s="194">
        <f>IFERROR(IF($C232="",-0.00001,SUMIFS(Database!V:V,Database!$E:$E,$C232)/$E232),-0.00001)</f>
        <v>-1.0000000000000001E-5</v>
      </c>
      <c r="U232" s="194">
        <f>IFERROR(IF($C232="",-0.00001,SUMIFS(Database!W:W,Database!$E:$E,$C232)/$E232),-0.00001)</f>
        <v>-1.0000000000000001E-5</v>
      </c>
      <c r="V232" s="186">
        <f t="shared" si="11"/>
        <v>-1.0000000000000001E-5</v>
      </c>
      <c r="W232" s="187"/>
      <c r="X232" s="187"/>
      <c r="Y232" s="187"/>
      <c r="Z232" s="187"/>
      <c r="AA232" s="187"/>
      <c r="AB232" s="187"/>
      <c r="AC232" s="187"/>
      <c r="AD232" s="187"/>
      <c r="AE232" s="187"/>
    </row>
    <row r="233" spans="1:31" x14ac:dyDescent="0.25">
      <c r="A233" s="187"/>
      <c r="B233" s="187" t="str">
        <f>IF($C233="","",MAX($B$4:$B232)+1)</f>
        <v/>
      </c>
      <c r="C233" s="183"/>
      <c r="D233" s="183" t="str">
        <f>IFERROR(VLOOKUP($C233,Rosters!$C$4:$M$239,INDEX(Lists!$N$5:$O$80,MATCH($C233,Lists!$N$5:$N$80,FALSE),2)),"")</f>
        <v/>
      </c>
      <c r="E233" s="185">
        <f>IF($C233="",-0.00001,COUNTIF(Database!E:E,$C233))</f>
        <v>-1.0000000000000001E-5</v>
      </c>
      <c r="F233" s="194">
        <f>IFERROR(IF($C233="",-0.00001,SUMIFS(Database!H:H,Database!$E:$E,$C233)/$E233),-0.00001)</f>
        <v>-1.0000000000000001E-5</v>
      </c>
      <c r="G233" s="194">
        <f>IFERROR(IF($C233="",-0.00001,SUMIFS(Database!I:I,Database!$E:$E,$C233)/$E233),-0.00001)</f>
        <v>-1.0000000000000001E-5</v>
      </c>
      <c r="H233" s="194">
        <f>IFERROR(IF($C233="",-0.00001,SUMIFS(Database!J:J,Database!$E:$E,$C233)/$E233),-0.00001)</f>
        <v>-1.0000000000000001E-5</v>
      </c>
      <c r="I233" s="194">
        <f>IFERROR(IF($C233="",-0.00001,SUMIFS(Database!K:K,Database!$E:$E,$C233)/$E233),-0.00001)</f>
        <v>-1.0000000000000001E-5</v>
      </c>
      <c r="J233" s="194">
        <f>IFERROR(IF($C233="",-0.00001,SUMIFS(Database!L:L,Database!$E:$E,$C233)/$E233),-0.00001)</f>
        <v>-1.0000000000000001E-5</v>
      </c>
      <c r="K233" s="194">
        <f>IFERROR(IF($C233="",-0.00001,SUMIFS(Database!M:M,Database!$E:$E,$C233)/$E233),-0.00001)</f>
        <v>-1.0000000000000001E-5</v>
      </c>
      <c r="L233" s="194">
        <f>IFERROR(IF($C233="",-0.00001,SUMIFS(Database!N:N,Database!$E:$E,$C233)/$E233),-0.00001)</f>
        <v>-1.0000000000000001E-5</v>
      </c>
      <c r="M233" s="194">
        <f>IFERROR(IF($C233="",-0.00001,SUMIFS(Database!O:O,Database!$E:$E,$C233)/$E233),-0.00001)</f>
        <v>-1.0000000000000001E-5</v>
      </c>
      <c r="N233" s="194">
        <f>IFERROR(IF($C233="",-0.00001,SUMIFS(Database!P:P,Database!$E:$E,$C233)/$E233),-0.00001)</f>
        <v>-1.0000000000000001E-5</v>
      </c>
      <c r="O233" s="194">
        <f>IFERROR(IF($C233="",-0.00001,SUMIFS(Database!Q:Q,Database!$E:$E,$C233)/$E233),-0.00001)</f>
        <v>-1.0000000000000001E-5</v>
      </c>
      <c r="P233" s="186">
        <f t="shared" si="9"/>
        <v>-1.0000000000000001E-5</v>
      </c>
      <c r="Q233" s="194">
        <f>IFERROR(IF($C233="",-0.00001,SUMIFS(Database!S:S,Database!$E:$E,$C233)/$E233),-0.00001)</f>
        <v>-1.0000000000000001E-5</v>
      </c>
      <c r="R233" s="194">
        <f>IFERROR(IF($C233="",-0.00001,SUMIFS(Database!T:T,Database!$E:$E,$C233)/$E233),-0.00001)</f>
        <v>-1.0000000000000001E-5</v>
      </c>
      <c r="S233" s="186">
        <f t="shared" si="10"/>
        <v>-1.0000000000000001E-5</v>
      </c>
      <c r="T233" s="194">
        <f>IFERROR(IF($C233="",-0.00001,SUMIFS(Database!V:V,Database!$E:$E,$C233)/$E233),-0.00001)</f>
        <v>-1.0000000000000001E-5</v>
      </c>
      <c r="U233" s="194">
        <f>IFERROR(IF($C233="",-0.00001,SUMIFS(Database!W:W,Database!$E:$E,$C233)/$E233),-0.00001)</f>
        <v>-1.0000000000000001E-5</v>
      </c>
      <c r="V233" s="186">
        <f t="shared" si="11"/>
        <v>-1.0000000000000001E-5</v>
      </c>
      <c r="W233" s="187"/>
      <c r="X233" s="187"/>
      <c r="Y233" s="187"/>
      <c r="Z233" s="187"/>
      <c r="AA233" s="187"/>
      <c r="AB233" s="187"/>
      <c r="AC233" s="187"/>
      <c r="AD233" s="187"/>
      <c r="AE233" s="187"/>
    </row>
    <row r="234" spans="1:31" x14ac:dyDescent="0.25">
      <c r="A234" s="187"/>
      <c r="B234" s="187" t="str">
        <f>IF($C234="","",MAX($B$4:$B233)+1)</f>
        <v/>
      </c>
      <c r="C234" s="183"/>
      <c r="D234" s="183" t="str">
        <f>IFERROR(VLOOKUP($C234,Rosters!$C$4:$M$239,INDEX(Lists!$N$5:$O$80,MATCH($C234,Lists!$N$5:$N$80,FALSE),2)),"")</f>
        <v/>
      </c>
      <c r="E234" s="185">
        <f>IF($C234="",-0.00001,COUNTIF(Database!E:E,$C234))</f>
        <v>-1.0000000000000001E-5</v>
      </c>
      <c r="F234" s="194">
        <f>IFERROR(IF($C234="",-0.00001,SUMIFS(Database!H:H,Database!$E:$E,$C234)/$E234),-0.00001)</f>
        <v>-1.0000000000000001E-5</v>
      </c>
      <c r="G234" s="194">
        <f>IFERROR(IF($C234="",-0.00001,SUMIFS(Database!I:I,Database!$E:$E,$C234)/$E234),-0.00001)</f>
        <v>-1.0000000000000001E-5</v>
      </c>
      <c r="H234" s="194">
        <f>IFERROR(IF($C234="",-0.00001,SUMIFS(Database!J:J,Database!$E:$E,$C234)/$E234),-0.00001)</f>
        <v>-1.0000000000000001E-5</v>
      </c>
      <c r="I234" s="194">
        <f>IFERROR(IF($C234="",-0.00001,SUMIFS(Database!K:K,Database!$E:$E,$C234)/$E234),-0.00001)</f>
        <v>-1.0000000000000001E-5</v>
      </c>
      <c r="J234" s="194">
        <f>IFERROR(IF($C234="",-0.00001,SUMIFS(Database!L:L,Database!$E:$E,$C234)/$E234),-0.00001)</f>
        <v>-1.0000000000000001E-5</v>
      </c>
      <c r="K234" s="194">
        <f>IFERROR(IF($C234="",-0.00001,SUMIFS(Database!M:M,Database!$E:$E,$C234)/$E234),-0.00001)</f>
        <v>-1.0000000000000001E-5</v>
      </c>
      <c r="L234" s="194">
        <f>IFERROR(IF($C234="",-0.00001,SUMIFS(Database!N:N,Database!$E:$E,$C234)/$E234),-0.00001)</f>
        <v>-1.0000000000000001E-5</v>
      </c>
      <c r="M234" s="194">
        <f>IFERROR(IF($C234="",-0.00001,SUMIFS(Database!O:O,Database!$E:$E,$C234)/$E234),-0.00001)</f>
        <v>-1.0000000000000001E-5</v>
      </c>
      <c r="N234" s="194">
        <f>IFERROR(IF($C234="",-0.00001,SUMIFS(Database!P:P,Database!$E:$E,$C234)/$E234),-0.00001)</f>
        <v>-1.0000000000000001E-5</v>
      </c>
      <c r="O234" s="194">
        <f>IFERROR(IF($C234="",-0.00001,SUMIFS(Database!Q:Q,Database!$E:$E,$C234)/$E234),-0.00001)</f>
        <v>-1.0000000000000001E-5</v>
      </c>
      <c r="P234" s="186">
        <f t="shared" si="9"/>
        <v>-1.0000000000000001E-5</v>
      </c>
      <c r="Q234" s="194">
        <f>IFERROR(IF($C234="",-0.00001,SUMIFS(Database!S:S,Database!$E:$E,$C234)/$E234),-0.00001)</f>
        <v>-1.0000000000000001E-5</v>
      </c>
      <c r="R234" s="194">
        <f>IFERROR(IF($C234="",-0.00001,SUMIFS(Database!T:T,Database!$E:$E,$C234)/$E234),-0.00001)</f>
        <v>-1.0000000000000001E-5</v>
      </c>
      <c r="S234" s="186">
        <f t="shared" si="10"/>
        <v>-1.0000000000000001E-5</v>
      </c>
      <c r="T234" s="194">
        <f>IFERROR(IF($C234="",-0.00001,SUMIFS(Database!V:V,Database!$E:$E,$C234)/$E234),-0.00001)</f>
        <v>-1.0000000000000001E-5</v>
      </c>
      <c r="U234" s="194">
        <f>IFERROR(IF($C234="",-0.00001,SUMIFS(Database!W:W,Database!$E:$E,$C234)/$E234),-0.00001)</f>
        <v>-1.0000000000000001E-5</v>
      </c>
      <c r="V234" s="186">
        <f t="shared" si="11"/>
        <v>-1.0000000000000001E-5</v>
      </c>
      <c r="W234" s="187"/>
      <c r="X234" s="187"/>
      <c r="Y234" s="187"/>
      <c r="Z234" s="187"/>
      <c r="AA234" s="187"/>
      <c r="AB234" s="187"/>
      <c r="AC234" s="187"/>
      <c r="AD234" s="187"/>
      <c r="AE234" s="187"/>
    </row>
    <row r="235" spans="1:31" x14ac:dyDescent="0.25">
      <c r="A235" s="187"/>
      <c r="B235" s="187" t="str">
        <f>IF($C235="","",MAX($B$4:$B234)+1)</f>
        <v/>
      </c>
      <c r="C235" s="183"/>
      <c r="D235" s="183" t="str">
        <f>IFERROR(VLOOKUP($C235,Rosters!$C$4:$M$239,INDEX(Lists!$N$5:$O$80,MATCH($C235,Lists!$N$5:$N$80,FALSE),2)),"")</f>
        <v/>
      </c>
      <c r="E235" s="185">
        <f>IF($C235="",-0.00001,COUNTIF(Database!E:E,$C235))</f>
        <v>-1.0000000000000001E-5</v>
      </c>
      <c r="F235" s="194">
        <f>IFERROR(IF($C235="",-0.00001,SUMIFS(Database!H:H,Database!$E:$E,$C235)/$E235),-0.00001)</f>
        <v>-1.0000000000000001E-5</v>
      </c>
      <c r="G235" s="194">
        <f>IFERROR(IF($C235="",-0.00001,SUMIFS(Database!I:I,Database!$E:$E,$C235)/$E235),-0.00001)</f>
        <v>-1.0000000000000001E-5</v>
      </c>
      <c r="H235" s="194">
        <f>IFERROR(IF($C235="",-0.00001,SUMIFS(Database!J:J,Database!$E:$E,$C235)/$E235),-0.00001)</f>
        <v>-1.0000000000000001E-5</v>
      </c>
      <c r="I235" s="194">
        <f>IFERROR(IF($C235="",-0.00001,SUMIFS(Database!K:K,Database!$E:$E,$C235)/$E235),-0.00001)</f>
        <v>-1.0000000000000001E-5</v>
      </c>
      <c r="J235" s="194">
        <f>IFERROR(IF($C235="",-0.00001,SUMIFS(Database!L:L,Database!$E:$E,$C235)/$E235),-0.00001)</f>
        <v>-1.0000000000000001E-5</v>
      </c>
      <c r="K235" s="194">
        <f>IFERROR(IF($C235="",-0.00001,SUMIFS(Database!M:M,Database!$E:$E,$C235)/$E235),-0.00001)</f>
        <v>-1.0000000000000001E-5</v>
      </c>
      <c r="L235" s="194">
        <f>IFERROR(IF($C235="",-0.00001,SUMIFS(Database!N:N,Database!$E:$E,$C235)/$E235),-0.00001)</f>
        <v>-1.0000000000000001E-5</v>
      </c>
      <c r="M235" s="194">
        <f>IFERROR(IF($C235="",-0.00001,SUMIFS(Database!O:O,Database!$E:$E,$C235)/$E235),-0.00001)</f>
        <v>-1.0000000000000001E-5</v>
      </c>
      <c r="N235" s="194">
        <f>IFERROR(IF($C235="",-0.00001,SUMIFS(Database!P:P,Database!$E:$E,$C235)/$E235),-0.00001)</f>
        <v>-1.0000000000000001E-5</v>
      </c>
      <c r="O235" s="194">
        <f>IFERROR(IF($C235="",-0.00001,SUMIFS(Database!Q:Q,Database!$E:$E,$C235)/$E235),-0.00001)</f>
        <v>-1.0000000000000001E-5</v>
      </c>
      <c r="P235" s="186">
        <f t="shared" si="9"/>
        <v>-1.0000000000000001E-5</v>
      </c>
      <c r="Q235" s="194">
        <f>IFERROR(IF($C235="",-0.00001,SUMIFS(Database!S:S,Database!$E:$E,$C235)/$E235),-0.00001)</f>
        <v>-1.0000000000000001E-5</v>
      </c>
      <c r="R235" s="194">
        <f>IFERROR(IF($C235="",-0.00001,SUMIFS(Database!T:T,Database!$E:$E,$C235)/$E235),-0.00001)</f>
        <v>-1.0000000000000001E-5</v>
      </c>
      <c r="S235" s="186">
        <f t="shared" si="10"/>
        <v>-1.0000000000000001E-5</v>
      </c>
      <c r="T235" s="194">
        <f>IFERROR(IF($C235="",-0.00001,SUMIFS(Database!V:V,Database!$E:$E,$C235)/$E235),-0.00001)</f>
        <v>-1.0000000000000001E-5</v>
      </c>
      <c r="U235" s="194">
        <f>IFERROR(IF($C235="",-0.00001,SUMIFS(Database!W:W,Database!$E:$E,$C235)/$E235),-0.00001)</f>
        <v>-1.0000000000000001E-5</v>
      </c>
      <c r="V235" s="186">
        <f t="shared" si="11"/>
        <v>-1.0000000000000001E-5</v>
      </c>
      <c r="W235" s="187"/>
      <c r="X235" s="187"/>
      <c r="Y235" s="187"/>
      <c r="Z235" s="187"/>
      <c r="AA235" s="187"/>
      <c r="AB235" s="187"/>
      <c r="AC235" s="187"/>
      <c r="AD235" s="187"/>
      <c r="AE235" s="187"/>
    </row>
    <row r="236" spans="1:31" x14ac:dyDescent="0.25">
      <c r="A236" s="187"/>
      <c r="B236" s="187" t="str">
        <f>IF($C236="","",MAX($B$4:$B235)+1)</f>
        <v/>
      </c>
      <c r="C236" s="183"/>
      <c r="D236" s="183" t="str">
        <f>IFERROR(VLOOKUP($C236,Rosters!$C$4:$M$239,INDEX(Lists!$N$5:$O$80,MATCH($C236,Lists!$N$5:$N$80,FALSE),2)),"")</f>
        <v/>
      </c>
      <c r="E236" s="185">
        <f>IF($C236="",-0.00001,COUNTIF(Database!E:E,$C236))</f>
        <v>-1.0000000000000001E-5</v>
      </c>
      <c r="F236" s="194">
        <f>IFERROR(IF($C236="",-0.00001,SUMIFS(Database!H:H,Database!$E:$E,$C236)/$E236),-0.00001)</f>
        <v>-1.0000000000000001E-5</v>
      </c>
      <c r="G236" s="194">
        <f>IFERROR(IF($C236="",-0.00001,SUMIFS(Database!I:I,Database!$E:$E,$C236)/$E236),-0.00001)</f>
        <v>-1.0000000000000001E-5</v>
      </c>
      <c r="H236" s="194">
        <f>IFERROR(IF($C236="",-0.00001,SUMIFS(Database!J:J,Database!$E:$E,$C236)/$E236),-0.00001)</f>
        <v>-1.0000000000000001E-5</v>
      </c>
      <c r="I236" s="194">
        <f>IFERROR(IF($C236="",-0.00001,SUMIFS(Database!K:K,Database!$E:$E,$C236)/$E236),-0.00001)</f>
        <v>-1.0000000000000001E-5</v>
      </c>
      <c r="J236" s="194">
        <f>IFERROR(IF($C236="",-0.00001,SUMIFS(Database!L:L,Database!$E:$E,$C236)/$E236),-0.00001)</f>
        <v>-1.0000000000000001E-5</v>
      </c>
      <c r="K236" s="194">
        <f>IFERROR(IF($C236="",-0.00001,SUMIFS(Database!M:M,Database!$E:$E,$C236)/$E236),-0.00001)</f>
        <v>-1.0000000000000001E-5</v>
      </c>
      <c r="L236" s="194">
        <f>IFERROR(IF($C236="",-0.00001,SUMIFS(Database!N:N,Database!$E:$E,$C236)/$E236),-0.00001)</f>
        <v>-1.0000000000000001E-5</v>
      </c>
      <c r="M236" s="194">
        <f>IFERROR(IF($C236="",-0.00001,SUMIFS(Database!O:O,Database!$E:$E,$C236)/$E236),-0.00001)</f>
        <v>-1.0000000000000001E-5</v>
      </c>
      <c r="N236" s="194">
        <f>IFERROR(IF($C236="",-0.00001,SUMIFS(Database!P:P,Database!$E:$E,$C236)/$E236),-0.00001)</f>
        <v>-1.0000000000000001E-5</v>
      </c>
      <c r="O236" s="194">
        <f>IFERROR(IF($C236="",-0.00001,SUMIFS(Database!Q:Q,Database!$E:$E,$C236)/$E236),-0.00001)</f>
        <v>-1.0000000000000001E-5</v>
      </c>
      <c r="P236" s="186">
        <f t="shared" si="9"/>
        <v>-1.0000000000000001E-5</v>
      </c>
      <c r="Q236" s="194">
        <f>IFERROR(IF($C236="",-0.00001,SUMIFS(Database!S:S,Database!$E:$E,$C236)/$E236),-0.00001)</f>
        <v>-1.0000000000000001E-5</v>
      </c>
      <c r="R236" s="194">
        <f>IFERROR(IF($C236="",-0.00001,SUMIFS(Database!T:T,Database!$E:$E,$C236)/$E236),-0.00001)</f>
        <v>-1.0000000000000001E-5</v>
      </c>
      <c r="S236" s="186">
        <f t="shared" si="10"/>
        <v>-1.0000000000000001E-5</v>
      </c>
      <c r="T236" s="194">
        <f>IFERROR(IF($C236="",-0.00001,SUMIFS(Database!V:V,Database!$E:$E,$C236)/$E236),-0.00001)</f>
        <v>-1.0000000000000001E-5</v>
      </c>
      <c r="U236" s="194">
        <f>IFERROR(IF($C236="",-0.00001,SUMIFS(Database!W:W,Database!$E:$E,$C236)/$E236),-0.00001)</f>
        <v>-1.0000000000000001E-5</v>
      </c>
      <c r="V236" s="186">
        <f t="shared" si="11"/>
        <v>-1.0000000000000001E-5</v>
      </c>
      <c r="W236" s="187"/>
      <c r="X236" s="187"/>
      <c r="Y236" s="187"/>
      <c r="Z236" s="187"/>
      <c r="AA236" s="187"/>
      <c r="AB236" s="187"/>
      <c r="AC236" s="187"/>
      <c r="AD236" s="187"/>
      <c r="AE236" s="187"/>
    </row>
    <row r="237" spans="1:31" x14ac:dyDescent="0.25">
      <c r="A237" s="187"/>
      <c r="B237" s="187" t="str">
        <f>IF($C237="","",MAX($B$4:$B236)+1)</f>
        <v/>
      </c>
      <c r="C237" s="183"/>
      <c r="D237" s="183" t="str">
        <f>IFERROR(VLOOKUP($C237,Rosters!$C$4:$M$239,INDEX(Lists!$N$5:$O$80,MATCH($C237,Lists!$N$5:$N$80,FALSE),2)),"")</f>
        <v/>
      </c>
      <c r="E237" s="185">
        <f>IF($C237="",-0.00001,COUNTIF(Database!E:E,$C237))</f>
        <v>-1.0000000000000001E-5</v>
      </c>
      <c r="F237" s="194">
        <f>IFERROR(IF($C237="",-0.00001,SUMIFS(Database!H:H,Database!$E:$E,$C237)/$E237),-0.00001)</f>
        <v>-1.0000000000000001E-5</v>
      </c>
      <c r="G237" s="194">
        <f>IFERROR(IF($C237="",-0.00001,SUMIFS(Database!I:I,Database!$E:$E,$C237)/$E237),-0.00001)</f>
        <v>-1.0000000000000001E-5</v>
      </c>
      <c r="H237" s="194">
        <f>IFERROR(IF($C237="",-0.00001,SUMIFS(Database!J:J,Database!$E:$E,$C237)/$E237),-0.00001)</f>
        <v>-1.0000000000000001E-5</v>
      </c>
      <c r="I237" s="194">
        <f>IFERROR(IF($C237="",-0.00001,SUMIFS(Database!K:K,Database!$E:$E,$C237)/$E237),-0.00001)</f>
        <v>-1.0000000000000001E-5</v>
      </c>
      <c r="J237" s="194">
        <f>IFERROR(IF($C237="",-0.00001,SUMIFS(Database!L:L,Database!$E:$E,$C237)/$E237),-0.00001)</f>
        <v>-1.0000000000000001E-5</v>
      </c>
      <c r="K237" s="194">
        <f>IFERROR(IF($C237="",-0.00001,SUMIFS(Database!M:M,Database!$E:$E,$C237)/$E237),-0.00001)</f>
        <v>-1.0000000000000001E-5</v>
      </c>
      <c r="L237" s="194">
        <f>IFERROR(IF($C237="",-0.00001,SUMIFS(Database!N:N,Database!$E:$E,$C237)/$E237),-0.00001)</f>
        <v>-1.0000000000000001E-5</v>
      </c>
      <c r="M237" s="194">
        <f>IFERROR(IF($C237="",-0.00001,SUMIFS(Database!O:O,Database!$E:$E,$C237)/$E237),-0.00001)</f>
        <v>-1.0000000000000001E-5</v>
      </c>
      <c r="N237" s="194">
        <f>IFERROR(IF($C237="",-0.00001,SUMIFS(Database!P:P,Database!$E:$E,$C237)/$E237),-0.00001)</f>
        <v>-1.0000000000000001E-5</v>
      </c>
      <c r="O237" s="194">
        <f>IFERROR(IF($C237="",-0.00001,SUMIFS(Database!Q:Q,Database!$E:$E,$C237)/$E237),-0.00001)</f>
        <v>-1.0000000000000001E-5</v>
      </c>
      <c r="P237" s="186">
        <f t="shared" si="9"/>
        <v>-1.0000000000000001E-5</v>
      </c>
      <c r="Q237" s="194">
        <f>IFERROR(IF($C237="",-0.00001,SUMIFS(Database!S:S,Database!$E:$E,$C237)/$E237),-0.00001)</f>
        <v>-1.0000000000000001E-5</v>
      </c>
      <c r="R237" s="194">
        <f>IFERROR(IF($C237="",-0.00001,SUMIFS(Database!T:T,Database!$E:$E,$C237)/$E237),-0.00001)</f>
        <v>-1.0000000000000001E-5</v>
      </c>
      <c r="S237" s="186">
        <f t="shared" si="10"/>
        <v>-1.0000000000000001E-5</v>
      </c>
      <c r="T237" s="194">
        <f>IFERROR(IF($C237="",-0.00001,SUMIFS(Database!V:V,Database!$E:$E,$C237)/$E237),-0.00001)</f>
        <v>-1.0000000000000001E-5</v>
      </c>
      <c r="U237" s="194">
        <f>IFERROR(IF($C237="",-0.00001,SUMIFS(Database!W:W,Database!$E:$E,$C237)/$E237),-0.00001)</f>
        <v>-1.0000000000000001E-5</v>
      </c>
      <c r="V237" s="186">
        <f t="shared" si="11"/>
        <v>-1.0000000000000001E-5</v>
      </c>
      <c r="W237" s="187"/>
      <c r="X237" s="187"/>
      <c r="Y237" s="187"/>
      <c r="Z237" s="187"/>
      <c r="AA237" s="187"/>
      <c r="AB237" s="187"/>
      <c r="AC237" s="187"/>
      <c r="AD237" s="187"/>
      <c r="AE237" s="187"/>
    </row>
    <row r="238" spans="1:31" x14ac:dyDescent="0.25">
      <c r="A238" s="187"/>
      <c r="B238" s="187" t="str">
        <f>IF($C238="","",MAX($B$4:$B237)+1)</f>
        <v/>
      </c>
      <c r="C238" s="183"/>
      <c r="D238" s="183" t="str">
        <f>IFERROR(VLOOKUP($C238,Rosters!$C$4:$M$239,INDEX(Lists!$N$5:$O$80,MATCH($C238,Lists!$N$5:$N$80,FALSE),2)),"")</f>
        <v/>
      </c>
      <c r="E238" s="185">
        <f>IF($C238="",-0.00001,COUNTIF(Database!E:E,$C238))</f>
        <v>-1.0000000000000001E-5</v>
      </c>
      <c r="F238" s="194">
        <f>IFERROR(IF($C238="",-0.00001,SUMIFS(Database!H:H,Database!$E:$E,$C238)/$E238),-0.00001)</f>
        <v>-1.0000000000000001E-5</v>
      </c>
      <c r="G238" s="194">
        <f>IFERROR(IF($C238="",-0.00001,SUMIFS(Database!I:I,Database!$E:$E,$C238)/$E238),-0.00001)</f>
        <v>-1.0000000000000001E-5</v>
      </c>
      <c r="H238" s="194">
        <f>IFERROR(IF($C238="",-0.00001,SUMIFS(Database!J:J,Database!$E:$E,$C238)/$E238),-0.00001)</f>
        <v>-1.0000000000000001E-5</v>
      </c>
      <c r="I238" s="194">
        <f>IFERROR(IF($C238="",-0.00001,SUMIFS(Database!K:K,Database!$E:$E,$C238)/$E238),-0.00001)</f>
        <v>-1.0000000000000001E-5</v>
      </c>
      <c r="J238" s="194">
        <f>IFERROR(IF($C238="",-0.00001,SUMIFS(Database!L:L,Database!$E:$E,$C238)/$E238),-0.00001)</f>
        <v>-1.0000000000000001E-5</v>
      </c>
      <c r="K238" s="194">
        <f>IFERROR(IF($C238="",-0.00001,SUMIFS(Database!M:M,Database!$E:$E,$C238)/$E238),-0.00001)</f>
        <v>-1.0000000000000001E-5</v>
      </c>
      <c r="L238" s="194">
        <f>IFERROR(IF($C238="",-0.00001,SUMIFS(Database!N:N,Database!$E:$E,$C238)/$E238),-0.00001)</f>
        <v>-1.0000000000000001E-5</v>
      </c>
      <c r="M238" s="194">
        <f>IFERROR(IF($C238="",-0.00001,SUMIFS(Database!O:O,Database!$E:$E,$C238)/$E238),-0.00001)</f>
        <v>-1.0000000000000001E-5</v>
      </c>
      <c r="N238" s="194">
        <f>IFERROR(IF($C238="",-0.00001,SUMIFS(Database!P:P,Database!$E:$E,$C238)/$E238),-0.00001)</f>
        <v>-1.0000000000000001E-5</v>
      </c>
      <c r="O238" s="194">
        <f>IFERROR(IF($C238="",-0.00001,SUMIFS(Database!Q:Q,Database!$E:$E,$C238)/$E238),-0.00001)</f>
        <v>-1.0000000000000001E-5</v>
      </c>
      <c r="P238" s="186">
        <f t="shared" si="9"/>
        <v>-1.0000000000000001E-5</v>
      </c>
      <c r="Q238" s="194">
        <f>IFERROR(IF($C238="",-0.00001,SUMIFS(Database!S:S,Database!$E:$E,$C238)/$E238),-0.00001)</f>
        <v>-1.0000000000000001E-5</v>
      </c>
      <c r="R238" s="194">
        <f>IFERROR(IF($C238="",-0.00001,SUMIFS(Database!T:T,Database!$E:$E,$C238)/$E238),-0.00001)</f>
        <v>-1.0000000000000001E-5</v>
      </c>
      <c r="S238" s="186">
        <f t="shared" si="10"/>
        <v>-1.0000000000000001E-5</v>
      </c>
      <c r="T238" s="194">
        <f>IFERROR(IF($C238="",-0.00001,SUMIFS(Database!V:V,Database!$E:$E,$C238)/$E238),-0.00001)</f>
        <v>-1.0000000000000001E-5</v>
      </c>
      <c r="U238" s="194">
        <f>IFERROR(IF($C238="",-0.00001,SUMIFS(Database!W:W,Database!$E:$E,$C238)/$E238),-0.00001)</f>
        <v>-1.0000000000000001E-5</v>
      </c>
      <c r="V238" s="186">
        <f t="shared" si="11"/>
        <v>-1.0000000000000001E-5</v>
      </c>
      <c r="W238" s="187"/>
      <c r="X238" s="187"/>
      <c r="Y238" s="187"/>
      <c r="Z238" s="187"/>
      <c r="AA238" s="187"/>
      <c r="AB238" s="187"/>
      <c r="AC238" s="187"/>
      <c r="AD238" s="187"/>
      <c r="AE238" s="187"/>
    </row>
    <row r="239" spans="1:31" x14ac:dyDescent="0.25">
      <c r="A239" s="187"/>
      <c r="B239" s="187" t="str">
        <f>IF($C239="","",MAX($B$4:$B238)+1)</f>
        <v/>
      </c>
      <c r="C239" s="183"/>
      <c r="D239" s="183" t="str">
        <f>IFERROR(VLOOKUP($C239,Rosters!$C$4:$M$239,INDEX(Lists!$N$5:$O$80,MATCH($C239,Lists!$N$5:$N$80,FALSE),2)),"")</f>
        <v/>
      </c>
      <c r="E239" s="185">
        <f>IF($C239="",-0.00001,COUNTIF(Database!E:E,$C239))</f>
        <v>-1.0000000000000001E-5</v>
      </c>
      <c r="F239" s="194">
        <f>IFERROR(IF($C239="",-0.00001,SUMIFS(Database!H:H,Database!$E:$E,$C239)/$E239),-0.00001)</f>
        <v>-1.0000000000000001E-5</v>
      </c>
      <c r="G239" s="194">
        <f>IFERROR(IF($C239="",-0.00001,SUMIFS(Database!I:I,Database!$E:$E,$C239)/$E239),-0.00001)</f>
        <v>-1.0000000000000001E-5</v>
      </c>
      <c r="H239" s="194">
        <f>IFERROR(IF($C239="",-0.00001,SUMIFS(Database!J:J,Database!$E:$E,$C239)/$E239),-0.00001)</f>
        <v>-1.0000000000000001E-5</v>
      </c>
      <c r="I239" s="194">
        <f>IFERROR(IF($C239="",-0.00001,SUMIFS(Database!K:K,Database!$E:$E,$C239)/$E239),-0.00001)</f>
        <v>-1.0000000000000001E-5</v>
      </c>
      <c r="J239" s="194">
        <f>IFERROR(IF($C239="",-0.00001,SUMIFS(Database!L:L,Database!$E:$E,$C239)/$E239),-0.00001)</f>
        <v>-1.0000000000000001E-5</v>
      </c>
      <c r="K239" s="194">
        <f>IFERROR(IF($C239="",-0.00001,SUMIFS(Database!M:M,Database!$E:$E,$C239)/$E239),-0.00001)</f>
        <v>-1.0000000000000001E-5</v>
      </c>
      <c r="L239" s="194">
        <f>IFERROR(IF($C239="",-0.00001,SUMIFS(Database!N:N,Database!$E:$E,$C239)/$E239),-0.00001)</f>
        <v>-1.0000000000000001E-5</v>
      </c>
      <c r="M239" s="194">
        <f>IFERROR(IF($C239="",-0.00001,SUMIFS(Database!O:O,Database!$E:$E,$C239)/$E239),-0.00001)</f>
        <v>-1.0000000000000001E-5</v>
      </c>
      <c r="N239" s="194">
        <f>IFERROR(IF($C239="",-0.00001,SUMIFS(Database!P:P,Database!$E:$E,$C239)/$E239),-0.00001)</f>
        <v>-1.0000000000000001E-5</v>
      </c>
      <c r="O239" s="194">
        <f>IFERROR(IF($C239="",-0.00001,SUMIFS(Database!Q:Q,Database!$E:$E,$C239)/$E239),-0.00001)</f>
        <v>-1.0000000000000001E-5</v>
      </c>
      <c r="P239" s="186">
        <f t="shared" si="9"/>
        <v>-1.0000000000000001E-5</v>
      </c>
      <c r="Q239" s="194">
        <f>IFERROR(IF($C239="",-0.00001,SUMIFS(Database!S:S,Database!$E:$E,$C239)/$E239),-0.00001)</f>
        <v>-1.0000000000000001E-5</v>
      </c>
      <c r="R239" s="194">
        <f>IFERROR(IF($C239="",-0.00001,SUMIFS(Database!T:T,Database!$E:$E,$C239)/$E239),-0.00001)</f>
        <v>-1.0000000000000001E-5</v>
      </c>
      <c r="S239" s="186">
        <f t="shared" si="10"/>
        <v>-1.0000000000000001E-5</v>
      </c>
      <c r="T239" s="194">
        <f>IFERROR(IF($C239="",-0.00001,SUMIFS(Database!V:V,Database!$E:$E,$C239)/$E239),-0.00001)</f>
        <v>-1.0000000000000001E-5</v>
      </c>
      <c r="U239" s="194">
        <f>IFERROR(IF($C239="",-0.00001,SUMIFS(Database!W:W,Database!$E:$E,$C239)/$E239),-0.00001)</f>
        <v>-1.0000000000000001E-5</v>
      </c>
      <c r="V239" s="186">
        <f t="shared" si="11"/>
        <v>-1.0000000000000001E-5</v>
      </c>
      <c r="W239" s="187"/>
      <c r="X239" s="187"/>
      <c r="Y239" s="187"/>
      <c r="Z239" s="187"/>
      <c r="AA239" s="187"/>
      <c r="AB239" s="187"/>
      <c r="AC239" s="187"/>
      <c r="AD239" s="187"/>
      <c r="AE239" s="187"/>
    </row>
    <row r="240" spans="1:31" x14ac:dyDescent="0.25">
      <c r="A240" s="187"/>
      <c r="B240" s="187" t="str">
        <f>IF($C240="","",MAX($B$4:$B239)+1)</f>
        <v/>
      </c>
      <c r="C240" s="183"/>
      <c r="D240" s="183" t="str">
        <f>IFERROR(VLOOKUP($C240,Rosters!$C$4:$M$239,INDEX(Lists!$N$5:$O$80,MATCH($C240,Lists!$N$5:$N$80,FALSE),2)),"")</f>
        <v/>
      </c>
      <c r="E240" s="185">
        <f>IF($C240="",-0.00001,COUNTIF(Database!E:E,$C240))</f>
        <v>-1.0000000000000001E-5</v>
      </c>
      <c r="F240" s="194">
        <f>IFERROR(IF($C240="",-0.00001,SUMIFS(Database!H:H,Database!$E:$E,$C240)/$E240),-0.00001)</f>
        <v>-1.0000000000000001E-5</v>
      </c>
      <c r="G240" s="194">
        <f>IFERROR(IF($C240="",-0.00001,SUMIFS(Database!I:I,Database!$E:$E,$C240)/$E240),-0.00001)</f>
        <v>-1.0000000000000001E-5</v>
      </c>
      <c r="H240" s="194">
        <f>IFERROR(IF($C240="",-0.00001,SUMIFS(Database!J:J,Database!$E:$E,$C240)/$E240),-0.00001)</f>
        <v>-1.0000000000000001E-5</v>
      </c>
      <c r="I240" s="194">
        <f>IFERROR(IF($C240="",-0.00001,SUMIFS(Database!K:K,Database!$E:$E,$C240)/$E240),-0.00001)</f>
        <v>-1.0000000000000001E-5</v>
      </c>
      <c r="J240" s="194">
        <f>IFERROR(IF($C240="",-0.00001,SUMIFS(Database!L:L,Database!$E:$E,$C240)/$E240),-0.00001)</f>
        <v>-1.0000000000000001E-5</v>
      </c>
      <c r="K240" s="194">
        <f>IFERROR(IF($C240="",-0.00001,SUMIFS(Database!M:M,Database!$E:$E,$C240)/$E240),-0.00001)</f>
        <v>-1.0000000000000001E-5</v>
      </c>
      <c r="L240" s="194">
        <f>IFERROR(IF($C240="",-0.00001,SUMIFS(Database!N:N,Database!$E:$E,$C240)/$E240),-0.00001)</f>
        <v>-1.0000000000000001E-5</v>
      </c>
      <c r="M240" s="194">
        <f>IFERROR(IF($C240="",-0.00001,SUMIFS(Database!O:O,Database!$E:$E,$C240)/$E240),-0.00001)</f>
        <v>-1.0000000000000001E-5</v>
      </c>
      <c r="N240" s="194">
        <f>IFERROR(IF($C240="",-0.00001,SUMIFS(Database!P:P,Database!$E:$E,$C240)/$E240),-0.00001)</f>
        <v>-1.0000000000000001E-5</v>
      </c>
      <c r="O240" s="194">
        <f>IFERROR(IF($C240="",-0.00001,SUMIFS(Database!Q:Q,Database!$E:$E,$C240)/$E240),-0.00001)</f>
        <v>-1.0000000000000001E-5</v>
      </c>
      <c r="P240" s="186">
        <f t="shared" si="9"/>
        <v>-1.0000000000000001E-5</v>
      </c>
      <c r="Q240" s="194">
        <f>IFERROR(IF($C240="",-0.00001,SUMIFS(Database!S:S,Database!$E:$E,$C240)/$E240),-0.00001)</f>
        <v>-1.0000000000000001E-5</v>
      </c>
      <c r="R240" s="194">
        <f>IFERROR(IF($C240="",-0.00001,SUMIFS(Database!T:T,Database!$E:$E,$C240)/$E240),-0.00001)</f>
        <v>-1.0000000000000001E-5</v>
      </c>
      <c r="S240" s="186">
        <f t="shared" si="10"/>
        <v>-1.0000000000000001E-5</v>
      </c>
      <c r="T240" s="194">
        <f>IFERROR(IF($C240="",-0.00001,SUMIFS(Database!V:V,Database!$E:$E,$C240)/$E240),-0.00001)</f>
        <v>-1.0000000000000001E-5</v>
      </c>
      <c r="U240" s="194">
        <f>IFERROR(IF($C240="",-0.00001,SUMIFS(Database!W:W,Database!$E:$E,$C240)/$E240),-0.00001)</f>
        <v>-1.0000000000000001E-5</v>
      </c>
      <c r="V240" s="186">
        <f t="shared" si="11"/>
        <v>-1.0000000000000001E-5</v>
      </c>
      <c r="W240" s="187"/>
      <c r="X240" s="187"/>
      <c r="Y240" s="187"/>
      <c r="Z240" s="187"/>
      <c r="AA240" s="187"/>
      <c r="AB240" s="187"/>
      <c r="AC240" s="187"/>
      <c r="AD240" s="187"/>
      <c r="AE240" s="187"/>
    </row>
    <row r="241" spans="1:31" x14ac:dyDescent="0.25">
      <c r="A241" s="187"/>
      <c r="B241" s="187" t="str">
        <f>IF($C241="","",MAX($B$4:$B240)+1)</f>
        <v/>
      </c>
      <c r="C241" s="183"/>
      <c r="D241" s="183" t="str">
        <f>IFERROR(VLOOKUP($C241,Rosters!$C$4:$M$239,INDEX(Lists!$N$5:$O$80,MATCH($C241,Lists!$N$5:$N$80,FALSE),2)),"")</f>
        <v/>
      </c>
      <c r="E241" s="185">
        <f>IF($C241="",-0.00001,COUNTIF(Database!E:E,$C241))</f>
        <v>-1.0000000000000001E-5</v>
      </c>
      <c r="F241" s="194">
        <f>IFERROR(IF($C241="",-0.00001,SUMIFS(Database!H:H,Database!$E:$E,$C241)/$E241),-0.00001)</f>
        <v>-1.0000000000000001E-5</v>
      </c>
      <c r="G241" s="194">
        <f>IFERROR(IF($C241="",-0.00001,SUMIFS(Database!I:I,Database!$E:$E,$C241)/$E241),-0.00001)</f>
        <v>-1.0000000000000001E-5</v>
      </c>
      <c r="H241" s="194">
        <f>IFERROR(IF($C241="",-0.00001,SUMIFS(Database!J:J,Database!$E:$E,$C241)/$E241),-0.00001)</f>
        <v>-1.0000000000000001E-5</v>
      </c>
      <c r="I241" s="194">
        <f>IFERROR(IF($C241="",-0.00001,SUMIFS(Database!K:K,Database!$E:$E,$C241)/$E241),-0.00001)</f>
        <v>-1.0000000000000001E-5</v>
      </c>
      <c r="J241" s="194">
        <f>IFERROR(IF($C241="",-0.00001,SUMIFS(Database!L:L,Database!$E:$E,$C241)/$E241),-0.00001)</f>
        <v>-1.0000000000000001E-5</v>
      </c>
      <c r="K241" s="194">
        <f>IFERROR(IF($C241="",-0.00001,SUMIFS(Database!M:M,Database!$E:$E,$C241)/$E241),-0.00001)</f>
        <v>-1.0000000000000001E-5</v>
      </c>
      <c r="L241" s="194">
        <f>IFERROR(IF($C241="",-0.00001,SUMIFS(Database!N:N,Database!$E:$E,$C241)/$E241),-0.00001)</f>
        <v>-1.0000000000000001E-5</v>
      </c>
      <c r="M241" s="194">
        <f>IFERROR(IF($C241="",-0.00001,SUMIFS(Database!O:O,Database!$E:$E,$C241)/$E241),-0.00001)</f>
        <v>-1.0000000000000001E-5</v>
      </c>
      <c r="N241" s="194">
        <f>IFERROR(IF($C241="",-0.00001,SUMIFS(Database!P:P,Database!$E:$E,$C241)/$E241),-0.00001)</f>
        <v>-1.0000000000000001E-5</v>
      </c>
      <c r="O241" s="194">
        <f>IFERROR(IF($C241="",-0.00001,SUMIFS(Database!Q:Q,Database!$E:$E,$C241)/$E241),-0.00001)</f>
        <v>-1.0000000000000001E-5</v>
      </c>
      <c r="P241" s="186">
        <f t="shared" si="9"/>
        <v>-1.0000000000000001E-5</v>
      </c>
      <c r="Q241" s="194">
        <f>IFERROR(IF($C241="",-0.00001,SUMIFS(Database!S:S,Database!$E:$E,$C241)/$E241),-0.00001)</f>
        <v>-1.0000000000000001E-5</v>
      </c>
      <c r="R241" s="194">
        <f>IFERROR(IF($C241="",-0.00001,SUMIFS(Database!T:T,Database!$E:$E,$C241)/$E241),-0.00001)</f>
        <v>-1.0000000000000001E-5</v>
      </c>
      <c r="S241" s="186">
        <f t="shared" si="10"/>
        <v>-1.0000000000000001E-5</v>
      </c>
      <c r="T241" s="194">
        <f>IFERROR(IF($C241="",-0.00001,SUMIFS(Database!V:V,Database!$E:$E,$C241)/$E241),-0.00001)</f>
        <v>-1.0000000000000001E-5</v>
      </c>
      <c r="U241" s="194">
        <f>IFERROR(IF($C241="",-0.00001,SUMIFS(Database!W:W,Database!$E:$E,$C241)/$E241),-0.00001)</f>
        <v>-1.0000000000000001E-5</v>
      </c>
      <c r="V241" s="186">
        <f t="shared" si="11"/>
        <v>-1.0000000000000001E-5</v>
      </c>
      <c r="W241" s="187"/>
      <c r="X241" s="187"/>
      <c r="Y241" s="187"/>
      <c r="Z241" s="187"/>
      <c r="AA241" s="187"/>
      <c r="AB241" s="187"/>
      <c r="AC241" s="187"/>
      <c r="AD241" s="187"/>
      <c r="AE241" s="187"/>
    </row>
    <row r="242" spans="1:31" x14ac:dyDescent="0.25">
      <c r="A242" s="187"/>
      <c r="B242" s="187" t="str">
        <f>IF($C242="","",MAX($B$4:$B241)+1)</f>
        <v/>
      </c>
      <c r="C242" s="183"/>
      <c r="D242" s="183" t="str">
        <f>IFERROR(VLOOKUP($C242,Rosters!$C$4:$M$239,INDEX(Lists!$N$5:$O$80,MATCH($C242,Lists!$N$5:$N$80,FALSE),2)),"")</f>
        <v/>
      </c>
      <c r="E242" s="185">
        <f>IF($C242="",-0.00001,COUNTIF(Database!E:E,$C242))</f>
        <v>-1.0000000000000001E-5</v>
      </c>
      <c r="F242" s="194">
        <f>IFERROR(IF($C242="",-0.00001,SUMIFS(Database!H:H,Database!$E:$E,$C242)/$E242),-0.00001)</f>
        <v>-1.0000000000000001E-5</v>
      </c>
      <c r="G242" s="194">
        <f>IFERROR(IF($C242="",-0.00001,SUMIFS(Database!I:I,Database!$E:$E,$C242)/$E242),-0.00001)</f>
        <v>-1.0000000000000001E-5</v>
      </c>
      <c r="H242" s="194">
        <f>IFERROR(IF($C242="",-0.00001,SUMIFS(Database!J:J,Database!$E:$E,$C242)/$E242),-0.00001)</f>
        <v>-1.0000000000000001E-5</v>
      </c>
      <c r="I242" s="194">
        <f>IFERROR(IF($C242="",-0.00001,SUMIFS(Database!K:K,Database!$E:$E,$C242)/$E242),-0.00001)</f>
        <v>-1.0000000000000001E-5</v>
      </c>
      <c r="J242" s="194">
        <f>IFERROR(IF($C242="",-0.00001,SUMIFS(Database!L:L,Database!$E:$E,$C242)/$E242),-0.00001)</f>
        <v>-1.0000000000000001E-5</v>
      </c>
      <c r="K242" s="194">
        <f>IFERROR(IF($C242="",-0.00001,SUMIFS(Database!M:M,Database!$E:$E,$C242)/$E242),-0.00001)</f>
        <v>-1.0000000000000001E-5</v>
      </c>
      <c r="L242" s="194">
        <f>IFERROR(IF($C242="",-0.00001,SUMIFS(Database!N:N,Database!$E:$E,$C242)/$E242),-0.00001)</f>
        <v>-1.0000000000000001E-5</v>
      </c>
      <c r="M242" s="194">
        <f>IFERROR(IF($C242="",-0.00001,SUMIFS(Database!O:O,Database!$E:$E,$C242)/$E242),-0.00001)</f>
        <v>-1.0000000000000001E-5</v>
      </c>
      <c r="N242" s="194">
        <f>IFERROR(IF($C242="",-0.00001,SUMIFS(Database!P:P,Database!$E:$E,$C242)/$E242),-0.00001)</f>
        <v>-1.0000000000000001E-5</v>
      </c>
      <c r="O242" s="194">
        <f>IFERROR(IF($C242="",-0.00001,SUMIFS(Database!Q:Q,Database!$E:$E,$C242)/$E242),-0.00001)</f>
        <v>-1.0000000000000001E-5</v>
      </c>
      <c r="P242" s="186">
        <f t="shared" si="9"/>
        <v>-1.0000000000000001E-5</v>
      </c>
      <c r="Q242" s="194">
        <f>IFERROR(IF($C242="",-0.00001,SUMIFS(Database!S:S,Database!$E:$E,$C242)/$E242),-0.00001)</f>
        <v>-1.0000000000000001E-5</v>
      </c>
      <c r="R242" s="194">
        <f>IFERROR(IF($C242="",-0.00001,SUMIFS(Database!T:T,Database!$E:$E,$C242)/$E242),-0.00001)</f>
        <v>-1.0000000000000001E-5</v>
      </c>
      <c r="S242" s="186">
        <f t="shared" si="10"/>
        <v>-1.0000000000000001E-5</v>
      </c>
      <c r="T242" s="194">
        <f>IFERROR(IF($C242="",-0.00001,SUMIFS(Database!V:V,Database!$E:$E,$C242)/$E242),-0.00001)</f>
        <v>-1.0000000000000001E-5</v>
      </c>
      <c r="U242" s="194">
        <f>IFERROR(IF($C242="",-0.00001,SUMIFS(Database!W:W,Database!$E:$E,$C242)/$E242),-0.00001)</f>
        <v>-1.0000000000000001E-5</v>
      </c>
      <c r="V242" s="186">
        <f t="shared" si="11"/>
        <v>-1.0000000000000001E-5</v>
      </c>
      <c r="W242" s="187"/>
      <c r="X242" s="187"/>
      <c r="Y242" s="187"/>
      <c r="Z242" s="187"/>
      <c r="AA242" s="187"/>
      <c r="AB242" s="187"/>
      <c r="AC242" s="187"/>
      <c r="AD242" s="187"/>
      <c r="AE242" s="187"/>
    </row>
    <row r="243" spans="1:31" x14ac:dyDescent="0.25">
      <c r="A243" s="187"/>
      <c r="B243" s="187" t="str">
        <f>IF($C243="","",MAX($B$4:$B242)+1)</f>
        <v/>
      </c>
      <c r="C243" s="183"/>
      <c r="D243" s="183" t="str">
        <f>IFERROR(VLOOKUP($C243,Rosters!$C$4:$M$239,INDEX(Lists!$N$5:$O$80,MATCH($C243,Lists!$N$5:$N$80,FALSE),2)),"")</f>
        <v/>
      </c>
      <c r="E243" s="185">
        <f>IF($C243="",-0.00001,COUNTIF(Database!E:E,$C243))</f>
        <v>-1.0000000000000001E-5</v>
      </c>
      <c r="F243" s="194">
        <f>IFERROR(IF($C243="",-0.00001,SUMIFS(Database!H:H,Database!$E:$E,$C243)/$E243),-0.00001)</f>
        <v>-1.0000000000000001E-5</v>
      </c>
      <c r="G243" s="194">
        <f>IFERROR(IF($C243="",-0.00001,SUMIFS(Database!I:I,Database!$E:$E,$C243)/$E243),-0.00001)</f>
        <v>-1.0000000000000001E-5</v>
      </c>
      <c r="H243" s="194">
        <f>IFERROR(IF($C243="",-0.00001,SUMIFS(Database!J:J,Database!$E:$E,$C243)/$E243),-0.00001)</f>
        <v>-1.0000000000000001E-5</v>
      </c>
      <c r="I243" s="194">
        <f>IFERROR(IF($C243="",-0.00001,SUMIFS(Database!K:K,Database!$E:$E,$C243)/$E243),-0.00001)</f>
        <v>-1.0000000000000001E-5</v>
      </c>
      <c r="J243" s="194">
        <f>IFERROR(IF($C243="",-0.00001,SUMIFS(Database!L:L,Database!$E:$E,$C243)/$E243),-0.00001)</f>
        <v>-1.0000000000000001E-5</v>
      </c>
      <c r="K243" s="194">
        <f>IFERROR(IF($C243="",-0.00001,SUMIFS(Database!M:M,Database!$E:$E,$C243)/$E243),-0.00001)</f>
        <v>-1.0000000000000001E-5</v>
      </c>
      <c r="L243" s="194">
        <f>IFERROR(IF($C243="",-0.00001,SUMIFS(Database!N:N,Database!$E:$E,$C243)/$E243),-0.00001)</f>
        <v>-1.0000000000000001E-5</v>
      </c>
      <c r="M243" s="194">
        <f>IFERROR(IF($C243="",-0.00001,SUMIFS(Database!O:O,Database!$E:$E,$C243)/$E243),-0.00001)</f>
        <v>-1.0000000000000001E-5</v>
      </c>
      <c r="N243" s="194">
        <f>IFERROR(IF($C243="",-0.00001,SUMIFS(Database!P:P,Database!$E:$E,$C243)/$E243),-0.00001)</f>
        <v>-1.0000000000000001E-5</v>
      </c>
      <c r="O243" s="194">
        <f>IFERROR(IF($C243="",-0.00001,SUMIFS(Database!Q:Q,Database!$E:$E,$C243)/$E243),-0.00001)</f>
        <v>-1.0000000000000001E-5</v>
      </c>
      <c r="P243" s="186">
        <f t="shared" si="9"/>
        <v>-1.0000000000000001E-5</v>
      </c>
      <c r="Q243" s="194">
        <f>IFERROR(IF($C243="",-0.00001,SUMIFS(Database!S:S,Database!$E:$E,$C243)/$E243),-0.00001)</f>
        <v>-1.0000000000000001E-5</v>
      </c>
      <c r="R243" s="194">
        <f>IFERROR(IF($C243="",-0.00001,SUMIFS(Database!T:T,Database!$E:$E,$C243)/$E243),-0.00001)</f>
        <v>-1.0000000000000001E-5</v>
      </c>
      <c r="S243" s="186">
        <f t="shared" si="10"/>
        <v>-1.0000000000000001E-5</v>
      </c>
      <c r="T243" s="194">
        <f>IFERROR(IF($C243="",-0.00001,SUMIFS(Database!V:V,Database!$E:$E,$C243)/$E243),-0.00001)</f>
        <v>-1.0000000000000001E-5</v>
      </c>
      <c r="U243" s="194">
        <f>IFERROR(IF($C243="",-0.00001,SUMIFS(Database!W:W,Database!$E:$E,$C243)/$E243),-0.00001)</f>
        <v>-1.0000000000000001E-5</v>
      </c>
      <c r="V243" s="186">
        <f t="shared" si="11"/>
        <v>-1.0000000000000001E-5</v>
      </c>
      <c r="W243" s="187"/>
      <c r="X243" s="187"/>
      <c r="Y243" s="187"/>
      <c r="Z243" s="187"/>
      <c r="AA243" s="187"/>
      <c r="AB243" s="187"/>
      <c r="AC243" s="187"/>
      <c r="AD243" s="187"/>
      <c r="AE243" s="187"/>
    </row>
    <row r="244" spans="1:31" x14ac:dyDescent="0.25">
      <c r="A244" s="187"/>
      <c r="B244" s="187" t="str">
        <f>IF($C244="","",MAX($B$4:$B243)+1)</f>
        <v/>
      </c>
      <c r="C244" s="183"/>
      <c r="D244" s="183" t="str">
        <f>IFERROR(VLOOKUP($C244,Rosters!$C$4:$M$239,INDEX(Lists!$N$5:$O$80,MATCH($C244,Lists!$N$5:$N$80,FALSE),2)),"")</f>
        <v/>
      </c>
      <c r="E244" s="185">
        <f>IF($C244="",-0.00001,COUNTIF(Database!E:E,$C244))</f>
        <v>-1.0000000000000001E-5</v>
      </c>
      <c r="F244" s="194">
        <f>IFERROR(IF($C244="",-0.00001,SUMIFS(Database!H:H,Database!$E:$E,$C244)/$E244),-0.00001)</f>
        <v>-1.0000000000000001E-5</v>
      </c>
      <c r="G244" s="194">
        <f>IFERROR(IF($C244="",-0.00001,SUMIFS(Database!I:I,Database!$E:$E,$C244)/$E244),-0.00001)</f>
        <v>-1.0000000000000001E-5</v>
      </c>
      <c r="H244" s="194">
        <f>IFERROR(IF($C244="",-0.00001,SUMIFS(Database!J:J,Database!$E:$E,$C244)/$E244),-0.00001)</f>
        <v>-1.0000000000000001E-5</v>
      </c>
      <c r="I244" s="194">
        <f>IFERROR(IF($C244="",-0.00001,SUMIFS(Database!K:K,Database!$E:$E,$C244)/$E244),-0.00001)</f>
        <v>-1.0000000000000001E-5</v>
      </c>
      <c r="J244" s="194">
        <f>IFERROR(IF($C244="",-0.00001,SUMIFS(Database!L:L,Database!$E:$E,$C244)/$E244),-0.00001)</f>
        <v>-1.0000000000000001E-5</v>
      </c>
      <c r="K244" s="194">
        <f>IFERROR(IF($C244="",-0.00001,SUMIFS(Database!M:M,Database!$E:$E,$C244)/$E244),-0.00001)</f>
        <v>-1.0000000000000001E-5</v>
      </c>
      <c r="L244" s="194">
        <f>IFERROR(IF($C244="",-0.00001,SUMIFS(Database!N:N,Database!$E:$E,$C244)/$E244),-0.00001)</f>
        <v>-1.0000000000000001E-5</v>
      </c>
      <c r="M244" s="194">
        <f>IFERROR(IF($C244="",-0.00001,SUMIFS(Database!O:O,Database!$E:$E,$C244)/$E244),-0.00001)</f>
        <v>-1.0000000000000001E-5</v>
      </c>
      <c r="N244" s="194">
        <f>IFERROR(IF($C244="",-0.00001,SUMIFS(Database!P:P,Database!$E:$E,$C244)/$E244),-0.00001)</f>
        <v>-1.0000000000000001E-5</v>
      </c>
      <c r="O244" s="194">
        <f>IFERROR(IF($C244="",-0.00001,SUMIFS(Database!Q:Q,Database!$E:$E,$C244)/$E244),-0.00001)</f>
        <v>-1.0000000000000001E-5</v>
      </c>
      <c r="P244" s="186">
        <f t="shared" si="9"/>
        <v>-1.0000000000000001E-5</v>
      </c>
      <c r="Q244" s="194">
        <f>IFERROR(IF($C244="",-0.00001,SUMIFS(Database!S:S,Database!$E:$E,$C244)/$E244),-0.00001)</f>
        <v>-1.0000000000000001E-5</v>
      </c>
      <c r="R244" s="194">
        <f>IFERROR(IF($C244="",-0.00001,SUMIFS(Database!T:T,Database!$E:$E,$C244)/$E244),-0.00001)</f>
        <v>-1.0000000000000001E-5</v>
      </c>
      <c r="S244" s="186">
        <f t="shared" si="10"/>
        <v>-1.0000000000000001E-5</v>
      </c>
      <c r="T244" s="194">
        <f>IFERROR(IF($C244="",-0.00001,SUMIFS(Database!V:V,Database!$E:$E,$C244)/$E244),-0.00001)</f>
        <v>-1.0000000000000001E-5</v>
      </c>
      <c r="U244" s="194">
        <f>IFERROR(IF($C244="",-0.00001,SUMIFS(Database!W:W,Database!$E:$E,$C244)/$E244),-0.00001)</f>
        <v>-1.0000000000000001E-5</v>
      </c>
      <c r="V244" s="186">
        <f t="shared" si="11"/>
        <v>-1.0000000000000001E-5</v>
      </c>
      <c r="W244" s="187"/>
      <c r="X244" s="187"/>
      <c r="Y244" s="187"/>
      <c r="Z244" s="187"/>
      <c r="AA244" s="187"/>
      <c r="AB244" s="187"/>
      <c r="AC244" s="187"/>
      <c r="AD244" s="187"/>
      <c r="AE244" s="187"/>
    </row>
    <row r="245" spans="1:31" x14ac:dyDescent="0.25">
      <c r="A245" s="187"/>
      <c r="B245" s="187" t="str">
        <f>IF($C245="","",MAX($B$4:$B244)+1)</f>
        <v/>
      </c>
      <c r="C245" s="183"/>
      <c r="D245" s="183" t="str">
        <f>IFERROR(VLOOKUP($C245,Rosters!$C$4:$M$239,INDEX(Lists!$N$5:$O$80,MATCH($C245,Lists!$N$5:$N$80,FALSE),2)),"")</f>
        <v/>
      </c>
      <c r="E245" s="185">
        <f>IF($C245="",-0.00001,COUNTIF(Database!E:E,$C245))</f>
        <v>-1.0000000000000001E-5</v>
      </c>
      <c r="F245" s="194">
        <f>IFERROR(IF($C245="",-0.00001,SUMIFS(Database!H:H,Database!$E:$E,$C245)/$E245),-0.00001)</f>
        <v>-1.0000000000000001E-5</v>
      </c>
      <c r="G245" s="194">
        <f>IFERROR(IF($C245="",-0.00001,SUMIFS(Database!I:I,Database!$E:$E,$C245)/$E245),-0.00001)</f>
        <v>-1.0000000000000001E-5</v>
      </c>
      <c r="H245" s="194">
        <f>IFERROR(IF($C245="",-0.00001,SUMIFS(Database!J:J,Database!$E:$E,$C245)/$E245),-0.00001)</f>
        <v>-1.0000000000000001E-5</v>
      </c>
      <c r="I245" s="194">
        <f>IFERROR(IF($C245="",-0.00001,SUMIFS(Database!K:K,Database!$E:$E,$C245)/$E245),-0.00001)</f>
        <v>-1.0000000000000001E-5</v>
      </c>
      <c r="J245" s="194">
        <f>IFERROR(IF($C245="",-0.00001,SUMIFS(Database!L:L,Database!$E:$E,$C245)/$E245),-0.00001)</f>
        <v>-1.0000000000000001E-5</v>
      </c>
      <c r="K245" s="194">
        <f>IFERROR(IF($C245="",-0.00001,SUMIFS(Database!M:M,Database!$E:$E,$C245)/$E245),-0.00001)</f>
        <v>-1.0000000000000001E-5</v>
      </c>
      <c r="L245" s="194">
        <f>IFERROR(IF($C245="",-0.00001,SUMIFS(Database!N:N,Database!$E:$E,$C245)/$E245),-0.00001)</f>
        <v>-1.0000000000000001E-5</v>
      </c>
      <c r="M245" s="194">
        <f>IFERROR(IF($C245="",-0.00001,SUMIFS(Database!O:O,Database!$E:$E,$C245)/$E245),-0.00001)</f>
        <v>-1.0000000000000001E-5</v>
      </c>
      <c r="N245" s="194">
        <f>IFERROR(IF($C245="",-0.00001,SUMIFS(Database!P:P,Database!$E:$E,$C245)/$E245),-0.00001)</f>
        <v>-1.0000000000000001E-5</v>
      </c>
      <c r="O245" s="194">
        <f>IFERROR(IF($C245="",-0.00001,SUMIFS(Database!Q:Q,Database!$E:$E,$C245)/$E245),-0.00001)</f>
        <v>-1.0000000000000001E-5</v>
      </c>
      <c r="P245" s="186">
        <f t="shared" si="9"/>
        <v>-1.0000000000000001E-5</v>
      </c>
      <c r="Q245" s="194">
        <f>IFERROR(IF($C245="",-0.00001,SUMIFS(Database!S:S,Database!$E:$E,$C245)/$E245),-0.00001)</f>
        <v>-1.0000000000000001E-5</v>
      </c>
      <c r="R245" s="194">
        <f>IFERROR(IF($C245="",-0.00001,SUMIFS(Database!T:T,Database!$E:$E,$C245)/$E245),-0.00001)</f>
        <v>-1.0000000000000001E-5</v>
      </c>
      <c r="S245" s="186">
        <f t="shared" si="10"/>
        <v>-1.0000000000000001E-5</v>
      </c>
      <c r="T245" s="194">
        <f>IFERROR(IF($C245="",-0.00001,SUMIFS(Database!V:V,Database!$E:$E,$C245)/$E245),-0.00001)</f>
        <v>-1.0000000000000001E-5</v>
      </c>
      <c r="U245" s="194">
        <f>IFERROR(IF($C245="",-0.00001,SUMIFS(Database!W:W,Database!$E:$E,$C245)/$E245),-0.00001)</f>
        <v>-1.0000000000000001E-5</v>
      </c>
      <c r="V245" s="186">
        <f t="shared" si="11"/>
        <v>-1.0000000000000001E-5</v>
      </c>
      <c r="W245" s="187"/>
      <c r="X245" s="187"/>
      <c r="Y245" s="187"/>
      <c r="Z245" s="187"/>
      <c r="AA245" s="187"/>
      <c r="AB245" s="187"/>
      <c r="AC245" s="187"/>
      <c r="AD245" s="187"/>
      <c r="AE245" s="187"/>
    </row>
    <row r="246" spans="1:31" x14ac:dyDescent="0.25">
      <c r="A246" s="187"/>
      <c r="B246" s="187" t="str">
        <f>IF($C246="","",MAX($B$4:$B245)+1)</f>
        <v/>
      </c>
      <c r="C246" s="183"/>
      <c r="D246" s="183" t="str">
        <f>IFERROR(VLOOKUP($C246,Rosters!$C$4:$M$239,INDEX(Lists!$N$5:$O$80,MATCH($C246,Lists!$N$5:$N$80,FALSE),2)),"")</f>
        <v/>
      </c>
      <c r="E246" s="185">
        <f>IF($C246="",-0.00001,COUNTIF(Database!E:E,$C246))</f>
        <v>-1.0000000000000001E-5</v>
      </c>
      <c r="F246" s="194">
        <f>IFERROR(IF($C246="",-0.00001,SUMIFS(Database!H:H,Database!$E:$E,$C246)/$E246),-0.00001)</f>
        <v>-1.0000000000000001E-5</v>
      </c>
      <c r="G246" s="194">
        <f>IFERROR(IF($C246="",-0.00001,SUMIFS(Database!I:I,Database!$E:$E,$C246)/$E246),-0.00001)</f>
        <v>-1.0000000000000001E-5</v>
      </c>
      <c r="H246" s="194">
        <f>IFERROR(IF($C246="",-0.00001,SUMIFS(Database!J:J,Database!$E:$E,$C246)/$E246),-0.00001)</f>
        <v>-1.0000000000000001E-5</v>
      </c>
      <c r="I246" s="194">
        <f>IFERROR(IF($C246="",-0.00001,SUMIFS(Database!K:K,Database!$E:$E,$C246)/$E246),-0.00001)</f>
        <v>-1.0000000000000001E-5</v>
      </c>
      <c r="J246" s="194">
        <f>IFERROR(IF($C246="",-0.00001,SUMIFS(Database!L:L,Database!$E:$E,$C246)/$E246),-0.00001)</f>
        <v>-1.0000000000000001E-5</v>
      </c>
      <c r="K246" s="194">
        <f>IFERROR(IF($C246="",-0.00001,SUMIFS(Database!M:M,Database!$E:$E,$C246)/$E246),-0.00001)</f>
        <v>-1.0000000000000001E-5</v>
      </c>
      <c r="L246" s="194">
        <f>IFERROR(IF($C246="",-0.00001,SUMIFS(Database!N:N,Database!$E:$E,$C246)/$E246),-0.00001)</f>
        <v>-1.0000000000000001E-5</v>
      </c>
      <c r="M246" s="194">
        <f>IFERROR(IF($C246="",-0.00001,SUMIFS(Database!O:O,Database!$E:$E,$C246)/$E246),-0.00001)</f>
        <v>-1.0000000000000001E-5</v>
      </c>
      <c r="N246" s="194">
        <f>IFERROR(IF($C246="",-0.00001,SUMIFS(Database!P:P,Database!$E:$E,$C246)/$E246),-0.00001)</f>
        <v>-1.0000000000000001E-5</v>
      </c>
      <c r="O246" s="194">
        <f>IFERROR(IF($C246="",-0.00001,SUMIFS(Database!Q:Q,Database!$E:$E,$C246)/$E246),-0.00001)</f>
        <v>-1.0000000000000001E-5</v>
      </c>
      <c r="P246" s="186">
        <f t="shared" si="9"/>
        <v>-1.0000000000000001E-5</v>
      </c>
      <c r="Q246" s="194">
        <f>IFERROR(IF($C246="",-0.00001,SUMIFS(Database!S:S,Database!$E:$E,$C246)/$E246),-0.00001)</f>
        <v>-1.0000000000000001E-5</v>
      </c>
      <c r="R246" s="194">
        <f>IFERROR(IF($C246="",-0.00001,SUMIFS(Database!T:T,Database!$E:$E,$C246)/$E246),-0.00001)</f>
        <v>-1.0000000000000001E-5</v>
      </c>
      <c r="S246" s="186">
        <f t="shared" si="10"/>
        <v>-1.0000000000000001E-5</v>
      </c>
      <c r="T246" s="194">
        <f>IFERROR(IF($C246="",-0.00001,SUMIFS(Database!V:V,Database!$E:$E,$C246)/$E246),-0.00001)</f>
        <v>-1.0000000000000001E-5</v>
      </c>
      <c r="U246" s="194">
        <f>IFERROR(IF($C246="",-0.00001,SUMIFS(Database!W:W,Database!$E:$E,$C246)/$E246),-0.00001)</f>
        <v>-1.0000000000000001E-5</v>
      </c>
      <c r="V246" s="186">
        <f t="shared" si="11"/>
        <v>-1.0000000000000001E-5</v>
      </c>
      <c r="W246" s="187"/>
      <c r="X246" s="187"/>
      <c r="Y246" s="187"/>
      <c r="Z246" s="187"/>
      <c r="AA246" s="187"/>
      <c r="AB246" s="187"/>
      <c r="AC246" s="187"/>
      <c r="AD246" s="187"/>
      <c r="AE246" s="187"/>
    </row>
    <row r="247" spans="1:31" x14ac:dyDescent="0.25">
      <c r="A247" s="187"/>
      <c r="B247" s="187" t="str">
        <f>IF($C247="","",MAX($B$4:$B246)+1)</f>
        <v/>
      </c>
      <c r="C247" s="183"/>
      <c r="D247" s="183" t="str">
        <f>IFERROR(VLOOKUP($C247,Rosters!$C$4:$M$239,INDEX(Lists!$N$5:$O$80,MATCH($C247,Lists!$N$5:$N$80,FALSE),2)),"")</f>
        <v/>
      </c>
      <c r="E247" s="185">
        <f>IF($C247="",-0.00001,COUNTIF(Database!E:E,$C247))</f>
        <v>-1.0000000000000001E-5</v>
      </c>
      <c r="F247" s="194">
        <f>IFERROR(IF($C247="",-0.00001,SUMIFS(Database!H:H,Database!$E:$E,$C247)/$E247),-0.00001)</f>
        <v>-1.0000000000000001E-5</v>
      </c>
      <c r="G247" s="194">
        <f>IFERROR(IF($C247="",-0.00001,SUMIFS(Database!I:I,Database!$E:$E,$C247)/$E247),-0.00001)</f>
        <v>-1.0000000000000001E-5</v>
      </c>
      <c r="H247" s="194">
        <f>IFERROR(IF($C247="",-0.00001,SUMIFS(Database!J:J,Database!$E:$E,$C247)/$E247),-0.00001)</f>
        <v>-1.0000000000000001E-5</v>
      </c>
      <c r="I247" s="194">
        <f>IFERROR(IF($C247="",-0.00001,SUMIFS(Database!K:K,Database!$E:$E,$C247)/$E247),-0.00001)</f>
        <v>-1.0000000000000001E-5</v>
      </c>
      <c r="J247" s="194">
        <f>IFERROR(IF($C247="",-0.00001,SUMIFS(Database!L:L,Database!$E:$E,$C247)/$E247),-0.00001)</f>
        <v>-1.0000000000000001E-5</v>
      </c>
      <c r="K247" s="194">
        <f>IFERROR(IF($C247="",-0.00001,SUMIFS(Database!M:M,Database!$E:$E,$C247)/$E247),-0.00001)</f>
        <v>-1.0000000000000001E-5</v>
      </c>
      <c r="L247" s="194">
        <f>IFERROR(IF($C247="",-0.00001,SUMIFS(Database!N:N,Database!$E:$E,$C247)/$E247),-0.00001)</f>
        <v>-1.0000000000000001E-5</v>
      </c>
      <c r="M247" s="194">
        <f>IFERROR(IF($C247="",-0.00001,SUMIFS(Database!O:O,Database!$E:$E,$C247)/$E247),-0.00001)</f>
        <v>-1.0000000000000001E-5</v>
      </c>
      <c r="N247" s="194">
        <f>IFERROR(IF($C247="",-0.00001,SUMIFS(Database!P:P,Database!$E:$E,$C247)/$E247),-0.00001)</f>
        <v>-1.0000000000000001E-5</v>
      </c>
      <c r="O247" s="194">
        <f>IFERROR(IF($C247="",-0.00001,SUMIFS(Database!Q:Q,Database!$E:$E,$C247)/$E247),-0.00001)</f>
        <v>-1.0000000000000001E-5</v>
      </c>
      <c r="P247" s="186">
        <f t="shared" si="9"/>
        <v>-1.0000000000000001E-5</v>
      </c>
      <c r="Q247" s="194">
        <f>IFERROR(IF($C247="",-0.00001,SUMIFS(Database!S:S,Database!$E:$E,$C247)/$E247),-0.00001)</f>
        <v>-1.0000000000000001E-5</v>
      </c>
      <c r="R247" s="194">
        <f>IFERROR(IF($C247="",-0.00001,SUMIFS(Database!T:T,Database!$E:$E,$C247)/$E247),-0.00001)</f>
        <v>-1.0000000000000001E-5</v>
      </c>
      <c r="S247" s="186">
        <f t="shared" si="10"/>
        <v>-1.0000000000000001E-5</v>
      </c>
      <c r="T247" s="194">
        <f>IFERROR(IF($C247="",-0.00001,SUMIFS(Database!V:V,Database!$E:$E,$C247)/$E247),-0.00001)</f>
        <v>-1.0000000000000001E-5</v>
      </c>
      <c r="U247" s="194">
        <f>IFERROR(IF($C247="",-0.00001,SUMIFS(Database!W:W,Database!$E:$E,$C247)/$E247),-0.00001)</f>
        <v>-1.0000000000000001E-5</v>
      </c>
      <c r="V247" s="186">
        <f t="shared" si="11"/>
        <v>-1.0000000000000001E-5</v>
      </c>
      <c r="W247" s="187"/>
      <c r="X247" s="187"/>
      <c r="Y247" s="187"/>
      <c r="Z247" s="187"/>
      <c r="AA247" s="187"/>
      <c r="AB247" s="187"/>
      <c r="AC247" s="187"/>
      <c r="AD247" s="187"/>
      <c r="AE247" s="187"/>
    </row>
    <row r="248" spans="1:31" x14ac:dyDescent="0.25">
      <c r="A248" s="187"/>
      <c r="B248" s="187" t="str">
        <f>IF($C248="","",MAX($B$4:$B247)+1)</f>
        <v/>
      </c>
      <c r="C248" s="183"/>
      <c r="D248" s="183" t="str">
        <f>IFERROR(VLOOKUP($C248,Rosters!$C$4:$M$239,INDEX(Lists!$N$5:$O$80,MATCH($C248,Lists!$N$5:$N$80,FALSE),2)),"")</f>
        <v/>
      </c>
      <c r="E248" s="185">
        <f>IF($C248="",-0.00001,COUNTIF(Database!E:E,$C248))</f>
        <v>-1.0000000000000001E-5</v>
      </c>
      <c r="F248" s="194">
        <f>IFERROR(IF($C248="",-0.00001,SUMIFS(Database!H:H,Database!$E:$E,$C248)/$E248),-0.00001)</f>
        <v>-1.0000000000000001E-5</v>
      </c>
      <c r="G248" s="194">
        <f>IFERROR(IF($C248="",-0.00001,SUMIFS(Database!I:I,Database!$E:$E,$C248)/$E248),-0.00001)</f>
        <v>-1.0000000000000001E-5</v>
      </c>
      <c r="H248" s="194">
        <f>IFERROR(IF($C248="",-0.00001,SUMIFS(Database!J:J,Database!$E:$E,$C248)/$E248),-0.00001)</f>
        <v>-1.0000000000000001E-5</v>
      </c>
      <c r="I248" s="194">
        <f>IFERROR(IF($C248="",-0.00001,SUMIFS(Database!K:K,Database!$E:$E,$C248)/$E248),-0.00001)</f>
        <v>-1.0000000000000001E-5</v>
      </c>
      <c r="J248" s="194">
        <f>IFERROR(IF($C248="",-0.00001,SUMIFS(Database!L:L,Database!$E:$E,$C248)/$E248),-0.00001)</f>
        <v>-1.0000000000000001E-5</v>
      </c>
      <c r="K248" s="194">
        <f>IFERROR(IF($C248="",-0.00001,SUMIFS(Database!M:M,Database!$E:$E,$C248)/$E248),-0.00001)</f>
        <v>-1.0000000000000001E-5</v>
      </c>
      <c r="L248" s="194">
        <f>IFERROR(IF($C248="",-0.00001,SUMIFS(Database!N:N,Database!$E:$E,$C248)/$E248),-0.00001)</f>
        <v>-1.0000000000000001E-5</v>
      </c>
      <c r="M248" s="194">
        <f>IFERROR(IF($C248="",-0.00001,SUMIFS(Database!O:O,Database!$E:$E,$C248)/$E248),-0.00001)</f>
        <v>-1.0000000000000001E-5</v>
      </c>
      <c r="N248" s="194">
        <f>IFERROR(IF($C248="",-0.00001,SUMIFS(Database!P:P,Database!$E:$E,$C248)/$E248),-0.00001)</f>
        <v>-1.0000000000000001E-5</v>
      </c>
      <c r="O248" s="194">
        <f>IFERROR(IF($C248="",-0.00001,SUMIFS(Database!Q:Q,Database!$E:$E,$C248)/$E248),-0.00001)</f>
        <v>-1.0000000000000001E-5</v>
      </c>
      <c r="P248" s="186">
        <f t="shared" si="9"/>
        <v>-1.0000000000000001E-5</v>
      </c>
      <c r="Q248" s="194">
        <f>IFERROR(IF($C248="",-0.00001,SUMIFS(Database!S:S,Database!$E:$E,$C248)/$E248),-0.00001)</f>
        <v>-1.0000000000000001E-5</v>
      </c>
      <c r="R248" s="194">
        <f>IFERROR(IF($C248="",-0.00001,SUMIFS(Database!T:T,Database!$E:$E,$C248)/$E248),-0.00001)</f>
        <v>-1.0000000000000001E-5</v>
      </c>
      <c r="S248" s="186">
        <f t="shared" si="10"/>
        <v>-1.0000000000000001E-5</v>
      </c>
      <c r="T248" s="194">
        <f>IFERROR(IF($C248="",-0.00001,SUMIFS(Database!V:V,Database!$E:$E,$C248)/$E248),-0.00001)</f>
        <v>-1.0000000000000001E-5</v>
      </c>
      <c r="U248" s="194">
        <f>IFERROR(IF($C248="",-0.00001,SUMIFS(Database!W:W,Database!$E:$E,$C248)/$E248),-0.00001)</f>
        <v>-1.0000000000000001E-5</v>
      </c>
      <c r="V248" s="186">
        <f t="shared" si="11"/>
        <v>-1.0000000000000001E-5</v>
      </c>
      <c r="W248" s="187"/>
      <c r="X248" s="187"/>
      <c r="Y248" s="187"/>
      <c r="Z248" s="187"/>
      <c r="AA248" s="187"/>
      <c r="AB248" s="187"/>
      <c r="AC248" s="187"/>
      <c r="AD248" s="187"/>
      <c r="AE248" s="187"/>
    </row>
    <row r="249" spans="1:31" x14ac:dyDescent="0.25">
      <c r="A249" s="187"/>
      <c r="B249" s="187" t="str">
        <f>IF($C249="","",MAX($B$4:$B248)+1)</f>
        <v/>
      </c>
      <c r="C249" s="183"/>
      <c r="D249" s="183" t="str">
        <f>IFERROR(VLOOKUP($C249,Rosters!$C$4:$M$239,INDEX(Lists!$N$5:$O$80,MATCH($C249,Lists!$N$5:$N$80,FALSE),2)),"")</f>
        <v/>
      </c>
      <c r="E249" s="185">
        <f>IF($C249="",-0.00001,COUNTIF(Database!E:E,$C249))</f>
        <v>-1.0000000000000001E-5</v>
      </c>
      <c r="F249" s="194">
        <f>IFERROR(IF($C249="",-0.00001,SUMIFS(Database!H:H,Database!$E:$E,$C249)/$E249),-0.00001)</f>
        <v>-1.0000000000000001E-5</v>
      </c>
      <c r="G249" s="194">
        <f>IFERROR(IF($C249="",-0.00001,SUMIFS(Database!I:I,Database!$E:$E,$C249)/$E249),-0.00001)</f>
        <v>-1.0000000000000001E-5</v>
      </c>
      <c r="H249" s="194">
        <f>IFERROR(IF($C249="",-0.00001,SUMIFS(Database!J:J,Database!$E:$E,$C249)/$E249),-0.00001)</f>
        <v>-1.0000000000000001E-5</v>
      </c>
      <c r="I249" s="194">
        <f>IFERROR(IF($C249="",-0.00001,SUMIFS(Database!K:K,Database!$E:$E,$C249)/$E249),-0.00001)</f>
        <v>-1.0000000000000001E-5</v>
      </c>
      <c r="J249" s="194">
        <f>IFERROR(IF($C249="",-0.00001,SUMIFS(Database!L:L,Database!$E:$E,$C249)/$E249),-0.00001)</f>
        <v>-1.0000000000000001E-5</v>
      </c>
      <c r="K249" s="194">
        <f>IFERROR(IF($C249="",-0.00001,SUMIFS(Database!M:M,Database!$E:$E,$C249)/$E249),-0.00001)</f>
        <v>-1.0000000000000001E-5</v>
      </c>
      <c r="L249" s="194">
        <f>IFERROR(IF($C249="",-0.00001,SUMIFS(Database!N:N,Database!$E:$E,$C249)/$E249),-0.00001)</f>
        <v>-1.0000000000000001E-5</v>
      </c>
      <c r="M249" s="194">
        <f>IFERROR(IF($C249="",-0.00001,SUMIFS(Database!O:O,Database!$E:$E,$C249)/$E249),-0.00001)</f>
        <v>-1.0000000000000001E-5</v>
      </c>
      <c r="N249" s="194">
        <f>IFERROR(IF($C249="",-0.00001,SUMIFS(Database!P:P,Database!$E:$E,$C249)/$E249),-0.00001)</f>
        <v>-1.0000000000000001E-5</v>
      </c>
      <c r="O249" s="194">
        <f>IFERROR(IF($C249="",-0.00001,SUMIFS(Database!Q:Q,Database!$E:$E,$C249)/$E249),-0.00001)</f>
        <v>-1.0000000000000001E-5</v>
      </c>
      <c r="P249" s="186">
        <f t="shared" si="9"/>
        <v>-1.0000000000000001E-5</v>
      </c>
      <c r="Q249" s="194">
        <f>IFERROR(IF($C249="",-0.00001,SUMIFS(Database!S:S,Database!$E:$E,$C249)/$E249),-0.00001)</f>
        <v>-1.0000000000000001E-5</v>
      </c>
      <c r="R249" s="194">
        <f>IFERROR(IF($C249="",-0.00001,SUMIFS(Database!T:T,Database!$E:$E,$C249)/$E249),-0.00001)</f>
        <v>-1.0000000000000001E-5</v>
      </c>
      <c r="S249" s="186">
        <f t="shared" si="10"/>
        <v>-1.0000000000000001E-5</v>
      </c>
      <c r="T249" s="194">
        <f>IFERROR(IF($C249="",-0.00001,SUMIFS(Database!V:V,Database!$E:$E,$C249)/$E249),-0.00001)</f>
        <v>-1.0000000000000001E-5</v>
      </c>
      <c r="U249" s="194">
        <f>IFERROR(IF($C249="",-0.00001,SUMIFS(Database!W:W,Database!$E:$E,$C249)/$E249),-0.00001)</f>
        <v>-1.0000000000000001E-5</v>
      </c>
      <c r="V249" s="186">
        <f t="shared" si="11"/>
        <v>-1.0000000000000001E-5</v>
      </c>
      <c r="W249" s="187"/>
      <c r="X249" s="187"/>
      <c r="Y249" s="187"/>
      <c r="Z249" s="187"/>
      <c r="AA249" s="187"/>
      <c r="AB249" s="187"/>
      <c r="AC249" s="187"/>
      <c r="AD249" s="187"/>
      <c r="AE249" s="187"/>
    </row>
    <row r="250" spans="1:31" x14ac:dyDescent="0.25">
      <c r="A250" s="187"/>
      <c r="B250" s="187" t="str">
        <f>IF($C250="","",MAX($B$4:$B249)+1)</f>
        <v/>
      </c>
      <c r="C250" s="183"/>
      <c r="D250" s="183" t="str">
        <f>IFERROR(VLOOKUP($C250,Rosters!$C$4:$M$239,INDEX(Lists!$N$5:$O$80,MATCH($C250,Lists!$N$5:$N$80,FALSE),2)),"")</f>
        <v/>
      </c>
      <c r="E250" s="185">
        <f>IF($C250="",-0.00001,COUNTIF(Database!E:E,$C250))</f>
        <v>-1.0000000000000001E-5</v>
      </c>
      <c r="F250" s="194">
        <f>IFERROR(IF($C250="",-0.00001,SUMIFS(Database!H:H,Database!$E:$E,$C250)/$E250),-0.00001)</f>
        <v>-1.0000000000000001E-5</v>
      </c>
      <c r="G250" s="194">
        <f>IFERROR(IF($C250="",-0.00001,SUMIFS(Database!I:I,Database!$E:$E,$C250)/$E250),-0.00001)</f>
        <v>-1.0000000000000001E-5</v>
      </c>
      <c r="H250" s="194">
        <f>IFERROR(IF($C250="",-0.00001,SUMIFS(Database!J:J,Database!$E:$E,$C250)/$E250),-0.00001)</f>
        <v>-1.0000000000000001E-5</v>
      </c>
      <c r="I250" s="194">
        <f>IFERROR(IF($C250="",-0.00001,SUMIFS(Database!K:K,Database!$E:$E,$C250)/$E250),-0.00001)</f>
        <v>-1.0000000000000001E-5</v>
      </c>
      <c r="J250" s="194">
        <f>IFERROR(IF($C250="",-0.00001,SUMIFS(Database!L:L,Database!$E:$E,$C250)/$E250),-0.00001)</f>
        <v>-1.0000000000000001E-5</v>
      </c>
      <c r="K250" s="194">
        <f>IFERROR(IF($C250="",-0.00001,SUMIFS(Database!M:M,Database!$E:$E,$C250)/$E250),-0.00001)</f>
        <v>-1.0000000000000001E-5</v>
      </c>
      <c r="L250" s="194">
        <f>IFERROR(IF($C250="",-0.00001,SUMIFS(Database!N:N,Database!$E:$E,$C250)/$E250),-0.00001)</f>
        <v>-1.0000000000000001E-5</v>
      </c>
      <c r="M250" s="194">
        <f>IFERROR(IF($C250="",-0.00001,SUMIFS(Database!O:O,Database!$E:$E,$C250)/$E250),-0.00001)</f>
        <v>-1.0000000000000001E-5</v>
      </c>
      <c r="N250" s="194">
        <f>IFERROR(IF($C250="",-0.00001,SUMIFS(Database!P:P,Database!$E:$E,$C250)/$E250),-0.00001)</f>
        <v>-1.0000000000000001E-5</v>
      </c>
      <c r="O250" s="194">
        <f>IFERROR(IF($C250="",-0.00001,SUMIFS(Database!Q:Q,Database!$E:$E,$C250)/$E250),-0.00001)</f>
        <v>-1.0000000000000001E-5</v>
      </c>
      <c r="P250" s="186">
        <f t="shared" si="9"/>
        <v>-1.0000000000000001E-5</v>
      </c>
      <c r="Q250" s="194">
        <f>IFERROR(IF($C250="",-0.00001,SUMIFS(Database!S:S,Database!$E:$E,$C250)/$E250),-0.00001)</f>
        <v>-1.0000000000000001E-5</v>
      </c>
      <c r="R250" s="194">
        <f>IFERROR(IF($C250="",-0.00001,SUMIFS(Database!T:T,Database!$E:$E,$C250)/$E250),-0.00001)</f>
        <v>-1.0000000000000001E-5</v>
      </c>
      <c r="S250" s="186">
        <f t="shared" si="10"/>
        <v>-1.0000000000000001E-5</v>
      </c>
      <c r="T250" s="194">
        <f>IFERROR(IF($C250="",-0.00001,SUMIFS(Database!V:V,Database!$E:$E,$C250)/$E250),-0.00001)</f>
        <v>-1.0000000000000001E-5</v>
      </c>
      <c r="U250" s="194">
        <f>IFERROR(IF($C250="",-0.00001,SUMIFS(Database!W:W,Database!$E:$E,$C250)/$E250),-0.00001)</f>
        <v>-1.0000000000000001E-5</v>
      </c>
      <c r="V250" s="186">
        <f t="shared" si="11"/>
        <v>-1.0000000000000001E-5</v>
      </c>
      <c r="W250" s="187"/>
      <c r="X250" s="187"/>
      <c r="Y250" s="187"/>
      <c r="Z250" s="187"/>
      <c r="AA250" s="187"/>
      <c r="AB250" s="187"/>
      <c r="AC250" s="187"/>
      <c r="AD250" s="187"/>
      <c r="AE250" s="187"/>
    </row>
    <row r="251" spans="1:31" x14ac:dyDescent="0.25">
      <c r="A251" s="187"/>
      <c r="B251" s="187"/>
      <c r="C251" s="187"/>
      <c r="D251" s="187"/>
      <c r="E251" s="187"/>
      <c r="F251" s="187"/>
      <c r="G251" s="187"/>
      <c r="H251" s="187"/>
      <c r="I251" s="187"/>
      <c r="J251" s="187"/>
      <c r="K251" s="187"/>
      <c r="L251" s="187"/>
      <c r="M251" s="187"/>
      <c r="N251" s="187"/>
      <c r="O251" s="187"/>
      <c r="P251" s="187"/>
      <c r="Q251" s="289"/>
      <c r="R251" s="289"/>
      <c r="S251" s="187"/>
      <c r="T251" s="289"/>
      <c r="U251" s="289"/>
      <c r="V251" s="187"/>
      <c r="W251" s="187"/>
      <c r="X251" s="187"/>
      <c r="Y251" s="187"/>
      <c r="Z251" s="187"/>
      <c r="AA251" s="187"/>
      <c r="AB251" s="187"/>
      <c r="AC251" s="187"/>
      <c r="AD251" s="187"/>
      <c r="AE251" s="187"/>
    </row>
    <row r="252" spans="1:31" x14ac:dyDescent="0.25">
      <c r="A252" s="187"/>
      <c r="B252" s="187"/>
      <c r="C252" s="187"/>
      <c r="D252" s="187"/>
      <c r="E252" s="187"/>
      <c r="F252" s="187"/>
      <c r="G252" s="187"/>
      <c r="H252" s="187"/>
      <c r="I252" s="187"/>
      <c r="J252" s="187"/>
      <c r="K252" s="187"/>
      <c r="L252" s="187"/>
      <c r="M252" s="187"/>
      <c r="N252" s="187"/>
      <c r="O252" s="187"/>
      <c r="P252" s="187"/>
      <c r="Q252" s="289"/>
      <c r="R252" s="289"/>
      <c r="S252" s="187"/>
      <c r="T252" s="289"/>
      <c r="U252" s="289"/>
      <c r="V252" s="187"/>
      <c r="W252" s="187"/>
      <c r="X252" s="187"/>
      <c r="Y252" s="187"/>
      <c r="Z252" s="187"/>
      <c r="AA252" s="187"/>
      <c r="AB252" s="187"/>
      <c r="AC252" s="187"/>
      <c r="AD252" s="187"/>
      <c r="AE252" s="187"/>
    </row>
    <row r="253" spans="1:31" x14ac:dyDescent="0.25">
      <c r="G253"/>
      <c r="H253"/>
    </row>
    <row r="254" spans="1:31" x14ac:dyDescent="0.25">
      <c r="G254"/>
      <c r="H254"/>
    </row>
  </sheetData>
  <sheetProtection algorithmName="SHA-512" hashValue="5LoLxshkKZE++wCpVC2bCOPe+3XsPhKHBKUaS8UTS4QnVFD60HWrPtp5rKtkzB26iLJX350yv9Rdm1U61PcDhw==" saltValue="lCN/xgOpql8xOiXzFHZLrQ==" spinCount="100000" sheet="1" objects="1" scenarios="1" selectLockedCells="1"/>
  <mergeCells count="1">
    <mergeCell ref="C1:D1"/>
  </mergeCells>
  <conditionalFormatting sqref="E4:V6 H7:V7 E7:F250 I8:V250">
    <cfRule type="cellIs" dxfId="19" priority="3" operator="equal">
      <formula>-0.00001</formula>
    </cfRule>
  </conditionalFormatting>
  <conditionalFormatting sqref="G7:G250">
    <cfRule type="cellIs" dxfId="18" priority="2" operator="equal">
      <formula>-0.00001</formula>
    </cfRule>
  </conditionalFormatting>
  <conditionalFormatting sqref="H8:H250">
    <cfRule type="cellIs" dxfId="17" priority="1" operator="equal">
      <formula>-0.00001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22FE1-CCB7-483D-A179-C978E5F7D184}">
  <sheetPr codeName="Sheet17">
    <tabColor rgb="FF00B0F0"/>
  </sheetPr>
  <dimension ref="A1:AF35"/>
  <sheetViews>
    <sheetView showGridLines="0" showRowColHeaders="0" workbookViewId="0">
      <pane xSplit="5" ySplit="3" topLeftCell="F4" activePane="bottomRight" state="frozen"/>
      <selection activeCell="D4" sqref="D4"/>
      <selection pane="topRight" activeCell="D4" sqref="D4"/>
      <selection pane="bottomLeft" activeCell="D4" sqref="D4"/>
      <selection pane="bottomRight" activeCell="C4" sqref="C4"/>
    </sheetView>
  </sheetViews>
  <sheetFormatPr defaultColWidth="8.85546875" defaultRowHeight="15" x14ac:dyDescent="0.25"/>
  <cols>
    <col min="1" max="2" width="2.85546875" customWidth="1"/>
    <col min="3" max="3" width="12.140625" customWidth="1"/>
    <col min="4" max="4" width="18.7109375" bestFit="1" customWidth="1"/>
    <col min="5" max="5" width="19.42578125" bestFit="1" customWidth="1"/>
    <col min="6" max="16" width="7.85546875" style="1" customWidth="1"/>
    <col min="17" max="17" width="7.85546875" style="105" customWidth="1"/>
    <col min="18" max="19" width="7.85546875" style="1" customWidth="1"/>
    <col min="20" max="20" width="7.85546875" style="105" customWidth="1"/>
    <col min="21" max="22" width="7.85546875" style="1" customWidth="1"/>
    <col min="23" max="23" width="7.85546875" style="105" customWidth="1"/>
  </cols>
  <sheetData>
    <row r="1" spans="1:32" ht="60" customHeight="1" x14ac:dyDescent="0.4">
      <c r="A1" s="187"/>
      <c r="B1" s="187"/>
      <c r="C1" s="187"/>
      <c r="D1" s="437" t="s">
        <v>215</v>
      </c>
      <c r="E1" s="437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276" t="s">
        <v>216</v>
      </c>
      <c r="R1" s="189"/>
      <c r="S1" s="189"/>
      <c r="T1" s="190"/>
      <c r="U1" s="189"/>
      <c r="V1" s="189"/>
      <c r="W1" s="190"/>
      <c r="X1" s="187"/>
      <c r="Y1" s="187"/>
      <c r="Z1" s="187"/>
      <c r="AA1" s="187"/>
      <c r="AB1" s="187"/>
      <c r="AC1" s="187"/>
      <c r="AD1" s="187"/>
      <c r="AE1" s="187"/>
      <c r="AF1" s="187"/>
    </row>
    <row r="2" spans="1:32" x14ac:dyDescent="0.25">
      <c r="A2" s="187"/>
      <c r="B2" s="187"/>
      <c r="C2" s="187"/>
      <c r="D2" s="187"/>
      <c r="E2" s="187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90"/>
      <c r="R2" s="189"/>
      <c r="S2" s="189"/>
      <c r="T2" s="190"/>
      <c r="U2" s="189"/>
      <c r="V2" s="189"/>
      <c r="W2" s="190"/>
      <c r="X2" s="187"/>
      <c r="Y2" s="187"/>
      <c r="Z2" s="187"/>
      <c r="AA2" s="187"/>
      <c r="AB2" s="187"/>
      <c r="AC2" s="187"/>
      <c r="AD2" s="187"/>
      <c r="AE2" s="187"/>
      <c r="AF2" s="187"/>
    </row>
    <row r="3" spans="1:32" s="178" customFormat="1" ht="32.25" thickBot="1" x14ac:dyDescent="0.3">
      <c r="A3" s="188"/>
      <c r="B3" s="188"/>
      <c r="C3" s="188"/>
      <c r="D3" s="179" t="s">
        <v>0</v>
      </c>
      <c r="E3" s="180" t="s">
        <v>70</v>
      </c>
      <c r="F3" s="180" t="s">
        <v>71</v>
      </c>
      <c r="G3" s="180" t="s">
        <v>72</v>
      </c>
      <c r="H3" s="180" t="s">
        <v>73</v>
      </c>
      <c r="I3" s="180" t="s">
        <v>74</v>
      </c>
      <c r="J3" s="180" t="s">
        <v>75</v>
      </c>
      <c r="K3" s="180" t="s">
        <v>76</v>
      </c>
      <c r="L3" s="180" t="s">
        <v>77</v>
      </c>
      <c r="M3" s="180" t="s">
        <v>78</v>
      </c>
      <c r="N3" s="180" t="s">
        <v>79</v>
      </c>
      <c r="O3" s="180" t="s">
        <v>80</v>
      </c>
      <c r="P3" s="180" t="s">
        <v>124</v>
      </c>
      <c r="Q3" s="181" t="s">
        <v>82</v>
      </c>
      <c r="R3" s="180" t="s">
        <v>125</v>
      </c>
      <c r="S3" s="180" t="s">
        <v>126</v>
      </c>
      <c r="T3" s="181" t="s">
        <v>85</v>
      </c>
      <c r="U3" s="180" t="s">
        <v>127</v>
      </c>
      <c r="V3" s="180" t="s">
        <v>128</v>
      </c>
      <c r="W3" s="182" t="s">
        <v>88</v>
      </c>
      <c r="X3" s="188"/>
      <c r="Y3" s="188"/>
      <c r="Z3" s="188"/>
      <c r="AA3" s="188"/>
      <c r="AB3" s="188"/>
      <c r="AC3" s="188"/>
      <c r="AD3" s="188"/>
      <c r="AE3" s="188"/>
      <c r="AF3" s="188"/>
    </row>
    <row r="4" spans="1:32" s="282" customFormat="1" ht="26.25" customHeight="1" x14ac:dyDescent="0.25">
      <c r="A4" s="277"/>
      <c r="B4" s="277" t="str">
        <f>IF($D$4="","",1)</f>
        <v/>
      </c>
      <c r="C4" s="284"/>
      <c r="D4" s="284"/>
      <c r="E4" s="279" t="str">
        <f>IFERROR(IF(INDEX(Rosters!$C$3:$M$239,MATCH($D4,Rosters!$C$3:$C$239,0),MATCH($C4,Rosters!$C$3:$M$3,0))=0,"",INDEX(Rosters!$C$3:$M$239,MATCH($D4,Rosters!$C$3:$C$239,0),MATCH($C4,Rosters!$C$3:$M$3,0))),"")</f>
        <v/>
      </c>
      <c r="F4" s="280">
        <f>IF($D4="",-0.00001,COUNTIFS(Database!E:E,$D4,Database!A:A,$C4))</f>
        <v>-1.0000000000000001E-5</v>
      </c>
      <c r="G4" s="280">
        <f>IFERROR(IF($D4="",-0.00001,SUMIFS(Database!H:H,Database!$E:$E,$D4,Database!$A:$A,$C4)),-0.00001)</f>
        <v>-1.0000000000000001E-5</v>
      </c>
      <c r="H4" s="280">
        <f>IFERROR(IF($D4="",-0.00001,SUMIFS(Database!I:I,Database!$E:$E,$D4,Database!$A:$A,$C4)),-0.00001)</f>
        <v>-1.0000000000000001E-5</v>
      </c>
      <c r="I4" s="280">
        <f>IFERROR(IF($D4="",-0.00001,SUMIFS(Database!J:J,Database!$E:$E,$D4,Database!$A:$A,$C4)),-0.00001)</f>
        <v>-1.0000000000000001E-5</v>
      </c>
      <c r="J4" s="280">
        <f>IFERROR(IF($D4="",-0.00001,SUMIFS(Database!K:K,Database!$E:$E,$D4,Database!$A:$A,$C4)),-0.00001)</f>
        <v>-1.0000000000000001E-5</v>
      </c>
      <c r="K4" s="280">
        <f>IFERROR(IF($D4="",-0.00001,SUMIFS(Database!L:L,Database!$E:$E,$D4,Database!$A:$A,$C4)),-0.00001)</f>
        <v>-1.0000000000000001E-5</v>
      </c>
      <c r="L4" s="280">
        <f>IFERROR(IF($D4="",-0.00001,SUMIFS(Database!M:M,Database!$E:$E,$D4,Database!$A:$A,$C4)),-0.00001)</f>
        <v>-1.0000000000000001E-5</v>
      </c>
      <c r="M4" s="280">
        <f>IFERROR(IF($D4="",-0.00001,SUMIFS(Database!N:N,Database!$E:$E,$D4,Database!$A:$A,$C4)),-0.00001)</f>
        <v>-1.0000000000000001E-5</v>
      </c>
      <c r="N4" s="280">
        <f>IFERROR(IF($D4="",-0.00001,SUMIFS(Database!O:O,Database!$E:$E,$D4,Database!$A:$A,$C4)),-0.00001)</f>
        <v>-1.0000000000000001E-5</v>
      </c>
      <c r="O4" s="280">
        <f>IFERROR(IF($D4="",-0.00001,SUMIFS(Database!P:P,Database!$E:$E,$D4,Database!$A:$A,$C4)),-0.00001)</f>
        <v>-1.0000000000000001E-5</v>
      </c>
      <c r="P4" s="280">
        <f>IFERROR(IF($D4="",-0.00001,SUMIFS(Database!Q:Q,Database!$E:$E,$D4,Database!$A:$A,$C4)),-0.00001)</f>
        <v>-1.0000000000000001E-5</v>
      </c>
      <c r="Q4" s="281">
        <f>IFERROR(IF($D4="",-0.00001,$O4/$P4),"-")</f>
        <v>-1.0000000000000001E-5</v>
      </c>
      <c r="R4" s="280">
        <f>IFERROR(IF($D4="",-0.00001,SUMIFS(Database!S:S,Database!$E:$E,$D4,Database!$A:$A,$C4)),-0.00001)</f>
        <v>-1.0000000000000001E-5</v>
      </c>
      <c r="S4" s="280">
        <f>IFERROR(IF($D4="",-0.00001,SUMIFS(Database!T:T,Database!$E:$E,$D4,Database!$A:$A,$C4)),-0.00001)</f>
        <v>-1.0000000000000001E-5</v>
      </c>
      <c r="T4" s="281">
        <f>IFERROR(IF($D4="",-0.00001,$R4/$S4),"-")</f>
        <v>-1.0000000000000001E-5</v>
      </c>
      <c r="U4" s="280">
        <f>IFERROR(IF($D4="",-0.00001,SUMIFS(Database!V:V,Database!$E:$E,$D4,Database!$A:$A,$C4)),-0.00001)</f>
        <v>-1.0000000000000001E-5</v>
      </c>
      <c r="V4" s="280">
        <f>IFERROR(IF($D4="",-0.00001,SUMIFS(Database!W:W,Database!$E:$E,$D4,Database!$A:$A,$C4)),-0.00001)</f>
        <v>-1.0000000000000001E-5</v>
      </c>
      <c r="W4" s="281">
        <f>IFERROR(IF($D4="",-0.00001,$U4/$V4),"-")</f>
        <v>-1.0000000000000001E-5</v>
      </c>
      <c r="X4" s="277"/>
      <c r="Y4" s="277"/>
      <c r="Z4" s="277"/>
      <c r="AA4" s="277"/>
      <c r="AB4" s="277"/>
      <c r="AC4" s="277"/>
      <c r="AD4" s="277"/>
      <c r="AE4" s="277"/>
      <c r="AF4" s="277"/>
    </row>
    <row r="5" spans="1:32" s="282" customFormat="1" ht="26.25" customHeight="1" x14ac:dyDescent="0.25">
      <c r="A5" s="277"/>
      <c r="B5" s="277" t="str">
        <f>IF($D5="","",MAX($B$4:$B4)+1)</f>
        <v/>
      </c>
      <c r="C5" s="285"/>
      <c r="D5" s="285"/>
      <c r="E5" s="278" t="str">
        <f>IFERROR(IF(INDEX(Rosters!$C$3:$M$239,MATCH($D5,Rosters!$C$3:$C$239,0),MATCH($C5,Rosters!$C$3:$M$3,0))=0,"",INDEX(Rosters!$C$3:$M$239,MATCH($D5,Rosters!$C$3:$C$239,0),MATCH($C5,Rosters!$C$3:$M$3,0))),"")</f>
        <v/>
      </c>
      <c r="F5" s="280">
        <f>IF($D5="",-0.00001,COUNTIFS(Database!E:E,$D5,Database!A:A,$C5))</f>
        <v>-1.0000000000000001E-5</v>
      </c>
      <c r="G5" s="280">
        <f>IFERROR(IF($D5="",-0.00001,SUMIFS(Database!H:H,Database!$E:$E,$D5,Database!$A:$A,$C5)),-0.00001)</f>
        <v>-1.0000000000000001E-5</v>
      </c>
      <c r="H5" s="280">
        <f>IFERROR(IF($D5="",-0.00001,SUMIFS(Database!I:I,Database!$E:$E,$D5,Database!$A:$A,$C5)),-0.00001)</f>
        <v>-1.0000000000000001E-5</v>
      </c>
      <c r="I5" s="280">
        <f>IFERROR(IF($D5="",-0.00001,SUMIFS(Database!J:J,Database!$E:$E,$D5,Database!$A:$A,$C5)),-0.00001)</f>
        <v>-1.0000000000000001E-5</v>
      </c>
      <c r="J5" s="280">
        <f>IFERROR(IF($D5="",-0.00001,SUMIFS(Database!K:K,Database!$E:$E,$D5,Database!$A:$A,$C5)),-0.00001)</f>
        <v>-1.0000000000000001E-5</v>
      </c>
      <c r="K5" s="280">
        <f>IFERROR(IF($D5="",-0.00001,SUMIFS(Database!L:L,Database!$E:$E,$D5,Database!$A:$A,$C5)),-0.00001)</f>
        <v>-1.0000000000000001E-5</v>
      </c>
      <c r="L5" s="280">
        <f>IFERROR(IF($D5="",-0.00001,SUMIFS(Database!M:M,Database!$E:$E,$D5,Database!$A:$A,$C5)),-0.00001)</f>
        <v>-1.0000000000000001E-5</v>
      </c>
      <c r="M5" s="280">
        <f>IFERROR(IF($D5="",-0.00001,SUMIFS(Database!N:N,Database!$E:$E,$D5,Database!$A:$A,$C5)),-0.00001)</f>
        <v>-1.0000000000000001E-5</v>
      </c>
      <c r="N5" s="280">
        <f>IFERROR(IF($D5="",-0.00001,SUMIFS(Database!O:O,Database!$E:$E,$D5,Database!$A:$A,$C5)),-0.00001)</f>
        <v>-1.0000000000000001E-5</v>
      </c>
      <c r="O5" s="280">
        <f>IFERROR(IF($D5="",-0.00001,SUMIFS(Database!P:P,Database!$E:$E,$D5,Database!$A:$A,$C5)),-0.00001)</f>
        <v>-1.0000000000000001E-5</v>
      </c>
      <c r="P5" s="280">
        <f>IFERROR(IF($D5="",-0.00001,SUMIFS(Database!Q:Q,Database!$E:$E,$D5,Database!$A:$A,$C5)),-0.00001)</f>
        <v>-1.0000000000000001E-5</v>
      </c>
      <c r="Q5" s="281">
        <f t="shared" ref="Q5:Q9" si="0">IFERROR(IF($D5="",-0.00001,$O5/$P5),"-")</f>
        <v>-1.0000000000000001E-5</v>
      </c>
      <c r="R5" s="280">
        <f>IFERROR(IF($D5="",-0.00001,SUMIFS(Database!S:S,Database!$E:$E,$D5,Database!$A:$A,$C5)),-0.00001)</f>
        <v>-1.0000000000000001E-5</v>
      </c>
      <c r="S5" s="280">
        <f>IFERROR(IF($D5="",-0.00001,SUMIFS(Database!T:T,Database!$E:$E,$D5,Database!$A:$A,$C5)),-0.00001)</f>
        <v>-1.0000000000000001E-5</v>
      </c>
      <c r="T5" s="281">
        <f t="shared" ref="T5:T9" si="1">IFERROR(IF($D5="",-0.00001,$R5/$S5),"-")</f>
        <v>-1.0000000000000001E-5</v>
      </c>
      <c r="U5" s="280">
        <f>IFERROR(IF($D5="",-0.00001,SUMIFS(Database!V:V,Database!$E:$E,$D5,Database!$A:$A,$C5)),-0.00001)</f>
        <v>-1.0000000000000001E-5</v>
      </c>
      <c r="V5" s="280">
        <f>IFERROR(IF($D5="",-0.00001,SUMIFS(Database!W:W,Database!$E:$E,$D5,Database!$A:$A,$C5)),-0.00001)</f>
        <v>-1.0000000000000001E-5</v>
      </c>
      <c r="W5" s="281">
        <f t="shared" ref="W5:W9" si="2">IFERROR(IF($D5="",-0.00001,$U5/$V5),"-")</f>
        <v>-1.0000000000000001E-5</v>
      </c>
      <c r="X5" s="277"/>
      <c r="Y5" s="277"/>
      <c r="Z5" s="277"/>
      <c r="AA5" s="277"/>
      <c r="AB5" s="277"/>
      <c r="AC5" s="277"/>
      <c r="AD5" s="277"/>
      <c r="AE5" s="277"/>
      <c r="AF5" s="277"/>
    </row>
    <row r="6" spans="1:32" s="282" customFormat="1" ht="26.25" customHeight="1" x14ac:dyDescent="0.25">
      <c r="A6" s="277"/>
      <c r="B6" s="277" t="str">
        <f>IF($D6="","",MAX($B$4:$B5)+1)</f>
        <v/>
      </c>
      <c r="C6" s="285"/>
      <c r="D6" s="285"/>
      <c r="E6" s="278" t="str">
        <f>IFERROR(IF(INDEX(Rosters!$C$3:$M$239,MATCH($D6,Rosters!$C$3:$C$239,0),MATCH($C6,Rosters!$C$3:$M$3,0))=0,"",INDEX(Rosters!$C$3:$M$239,MATCH($D6,Rosters!$C$3:$C$239,0),MATCH($C6,Rosters!$C$3:$M$3,0))),"")</f>
        <v/>
      </c>
      <c r="F6" s="280">
        <f>IF($D6="",-0.00001,COUNTIFS(Database!E:E,$D6,Database!A:A,$C6))</f>
        <v>-1.0000000000000001E-5</v>
      </c>
      <c r="G6" s="280">
        <f>IFERROR(IF($D6="",-0.00001,SUMIFS(Database!H:H,Database!$E:$E,$D6,Database!$A:$A,$C6)),-0.00001)</f>
        <v>-1.0000000000000001E-5</v>
      </c>
      <c r="H6" s="280">
        <f>IFERROR(IF($D6="",-0.00001,SUMIFS(Database!I:I,Database!$E:$E,$D6,Database!$A:$A,$C6)),-0.00001)</f>
        <v>-1.0000000000000001E-5</v>
      </c>
      <c r="I6" s="280">
        <f>IFERROR(IF($D6="",-0.00001,SUMIFS(Database!J:J,Database!$E:$E,$D6,Database!$A:$A,$C6)),-0.00001)</f>
        <v>-1.0000000000000001E-5</v>
      </c>
      <c r="J6" s="280">
        <f>IFERROR(IF($D6="",-0.00001,SUMIFS(Database!K:K,Database!$E:$E,$D6,Database!$A:$A,$C6)),-0.00001)</f>
        <v>-1.0000000000000001E-5</v>
      </c>
      <c r="K6" s="280">
        <f>IFERROR(IF($D6="",-0.00001,SUMIFS(Database!L:L,Database!$E:$E,$D6,Database!$A:$A,$C6)),-0.00001)</f>
        <v>-1.0000000000000001E-5</v>
      </c>
      <c r="L6" s="280">
        <f>IFERROR(IF($D6="",-0.00001,SUMIFS(Database!M:M,Database!$E:$E,$D6,Database!$A:$A,$C6)),-0.00001)</f>
        <v>-1.0000000000000001E-5</v>
      </c>
      <c r="M6" s="280">
        <f>IFERROR(IF($D6="",-0.00001,SUMIFS(Database!N:N,Database!$E:$E,$D6,Database!$A:$A,$C6)),-0.00001)</f>
        <v>-1.0000000000000001E-5</v>
      </c>
      <c r="N6" s="280">
        <f>IFERROR(IF($D6="",-0.00001,SUMIFS(Database!O:O,Database!$E:$E,$D6,Database!$A:$A,$C6)),-0.00001)</f>
        <v>-1.0000000000000001E-5</v>
      </c>
      <c r="O6" s="280">
        <f>IFERROR(IF($D6="",-0.00001,SUMIFS(Database!P:P,Database!$E:$E,$D6,Database!$A:$A,$C6)),-0.00001)</f>
        <v>-1.0000000000000001E-5</v>
      </c>
      <c r="P6" s="280">
        <f>IFERROR(IF($D6="",-0.00001,SUMIFS(Database!Q:Q,Database!$E:$E,$D6,Database!$A:$A,$C6)),-0.00001)</f>
        <v>-1.0000000000000001E-5</v>
      </c>
      <c r="Q6" s="281">
        <f t="shared" si="0"/>
        <v>-1.0000000000000001E-5</v>
      </c>
      <c r="R6" s="280">
        <f>IFERROR(IF($D6="",-0.00001,SUMIFS(Database!S:S,Database!$E:$E,$D6,Database!$A:$A,$C6)),-0.00001)</f>
        <v>-1.0000000000000001E-5</v>
      </c>
      <c r="S6" s="280">
        <f>IFERROR(IF($D6="",-0.00001,SUMIFS(Database!T:T,Database!$E:$E,$D6,Database!$A:$A,$C6)),-0.00001)</f>
        <v>-1.0000000000000001E-5</v>
      </c>
      <c r="T6" s="281">
        <f t="shared" si="1"/>
        <v>-1.0000000000000001E-5</v>
      </c>
      <c r="U6" s="280">
        <f>IFERROR(IF($D6="",-0.00001,SUMIFS(Database!V:V,Database!$E:$E,$D6,Database!$A:$A,$C6)),-0.00001)</f>
        <v>-1.0000000000000001E-5</v>
      </c>
      <c r="V6" s="280">
        <f>IFERROR(IF($D6="",-0.00001,SUMIFS(Database!W:W,Database!$E:$E,$D6,Database!$A:$A,$C6)),-0.00001)</f>
        <v>-1.0000000000000001E-5</v>
      </c>
      <c r="W6" s="281">
        <f t="shared" si="2"/>
        <v>-1.0000000000000001E-5</v>
      </c>
      <c r="X6" s="277"/>
      <c r="Y6" s="277"/>
      <c r="Z6" s="277"/>
      <c r="AA6" s="277"/>
      <c r="AB6" s="277"/>
      <c r="AC6" s="277"/>
      <c r="AD6" s="277"/>
      <c r="AE6" s="277"/>
      <c r="AF6" s="277"/>
    </row>
    <row r="7" spans="1:32" s="282" customFormat="1" ht="26.25" customHeight="1" x14ac:dyDescent="0.25">
      <c r="A7" s="277"/>
      <c r="B7" s="277" t="str">
        <f>IF($D7="","",MAX($B$4:$B6)+1)</f>
        <v/>
      </c>
      <c r="C7" s="283"/>
      <c r="D7" s="283"/>
      <c r="E7" s="278" t="str">
        <f>IFERROR(IF(INDEX(Rosters!$C$3:$M$239,MATCH($D7,Rosters!$C$3:$C$239,0),MATCH($C7,Rosters!$C$3:$M$3,0))=0,"",INDEX(Rosters!$C$3:$M$239,MATCH($D7,Rosters!$C$3:$C$239,0),MATCH($C7,Rosters!$C$3:$M$3,0))),"")</f>
        <v/>
      </c>
      <c r="F7" s="280">
        <f>IF($D7="",-0.00001,COUNTIFS(Database!E:E,$D7,Database!A:A,$C7))</f>
        <v>-1.0000000000000001E-5</v>
      </c>
      <c r="G7" s="280">
        <f>IFERROR(IF($D7="",-0.00001,SUMIFS(Database!H:H,Database!$E:$E,$D7,Database!$A:$A,$C7)),-0.00001)</f>
        <v>-1.0000000000000001E-5</v>
      </c>
      <c r="H7" s="280">
        <f>IFERROR(IF($D7="",-0.00001,SUMIFS(Database!I:I,Database!$E:$E,$D7,Database!$A:$A,$C7)),-0.00001)</f>
        <v>-1.0000000000000001E-5</v>
      </c>
      <c r="I7" s="280">
        <f>IFERROR(IF($D7="",-0.00001,SUMIFS(Database!J:J,Database!$E:$E,$D7,Database!$A:$A,$C7)),-0.00001)</f>
        <v>-1.0000000000000001E-5</v>
      </c>
      <c r="J7" s="280">
        <f>IFERROR(IF($D7="",-0.00001,SUMIFS(Database!K:K,Database!$E:$E,$D7,Database!$A:$A,$C7)),-0.00001)</f>
        <v>-1.0000000000000001E-5</v>
      </c>
      <c r="K7" s="280">
        <f>IFERROR(IF($D7="",-0.00001,SUMIFS(Database!L:L,Database!$E:$E,$D7,Database!$A:$A,$C7)),-0.00001)</f>
        <v>-1.0000000000000001E-5</v>
      </c>
      <c r="L7" s="280">
        <f>IFERROR(IF($D7="",-0.00001,SUMIFS(Database!M:M,Database!$E:$E,$D7,Database!$A:$A,$C7)),-0.00001)</f>
        <v>-1.0000000000000001E-5</v>
      </c>
      <c r="M7" s="280">
        <f>IFERROR(IF($D7="",-0.00001,SUMIFS(Database!N:N,Database!$E:$E,$D7,Database!$A:$A,$C7)),-0.00001)</f>
        <v>-1.0000000000000001E-5</v>
      </c>
      <c r="N7" s="280">
        <f>IFERROR(IF($D7="",-0.00001,SUMIFS(Database!O:O,Database!$E:$E,$D7,Database!$A:$A,$C7)),-0.00001)</f>
        <v>-1.0000000000000001E-5</v>
      </c>
      <c r="O7" s="280">
        <f>IFERROR(IF($D7="",-0.00001,SUMIFS(Database!P:P,Database!$E:$E,$D7,Database!$A:$A,$C7)),-0.00001)</f>
        <v>-1.0000000000000001E-5</v>
      </c>
      <c r="P7" s="280">
        <f>IFERROR(IF($D7="",-0.00001,SUMIFS(Database!Q:Q,Database!$E:$E,$D7,Database!$A:$A,$C7)),-0.00001)</f>
        <v>-1.0000000000000001E-5</v>
      </c>
      <c r="Q7" s="281">
        <f t="shared" si="0"/>
        <v>-1.0000000000000001E-5</v>
      </c>
      <c r="R7" s="280">
        <f>IFERROR(IF($D7="",-0.00001,SUMIFS(Database!S:S,Database!$E:$E,$D7,Database!$A:$A,$C7)),-0.00001)</f>
        <v>-1.0000000000000001E-5</v>
      </c>
      <c r="S7" s="280">
        <f>IFERROR(IF($D7="",-0.00001,SUMIFS(Database!T:T,Database!$E:$E,$D7,Database!$A:$A,$C7)),-0.00001)</f>
        <v>-1.0000000000000001E-5</v>
      </c>
      <c r="T7" s="281">
        <f t="shared" si="1"/>
        <v>-1.0000000000000001E-5</v>
      </c>
      <c r="U7" s="280">
        <f>IFERROR(IF($D7="",-0.00001,SUMIFS(Database!V:V,Database!$E:$E,$D7,Database!$A:$A,$C7)),-0.00001)</f>
        <v>-1.0000000000000001E-5</v>
      </c>
      <c r="V7" s="280">
        <f>IFERROR(IF($D7="",-0.00001,SUMIFS(Database!W:W,Database!$E:$E,$D7,Database!$A:$A,$C7)),-0.00001)</f>
        <v>-1.0000000000000001E-5</v>
      </c>
      <c r="W7" s="281">
        <f t="shared" si="2"/>
        <v>-1.0000000000000001E-5</v>
      </c>
      <c r="X7" s="277"/>
      <c r="Y7" s="277"/>
      <c r="Z7" s="277"/>
      <c r="AA7" s="277"/>
      <c r="AB7" s="277"/>
      <c r="AC7" s="277"/>
      <c r="AD7" s="277"/>
      <c r="AE7" s="277"/>
      <c r="AF7" s="277"/>
    </row>
    <row r="8" spans="1:32" s="282" customFormat="1" ht="26.25" customHeight="1" x14ac:dyDescent="0.25">
      <c r="A8" s="277"/>
      <c r="B8" s="277" t="str">
        <f>IF($D8="","",MAX($B$4:$B7)+1)</f>
        <v/>
      </c>
      <c r="C8" s="283"/>
      <c r="D8" s="283"/>
      <c r="E8" s="278" t="str">
        <f>IFERROR(IF(INDEX(Rosters!$C$3:$M$239,MATCH($D8,Rosters!$C$3:$C$239,0),MATCH($C8,Rosters!$C$3:$M$3,0))=0,"",INDEX(Rosters!$C$3:$M$239,MATCH($D8,Rosters!$C$3:$C$239,0),MATCH($C8,Rosters!$C$3:$M$3,0))),"")</f>
        <v/>
      </c>
      <c r="F8" s="280">
        <f>IF($D8="",-0.00001,COUNTIFS(Database!E:E,$D8,Database!A:A,$C8))</f>
        <v>-1.0000000000000001E-5</v>
      </c>
      <c r="G8" s="280">
        <f>IFERROR(IF($D8="",-0.00001,SUMIFS(Database!H:H,Database!$E:$E,$D8,Database!$A:$A,$C8)),-0.00001)</f>
        <v>-1.0000000000000001E-5</v>
      </c>
      <c r="H8" s="280">
        <f>IFERROR(IF($D8="",-0.00001,SUMIFS(Database!I:I,Database!$E:$E,$D8,Database!$A:$A,$C8)),-0.00001)</f>
        <v>-1.0000000000000001E-5</v>
      </c>
      <c r="I8" s="280">
        <f>IFERROR(IF($D8="",-0.00001,SUMIFS(Database!J:J,Database!$E:$E,$D8,Database!$A:$A,$C8)),-0.00001)</f>
        <v>-1.0000000000000001E-5</v>
      </c>
      <c r="J8" s="280">
        <f>IFERROR(IF($D8="",-0.00001,SUMIFS(Database!K:K,Database!$E:$E,$D8,Database!$A:$A,$C8)),-0.00001)</f>
        <v>-1.0000000000000001E-5</v>
      </c>
      <c r="K8" s="280">
        <f>IFERROR(IF($D8="",-0.00001,SUMIFS(Database!L:L,Database!$E:$E,$D8,Database!$A:$A,$C8)),-0.00001)</f>
        <v>-1.0000000000000001E-5</v>
      </c>
      <c r="L8" s="280">
        <f>IFERROR(IF($D8="",-0.00001,SUMIFS(Database!M:M,Database!$E:$E,$D8,Database!$A:$A,$C8)),-0.00001)</f>
        <v>-1.0000000000000001E-5</v>
      </c>
      <c r="M8" s="280">
        <f>IFERROR(IF($D8="",-0.00001,SUMIFS(Database!N:N,Database!$E:$E,$D8,Database!$A:$A,$C8)),-0.00001)</f>
        <v>-1.0000000000000001E-5</v>
      </c>
      <c r="N8" s="280">
        <f>IFERROR(IF($D8="",-0.00001,SUMIFS(Database!O:O,Database!$E:$E,$D8,Database!$A:$A,$C8)),-0.00001)</f>
        <v>-1.0000000000000001E-5</v>
      </c>
      <c r="O8" s="280">
        <f>IFERROR(IF($D8="",-0.00001,SUMIFS(Database!P:P,Database!$E:$E,$D8,Database!$A:$A,$C8)),-0.00001)</f>
        <v>-1.0000000000000001E-5</v>
      </c>
      <c r="P8" s="280">
        <f>IFERROR(IF($D8="",-0.00001,SUMIFS(Database!Q:Q,Database!$E:$E,$D8,Database!$A:$A,$C8)),-0.00001)</f>
        <v>-1.0000000000000001E-5</v>
      </c>
      <c r="Q8" s="281">
        <f t="shared" si="0"/>
        <v>-1.0000000000000001E-5</v>
      </c>
      <c r="R8" s="280">
        <f>IFERROR(IF($D8="",-0.00001,SUMIFS(Database!S:S,Database!$E:$E,$D8,Database!$A:$A,$C8)),-0.00001)</f>
        <v>-1.0000000000000001E-5</v>
      </c>
      <c r="S8" s="280">
        <f>IFERROR(IF($D8="",-0.00001,SUMIFS(Database!T:T,Database!$E:$E,$D8,Database!$A:$A,$C8)),-0.00001)</f>
        <v>-1.0000000000000001E-5</v>
      </c>
      <c r="T8" s="281">
        <f t="shared" si="1"/>
        <v>-1.0000000000000001E-5</v>
      </c>
      <c r="U8" s="280">
        <f>IFERROR(IF($D8="",-0.00001,SUMIFS(Database!V:V,Database!$E:$E,$D8,Database!$A:$A,$C8)),-0.00001)</f>
        <v>-1.0000000000000001E-5</v>
      </c>
      <c r="V8" s="280">
        <f>IFERROR(IF($D8="",-0.00001,SUMIFS(Database!W:W,Database!$E:$E,$D8,Database!$A:$A,$C8)),-0.00001)</f>
        <v>-1.0000000000000001E-5</v>
      </c>
      <c r="W8" s="281">
        <f t="shared" si="2"/>
        <v>-1.0000000000000001E-5</v>
      </c>
      <c r="X8" s="277"/>
      <c r="Y8" s="277"/>
      <c r="Z8" s="277"/>
      <c r="AA8" s="277"/>
      <c r="AB8" s="277"/>
      <c r="AC8" s="277"/>
      <c r="AD8" s="277"/>
      <c r="AE8" s="277"/>
      <c r="AF8" s="277"/>
    </row>
    <row r="9" spans="1:32" s="282" customFormat="1" ht="26.25" customHeight="1" x14ac:dyDescent="0.25">
      <c r="A9" s="277"/>
      <c r="B9" s="277" t="str">
        <f>IF($D9="","",MAX($B$4:$B8)+1)</f>
        <v/>
      </c>
      <c r="C9" s="283"/>
      <c r="D9" s="283"/>
      <c r="E9" s="278" t="str">
        <f>IFERROR(IF(INDEX(Rosters!$C$3:$M$239,MATCH($D9,Rosters!$C$3:$C$239,0),MATCH($C9,Rosters!$C$3:$M$3,0))=0,"",INDEX(Rosters!$C$3:$M$239,MATCH($D9,Rosters!$C$3:$C$239,0),MATCH($C9,Rosters!$C$3:$M$3,0))),"")</f>
        <v/>
      </c>
      <c r="F9" s="280">
        <f>IF($D9="",-0.00001,COUNTIFS(Database!E:E,$D9,Database!A:A,$C9))</f>
        <v>-1.0000000000000001E-5</v>
      </c>
      <c r="G9" s="280">
        <f>IFERROR(IF($D9="",-0.00001,SUMIFS(Database!H:H,Database!$E:$E,$D9,Database!$A:$A,$C9)),-0.00001)</f>
        <v>-1.0000000000000001E-5</v>
      </c>
      <c r="H9" s="280">
        <f>IFERROR(IF($D9="",-0.00001,SUMIFS(Database!I:I,Database!$E:$E,$D9,Database!$A:$A,$C9)),-0.00001)</f>
        <v>-1.0000000000000001E-5</v>
      </c>
      <c r="I9" s="280">
        <f>IFERROR(IF($D9="",-0.00001,SUMIFS(Database!J:J,Database!$E:$E,$D9,Database!$A:$A,$C9)),-0.00001)</f>
        <v>-1.0000000000000001E-5</v>
      </c>
      <c r="J9" s="280">
        <f>IFERROR(IF($D9="",-0.00001,SUMIFS(Database!K:K,Database!$E:$E,$D9,Database!$A:$A,$C9)),-0.00001)</f>
        <v>-1.0000000000000001E-5</v>
      </c>
      <c r="K9" s="280">
        <f>IFERROR(IF($D9="",-0.00001,SUMIFS(Database!L:L,Database!$E:$E,$D9,Database!$A:$A,$C9)),-0.00001)</f>
        <v>-1.0000000000000001E-5</v>
      </c>
      <c r="L9" s="280">
        <f>IFERROR(IF($D9="",-0.00001,SUMIFS(Database!M:M,Database!$E:$E,$D9,Database!$A:$A,$C9)),-0.00001)</f>
        <v>-1.0000000000000001E-5</v>
      </c>
      <c r="M9" s="280">
        <f>IFERROR(IF($D9="",-0.00001,SUMIFS(Database!N:N,Database!$E:$E,$D9,Database!$A:$A,$C9)),-0.00001)</f>
        <v>-1.0000000000000001E-5</v>
      </c>
      <c r="N9" s="280">
        <f>IFERROR(IF($D9="",-0.00001,SUMIFS(Database!O:O,Database!$E:$E,$D9,Database!$A:$A,$C9)),-0.00001)</f>
        <v>-1.0000000000000001E-5</v>
      </c>
      <c r="O9" s="280">
        <f>IFERROR(IF($D9="",-0.00001,SUMIFS(Database!P:P,Database!$E:$E,$D9,Database!$A:$A,$C9)),-0.00001)</f>
        <v>-1.0000000000000001E-5</v>
      </c>
      <c r="P9" s="280">
        <f>IFERROR(IF($D9="",-0.00001,SUMIFS(Database!Q:Q,Database!$E:$E,$D9,Database!$A:$A,$C9)),-0.00001)</f>
        <v>-1.0000000000000001E-5</v>
      </c>
      <c r="Q9" s="281">
        <f t="shared" si="0"/>
        <v>-1.0000000000000001E-5</v>
      </c>
      <c r="R9" s="280">
        <f>IFERROR(IF($D9="",-0.00001,SUMIFS(Database!S:S,Database!$E:$E,$D9,Database!$A:$A,$C9)),-0.00001)</f>
        <v>-1.0000000000000001E-5</v>
      </c>
      <c r="S9" s="280">
        <f>IFERROR(IF($D9="",-0.00001,SUMIFS(Database!T:T,Database!$E:$E,$D9,Database!$A:$A,$C9)),-0.00001)</f>
        <v>-1.0000000000000001E-5</v>
      </c>
      <c r="T9" s="281">
        <f t="shared" si="1"/>
        <v>-1.0000000000000001E-5</v>
      </c>
      <c r="U9" s="280">
        <f>IFERROR(IF($D9="",-0.00001,SUMIFS(Database!V:V,Database!$E:$E,$D9,Database!$A:$A,$C9)),-0.00001)</f>
        <v>-1.0000000000000001E-5</v>
      </c>
      <c r="V9" s="280">
        <f>IFERROR(IF($D9="",-0.00001,SUMIFS(Database!W:W,Database!$E:$E,$D9,Database!$A:$A,$C9)),-0.00001)</f>
        <v>-1.0000000000000001E-5</v>
      </c>
      <c r="W9" s="281">
        <f t="shared" si="2"/>
        <v>-1.0000000000000001E-5</v>
      </c>
      <c r="X9" s="277"/>
      <c r="Y9" s="277"/>
      <c r="Z9" s="277"/>
      <c r="AA9" s="277"/>
      <c r="AB9" s="277"/>
      <c r="AC9" s="277"/>
      <c r="AD9" s="277"/>
      <c r="AE9" s="277"/>
      <c r="AF9" s="277"/>
    </row>
    <row r="10" spans="1:32" s="282" customFormat="1" ht="18.75" customHeight="1" x14ac:dyDescent="0.25">
      <c r="A10" s="277"/>
      <c r="B10" s="277"/>
      <c r="C10" s="438" t="s">
        <v>219</v>
      </c>
      <c r="D10" s="439"/>
      <c r="E10" s="440"/>
      <c r="F10" s="441" t="s">
        <v>218</v>
      </c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443"/>
      <c r="X10" s="277"/>
      <c r="Y10" s="277"/>
      <c r="Z10" s="277"/>
      <c r="AA10" s="277"/>
      <c r="AB10" s="277"/>
      <c r="AC10" s="277"/>
      <c r="AD10" s="277"/>
      <c r="AE10" s="277"/>
      <c r="AF10" s="277"/>
    </row>
    <row r="11" spans="1:32" s="282" customFormat="1" ht="26.25" customHeight="1" x14ac:dyDescent="0.25">
      <c r="A11" s="277"/>
      <c r="B11" s="277" t="str">
        <f>IF($D$4="","",1)</f>
        <v/>
      </c>
      <c r="C11" s="286" t="str">
        <f>IF(C4="","",C4)</f>
        <v/>
      </c>
      <c r="D11" s="286" t="str">
        <f t="shared" ref="D11:F11" si="3">IF(D4="","",D4)</f>
        <v/>
      </c>
      <c r="E11" s="278" t="str">
        <f t="shared" si="3"/>
        <v/>
      </c>
      <c r="F11" s="280">
        <f t="shared" si="3"/>
        <v>-1.0000000000000001E-5</v>
      </c>
      <c r="G11" s="287" t="str">
        <f>IFERROR(IF(G4=-0.00001,"",G4/$F11),"")</f>
        <v/>
      </c>
      <c r="H11" s="287" t="str">
        <f t="shared" ref="H11:W11" si="4">IFERROR(IF(H4=-0.00001,"",H4/$F11),"")</f>
        <v/>
      </c>
      <c r="I11" s="287" t="str">
        <f t="shared" si="4"/>
        <v/>
      </c>
      <c r="J11" s="287" t="str">
        <f t="shared" si="4"/>
        <v/>
      </c>
      <c r="K11" s="287" t="str">
        <f t="shared" si="4"/>
        <v/>
      </c>
      <c r="L11" s="287" t="str">
        <f t="shared" si="4"/>
        <v/>
      </c>
      <c r="M11" s="287" t="str">
        <f t="shared" si="4"/>
        <v/>
      </c>
      <c r="N11" s="287" t="str">
        <f t="shared" si="4"/>
        <v/>
      </c>
      <c r="O11" s="287" t="str">
        <f t="shared" si="4"/>
        <v/>
      </c>
      <c r="P11" s="287" t="str">
        <f t="shared" si="4"/>
        <v/>
      </c>
      <c r="Q11" s="281" t="str">
        <f t="shared" si="4"/>
        <v/>
      </c>
      <c r="R11" s="287" t="str">
        <f t="shared" si="4"/>
        <v/>
      </c>
      <c r="S11" s="287" t="str">
        <f t="shared" si="4"/>
        <v/>
      </c>
      <c r="T11" s="281" t="str">
        <f t="shared" si="4"/>
        <v/>
      </c>
      <c r="U11" s="287" t="str">
        <f t="shared" si="4"/>
        <v/>
      </c>
      <c r="V11" s="287" t="str">
        <f t="shared" si="4"/>
        <v/>
      </c>
      <c r="W11" s="281" t="str">
        <f t="shared" si="4"/>
        <v/>
      </c>
      <c r="X11" s="277"/>
      <c r="Y11" s="277"/>
      <c r="Z11" s="277"/>
      <c r="AA11" s="277"/>
      <c r="AB11" s="277"/>
      <c r="AC11" s="277"/>
      <c r="AD11" s="277"/>
      <c r="AE11" s="277"/>
      <c r="AF11" s="277"/>
    </row>
    <row r="12" spans="1:32" s="282" customFormat="1" ht="26.25" customHeight="1" x14ac:dyDescent="0.25">
      <c r="A12" s="277"/>
      <c r="B12" s="277" t="str">
        <f>IF($D5="","",MAX($B$4:$B4)+1)</f>
        <v/>
      </c>
      <c r="C12" s="286" t="str">
        <f t="shared" ref="C12:F12" si="5">IF(C5="","",C5)</f>
        <v/>
      </c>
      <c r="D12" s="286" t="str">
        <f t="shared" si="5"/>
        <v/>
      </c>
      <c r="E12" s="278" t="str">
        <f t="shared" si="5"/>
        <v/>
      </c>
      <c r="F12" s="280">
        <f t="shared" si="5"/>
        <v>-1.0000000000000001E-5</v>
      </c>
      <c r="G12" s="287" t="str">
        <f t="shared" ref="G12:V12" si="6">IFERROR(IF(G5=-0.00001,"",G5/$F12),"")</f>
        <v/>
      </c>
      <c r="H12" s="287" t="str">
        <f t="shared" si="6"/>
        <v/>
      </c>
      <c r="I12" s="287" t="str">
        <f t="shared" si="6"/>
        <v/>
      </c>
      <c r="J12" s="287" t="str">
        <f t="shared" si="6"/>
        <v/>
      </c>
      <c r="K12" s="287" t="str">
        <f t="shared" si="6"/>
        <v/>
      </c>
      <c r="L12" s="287" t="str">
        <f t="shared" si="6"/>
        <v/>
      </c>
      <c r="M12" s="287" t="str">
        <f t="shared" si="6"/>
        <v/>
      </c>
      <c r="N12" s="287" t="str">
        <f t="shared" si="6"/>
        <v/>
      </c>
      <c r="O12" s="287" t="str">
        <f t="shared" si="6"/>
        <v/>
      </c>
      <c r="P12" s="287" t="str">
        <f t="shared" si="6"/>
        <v/>
      </c>
      <c r="Q12" s="281" t="str">
        <f>IFERROR(IF(Q5=-0.00001,"",O12/P12),"")</f>
        <v/>
      </c>
      <c r="R12" s="287" t="str">
        <f t="shared" si="6"/>
        <v/>
      </c>
      <c r="S12" s="287" t="str">
        <f t="shared" si="6"/>
        <v/>
      </c>
      <c r="T12" s="281" t="str">
        <f>IFERROR(IF(T5=-0.00001,"",R12/S12),"")</f>
        <v/>
      </c>
      <c r="U12" s="287" t="str">
        <f t="shared" si="6"/>
        <v/>
      </c>
      <c r="V12" s="287" t="str">
        <f t="shared" si="6"/>
        <v/>
      </c>
      <c r="W12" s="281" t="str">
        <f>IFERROR(IF(W5=-0.00001,"",U12/V12),"")</f>
        <v/>
      </c>
      <c r="X12" s="277"/>
      <c r="Y12" s="277"/>
      <c r="Z12" s="277"/>
      <c r="AA12" s="277"/>
      <c r="AB12" s="277"/>
      <c r="AC12" s="277"/>
      <c r="AD12" s="277"/>
      <c r="AE12" s="277"/>
      <c r="AF12" s="277"/>
    </row>
    <row r="13" spans="1:32" s="282" customFormat="1" ht="26.25" customHeight="1" x14ac:dyDescent="0.25">
      <c r="A13" s="277"/>
      <c r="B13" s="277" t="str">
        <f>IF($D6="","",MAX($B$4:$B5)+1)</f>
        <v/>
      </c>
      <c r="C13" s="286" t="str">
        <f t="shared" ref="C13:F13" si="7">IF(C6="","",C6)</f>
        <v/>
      </c>
      <c r="D13" s="286" t="str">
        <f t="shared" si="7"/>
        <v/>
      </c>
      <c r="E13" s="278" t="str">
        <f t="shared" si="7"/>
        <v/>
      </c>
      <c r="F13" s="280">
        <f t="shared" si="7"/>
        <v>-1.0000000000000001E-5</v>
      </c>
      <c r="G13" s="287" t="str">
        <f t="shared" ref="G13:V13" si="8">IFERROR(IF(G6=-0.00001,"",G6/$F13),"")</f>
        <v/>
      </c>
      <c r="H13" s="287" t="str">
        <f t="shared" si="8"/>
        <v/>
      </c>
      <c r="I13" s="287" t="str">
        <f t="shared" si="8"/>
        <v/>
      </c>
      <c r="J13" s="287" t="str">
        <f t="shared" si="8"/>
        <v/>
      </c>
      <c r="K13" s="287" t="str">
        <f t="shared" si="8"/>
        <v/>
      </c>
      <c r="L13" s="287" t="str">
        <f t="shared" si="8"/>
        <v/>
      </c>
      <c r="M13" s="287" t="str">
        <f t="shared" si="8"/>
        <v/>
      </c>
      <c r="N13" s="287" t="str">
        <f t="shared" si="8"/>
        <v/>
      </c>
      <c r="O13" s="287" t="str">
        <f t="shared" si="8"/>
        <v/>
      </c>
      <c r="P13" s="287" t="str">
        <f t="shared" si="8"/>
        <v/>
      </c>
      <c r="Q13" s="281" t="str">
        <f t="shared" ref="Q13:Q16" si="9">IFERROR(IF(Q6=-0.00001,"",O13/P13),"")</f>
        <v/>
      </c>
      <c r="R13" s="287" t="str">
        <f t="shared" si="8"/>
        <v/>
      </c>
      <c r="S13" s="287" t="str">
        <f t="shared" si="8"/>
        <v/>
      </c>
      <c r="T13" s="281" t="str">
        <f t="shared" ref="T13:T16" si="10">IFERROR(IF(T6=-0.00001,"",R13/S13),"")</f>
        <v/>
      </c>
      <c r="U13" s="287" t="str">
        <f t="shared" si="8"/>
        <v/>
      </c>
      <c r="V13" s="287" t="str">
        <f t="shared" si="8"/>
        <v/>
      </c>
      <c r="W13" s="281" t="str">
        <f t="shared" ref="W13:W16" si="11">IFERROR(IF(W6=-0.00001,"",U13/V13),"")</f>
        <v/>
      </c>
      <c r="X13" s="277"/>
      <c r="Y13" s="277"/>
      <c r="Z13" s="277"/>
      <c r="AA13" s="277"/>
      <c r="AB13" s="277"/>
      <c r="AC13" s="277"/>
      <c r="AD13" s="277"/>
      <c r="AE13" s="277"/>
      <c r="AF13" s="277"/>
    </row>
    <row r="14" spans="1:32" s="282" customFormat="1" ht="26.25" customHeight="1" x14ac:dyDescent="0.25">
      <c r="A14" s="277"/>
      <c r="B14" s="277" t="str">
        <f>IF($D7="","",MAX($B$4:$B6)+1)</f>
        <v/>
      </c>
      <c r="C14" s="286" t="str">
        <f t="shared" ref="C14:F14" si="12">IF(C7="","",C7)</f>
        <v/>
      </c>
      <c r="D14" s="286" t="str">
        <f t="shared" si="12"/>
        <v/>
      </c>
      <c r="E14" s="278" t="str">
        <f t="shared" si="12"/>
        <v/>
      </c>
      <c r="F14" s="280">
        <f t="shared" si="12"/>
        <v>-1.0000000000000001E-5</v>
      </c>
      <c r="G14" s="287" t="str">
        <f t="shared" ref="G14:V14" si="13">IFERROR(IF(G7=-0.00001,"",G7/$F14),"")</f>
        <v/>
      </c>
      <c r="H14" s="287" t="str">
        <f t="shared" si="13"/>
        <v/>
      </c>
      <c r="I14" s="287" t="str">
        <f t="shared" si="13"/>
        <v/>
      </c>
      <c r="J14" s="287" t="str">
        <f t="shared" si="13"/>
        <v/>
      </c>
      <c r="K14" s="287" t="str">
        <f t="shared" si="13"/>
        <v/>
      </c>
      <c r="L14" s="287" t="str">
        <f t="shared" si="13"/>
        <v/>
      </c>
      <c r="M14" s="287" t="str">
        <f t="shared" si="13"/>
        <v/>
      </c>
      <c r="N14" s="287" t="str">
        <f t="shared" si="13"/>
        <v/>
      </c>
      <c r="O14" s="287" t="str">
        <f t="shared" si="13"/>
        <v/>
      </c>
      <c r="P14" s="287" t="str">
        <f t="shared" si="13"/>
        <v/>
      </c>
      <c r="Q14" s="281" t="str">
        <f t="shared" si="9"/>
        <v/>
      </c>
      <c r="R14" s="287" t="str">
        <f t="shared" si="13"/>
        <v/>
      </c>
      <c r="S14" s="287" t="str">
        <f t="shared" si="13"/>
        <v/>
      </c>
      <c r="T14" s="281" t="str">
        <f t="shared" si="10"/>
        <v/>
      </c>
      <c r="U14" s="287" t="str">
        <f t="shared" si="13"/>
        <v/>
      </c>
      <c r="V14" s="287" t="str">
        <f t="shared" si="13"/>
        <v/>
      </c>
      <c r="W14" s="281" t="str">
        <f t="shared" si="11"/>
        <v/>
      </c>
      <c r="X14" s="277"/>
      <c r="Y14" s="277"/>
      <c r="Z14" s="277"/>
      <c r="AA14" s="277"/>
      <c r="AB14" s="277"/>
      <c r="AC14" s="277"/>
      <c r="AD14" s="277"/>
      <c r="AE14" s="277"/>
      <c r="AF14" s="277"/>
    </row>
    <row r="15" spans="1:32" s="282" customFormat="1" ht="26.25" customHeight="1" x14ac:dyDescent="0.25">
      <c r="A15" s="277"/>
      <c r="B15" s="277" t="str">
        <f>IF($D8="","",MAX($B$4:$B7)+1)</f>
        <v/>
      </c>
      <c r="C15" s="286" t="str">
        <f t="shared" ref="C15:F15" si="14">IF(C8="","",C8)</f>
        <v/>
      </c>
      <c r="D15" s="286" t="str">
        <f t="shared" si="14"/>
        <v/>
      </c>
      <c r="E15" s="278" t="str">
        <f t="shared" si="14"/>
        <v/>
      </c>
      <c r="F15" s="280">
        <f t="shared" si="14"/>
        <v>-1.0000000000000001E-5</v>
      </c>
      <c r="G15" s="287" t="str">
        <f t="shared" ref="G15:V15" si="15">IFERROR(IF(G8=-0.00001,"",G8/$F15),"")</f>
        <v/>
      </c>
      <c r="H15" s="287" t="str">
        <f t="shared" si="15"/>
        <v/>
      </c>
      <c r="I15" s="287" t="str">
        <f t="shared" si="15"/>
        <v/>
      </c>
      <c r="J15" s="287" t="str">
        <f t="shared" si="15"/>
        <v/>
      </c>
      <c r="K15" s="287" t="str">
        <f t="shared" si="15"/>
        <v/>
      </c>
      <c r="L15" s="287" t="str">
        <f t="shared" si="15"/>
        <v/>
      </c>
      <c r="M15" s="287" t="str">
        <f t="shared" si="15"/>
        <v/>
      </c>
      <c r="N15" s="287" t="str">
        <f t="shared" si="15"/>
        <v/>
      </c>
      <c r="O15" s="287" t="str">
        <f t="shared" si="15"/>
        <v/>
      </c>
      <c r="P15" s="287" t="str">
        <f t="shared" si="15"/>
        <v/>
      </c>
      <c r="Q15" s="281" t="str">
        <f t="shared" si="9"/>
        <v/>
      </c>
      <c r="R15" s="287" t="str">
        <f t="shared" si="15"/>
        <v/>
      </c>
      <c r="S15" s="287" t="str">
        <f t="shared" si="15"/>
        <v/>
      </c>
      <c r="T15" s="281" t="str">
        <f t="shared" si="10"/>
        <v/>
      </c>
      <c r="U15" s="287" t="str">
        <f t="shared" si="15"/>
        <v/>
      </c>
      <c r="V15" s="287" t="str">
        <f t="shared" si="15"/>
        <v/>
      </c>
      <c r="W15" s="281" t="str">
        <f t="shared" si="11"/>
        <v/>
      </c>
      <c r="X15" s="277"/>
      <c r="Y15" s="277"/>
      <c r="Z15" s="277"/>
      <c r="AA15" s="277"/>
      <c r="AB15" s="277"/>
      <c r="AC15" s="277"/>
      <c r="AD15" s="277"/>
      <c r="AE15" s="277"/>
      <c r="AF15" s="277"/>
    </row>
    <row r="16" spans="1:32" s="282" customFormat="1" ht="26.25" customHeight="1" x14ac:dyDescent="0.25">
      <c r="A16" s="277"/>
      <c r="B16" s="277" t="str">
        <f>IF($D9="","",MAX($B$4:$B8)+1)</f>
        <v/>
      </c>
      <c r="C16" s="286" t="str">
        <f t="shared" ref="C16:F16" si="16">IF(C9="","",C9)</f>
        <v/>
      </c>
      <c r="D16" s="286" t="str">
        <f t="shared" si="16"/>
        <v/>
      </c>
      <c r="E16" s="278" t="str">
        <f t="shared" si="16"/>
        <v/>
      </c>
      <c r="F16" s="280">
        <f t="shared" si="16"/>
        <v>-1.0000000000000001E-5</v>
      </c>
      <c r="G16" s="287" t="str">
        <f t="shared" ref="G16:V16" si="17">IFERROR(IF(G9=-0.00001,"",G9/$F16),"")</f>
        <v/>
      </c>
      <c r="H16" s="287" t="str">
        <f t="shared" si="17"/>
        <v/>
      </c>
      <c r="I16" s="287" t="str">
        <f t="shared" si="17"/>
        <v/>
      </c>
      <c r="J16" s="287" t="str">
        <f t="shared" si="17"/>
        <v/>
      </c>
      <c r="K16" s="287" t="str">
        <f t="shared" si="17"/>
        <v/>
      </c>
      <c r="L16" s="287" t="str">
        <f t="shared" si="17"/>
        <v/>
      </c>
      <c r="M16" s="287" t="str">
        <f t="shared" si="17"/>
        <v/>
      </c>
      <c r="N16" s="287" t="str">
        <f t="shared" si="17"/>
        <v/>
      </c>
      <c r="O16" s="287" t="str">
        <f t="shared" si="17"/>
        <v/>
      </c>
      <c r="P16" s="287" t="str">
        <f t="shared" si="17"/>
        <v/>
      </c>
      <c r="Q16" s="281" t="str">
        <f t="shared" si="9"/>
        <v/>
      </c>
      <c r="R16" s="287" t="str">
        <f t="shared" si="17"/>
        <v/>
      </c>
      <c r="S16" s="287" t="str">
        <f t="shared" si="17"/>
        <v/>
      </c>
      <c r="T16" s="281" t="str">
        <f t="shared" si="10"/>
        <v/>
      </c>
      <c r="U16" s="287" t="str">
        <f t="shared" si="17"/>
        <v/>
      </c>
      <c r="V16" s="287" t="str">
        <f t="shared" si="17"/>
        <v/>
      </c>
      <c r="W16" s="281" t="str">
        <f t="shared" si="11"/>
        <v/>
      </c>
      <c r="X16" s="277"/>
      <c r="Y16" s="277"/>
      <c r="Z16" s="277"/>
      <c r="AA16" s="277"/>
      <c r="AB16" s="277"/>
      <c r="AC16" s="277"/>
      <c r="AD16" s="277"/>
      <c r="AE16" s="277"/>
      <c r="AF16" s="277"/>
    </row>
    <row r="17" spans="1:32" x14ac:dyDescent="0.25">
      <c r="A17" s="187"/>
      <c r="B17" s="187" t="str">
        <f>IF($D17="","",MAX($B$4:$B16)+1)</f>
        <v/>
      </c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288"/>
      <c r="R17" s="187"/>
      <c r="S17" s="187"/>
      <c r="T17" s="288"/>
      <c r="U17" s="187"/>
      <c r="V17" s="187"/>
      <c r="W17" s="288"/>
      <c r="X17" s="187"/>
      <c r="Y17" s="187"/>
      <c r="Z17" s="187"/>
      <c r="AA17" s="187"/>
      <c r="AB17" s="187"/>
      <c r="AC17" s="187"/>
      <c r="AD17" s="187"/>
      <c r="AE17" s="187"/>
      <c r="AF17" s="187"/>
    </row>
    <row r="18" spans="1:32" x14ac:dyDescent="0.25">
      <c r="A18" s="187"/>
      <c r="B18" s="187" t="str">
        <f>IF($D18="","",MAX($B$4:$B17)+1)</f>
        <v/>
      </c>
      <c r="C18" s="187"/>
      <c r="D18" s="187"/>
      <c r="E18" s="187"/>
      <c r="F18" s="187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288"/>
      <c r="R18" s="187"/>
      <c r="S18" s="187"/>
      <c r="T18" s="288"/>
      <c r="U18" s="187"/>
      <c r="V18" s="187"/>
      <c r="W18" s="288"/>
      <c r="X18" s="187"/>
      <c r="Y18" s="187"/>
      <c r="Z18" s="187"/>
      <c r="AA18" s="187"/>
      <c r="AB18" s="187"/>
      <c r="AC18" s="187"/>
      <c r="AD18" s="187"/>
      <c r="AE18" s="187"/>
      <c r="AF18" s="187"/>
    </row>
    <row r="19" spans="1:32" x14ac:dyDescent="0.25">
      <c r="A19" s="187"/>
      <c r="B19" s="187" t="str">
        <f>IF($D19="","",MAX($B$4:$B18)+1)</f>
        <v/>
      </c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288"/>
      <c r="R19" s="187"/>
      <c r="S19" s="187"/>
      <c r="T19" s="288"/>
      <c r="U19" s="187"/>
      <c r="V19" s="187"/>
      <c r="W19" s="288"/>
      <c r="X19" s="187"/>
      <c r="Y19" s="187"/>
      <c r="Z19" s="187"/>
      <c r="AA19" s="187"/>
      <c r="AB19" s="187"/>
      <c r="AC19" s="187"/>
      <c r="AD19" s="187"/>
      <c r="AE19" s="187"/>
      <c r="AF19" s="187"/>
    </row>
    <row r="20" spans="1:32" x14ac:dyDescent="0.25">
      <c r="A20" s="187"/>
      <c r="B20" s="187" t="str">
        <f>IF($D20="","",MAX($B$4:$B19)+1)</f>
        <v/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288"/>
      <c r="R20" s="187"/>
      <c r="S20" s="187"/>
      <c r="T20" s="288"/>
      <c r="U20" s="187"/>
      <c r="V20" s="187"/>
      <c r="W20" s="288"/>
      <c r="X20" s="187"/>
      <c r="Y20" s="187"/>
      <c r="Z20" s="187"/>
      <c r="AA20" s="187"/>
      <c r="AB20" s="187"/>
      <c r="AC20" s="187"/>
      <c r="AD20" s="187"/>
      <c r="AE20" s="187"/>
      <c r="AF20" s="187"/>
    </row>
    <row r="21" spans="1:32" x14ac:dyDescent="0.25">
      <c r="A21" s="187"/>
      <c r="B21" s="187" t="str">
        <f>IF($D21="","",MAX($B$4:$B20)+1)</f>
        <v/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288"/>
      <c r="R21" s="187"/>
      <c r="S21" s="187"/>
      <c r="T21" s="288"/>
      <c r="U21" s="187"/>
      <c r="V21" s="187"/>
      <c r="W21" s="288"/>
      <c r="X21" s="187"/>
      <c r="Y21" s="187"/>
      <c r="Z21" s="187"/>
      <c r="AA21" s="187"/>
      <c r="AB21" s="187"/>
      <c r="AC21" s="187"/>
      <c r="AD21" s="187"/>
      <c r="AE21" s="187"/>
      <c r="AF21" s="187"/>
    </row>
    <row r="22" spans="1:32" x14ac:dyDescent="0.25">
      <c r="A22" s="187"/>
      <c r="B22" s="187" t="str">
        <f>IF($D22="","",MAX($B$4:$B21)+1)</f>
        <v/>
      </c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288"/>
      <c r="R22" s="187"/>
      <c r="S22" s="187"/>
      <c r="T22" s="288"/>
      <c r="U22" s="187"/>
      <c r="V22" s="187"/>
      <c r="W22" s="288"/>
      <c r="X22" s="187"/>
      <c r="Y22" s="187"/>
      <c r="Z22" s="187"/>
      <c r="AA22" s="187"/>
      <c r="AB22" s="187"/>
      <c r="AC22" s="187"/>
      <c r="AD22" s="187"/>
      <c r="AE22" s="187"/>
      <c r="AF22" s="187"/>
    </row>
    <row r="23" spans="1:32" x14ac:dyDescent="0.25">
      <c r="A23" s="187"/>
      <c r="B23" s="187" t="str">
        <f>IF($D23="","",MAX($B$4:$B22)+1)</f>
        <v/>
      </c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288"/>
      <c r="R23" s="187"/>
      <c r="S23" s="187"/>
      <c r="T23" s="288"/>
      <c r="U23" s="187"/>
      <c r="V23" s="187"/>
      <c r="W23" s="288"/>
      <c r="X23" s="187"/>
      <c r="Y23" s="187"/>
      <c r="Z23" s="187"/>
      <c r="AA23" s="187"/>
      <c r="AB23" s="187"/>
      <c r="AC23" s="187"/>
      <c r="AD23" s="187"/>
      <c r="AE23" s="187"/>
      <c r="AF23" s="187"/>
    </row>
    <row r="24" spans="1:32" x14ac:dyDescent="0.25">
      <c r="A24" s="187"/>
      <c r="B24" s="187" t="str">
        <f>IF($D24="","",MAX($B$4:$B23)+1)</f>
        <v/>
      </c>
      <c r="C24" s="187"/>
      <c r="D24" s="187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288"/>
      <c r="R24" s="187"/>
      <c r="S24" s="187"/>
      <c r="T24" s="288"/>
      <c r="U24" s="187"/>
      <c r="V24" s="187"/>
      <c r="W24" s="288"/>
      <c r="X24" s="187"/>
      <c r="Y24" s="187"/>
      <c r="Z24" s="187"/>
      <c r="AA24" s="187"/>
      <c r="AB24" s="187"/>
      <c r="AC24" s="187"/>
      <c r="AD24" s="187"/>
      <c r="AE24" s="187"/>
      <c r="AF24" s="187"/>
    </row>
    <row r="25" spans="1:32" x14ac:dyDescent="0.25">
      <c r="A25" s="187"/>
      <c r="B25" s="187" t="str">
        <f>IF($D25="","",MAX($B$4:$B24)+1)</f>
        <v/>
      </c>
      <c r="C25" s="187"/>
      <c r="D25" s="187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288"/>
      <c r="R25" s="187"/>
      <c r="S25" s="187"/>
      <c r="T25" s="288"/>
      <c r="U25" s="187"/>
      <c r="V25" s="187"/>
      <c r="W25" s="288"/>
      <c r="X25" s="187"/>
      <c r="Y25" s="187"/>
      <c r="Z25" s="187"/>
      <c r="AA25" s="187"/>
      <c r="AB25" s="187"/>
      <c r="AC25" s="187"/>
      <c r="AD25" s="187"/>
      <c r="AE25" s="187"/>
      <c r="AF25" s="187"/>
    </row>
    <row r="26" spans="1:32" x14ac:dyDescent="0.25">
      <c r="A26" s="187"/>
      <c r="B26" s="187" t="str">
        <f>IF($D26="","",MAX($B$4:$B25)+1)</f>
        <v/>
      </c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288"/>
      <c r="R26" s="187"/>
      <c r="S26" s="187"/>
      <c r="T26" s="288"/>
      <c r="U26" s="187"/>
      <c r="V26" s="187"/>
      <c r="W26" s="288"/>
      <c r="X26" s="187"/>
      <c r="Y26" s="187"/>
      <c r="Z26" s="187"/>
      <c r="AA26" s="187"/>
      <c r="AB26" s="187"/>
      <c r="AC26" s="187"/>
      <c r="AD26" s="187"/>
      <c r="AE26" s="187"/>
      <c r="AF26" s="187"/>
    </row>
    <row r="27" spans="1:32" x14ac:dyDescent="0.25">
      <c r="A27" s="187"/>
      <c r="B27" s="187" t="str">
        <f>IF($D27="","",MAX($B$4:$B26)+1)</f>
        <v/>
      </c>
      <c r="C27" s="187"/>
      <c r="D27" s="187"/>
      <c r="E27" s="187"/>
      <c r="F27" s="187"/>
      <c r="G27" s="187"/>
      <c r="H27" s="187"/>
      <c r="I27" s="187"/>
      <c r="J27" s="187"/>
      <c r="K27" s="187"/>
      <c r="L27" s="187"/>
      <c r="M27" s="187"/>
      <c r="N27" s="187"/>
      <c r="O27" s="187"/>
      <c r="P27" s="187"/>
      <c r="Q27" s="288"/>
      <c r="R27" s="187"/>
      <c r="S27" s="187"/>
      <c r="T27" s="288"/>
      <c r="U27" s="187"/>
      <c r="V27" s="187"/>
      <c r="W27" s="288"/>
      <c r="X27" s="187"/>
      <c r="Y27" s="187"/>
      <c r="Z27" s="187"/>
      <c r="AA27" s="187"/>
      <c r="AB27" s="187"/>
      <c r="AC27" s="187"/>
      <c r="AD27" s="187"/>
      <c r="AE27" s="187"/>
      <c r="AF27" s="187"/>
    </row>
    <row r="28" spans="1:32" x14ac:dyDescent="0.25">
      <c r="A28" s="187"/>
      <c r="B28" s="187" t="str">
        <f>IF($D28="","",MAX($B$4:$B27)+1)</f>
        <v/>
      </c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288"/>
      <c r="R28" s="187"/>
      <c r="S28" s="187"/>
      <c r="T28" s="288"/>
      <c r="U28" s="187"/>
      <c r="V28" s="187"/>
      <c r="W28" s="288"/>
      <c r="X28" s="187"/>
      <c r="Y28" s="187"/>
      <c r="Z28" s="187"/>
      <c r="AA28" s="187"/>
      <c r="AB28" s="187"/>
      <c r="AC28" s="187"/>
      <c r="AD28" s="187"/>
      <c r="AE28" s="187"/>
      <c r="AF28" s="187"/>
    </row>
    <row r="29" spans="1:32" x14ac:dyDescent="0.25">
      <c r="A29" s="187"/>
      <c r="B29" s="187" t="str">
        <f>IF($D29="","",MAX($B$4:$B28)+1)</f>
        <v/>
      </c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288"/>
      <c r="R29" s="187"/>
      <c r="S29" s="187"/>
      <c r="T29" s="288"/>
      <c r="U29" s="187"/>
      <c r="V29" s="187"/>
      <c r="W29" s="288"/>
      <c r="X29" s="187"/>
      <c r="Y29" s="187"/>
      <c r="Z29" s="187"/>
      <c r="AA29" s="187"/>
      <c r="AB29" s="187"/>
      <c r="AC29" s="187"/>
      <c r="AD29" s="187"/>
      <c r="AE29" s="187"/>
      <c r="AF29" s="187"/>
    </row>
    <row r="30" spans="1:32" x14ac:dyDescent="0.25">
      <c r="A30" s="187"/>
      <c r="B30" s="187" t="str">
        <f>IF($D30="","",MAX($B$4:$B29)+1)</f>
        <v/>
      </c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288"/>
      <c r="R30" s="187"/>
      <c r="S30" s="187"/>
      <c r="T30" s="288"/>
      <c r="U30" s="187"/>
      <c r="V30" s="187"/>
      <c r="W30" s="288"/>
      <c r="X30" s="187"/>
      <c r="Y30" s="187"/>
      <c r="Z30" s="187"/>
      <c r="AA30" s="187"/>
      <c r="AB30" s="187"/>
      <c r="AC30" s="187"/>
      <c r="AD30" s="187"/>
      <c r="AE30" s="187"/>
      <c r="AF30" s="187"/>
    </row>
    <row r="31" spans="1:32" x14ac:dyDescent="0.25">
      <c r="A31" s="187"/>
      <c r="B31" s="187" t="str">
        <f>IF($D31="","",MAX($B$4:$B30)+1)</f>
        <v/>
      </c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288"/>
      <c r="R31" s="187"/>
      <c r="S31" s="187"/>
      <c r="T31" s="288"/>
      <c r="U31" s="187"/>
      <c r="V31" s="187"/>
      <c r="W31" s="288"/>
      <c r="X31" s="187"/>
      <c r="Y31" s="187"/>
      <c r="Z31" s="187"/>
      <c r="AA31" s="187"/>
      <c r="AB31" s="187"/>
      <c r="AC31" s="187"/>
      <c r="AD31" s="187"/>
      <c r="AE31" s="187"/>
      <c r="AF31" s="187"/>
    </row>
    <row r="32" spans="1:32" x14ac:dyDescent="0.25">
      <c r="A32" s="187"/>
      <c r="B32" s="187" t="str">
        <f>IF($D32="","",MAX($B$4:$B31)+1)</f>
        <v/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288"/>
      <c r="R32" s="187"/>
      <c r="S32" s="187"/>
      <c r="T32" s="288"/>
      <c r="U32" s="187"/>
      <c r="V32" s="187"/>
      <c r="W32" s="288"/>
      <c r="X32" s="187"/>
      <c r="Y32" s="187"/>
      <c r="Z32" s="187"/>
      <c r="AA32" s="187"/>
      <c r="AB32" s="187"/>
      <c r="AC32" s="187"/>
      <c r="AD32" s="187"/>
      <c r="AE32" s="187"/>
      <c r="AF32" s="187"/>
    </row>
    <row r="33" spans="1:32" x14ac:dyDescent="0.25">
      <c r="A33" s="187"/>
      <c r="B33" s="187" t="str">
        <f>IF($D33="","",MAX($B$4:$B32)+1)</f>
        <v/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288"/>
      <c r="R33" s="187"/>
      <c r="S33" s="187"/>
      <c r="T33" s="288"/>
      <c r="U33" s="187"/>
      <c r="V33" s="187"/>
      <c r="W33" s="288"/>
      <c r="X33" s="187"/>
      <c r="Y33" s="187"/>
      <c r="Z33" s="187"/>
      <c r="AA33" s="187"/>
      <c r="AB33" s="187"/>
      <c r="AC33" s="187"/>
      <c r="AD33" s="187"/>
      <c r="AE33" s="187"/>
      <c r="AF33" s="187"/>
    </row>
    <row r="34" spans="1:32" x14ac:dyDescent="0.25">
      <c r="A34" s="187"/>
      <c r="B34" s="187" t="str">
        <f>IF($D34="","",MAX($B$4:$B33)+1)</f>
        <v/>
      </c>
      <c r="C34" s="187"/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288"/>
      <c r="R34" s="187"/>
      <c r="S34" s="187"/>
      <c r="T34" s="288"/>
      <c r="U34" s="187"/>
      <c r="V34" s="187"/>
      <c r="W34" s="288"/>
      <c r="X34" s="187"/>
      <c r="Y34" s="187"/>
      <c r="Z34" s="187"/>
      <c r="AA34" s="187"/>
      <c r="AB34" s="187"/>
      <c r="AC34" s="187"/>
      <c r="AD34" s="187"/>
      <c r="AE34" s="187"/>
      <c r="AF34" s="187"/>
    </row>
    <row r="35" spans="1:32" x14ac:dyDescent="0.25">
      <c r="H35"/>
      <c r="I35"/>
    </row>
  </sheetData>
  <sheetProtection algorithmName="SHA-512" hashValue="WuTner5touCi2VUqPwEeG9cumPFJXC0uWqEilhi6BP5nzuHi4Lp9+QEh+DJApZQoI/lDywtbyDVFLlDcCd0TaQ==" saltValue="2Ve6wZjkE9rMM5S9OXtDQw==" spinCount="100000" sheet="1" objects="1" scenarios="1" selectLockedCells="1"/>
  <mergeCells count="3">
    <mergeCell ref="D1:E1"/>
    <mergeCell ref="C10:E10"/>
    <mergeCell ref="F10:W10"/>
  </mergeCells>
  <conditionalFormatting sqref="F4:W6 I7:W7 F7:G9 J8:W9 J11:W11 F11:G11 F10">
    <cfRule type="cellIs" dxfId="16" priority="6" operator="equal">
      <formula>-0.00001</formula>
    </cfRule>
  </conditionalFormatting>
  <conditionalFormatting sqref="H7:H9 H11">
    <cfRule type="cellIs" dxfId="15" priority="5" operator="equal">
      <formula>-0.00001</formula>
    </cfRule>
  </conditionalFormatting>
  <conditionalFormatting sqref="I8:I9 I11">
    <cfRule type="cellIs" dxfId="14" priority="4" operator="equal">
      <formula>-0.00001</formula>
    </cfRule>
  </conditionalFormatting>
  <conditionalFormatting sqref="I12:I16">
    <cfRule type="cellIs" dxfId="13" priority="1" operator="equal">
      <formula>-0.00001</formula>
    </cfRule>
  </conditionalFormatting>
  <conditionalFormatting sqref="F12:G16 J12:W16">
    <cfRule type="cellIs" dxfId="12" priority="3" operator="equal">
      <formula>-0.00001</formula>
    </cfRule>
  </conditionalFormatting>
  <conditionalFormatting sqref="H12:H16">
    <cfRule type="cellIs" dxfId="11" priority="2" operator="equal">
      <formula>-0.00001</formula>
    </cfRule>
  </conditionalFormatting>
  <dataValidations count="1">
    <dataValidation type="list" allowBlank="1" showInputMessage="1" showErrorMessage="1" sqref="D4:D9" xr:uid="{B8D551F1-BA55-40A4-849C-23191DA7A05F}">
      <formula1>AllTimePlayers</formula1>
    </dataValidation>
  </dataValidations>
  <pageMargins left="0.7" right="0.7" top="0.75" bottom="0.75" header="0.3" footer="0.3"/>
  <pageSetup orientation="portrait" verticalDpi="300" r:id="rId1"/>
  <ignoredErrors>
    <ignoredError sqref="Q12 T12 W12 Q13:Q16 T13:T16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6358F-EB6A-4DFD-BB95-8F4D7D41E82C}">
          <x14:formula1>
            <xm:f>Lists!$Q$5:$Q$14</xm:f>
          </x14:formula1>
          <xm:sqref>C4:C9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22FFA-A7EA-4FD7-B50B-D753EB849D0F}">
  <sheetPr codeName="Sheet21">
    <tabColor rgb="FF00B0F0"/>
  </sheetPr>
  <dimension ref="A1:AK81"/>
  <sheetViews>
    <sheetView showGridLines="0" showRowColHeaders="0" showRuler="0" view="pageLayout" zoomScaleNormal="100" workbookViewId="0">
      <selection activeCell="L1" sqref="L1:O1"/>
    </sheetView>
  </sheetViews>
  <sheetFormatPr defaultRowHeight="15" x14ac:dyDescent="0.25"/>
  <cols>
    <col min="1" max="1" width="19" customWidth="1"/>
    <col min="2" max="4" width="6.140625" customWidth="1"/>
    <col min="5" max="5" width="0.7109375" customWidth="1"/>
    <col min="6" max="6" width="11.28515625" style="227" bestFit="1" customWidth="1"/>
    <col min="7" max="7" width="7.42578125" bestFit="1" customWidth="1"/>
    <col min="8" max="8" width="7.140625" customWidth="1"/>
    <col min="10" max="10" width="11.28515625" bestFit="1" customWidth="1"/>
    <col min="11" max="11" width="0.7109375" customWidth="1"/>
    <col min="12" max="12" width="19" customWidth="1"/>
    <col min="13" max="15" width="6.140625" customWidth="1"/>
    <col min="16" max="16" width="3" customWidth="1"/>
    <col min="17" max="17" width="4.7109375" customWidth="1"/>
    <col min="18" max="18" width="15" customWidth="1"/>
    <col min="19" max="19" width="7.5703125" bestFit="1" customWidth="1"/>
    <col min="20" max="28" width="4.7109375" customWidth="1"/>
    <col min="29" max="29" width="4.7109375" bestFit="1" customWidth="1"/>
    <col min="30" max="30" width="4.7109375" customWidth="1"/>
    <col min="31" max="31" width="6.140625" customWidth="1"/>
    <col min="32" max="33" width="4.7109375" customWidth="1"/>
    <col min="34" max="34" width="6.140625" customWidth="1"/>
    <col min="35" max="36" width="4.7109375" customWidth="1"/>
    <col min="37" max="37" width="6.140625" customWidth="1"/>
  </cols>
  <sheetData>
    <row r="1" spans="1:37" ht="33.75" customHeight="1" thickTop="1" x14ac:dyDescent="0.3">
      <c r="A1" s="448" t="s">
        <v>38</v>
      </c>
      <c r="B1" s="449"/>
      <c r="C1" s="449"/>
      <c r="D1" s="449"/>
      <c r="E1" s="326">
        <f ca="1">IF($A$1="","",INDEX(Admin!$W$5:$X$16,MATCH($A$1,Admin!$X$5:$X$16,0),1))</f>
        <v>2</v>
      </c>
      <c r="F1" s="452" t="str">
        <f>Lists!$E$5</f>
        <v>Season 2</v>
      </c>
      <c r="G1" s="453"/>
      <c r="H1" s="354"/>
      <c r="I1" s="454" t="s">
        <v>60</v>
      </c>
      <c r="J1" s="455"/>
      <c r="K1" s="326">
        <f ca="1">IF($L$1="","",INDEX(Admin!$W$5:$X$16,MATCH($L$1,Admin!$X$5:$X$16,0),1))</f>
        <v>4</v>
      </c>
      <c r="L1" s="450" t="s">
        <v>39</v>
      </c>
      <c r="M1" s="450"/>
      <c r="N1" s="450"/>
      <c r="O1" s="451"/>
      <c r="P1" s="409"/>
      <c r="Q1" s="447" t="s">
        <v>252</v>
      </c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E1" s="447"/>
      <c r="AF1" s="447"/>
      <c r="AG1" s="447"/>
      <c r="AH1" s="447"/>
      <c r="AI1" s="447"/>
      <c r="AJ1" s="447"/>
      <c r="AK1" s="447"/>
    </row>
    <row r="2" spans="1:37" ht="15" customHeight="1" thickBot="1" x14ac:dyDescent="0.3">
      <c r="A2" s="303"/>
      <c r="B2" s="304"/>
      <c r="C2" s="305"/>
      <c r="D2" s="305"/>
      <c r="E2" s="305"/>
      <c r="F2" s="348" t="s">
        <v>93</v>
      </c>
      <c r="G2" s="345"/>
      <c r="H2" s="355"/>
      <c r="I2" s="347" t="s">
        <v>239</v>
      </c>
      <c r="J2" s="346"/>
      <c r="K2" s="305"/>
      <c r="L2" s="304"/>
      <c r="M2" s="305"/>
      <c r="N2" s="305"/>
      <c r="O2" s="306"/>
      <c r="P2" s="225"/>
      <c r="Q2" s="410"/>
      <c r="R2" s="411" t="s">
        <v>251</v>
      </c>
      <c r="S2" s="445" t="str">
        <f>"GP: "&amp;LeagueTotals!D4</f>
        <v>GP: 12</v>
      </c>
      <c r="T2" s="446"/>
      <c r="U2" s="382">
        <f>LeagueTotals!E$7</f>
        <v>57.958333333333336</v>
      </c>
      <c r="V2" s="382">
        <f>LeagueTotals!F$7</f>
        <v>35.25</v>
      </c>
      <c r="W2" s="382">
        <f>LeagueTotals!G$7</f>
        <v>10.541666666666666</v>
      </c>
      <c r="X2" s="382">
        <f>LeagueTotals!H$7</f>
        <v>7.333333333333333</v>
      </c>
      <c r="Y2" s="382">
        <f>LeagueTotals!I$7</f>
        <v>2.0833333333333335</v>
      </c>
      <c r="Z2" s="382">
        <f>LeagueTotals!J$7</f>
        <v>10.791666666666666</v>
      </c>
      <c r="AA2" s="382">
        <f>LeagueTotals!K$7</f>
        <v>9.0833333333333339</v>
      </c>
      <c r="AB2" s="382">
        <f>LeagueTotals!L$7</f>
        <v>23.291666666666668</v>
      </c>
      <c r="AC2" s="382">
        <f>LeagueTotals!M$7</f>
        <v>7.666666666666667</v>
      </c>
      <c r="AD2" s="382">
        <f>LeagueTotals!N$7</f>
        <v>27.125</v>
      </c>
      <c r="AE2" s="383">
        <f>LeagueTotals!O$7</f>
        <v>0.28264208909370203</v>
      </c>
      <c r="AF2" s="382">
        <f>LeagueTotals!P$7</f>
        <v>23.666666666666668</v>
      </c>
      <c r="AG2" s="382">
        <f>LeagueTotals!Q$7</f>
        <v>64.333333333333329</v>
      </c>
      <c r="AH2" s="383">
        <f>LeagueTotals!R$7</f>
        <v>0.36787564766839381</v>
      </c>
      <c r="AI2" s="382">
        <f>LeagueTotals!S$7</f>
        <v>2.9166666666666665</v>
      </c>
      <c r="AJ2" s="382">
        <f>LeagueTotals!T$7</f>
        <v>5.416666666666667</v>
      </c>
      <c r="AK2" s="383">
        <f>LeagueTotals!U$7</f>
        <v>0.53846153846153844</v>
      </c>
    </row>
    <row r="3" spans="1:37" ht="18.75" customHeight="1" thickBot="1" x14ac:dyDescent="0.3">
      <c r="A3" s="307"/>
      <c r="B3" s="225"/>
      <c r="C3" s="225"/>
      <c r="D3" s="225"/>
      <c r="E3" s="225"/>
      <c r="F3" s="308"/>
      <c r="G3" s="225"/>
      <c r="H3" s="456" t="s">
        <v>241</v>
      </c>
      <c r="I3" s="225"/>
      <c r="J3" s="225"/>
      <c r="K3" s="225"/>
      <c r="L3" s="225"/>
      <c r="M3" s="225"/>
      <c r="N3" s="225"/>
      <c r="O3" s="306"/>
      <c r="Q3" s="386" t="s">
        <v>69</v>
      </c>
      <c r="R3" s="386" t="s">
        <v>130</v>
      </c>
      <c r="S3" s="386" t="s">
        <v>232</v>
      </c>
      <c r="T3" s="387" t="s">
        <v>176</v>
      </c>
      <c r="U3" s="387" t="s">
        <v>72</v>
      </c>
      <c r="V3" s="387" t="s">
        <v>73</v>
      </c>
      <c r="W3" s="387" t="s">
        <v>74</v>
      </c>
      <c r="X3" s="387" t="s">
        <v>75</v>
      </c>
      <c r="Y3" s="387" t="s">
        <v>76</v>
      </c>
      <c r="Z3" s="387" t="s">
        <v>77</v>
      </c>
      <c r="AA3" s="387" t="s">
        <v>78</v>
      </c>
      <c r="AB3" s="387" t="s">
        <v>79</v>
      </c>
      <c r="AC3" s="387" t="s">
        <v>244</v>
      </c>
      <c r="AD3" s="387" t="s">
        <v>245</v>
      </c>
      <c r="AE3" s="388" t="s">
        <v>82</v>
      </c>
      <c r="AF3" s="387" t="s">
        <v>246</v>
      </c>
      <c r="AG3" s="387" t="s">
        <v>249</v>
      </c>
      <c r="AH3" s="388" t="s">
        <v>85</v>
      </c>
      <c r="AI3" s="387" t="s">
        <v>247</v>
      </c>
      <c r="AJ3" s="387" t="s">
        <v>248</v>
      </c>
      <c r="AK3" s="387" t="s">
        <v>88</v>
      </c>
    </row>
    <row r="4" spans="1:37" s="282" customFormat="1" ht="18.75" customHeight="1" x14ac:dyDescent="0.25">
      <c r="A4" s="314" t="s">
        <v>107</v>
      </c>
      <c r="B4" s="315" t="s">
        <v>231</v>
      </c>
      <c r="C4" s="315" t="s">
        <v>73</v>
      </c>
      <c r="D4" s="315" t="s">
        <v>74</v>
      </c>
      <c r="E4" s="316"/>
      <c r="F4" s="332" t="s">
        <v>232</v>
      </c>
      <c r="G4" s="359" t="str">
        <f>IF($A$1="","",VLOOKUP($A$1,Teams!$C$4:$F$80,2,FALSE)&amp; " - " &amp; VLOOKUP($A$1,Teams!$C$4:$F$80,3,FALSE))</f>
        <v>4 - 0</v>
      </c>
      <c r="H4" s="457"/>
      <c r="I4" s="367" t="str">
        <f>IF($L$1="","",VLOOKUP($L$1,Teams!$C$4:$F$80,2,FALSE)&amp; " - " &amp; VLOOKUP($L$1,Teams!$C$4:$F$80,3,FALSE))</f>
        <v>3 - 1</v>
      </c>
      <c r="J4" s="333" t="s">
        <v>232</v>
      </c>
      <c r="K4" s="316"/>
      <c r="L4" s="315" t="s">
        <v>107</v>
      </c>
      <c r="M4" s="315" t="s">
        <v>231</v>
      </c>
      <c r="N4" s="315" t="s">
        <v>73</v>
      </c>
      <c r="O4" s="317" t="s">
        <v>74</v>
      </c>
      <c r="P4"/>
      <c r="Q4" s="394">
        <f>IF($R$4="","",1)</f>
        <v>1</v>
      </c>
      <c r="R4" s="393" t="str">
        <f>IF(Teams!C4="","",Teams!C4)</f>
        <v>Lightning</v>
      </c>
      <c r="S4" s="394" t="str">
        <f>IF($R4="","",VLOOKUP($R4,Teams!$C$4:$E$9,2,FALSE)&amp;" - "&amp;VLOOKUP($R4,Teams!$C$4:$E$9,3,FALSE))</f>
        <v>4 - 0</v>
      </c>
      <c r="T4" s="394" t="str">
        <f>IF(Teams!F4=-0.00001,"",Teams!F4)</f>
        <v>-</v>
      </c>
      <c r="U4" s="395">
        <f>IF(Teams!G4=-0.00001,"",Teams!Z4)</f>
        <v>61.75</v>
      </c>
      <c r="V4" s="395">
        <f>IF(Teams!H4=-0.00001,"",Teams!AA4)</f>
        <v>36.5</v>
      </c>
      <c r="W4" s="395">
        <f>IF(Teams!I4=-0.00001,"",Teams!AB4)</f>
        <v>13.75</v>
      </c>
      <c r="X4" s="395">
        <f>IF(Teams!J4=-0.00001,"",Teams!AC4)</f>
        <v>10.25</v>
      </c>
      <c r="Y4" s="395">
        <f>IF(Teams!K4=-0.00001,"",Teams!AD4)</f>
        <v>4.75</v>
      </c>
      <c r="Z4" s="395">
        <f>IF(Teams!L4=-0.00001,"",Teams!AE4)</f>
        <v>7.75</v>
      </c>
      <c r="AA4" s="395">
        <f>IF(Teams!M4=-0.00001,"",Teams!AF4)</f>
        <v>10</v>
      </c>
      <c r="AB4" s="395">
        <f>IF(Teams!N4=-0.00001,"",Teams!AG4)</f>
        <v>26.5</v>
      </c>
      <c r="AC4" s="422">
        <f>IF(Teams!O4=-0.00001,"",Teams!AH4)</f>
        <v>5.75</v>
      </c>
      <c r="AD4" s="395">
        <f>IF(Teams!P4=-0.00001,"",Teams!AI4)</f>
        <v>19</v>
      </c>
      <c r="AE4" s="423">
        <f>IF(Teams!Q4=-0.00001,"",Teams!R4)</f>
        <v>0.30263157894736842</v>
      </c>
      <c r="AF4" s="422">
        <f>IF(Teams!R4=-0.00001,"",Teams!AJ4)</f>
        <v>26.25</v>
      </c>
      <c r="AG4" s="395">
        <f>IF(Teams!S4=-0.00001,"",Teams!AK4)</f>
        <v>63.5</v>
      </c>
      <c r="AH4" s="423">
        <f>IF(Teams!T4=-0.00001,"",Teams!U4)</f>
        <v>0.41338582677165353</v>
      </c>
      <c r="AI4" s="395">
        <f>IF(Teams!U4=-0.00001,"",Teams!AL4)</f>
        <v>3.5</v>
      </c>
      <c r="AJ4" s="395">
        <f>IF(Teams!V4=-0.00001,"",Teams!AM4)</f>
        <v>7</v>
      </c>
      <c r="AK4" s="396">
        <f>IF(Teams!W4=-0.00001,"",Teams!X4)</f>
        <v>0.5</v>
      </c>
    </row>
    <row r="5" spans="1:37" s="282" customFormat="1" ht="18.75" customHeight="1" x14ac:dyDescent="0.25">
      <c r="A5" s="334" t="str">
        <f ca="1">INDEX(Admin!$Z$4:$AO$30,,$E$1)</f>
        <v>Will Varner</v>
      </c>
      <c r="B5" s="335">
        <f ca="1">IF($A5="","",VLOOKUP($A5,IndividualsPerGame!$C$4:$U$80,4,FALSE))</f>
        <v>17.5</v>
      </c>
      <c r="C5" s="335">
        <f ca="1">IF($A5="","",VLOOKUP($A5,IndividualsPerGame!$C$4:$U$80,5,FALSE))</f>
        <v>7</v>
      </c>
      <c r="D5" s="336">
        <f ca="1">IF($A5="","",VLOOKUP($A5,IndividualsPerGame!$C$4:$U$80,6,FALSE))</f>
        <v>3</v>
      </c>
      <c r="E5" s="313"/>
      <c r="F5" s="297" t="s">
        <v>72</v>
      </c>
      <c r="G5" s="360">
        <f>IF($A$1="","",VLOOKUP($A$1,Teams!$C$4:$AM$80,24,FALSE))</f>
        <v>61.75</v>
      </c>
      <c r="H5" s="378">
        <f>LeagueTotals!E$7</f>
        <v>57.958333333333336</v>
      </c>
      <c r="I5" s="368">
        <f>IF($L$1="","",VLOOKUP($L$1,Teams!$C$4:$AM$80,24,FALSE))</f>
        <v>70.5</v>
      </c>
      <c r="J5" s="300" t="s">
        <v>72</v>
      </c>
      <c r="K5" s="313"/>
      <c r="L5" s="337" t="str">
        <f ca="1">INDEX(Admin!$Z$4:$AO$30,,$K$1)</f>
        <v>Josh Williams</v>
      </c>
      <c r="M5" s="335">
        <f ca="1">IF($L5="","",VLOOKUP($L5,IndividualsPerGame!$C$4:$U$80,4,FALSE))</f>
        <v>25</v>
      </c>
      <c r="N5" s="335">
        <f ca="1">IF($L5="","",VLOOKUP($L5,IndividualsPerGame!$C$4:$U$80,5,FALSE))</f>
        <v>5.75</v>
      </c>
      <c r="O5" s="338">
        <f ca="1">IF($L5="","",VLOOKUP($L5,IndividualsPerGame!$C$4:$U$80,6,FALSE))</f>
        <v>3.5</v>
      </c>
      <c r="P5"/>
      <c r="Q5" s="398">
        <f>IF($R5="","",MAX($Q$4:Q4)+1)</f>
        <v>2</v>
      </c>
      <c r="R5" s="397" t="str">
        <f>IF(Teams!C5="","",Teams!C5)</f>
        <v>Mustangs</v>
      </c>
      <c r="S5" s="398" t="str">
        <f>IF($R5="","",VLOOKUP($R5,Teams!$C$4:$E$9,2,FALSE)&amp;" - "&amp;VLOOKUP($R5,Teams!$C$4:$E$9,3,FALSE))</f>
        <v>3 - 1</v>
      </c>
      <c r="T5" s="398">
        <f>IF(Teams!F5=-0.00001,"",Teams!F5)</f>
        <v>-1</v>
      </c>
      <c r="U5" s="399">
        <f>IF(Teams!G5=-0.00001,"",Teams!Z5)</f>
        <v>70.5</v>
      </c>
      <c r="V5" s="399">
        <f>IF(Teams!H5=-0.00001,"",Teams!AA5)</f>
        <v>36.25</v>
      </c>
      <c r="W5" s="399">
        <f>IF(Teams!I5=-0.00001,"",Teams!AB5)</f>
        <v>14</v>
      </c>
      <c r="X5" s="399">
        <f>IF(Teams!J5=-0.00001,"",Teams!AC5)</f>
        <v>9.25</v>
      </c>
      <c r="Y5" s="399">
        <f>IF(Teams!K5=-0.00001,"",Teams!AD5)</f>
        <v>1.25</v>
      </c>
      <c r="Z5" s="399">
        <f>IF(Teams!L5=-0.00001,"",Teams!AE5)</f>
        <v>10.25</v>
      </c>
      <c r="AA5" s="399">
        <f>IF(Teams!M5=-0.00001,"",Teams!AF5)</f>
        <v>9</v>
      </c>
      <c r="AB5" s="399">
        <f>IF(Teams!N5=-0.00001,"",Teams!AG5)</f>
        <v>18</v>
      </c>
      <c r="AC5" s="424">
        <f>IF(Teams!O5=-0.00001,"",Teams!AH5)</f>
        <v>11.25</v>
      </c>
      <c r="AD5" s="399">
        <f>IF(Teams!P5=-0.00001,"",Teams!AI5)</f>
        <v>35.75</v>
      </c>
      <c r="AE5" s="425">
        <f>IF(Teams!Q5=-0.00001,"",Teams!R5)</f>
        <v>0.31468531468531469</v>
      </c>
      <c r="AF5" s="424">
        <f>IF(Teams!R5=-0.00001,"",Teams!AJ5)</f>
        <v>28.25</v>
      </c>
      <c r="AG5" s="399">
        <f>IF(Teams!S5=-0.00001,"",Teams!AK5)</f>
        <v>67.25</v>
      </c>
      <c r="AH5" s="425">
        <f>IF(Teams!T5=-0.00001,"",Teams!U5)</f>
        <v>0.4200743494423792</v>
      </c>
      <c r="AI5" s="399">
        <f>IF(Teams!U5=-0.00001,"",Teams!AL5)</f>
        <v>2.75</v>
      </c>
      <c r="AJ5" s="399">
        <f>IF(Teams!V5=-0.00001,"",Teams!AM5)</f>
        <v>3.75</v>
      </c>
      <c r="AK5" s="400">
        <f>IF(Teams!W5=-0.00001,"",Teams!X5)</f>
        <v>0.73333333333333328</v>
      </c>
    </row>
    <row r="6" spans="1:37" s="282" customFormat="1" ht="18.75" customHeight="1" x14ac:dyDescent="0.25">
      <c r="A6" s="334" t="str">
        <f ca="1">INDEX(Admin!$Z$4:$AO$30,,$E$1)</f>
        <v>Jalen Myers</v>
      </c>
      <c r="B6" s="335">
        <f ca="1">IF($A6="","",VLOOKUP($A6,IndividualsPerGame!$C$4:$U$80,4,FALSE))</f>
        <v>16.75</v>
      </c>
      <c r="C6" s="335">
        <f ca="1">IF($A6="","",VLOOKUP($A6,IndividualsPerGame!$C$4:$U$80,5,FALSE))</f>
        <v>12.25</v>
      </c>
      <c r="D6" s="336">
        <f ca="1">IF($A6="","",VLOOKUP($A6,IndividualsPerGame!$C$4:$U$80,6,FALSE))</f>
        <v>5.75</v>
      </c>
      <c r="E6" s="313"/>
      <c r="F6" s="297" t="s">
        <v>73</v>
      </c>
      <c r="G6" s="360">
        <f>IF($A$1="","",VLOOKUP($A$1,Teams!$C$4:$AM$80,25,FALSE))</f>
        <v>36.5</v>
      </c>
      <c r="H6" s="378">
        <f>LeagueTotals!F$7</f>
        <v>35.25</v>
      </c>
      <c r="I6" s="368">
        <f>IF($L$1="","",VLOOKUP($L$1,Teams!$C$4:$AM$80,25,FALSE))</f>
        <v>36.25</v>
      </c>
      <c r="J6" s="300" t="s">
        <v>73</v>
      </c>
      <c r="K6" s="313"/>
      <c r="L6" s="337" t="str">
        <f ca="1">INDEX(Admin!$Z$4:$AO$30,,$K$1)</f>
        <v>JP Celis</v>
      </c>
      <c r="M6" s="335">
        <f ca="1">IF($L6="","",VLOOKUP($L6,IndividualsPerGame!$C$4:$U$80,4,FALSE))</f>
        <v>17.5</v>
      </c>
      <c r="N6" s="335">
        <f ca="1">IF($L6="","",VLOOKUP($L6,IndividualsPerGame!$C$4:$U$80,5,FALSE))</f>
        <v>10.25</v>
      </c>
      <c r="O6" s="338">
        <f ca="1">IF($L6="","",VLOOKUP($L6,IndividualsPerGame!$C$4:$U$80,6,FALSE))</f>
        <v>4.25</v>
      </c>
      <c r="P6"/>
      <c r="Q6" s="398">
        <f>IF($R6="","",MAX($Q$4:Q5)+1)</f>
        <v>3</v>
      </c>
      <c r="R6" s="397" t="str">
        <f>IF(Teams!C6="","",Teams!C6)</f>
        <v>Vandals</v>
      </c>
      <c r="S6" s="398" t="str">
        <f>IF($R6="","",VLOOKUP($R6,Teams!$C$4:$E$9,2,FALSE)&amp;" - "&amp;VLOOKUP($R6,Teams!$C$4:$E$9,3,FALSE))</f>
        <v>2 - 2</v>
      </c>
      <c r="T6" s="398">
        <f>IF(Teams!F6=-0.00001,"",Teams!F6)</f>
        <v>-2</v>
      </c>
      <c r="U6" s="399">
        <f>IF(Teams!G6=-0.00001,"",Teams!Z6)</f>
        <v>57.25</v>
      </c>
      <c r="V6" s="399">
        <f>IF(Teams!H6=-0.00001,"",Teams!AA6)</f>
        <v>39.25</v>
      </c>
      <c r="W6" s="399">
        <f>IF(Teams!I6=-0.00001,"",Teams!AB6)</f>
        <v>11.25</v>
      </c>
      <c r="X6" s="399">
        <f>IF(Teams!J6=-0.00001,"",Teams!AC6)</f>
        <v>9.75</v>
      </c>
      <c r="Y6" s="399">
        <f>IF(Teams!K6=-0.00001,"",Teams!AD6)</f>
        <v>2.25</v>
      </c>
      <c r="Z6" s="399">
        <f>IF(Teams!L6=-0.00001,"",Teams!AE6)</f>
        <v>15</v>
      </c>
      <c r="AA6" s="399">
        <f>IF(Teams!M6=-0.00001,"",Teams!AF6)</f>
        <v>6.5</v>
      </c>
      <c r="AB6" s="399">
        <f>IF(Teams!N6=-0.00001,"",Teams!AG6)</f>
        <v>24.25</v>
      </c>
      <c r="AC6" s="424">
        <f>IF(Teams!O6=-0.00001,"",Teams!AH6)</f>
        <v>5.5</v>
      </c>
      <c r="AD6" s="399">
        <f>IF(Teams!P6=-0.00001,"",Teams!AI6)</f>
        <v>23.5</v>
      </c>
      <c r="AE6" s="425">
        <f>IF(Teams!Q6=-0.00001,"",Teams!R6)</f>
        <v>0.23404255319148937</v>
      </c>
      <c r="AF6" s="424">
        <f>IF(Teams!R6=-0.00001,"",Teams!AJ6)</f>
        <v>23.5</v>
      </c>
      <c r="AG6" s="399">
        <f>IF(Teams!S6=-0.00001,"",Teams!AK6)</f>
        <v>65</v>
      </c>
      <c r="AH6" s="425">
        <f>IF(Teams!T6=-0.00001,"",Teams!U6)</f>
        <v>0.36153846153846153</v>
      </c>
      <c r="AI6" s="399">
        <f>IF(Teams!U6=-0.00001,"",Teams!AL6)</f>
        <v>5</v>
      </c>
      <c r="AJ6" s="399">
        <f>IF(Teams!V6=-0.00001,"",Teams!AM6)</f>
        <v>6.75</v>
      </c>
      <c r="AK6" s="400">
        <f>IF(Teams!W6=-0.00001,"",Teams!X6)</f>
        <v>0.7407407407407407</v>
      </c>
    </row>
    <row r="7" spans="1:37" s="282" customFormat="1" ht="18.75" customHeight="1" x14ac:dyDescent="0.25">
      <c r="A7" s="334" t="str">
        <f ca="1">INDEX(Admin!$Z$4:$AO$30,,$E$1)</f>
        <v>AJ Wagner</v>
      </c>
      <c r="B7" s="335">
        <f ca="1">IF($A7="","",VLOOKUP($A7,IndividualsPerGame!$C$4:$U$80,4,FALSE))</f>
        <v>15.5</v>
      </c>
      <c r="C7" s="335">
        <f ca="1">IF($A7="","",VLOOKUP($A7,IndividualsPerGame!$C$4:$U$80,5,FALSE))</f>
        <v>5.25</v>
      </c>
      <c r="D7" s="336">
        <f ca="1">IF($A7="","",VLOOKUP($A7,IndividualsPerGame!$C$4:$U$80,6,FALSE))</f>
        <v>2</v>
      </c>
      <c r="E7" s="313"/>
      <c r="F7" s="297" t="s">
        <v>74</v>
      </c>
      <c r="G7" s="360">
        <f>IF($A$1="","",VLOOKUP($A$1,Teams!$C$4:$AM$80,26,FALSE))</f>
        <v>13.75</v>
      </c>
      <c r="H7" s="378">
        <f>LeagueTotals!G$7</f>
        <v>10.541666666666666</v>
      </c>
      <c r="I7" s="368">
        <f>IF($L$1="","",VLOOKUP($L$1,Teams!$C$4:$AM$80,26,FALSE))</f>
        <v>14</v>
      </c>
      <c r="J7" s="300" t="s">
        <v>74</v>
      </c>
      <c r="K7" s="313"/>
      <c r="L7" s="337" t="str">
        <f ca="1">INDEX(Admin!$Z$4:$AO$30,,$K$1)</f>
        <v>Logan Frobose</v>
      </c>
      <c r="M7" s="335">
        <f ca="1">IF($L7="","",VLOOKUP($L7,IndividualsPerGame!$C$4:$U$80,4,FALSE))</f>
        <v>11.666666666666666</v>
      </c>
      <c r="N7" s="335">
        <f ca="1">IF($L7="","",VLOOKUP($L7,IndividualsPerGame!$C$4:$U$80,5,FALSE))</f>
        <v>5.333333333333333</v>
      </c>
      <c r="O7" s="338">
        <f ca="1">IF($L7="","",VLOOKUP($L7,IndividualsPerGame!$C$4:$U$80,6,FALSE))</f>
        <v>2</v>
      </c>
      <c r="P7"/>
      <c r="Q7" s="398">
        <f>IF($R7="","",MAX($Q$4:Q6)+1)</f>
        <v>4</v>
      </c>
      <c r="R7" s="397" t="str">
        <f>IF(Teams!C7="","",Teams!C7)</f>
        <v>Pistons</v>
      </c>
      <c r="S7" s="398" t="str">
        <f>IF($R7="","",VLOOKUP($R7,Teams!$C$4:$E$9,2,FALSE)&amp;" - "&amp;VLOOKUP($R7,Teams!$C$4:$E$9,3,FALSE))</f>
        <v>2 - 2</v>
      </c>
      <c r="T7" s="398">
        <f>IF(Teams!F7=-0.00001,"",Teams!F7)</f>
        <v>-2</v>
      </c>
      <c r="U7" s="399">
        <f>IF(Teams!G7=-0.00001,"",Teams!Z7)</f>
        <v>45.25</v>
      </c>
      <c r="V7" s="399">
        <f>IF(Teams!H7=-0.00001,"",Teams!AA7)</f>
        <v>35.25</v>
      </c>
      <c r="W7" s="399">
        <f>IF(Teams!I7=-0.00001,"",Teams!AB7)</f>
        <v>7.5</v>
      </c>
      <c r="X7" s="399">
        <f>IF(Teams!J7=-0.00001,"",Teams!AC7)</f>
        <v>4.75</v>
      </c>
      <c r="Y7" s="399">
        <f>IF(Teams!K7=-0.00001,"",Teams!AD7)</f>
        <v>1.25</v>
      </c>
      <c r="Z7" s="399">
        <f>IF(Teams!L7=-0.00001,"",Teams!AE7)</f>
        <v>12.5</v>
      </c>
      <c r="AA7" s="399">
        <f>IF(Teams!M7=-0.00001,"",Teams!AF7)</f>
        <v>7.5</v>
      </c>
      <c r="AB7" s="399">
        <f>IF(Teams!N7=-0.00001,"",Teams!AG7)</f>
        <v>27.75</v>
      </c>
      <c r="AC7" s="424">
        <f>IF(Teams!O7=-0.00001,"",Teams!AH7)</f>
        <v>5.5</v>
      </c>
      <c r="AD7" s="399">
        <f>IF(Teams!P7=-0.00001,"",Teams!AI7)</f>
        <v>25</v>
      </c>
      <c r="AE7" s="425">
        <f>IF(Teams!Q7=-0.00001,"",Teams!R7)</f>
        <v>0.22</v>
      </c>
      <c r="AF7" s="424">
        <f>IF(Teams!R7=-0.00001,"",Teams!AJ7)</f>
        <v>19.25</v>
      </c>
      <c r="AG7" s="399">
        <f>IF(Teams!S7=-0.00001,"",Teams!AK7)</f>
        <v>59</v>
      </c>
      <c r="AH7" s="425">
        <f>IF(Teams!T7=-0.00001,"",Teams!U7)</f>
        <v>0.32627118644067798</v>
      </c>
      <c r="AI7" s="399">
        <f>IF(Teams!U7=-0.00001,"",Teams!AL7)</f>
        <v>0.75</v>
      </c>
      <c r="AJ7" s="399">
        <f>IF(Teams!V7=-0.00001,"",Teams!AM7)</f>
        <v>2.5</v>
      </c>
      <c r="AK7" s="400">
        <f>IF(Teams!W7=-0.00001,"",Teams!X7)</f>
        <v>0.3</v>
      </c>
    </row>
    <row r="8" spans="1:37" s="282" customFormat="1" ht="18.75" customHeight="1" x14ac:dyDescent="0.25">
      <c r="A8" s="334" t="str">
        <f ca="1">INDEX(Admin!$Z$4:$AO$30,,$E$1)</f>
        <v>Logan Elias</v>
      </c>
      <c r="B8" s="335">
        <f ca="1">IF($A8="","",VLOOKUP($A8,IndividualsPerGame!$C$4:$U$80,4,FALSE))</f>
        <v>9.25</v>
      </c>
      <c r="C8" s="335">
        <f ca="1">IF($A8="","",VLOOKUP($A8,IndividualsPerGame!$C$4:$U$80,5,FALSE))</f>
        <v>5.25</v>
      </c>
      <c r="D8" s="336">
        <f ca="1">IF($A8="","",VLOOKUP($A8,IndividualsPerGame!$C$4:$U$80,6,FALSE))</f>
        <v>2.75</v>
      </c>
      <c r="E8" s="313"/>
      <c r="F8" s="297" t="s">
        <v>75</v>
      </c>
      <c r="G8" s="360">
        <f>IF($A$1="","",VLOOKUP($A$1,Teams!$C$4:$AM$80,27,FALSE))</f>
        <v>10.25</v>
      </c>
      <c r="H8" s="378">
        <f>LeagueTotals!H$7</f>
        <v>7.333333333333333</v>
      </c>
      <c r="I8" s="368">
        <f>IF($L$1="","",VLOOKUP($L$1,Teams!$C$4:$AM$80,27,FALSE))</f>
        <v>9.25</v>
      </c>
      <c r="J8" s="300" t="s">
        <v>75</v>
      </c>
      <c r="K8" s="313"/>
      <c r="L8" s="337" t="str">
        <f ca="1">INDEX(Admin!$Z$4:$AO$30,,$K$1)</f>
        <v>Tanner Greenhagen</v>
      </c>
      <c r="M8" s="335">
        <f ca="1">IF($L8="","",VLOOKUP($L8,IndividualsPerGame!$C$4:$U$80,4,FALSE))</f>
        <v>7.5</v>
      </c>
      <c r="N8" s="335">
        <f ca="1">IF($L8="","",VLOOKUP($L8,IndividualsPerGame!$C$4:$U$80,5,FALSE))</f>
        <v>4.25</v>
      </c>
      <c r="O8" s="338">
        <f ca="1">IF($L8="","",VLOOKUP($L8,IndividualsPerGame!$C$4:$U$80,6,FALSE))</f>
        <v>0</v>
      </c>
      <c r="P8"/>
      <c r="Q8" s="398">
        <f>IF($R8="","",MAX($Q$4:Q7)+1)</f>
        <v>5</v>
      </c>
      <c r="R8" s="397" t="str">
        <f>IF(Teams!C8="","",Teams!C8)</f>
        <v>Hoopers</v>
      </c>
      <c r="S8" s="398" t="str">
        <f>IF($R8="","",VLOOKUP($R8,Teams!$C$4:$E$9,2,FALSE)&amp;" - "&amp;VLOOKUP($R8,Teams!$C$4:$E$9,3,FALSE))</f>
        <v>1 - 3</v>
      </c>
      <c r="T8" s="398">
        <f>IF(Teams!F8=-0.00001,"",Teams!F8)</f>
        <v>-3</v>
      </c>
      <c r="U8" s="399">
        <f>IF(Teams!G8=-0.00001,"",Teams!Z8)</f>
        <v>55</v>
      </c>
      <c r="V8" s="399">
        <f>IF(Teams!H8=-0.00001,"",Teams!AA8)</f>
        <v>34</v>
      </c>
      <c r="W8" s="399">
        <f>IF(Teams!I8=-0.00001,"",Teams!AB8)</f>
        <v>6</v>
      </c>
      <c r="X8" s="399">
        <f>IF(Teams!J8=-0.00001,"",Teams!AC8)</f>
        <v>6</v>
      </c>
      <c r="Y8" s="399">
        <f>IF(Teams!K8=-0.00001,"",Teams!AD8)</f>
        <v>1.25</v>
      </c>
      <c r="Z8" s="399">
        <f>IF(Teams!L8=-0.00001,"",Teams!AE8)</f>
        <v>7.25</v>
      </c>
      <c r="AA8" s="399">
        <f>IF(Teams!M8=-0.00001,"",Teams!AF8)</f>
        <v>11</v>
      </c>
      <c r="AB8" s="399">
        <f>IF(Teams!N8=-0.00001,"",Teams!AG8)</f>
        <v>23</v>
      </c>
      <c r="AC8" s="424">
        <f>IF(Teams!O8=-0.00001,"",Teams!AH8)</f>
        <v>8.5</v>
      </c>
      <c r="AD8" s="399">
        <f>IF(Teams!P8=-0.00001,"",Teams!AI8)</f>
        <v>27.75</v>
      </c>
      <c r="AE8" s="425">
        <f>IF(Teams!Q8=-0.00001,"",Teams!R8)</f>
        <v>0.30630630630630629</v>
      </c>
      <c r="AF8" s="424">
        <f>IF(Teams!R8=-0.00001,"",Teams!AJ8)</f>
        <v>22.5</v>
      </c>
      <c r="AG8" s="399">
        <f>IF(Teams!S8=-0.00001,"",Teams!AK8)</f>
        <v>66</v>
      </c>
      <c r="AH8" s="425">
        <f>IF(Teams!T8=-0.00001,"",Teams!U8)</f>
        <v>0.34090909090909088</v>
      </c>
      <c r="AI8" s="399">
        <f>IF(Teams!U8=-0.00001,"",Teams!AL8)</f>
        <v>1.5</v>
      </c>
      <c r="AJ8" s="399">
        <f>IF(Teams!V8=-0.00001,"",Teams!AM8)</f>
        <v>4.75</v>
      </c>
      <c r="AK8" s="400">
        <f>IF(Teams!W8=-0.00001,"",Teams!X8)</f>
        <v>0.31578947368421051</v>
      </c>
    </row>
    <row r="9" spans="1:37" s="282" customFormat="1" ht="18.75" customHeight="1" x14ac:dyDescent="0.25">
      <c r="A9" s="334" t="str">
        <f ca="1">INDEX(Admin!$Z$4:$AO$30,,$E$1)</f>
        <v>Cam Carsey</v>
      </c>
      <c r="B9" s="335">
        <f ca="1">IF($A9="","",VLOOKUP($A9,IndividualsPerGame!$C$4:$U$80,4,FALSE))</f>
        <v>9</v>
      </c>
      <c r="C9" s="335">
        <f ca="1">IF($A9="","",VLOOKUP($A9,IndividualsPerGame!$C$4:$U$80,5,FALSE))</f>
        <v>7</v>
      </c>
      <c r="D9" s="336">
        <f ca="1">IF($A9="","",VLOOKUP($A9,IndividualsPerGame!$C$4:$U$80,6,FALSE))</f>
        <v>0.5</v>
      </c>
      <c r="E9" s="313"/>
      <c r="F9" s="297" t="s">
        <v>76</v>
      </c>
      <c r="G9" s="360">
        <f>IF($A$1="","",VLOOKUP($A$1,Teams!$C$4:$AM$80,28,FALSE))</f>
        <v>4.75</v>
      </c>
      <c r="H9" s="378">
        <f>LeagueTotals!I$7</f>
        <v>2.0833333333333335</v>
      </c>
      <c r="I9" s="368">
        <f>IF($L$1="","",VLOOKUP($L$1,Teams!$C$4:$AM$80,28,FALSE))</f>
        <v>1.25</v>
      </c>
      <c r="J9" s="300" t="s">
        <v>76</v>
      </c>
      <c r="K9" s="313"/>
      <c r="L9" s="337" t="str">
        <f ca="1">INDEX(Admin!$Z$4:$AO$30,,$K$1)</f>
        <v>Denzel Johnson</v>
      </c>
      <c r="M9" s="335">
        <f ca="1">IF($L9="","",VLOOKUP($L9,IndividualsPerGame!$C$4:$U$80,4,FALSE))</f>
        <v>7.333333333333333</v>
      </c>
      <c r="N9" s="335">
        <f ca="1">IF($L9="","",VLOOKUP($L9,IndividualsPerGame!$C$4:$U$80,5,FALSE))</f>
        <v>7</v>
      </c>
      <c r="O9" s="338">
        <f ca="1">IF($L9="","",VLOOKUP($L9,IndividualsPerGame!$C$4:$U$80,6,FALSE))</f>
        <v>2.6666666666666665</v>
      </c>
      <c r="P9"/>
      <c r="Q9" s="398">
        <f>IF($R9="","",MAX($Q$4:Q8)+1)</f>
        <v>6</v>
      </c>
      <c r="R9" s="397" t="str">
        <f>IF(Teams!C9="","",Teams!C9)</f>
        <v>Wombats</v>
      </c>
      <c r="S9" s="398" t="str">
        <f>IF($R9="","",VLOOKUP($R9,Teams!$C$4:$E$9,2,FALSE)&amp;" - "&amp;VLOOKUP($R9,Teams!$C$4:$E$9,3,FALSE))</f>
        <v>0 - 4</v>
      </c>
      <c r="T9" s="398">
        <f>IF(Teams!F9=-0.00001,"",Teams!F9)</f>
        <v>-4</v>
      </c>
      <c r="U9" s="399">
        <f>IF(Teams!G9=-0.00001,"",Teams!Z9)</f>
        <v>58</v>
      </c>
      <c r="V9" s="399">
        <f>IF(Teams!H9=-0.00001,"",Teams!AA9)</f>
        <v>30.25</v>
      </c>
      <c r="W9" s="399">
        <f>IF(Teams!I9=-0.00001,"",Teams!AB9)</f>
        <v>10.75</v>
      </c>
      <c r="X9" s="399">
        <f>IF(Teams!J9=-0.00001,"",Teams!AC9)</f>
        <v>4</v>
      </c>
      <c r="Y9" s="399">
        <f>IF(Teams!K9=-0.00001,"",Teams!AD9)</f>
        <v>1.75</v>
      </c>
      <c r="Z9" s="399">
        <f>IF(Teams!L9=-0.00001,"",Teams!AE9)</f>
        <v>12</v>
      </c>
      <c r="AA9" s="399">
        <f>IF(Teams!M9=-0.00001,"",Teams!AF9)</f>
        <v>10.5</v>
      </c>
      <c r="AB9" s="399">
        <f>IF(Teams!N9=-0.00001,"",Teams!AG9)</f>
        <v>19.75</v>
      </c>
      <c r="AC9" s="424">
        <f>IF(Teams!O9=-0.00001,"",Teams!AH9)</f>
        <v>9.5</v>
      </c>
      <c r="AD9" s="399">
        <f>IF(Teams!P9=-0.00001,"",Teams!AI9)</f>
        <v>31.75</v>
      </c>
      <c r="AE9" s="425">
        <f>IF(Teams!Q9=-0.00001,"",Teams!R9)</f>
        <v>0.29921259842519687</v>
      </c>
      <c r="AF9" s="424">
        <f>IF(Teams!R9=-0.00001,"",Teams!AJ9)</f>
        <v>22.25</v>
      </c>
      <c r="AG9" s="399">
        <f>IF(Teams!S9=-0.00001,"",Teams!AK9)</f>
        <v>65.25</v>
      </c>
      <c r="AH9" s="425">
        <f>IF(Teams!T9=-0.00001,"",Teams!U9)</f>
        <v>0.34099616858237547</v>
      </c>
      <c r="AI9" s="399">
        <f>IF(Teams!U9=-0.00001,"",Teams!AL9)</f>
        <v>4</v>
      </c>
      <c r="AJ9" s="399">
        <f>IF(Teams!V9=-0.00001,"",Teams!AM9)</f>
        <v>7.75</v>
      </c>
      <c r="AK9" s="400">
        <f>IF(Teams!W9=-0.00001,"",Teams!X9)</f>
        <v>0.5161290322580645</v>
      </c>
    </row>
    <row r="10" spans="1:37" s="282" customFormat="1" ht="18.75" customHeight="1" x14ac:dyDescent="0.25">
      <c r="A10" s="334" t="str">
        <f ca="1">INDEX(Admin!$Z$4:$AO$30,,$E$1)</f>
        <v>Andrew Hofbaur</v>
      </c>
      <c r="B10" s="335">
        <f ca="1">IF($A10="","",VLOOKUP($A10,IndividualsPerGame!$C$4:$U$80,4,FALSE))</f>
        <v>4</v>
      </c>
      <c r="C10" s="335">
        <f ca="1">IF($A10="","",VLOOKUP($A10,IndividualsPerGame!$C$4:$U$80,5,FALSE))</f>
        <v>5</v>
      </c>
      <c r="D10" s="336">
        <f ca="1">IF($A10="","",VLOOKUP($A10,IndividualsPerGame!$C$4:$U$80,6,FALSE))</f>
        <v>0</v>
      </c>
      <c r="E10" s="313"/>
      <c r="F10" s="297" t="s">
        <v>77</v>
      </c>
      <c r="G10" s="360">
        <f>IF($A$1="","",VLOOKUP($A$1,Teams!$C$4:$AM$80,29,FALSE))</f>
        <v>7.75</v>
      </c>
      <c r="H10" s="378">
        <f>LeagueTotals!J$7</f>
        <v>10.791666666666666</v>
      </c>
      <c r="I10" s="368">
        <f>IF($L$1="","",VLOOKUP($L$1,Teams!$C$4:$AM$80,29,FALSE))</f>
        <v>10.25</v>
      </c>
      <c r="J10" s="300" t="s">
        <v>77</v>
      </c>
      <c r="K10" s="313"/>
      <c r="L10" s="337" t="str">
        <f ca="1">INDEX(Admin!$Z$4:$AO$30,,$K$1)</f>
        <v>Daniel Moser</v>
      </c>
      <c r="M10" s="335">
        <f ca="1">IF($L10="","",VLOOKUP($L10,IndividualsPerGame!$C$4:$U$80,4,FALSE))</f>
        <v>6.25</v>
      </c>
      <c r="N10" s="335">
        <f ca="1">IF($L10="","",VLOOKUP($L10,IndividualsPerGame!$C$4:$U$80,5,FALSE))</f>
        <v>6.75</v>
      </c>
      <c r="O10" s="338">
        <f ca="1">IF($L10="","",VLOOKUP($L10,IndividualsPerGame!$C$4:$U$80,6,FALSE))</f>
        <v>2.75</v>
      </c>
      <c r="P10"/>
      <c r="Q10" s="398" t="str">
        <f>IF($R10="","",MAX($Q$4:Q9)+1)</f>
        <v/>
      </c>
      <c r="R10" s="397" t="str">
        <f>IF(Teams!C10="","",Teams!C10)</f>
        <v/>
      </c>
      <c r="S10" s="398" t="str">
        <f>IF($R10="","",VLOOKUP($R10,Teams!$C$4:$E$9,2,FALSE)&amp;" - "&amp;VLOOKUP($R10,Teams!$C$4:$E$9,3,FALSE))</f>
        <v/>
      </c>
      <c r="T10" s="398" t="str">
        <f>IF(Teams!F10=-0.00001,"",Teams!F10)</f>
        <v/>
      </c>
      <c r="U10" s="399" t="str">
        <f>IF(Teams!G10=-0.00001,"",Teams!Z10)</f>
        <v/>
      </c>
      <c r="V10" s="399" t="str">
        <f>IF(Teams!H10=-0.00001,"",Teams!AA10)</f>
        <v/>
      </c>
      <c r="W10" s="399" t="str">
        <f>IF(Teams!I10=-0.00001,"",Teams!AB10)</f>
        <v/>
      </c>
      <c r="X10" s="399" t="str">
        <f>IF(Teams!J10=-0.00001,"",Teams!AC10)</f>
        <v/>
      </c>
      <c r="Y10" s="399" t="str">
        <f>IF(Teams!K10=-0.00001,"",Teams!AD10)</f>
        <v/>
      </c>
      <c r="Z10" s="399" t="str">
        <f>IF(Teams!L10=-0.00001,"",Teams!AE10)</f>
        <v/>
      </c>
      <c r="AA10" s="399" t="str">
        <f>IF(Teams!M10=-0.00001,"",Teams!AF10)</f>
        <v/>
      </c>
      <c r="AB10" s="399" t="str">
        <f>IF(Teams!N10=-0.00001,"",Teams!AG10)</f>
        <v/>
      </c>
      <c r="AC10" s="424" t="str">
        <f>IF(Teams!O10=-0.00001,"",Teams!AH10)</f>
        <v/>
      </c>
      <c r="AD10" s="399" t="str">
        <f>IF(Teams!P10=-0.00001,"",Teams!AI10)</f>
        <v/>
      </c>
      <c r="AE10" s="425" t="str">
        <f>IF(Teams!Q10=-0.00001,"",Teams!R10)</f>
        <v/>
      </c>
      <c r="AF10" s="424" t="str">
        <f>IF(Teams!R10=-0.00001,"",Teams!AJ10)</f>
        <v/>
      </c>
      <c r="AG10" s="399" t="str">
        <f>IF(Teams!S10=-0.00001,"",Teams!AK10)</f>
        <v/>
      </c>
      <c r="AH10" s="425" t="str">
        <f>IF(Teams!T10=-0.00001,"",Teams!U10)</f>
        <v/>
      </c>
      <c r="AI10" s="399" t="str">
        <f>IF(Teams!U10=-0.00001,"",Teams!AL10)</f>
        <v/>
      </c>
      <c r="AJ10" s="399" t="str">
        <f>IF(Teams!V10=-0.00001,"",Teams!AM10)</f>
        <v/>
      </c>
      <c r="AK10" s="400" t="str">
        <f>IF(Teams!W10=-0.00001,"",Teams!X10)</f>
        <v/>
      </c>
    </row>
    <row r="11" spans="1:37" s="282" customFormat="1" ht="18.75" customHeight="1" x14ac:dyDescent="0.25">
      <c r="A11" s="334" t="str">
        <f ca="1">INDEX(Admin!$Z$4:$AO$30,,$E$1)</f>
        <v>Austin Rohleder</v>
      </c>
      <c r="B11" s="335">
        <f ca="1">IF($A11="","",VLOOKUP($A11,IndividualsPerGame!$C$4:$U$80,4,FALSE))</f>
        <v>2</v>
      </c>
      <c r="C11" s="335">
        <f ca="1">IF($A11="","",VLOOKUP($A11,IndividualsPerGame!$C$4:$U$80,5,FALSE))</f>
        <v>2.6666666666666665</v>
      </c>
      <c r="D11" s="336">
        <f ca="1">IF($A11="","",VLOOKUP($A11,IndividualsPerGame!$C$4:$U$80,6,FALSE))</f>
        <v>1.6666666666666667</v>
      </c>
      <c r="E11" s="313"/>
      <c r="F11" s="297" t="s">
        <v>78</v>
      </c>
      <c r="G11" s="360">
        <f>IF($A$1="","",VLOOKUP($A$1,Teams!$C$4:$AM$80,30,FALSE))</f>
        <v>10</v>
      </c>
      <c r="H11" s="378">
        <f>LeagueTotals!K$7</f>
        <v>9.0833333333333339</v>
      </c>
      <c r="I11" s="368">
        <f>IF($L$1="","",VLOOKUP($L$1,Teams!$C$4:$AM$80,30,FALSE))</f>
        <v>9</v>
      </c>
      <c r="J11" s="300" t="s">
        <v>78</v>
      </c>
      <c r="K11" s="313"/>
      <c r="L11" s="337" t="str">
        <f ca="1">INDEX(Admin!$Z$4:$AO$30,,$K$1)</f>
        <v/>
      </c>
      <c r="M11" s="335" t="str">
        <f ca="1">IF($L11="","",VLOOKUP($L11,IndividualsPerGame!$C$4:$U$80,4,FALSE))</f>
        <v/>
      </c>
      <c r="N11" s="335" t="str">
        <f ca="1">IF($L11="","",VLOOKUP($L11,IndividualsPerGame!$C$4:$U$80,5,FALSE))</f>
        <v/>
      </c>
      <c r="O11" s="338" t="str">
        <f ca="1">IF($L11="","",VLOOKUP($L11,IndividualsPerGame!$C$4:$U$80,6,FALSE))</f>
        <v/>
      </c>
      <c r="P11"/>
      <c r="Q11" s="398" t="str">
        <f>IF($R11="","",MAX($Q$4:Q10)+1)</f>
        <v/>
      </c>
      <c r="R11" s="397" t="str">
        <f>IF(Teams!C11="","",Teams!C11)</f>
        <v/>
      </c>
      <c r="S11" s="398" t="str">
        <f>IF($R11="","",VLOOKUP($R11,Teams!$C$4:$E$9,2,FALSE)&amp;" - "&amp;VLOOKUP($R11,Teams!$C$4:$E$9,3,FALSE))</f>
        <v/>
      </c>
      <c r="T11" s="398" t="str">
        <f>IF(Teams!F11=-0.00001,"",Teams!F11)</f>
        <v/>
      </c>
      <c r="U11" s="399" t="str">
        <f>IF(Teams!G11=-0.00001,"",Teams!Z11)</f>
        <v/>
      </c>
      <c r="V11" s="399" t="str">
        <f>IF(Teams!H11=-0.00001,"",Teams!AA11)</f>
        <v/>
      </c>
      <c r="W11" s="399" t="str">
        <f>IF(Teams!I11=-0.00001,"",Teams!AB11)</f>
        <v/>
      </c>
      <c r="X11" s="399" t="str">
        <f>IF(Teams!J11=-0.00001,"",Teams!AC11)</f>
        <v/>
      </c>
      <c r="Y11" s="399" t="str">
        <f>IF(Teams!K11=-0.00001,"",Teams!AD11)</f>
        <v/>
      </c>
      <c r="Z11" s="399" t="str">
        <f>IF(Teams!L11=-0.00001,"",Teams!AE11)</f>
        <v/>
      </c>
      <c r="AA11" s="399" t="str">
        <f>IF(Teams!M11=-0.00001,"",Teams!AF11)</f>
        <v/>
      </c>
      <c r="AB11" s="399" t="str">
        <f>IF(Teams!N11=-0.00001,"",Teams!AG11)</f>
        <v/>
      </c>
      <c r="AC11" s="424" t="str">
        <f>IF(Teams!O11=-0.00001,"",Teams!AH11)</f>
        <v/>
      </c>
      <c r="AD11" s="399" t="str">
        <f>IF(Teams!P11=-0.00001,"",Teams!AI11)</f>
        <v/>
      </c>
      <c r="AE11" s="425" t="str">
        <f>IF(Teams!Q11=-0.00001,"",Teams!R11)</f>
        <v/>
      </c>
      <c r="AF11" s="424" t="str">
        <f>IF(Teams!R11=-0.00001,"",Teams!AJ11)</f>
        <v/>
      </c>
      <c r="AG11" s="399" t="str">
        <f>IF(Teams!S11=-0.00001,"",Teams!AK11)</f>
        <v/>
      </c>
      <c r="AH11" s="425" t="str">
        <f>IF(Teams!T11=-0.00001,"",Teams!U11)</f>
        <v/>
      </c>
      <c r="AI11" s="399" t="str">
        <f>IF(Teams!U11=-0.00001,"",Teams!AL11)</f>
        <v/>
      </c>
      <c r="AJ11" s="399" t="str">
        <f>IF(Teams!V11=-0.00001,"",Teams!AM11)</f>
        <v/>
      </c>
      <c r="AK11" s="400" t="str">
        <f>IF(Teams!W11=-0.00001,"",Teams!X11)</f>
        <v/>
      </c>
    </row>
    <row r="12" spans="1:37" s="282" customFormat="1" ht="18.75" customHeight="1" thickBot="1" x14ac:dyDescent="0.3">
      <c r="A12" s="334" t="str">
        <f ca="1">INDEX(Admin!$Z$4:$AO$30,,$E$1)</f>
        <v/>
      </c>
      <c r="B12" s="335" t="str">
        <f ca="1">IF($A12="","",VLOOKUP($A12,IndividualsPerGame!$C$4:$U$80,4,FALSE))</f>
        <v/>
      </c>
      <c r="C12" s="335" t="str">
        <f ca="1">IF($A12="","",VLOOKUP($A12,IndividualsPerGame!$C$4:$U$80,5,FALSE))</f>
        <v/>
      </c>
      <c r="D12" s="336" t="str">
        <f ca="1">IF($A12="","",VLOOKUP($A12,IndividualsPerGame!$C$4:$U$80,6,FALSE))</f>
        <v/>
      </c>
      <c r="E12" s="313"/>
      <c r="F12" s="298" t="s">
        <v>79</v>
      </c>
      <c r="G12" s="361">
        <f>IF($A$1="","",VLOOKUP($A$1,Teams!$C$4:$AM$80,31,FALSE))</f>
        <v>26.5</v>
      </c>
      <c r="H12" s="412">
        <f>LeagueTotals!L$7</f>
        <v>23.291666666666668</v>
      </c>
      <c r="I12" s="369">
        <f>IF($L$1="","",VLOOKUP($L$1,Teams!$C$4:$AM$80,31,FALSE))</f>
        <v>18</v>
      </c>
      <c r="J12" s="302" t="s">
        <v>79</v>
      </c>
      <c r="K12" s="313"/>
      <c r="L12" s="337" t="str">
        <f ca="1">INDEX(Admin!$Z$4:$AO$30,,$K$1)</f>
        <v/>
      </c>
      <c r="M12" s="335" t="str">
        <f ca="1">IF($L12="","",VLOOKUP($L12,IndividualsPerGame!$C$4:$U$80,4,FALSE))</f>
        <v/>
      </c>
      <c r="N12" s="335" t="str">
        <f ca="1">IF($L12="","",VLOOKUP($L12,IndividualsPerGame!$C$4:$U$80,5,FALSE))</f>
        <v/>
      </c>
      <c r="O12" s="338" t="str">
        <f ca="1">IF($L12="","",VLOOKUP($L12,IndividualsPerGame!$C$4:$U$80,6,FALSE))</f>
        <v/>
      </c>
      <c r="P12"/>
      <c r="Q12" s="398" t="str">
        <f>IF($R12="","",MAX($Q$4:Q11)+1)</f>
        <v/>
      </c>
      <c r="R12" s="397" t="str">
        <f>IF(Teams!C12="","",Teams!C12)</f>
        <v/>
      </c>
      <c r="S12" s="398" t="str">
        <f>IF($R12="","",VLOOKUP($R12,Teams!$C$4:$E$9,2,FALSE)&amp;" - "&amp;VLOOKUP($R12,Teams!$C$4:$E$9,3,FALSE))</f>
        <v/>
      </c>
      <c r="T12" s="398" t="str">
        <f>IF(Teams!F12=-0.00001,"",Teams!F12)</f>
        <v/>
      </c>
      <c r="U12" s="399" t="str">
        <f>IF(Teams!G12=-0.00001,"",Teams!Z12)</f>
        <v/>
      </c>
      <c r="V12" s="399" t="str">
        <f>IF(Teams!H12=-0.00001,"",Teams!AA12)</f>
        <v/>
      </c>
      <c r="W12" s="399" t="str">
        <f>IF(Teams!I12=-0.00001,"",Teams!AB12)</f>
        <v/>
      </c>
      <c r="X12" s="399" t="str">
        <f>IF(Teams!J12=-0.00001,"",Teams!AC12)</f>
        <v/>
      </c>
      <c r="Y12" s="399" t="str">
        <f>IF(Teams!K12=-0.00001,"",Teams!AD12)</f>
        <v/>
      </c>
      <c r="Z12" s="399" t="str">
        <f>IF(Teams!L12=-0.00001,"",Teams!AE12)</f>
        <v/>
      </c>
      <c r="AA12" s="399" t="str">
        <f>IF(Teams!M12=-0.00001,"",Teams!AF12)</f>
        <v/>
      </c>
      <c r="AB12" s="399" t="str">
        <f>IF(Teams!N12=-0.00001,"",Teams!AG12)</f>
        <v/>
      </c>
      <c r="AC12" s="424" t="str">
        <f>IF(Teams!O12=-0.00001,"",Teams!AH12)</f>
        <v/>
      </c>
      <c r="AD12" s="399" t="str">
        <f>IF(Teams!P12=-0.00001,"",Teams!AI12)</f>
        <v/>
      </c>
      <c r="AE12" s="425" t="str">
        <f>IF(Teams!Q12=-0.00001,"",Teams!R12)</f>
        <v/>
      </c>
      <c r="AF12" s="424" t="str">
        <f>IF(Teams!R12=-0.00001,"",Teams!AJ12)</f>
        <v/>
      </c>
      <c r="AG12" s="399" t="str">
        <f>IF(Teams!S12=-0.00001,"",Teams!AK12)</f>
        <v/>
      </c>
      <c r="AH12" s="425" t="str">
        <f>IF(Teams!T12=-0.00001,"",Teams!U12)</f>
        <v/>
      </c>
      <c r="AI12" s="399" t="str">
        <f>IF(Teams!U12=-0.00001,"",Teams!AL12)</f>
        <v/>
      </c>
      <c r="AJ12" s="399" t="str">
        <f>IF(Teams!V12=-0.00001,"",Teams!AM12)</f>
        <v/>
      </c>
      <c r="AK12" s="400" t="str">
        <f>IF(Teams!W12=-0.00001,"",Teams!X12)</f>
        <v/>
      </c>
    </row>
    <row r="13" spans="1:37" s="282" customFormat="1" ht="18.75" customHeight="1" x14ac:dyDescent="0.25">
      <c r="A13" s="334" t="str">
        <f ca="1">INDEX(Admin!$Z$4:$AO$30,,$E$1)</f>
        <v/>
      </c>
      <c r="B13" s="335" t="str">
        <f ca="1">IF($A13="","",VLOOKUP($A13,IndividualsPerGame!$C$4:$U$80,4,FALSE))</f>
        <v/>
      </c>
      <c r="C13" s="335" t="str">
        <f ca="1">IF($A13="","",VLOOKUP($A13,IndividualsPerGame!$C$4:$U$80,5,FALSE))</f>
        <v/>
      </c>
      <c r="D13" s="336" t="str">
        <f ca="1">IF($A13="","",VLOOKUP($A13,IndividualsPerGame!$C$4:$U$80,6,FALSE))</f>
        <v/>
      </c>
      <c r="E13" s="313"/>
      <c r="F13" s="295" t="s">
        <v>80</v>
      </c>
      <c r="G13" s="362">
        <f>IF($A$1="","",VLOOKUP($A$1,Teams!$C$4:$AM$80,32,FALSE))</f>
        <v>5.75</v>
      </c>
      <c r="H13" s="414">
        <f>LeagueTotals!M$7</f>
        <v>7.666666666666667</v>
      </c>
      <c r="I13" s="370">
        <f>IF($L$1="","",VLOOKUP($L$1,Teams!$C$4:$AM$80,32,FALSE))</f>
        <v>11.25</v>
      </c>
      <c r="J13" s="299" t="s">
        <v>80</v>
      </c>
      <c r="K13" s="313"/>
      <c r="L13" s="337" t="str">
        <f ca="1">INDEX(Admin!$Z$4:$AO$30,,$K$1)</f>
        <v/>
      </c>
      <c r="M13" s="335" t="str">
        <f ca="1">IF($L13="","",VLOOKUP($L13,IndividualsPerGame!$C$4:$U$80,4,FALSE))</f>
        <v/>
      </c>
      <c r="N13" s="335" t="str">
        <f ca="1">IF($L13="","",VLOOKUP($L13,IndividualsPerGame!$C$4:$U$80,5,FALSE))</f>
        <v/>
      </c>
      <c r="O13" s="338" t="str">
        <f ca="1">IF($L13="","",VLOOKUP($L13,IndividualsPerGame!$C$4:$U$80,6,FALSE))</f>
        <v/>
      </c>
      <c r="P13"/>
      <c r="Q13" s="398" t="str">
        <f>IF($R13="","",MAX($Q$4:Q12)+1)</f>
        <v/>
      </c>
      <c r="R13" s="397" t="str">
        <f>IF(Teams!C13="","",Teams!C13)</f>
        <v/>
      </c>
      <c r="S13" s="398" t="str">
        <f>IF($R13="","",VLOOKUP($R13,Teams!$C$4:$E$9,2,FALSE)&amp;" - "&amp;VLOOKUP($R13,Teams!$C$4:$E$9,3,FALSE))</f>
        <v/>
      </c>
      <c r="T13" s="398" t="str">
        <f>IF(Teams!F13=-0.00001,"",Teams!F13)</f>
        <v/>
      </c>
      <c r="U13" s="399" t="str">
        <f>IF(Teams!G13=-0.00001,"",Teams!Z13)</f>
        <v/>
      </c>
      <c r="V13" s="399" t="str">
        <f>IF(Teams!H13=-0.00001,"",Teams!AA13)</f>
        <v/>
      </c>
      <c r="W13" s="399" t="str">
        <f>IF(Teams!I13=-0.00001,"",Teams!AB13)</f>
        <v/>
      </c>
      <c r="X13" s="399" t="str">
        <f>IF(Teams!J13=-0.00001,"",Teams!AC13)</f>
        <v/>
      </c>
      <c r="Y13" s="399" t="str">
        <f>IF(Teams!K13=-0.00001,"",Teams!AD13)</f>
        <v/>
      </c>
      <c r="Z13" s="399" t="str">
        <f>IF(Teams!L13=-0.00001,"",Teams!AE13)</f>
        <v/>
      </c>
      <c r="AA13" s="399" t="str">
        <f>IF(Teams!M13=-0.00001,"",Teams!AF13)</f>
        <v/>
      </c>
      <c r="AB13" s="399" t="str">
        <f>IF(Teams!N13=-0.00001,"",Teams!AG13)</f>
        <v/>
      </c>
      <c r="AC13" s="424" t="str">
        <f>IF(Teams!O13=-0.00001,"",Teams!AH13)</f>
        <v/>
      </c>
      <c r="AD13" s="399" t="str">
        <f>IF(Teams!P13=-0.00001,"",Teams!AI13)</f>
        <v/>
      </c>
      <c r="AE13" s="425" t="str">
        <f>IF(Teams!Q13=-0.00001,"",Teams!R13)</f>
        <v/>
      </c>
      <c r="AF13" s="424" t="str">
        <f>IF(Teams!R13=-0.00001,"",Teams!AJ13)</f>
        <v/>
      </c>
      <c r="AG13" s="399" t="str">
        <f>IF(Teams!S13=-0.00001,"",Teams!AK13)</f>
        <v/>
      </c>
      <c r="AH13" s="425" t="str">
        <f>IF(Teams!T13=-0.00001,"",Teams!U13)</f>
        <v/>
      </c>
      <c r="AI13" s="399" t="str">
        <f>IF(Teams!U13=-0.00001,"",Teams!AL13)</f>
        <v/>
      </c>
      <c r="AJ13" s="399" t="str">
        <f>IF(Teams!V13=-0.00001,"",Teams!AM13)</f>
        <v/>
      </c>
      <c r="AK13" s="400" t="str">
        <f>IF(Teams!W13=-0.00001,"",Teams!X13)</f>
        <v/>
      </c>
    </row>
    <row r="14" spans="1:37" s="282" customFormat="1" ht="18.75" customHeight="1" thickBot="1" x14ac:dyDescent="0.3">
      <c r="A14" s="334" t="str">
        <f ca="1">INDEX(Admin!$Z$4:$AO$30,,$E$1)</f>
        <v/>
      </c>
      <c r="B14" s="335" t="str">
        <f ca="1">IF($A14="","",VLOOKUP($A14,IndividualsPerGame!$C$4:$U$80,4,FALSE))</f>
        <v/>
      </c>
      <c r="C14" s="335" t="str">
        <f ca="1">IF($A14="","",VLOOKUP($A14,IndividualsPerGame!$C$4:$U$80,5,FALSE))</f>
        <v/>
      </c>
      <c r="D14" s="336" t="str">
        <f ca="1">IF($A14="","",VLOOKUP($A14,IndividualsPerGame!$C$4:$U$80,6,FALSE))</f>
        <v/>
      </c>
      <c r="E14" s="313"/>
      <c r="F14" s="296" t="s">
        <v>81</v>
      </c>
      <c r="G14" s="363">
        <f>IF($A$1="","",VLOOKUP($A$1,Teams!$C$4:$AM$80,33,FALSE))</f>
        <v>19</v>
      </c>
      <c r="H14" s="415">
        <f>LeagueTotals!N$7</f>
        <v>27.125</v>
      </c>
      <c r="I14" s="371">
        <f>IF($L$1="","",VLOOKUP($L$1,Teams!$C$4:$AM$80,33,FALSE))</f>
        <v>35.75</v>
      </c>
      <c r="J14" s="301" t="s">
        <v>81</v>
      </c>
      <c r="K14" s="313"/>
      <c r="L14" s="337" t="str">
        <f ca="1">INDEX(Admin!$Z$4:$AO$30,,$K$1)</f>
        <v/>
      </c>
      <c r="M14" s="335" t="str">
        <f ca="1">IF($L14="","",VLOOKUP($L14,IndividualsPerGame!$C$4:$U$80,4,FALSE))</f>
        <v/>
      </c>
      <c r="N14" s="335" t="str">
        <f ca="1">IF($L14="","",VLOOKUP($L14,IndividualsPerGame!$C$4:$U$80,5,FALSE))</f>
        <v/>
      </c>
      <c r="O14" s="338" t="str">
        <f ca="1">IF($L14="","",VLOOKUP($L14,IndividualsPerGame!$C$4:$U$80,6,FALSE))</f>
        <v/>
      </c>
      <c r="P14"/>
      <c r="Q14" s="398" t="str">
        <f>IF($R14="","",MAX($Q$4:Q13)+1)</f>
        <v/>
      </c>
      <c r="R14" s="397" t="str">
        <f>IF(Teams!C14="","",Teams!C14)</f>
        <v/>
      </c>
      <c r="S14" s="398" t="str">
        <f>IF($R14="","",VLOOKUP($R14,Teams!$C$4:$E$9,2,FALSE)&amp;" - "&amp;VLOOKUP($R14,Teams!$C$4:$E$9,3,FALSE))</f>
        <v/>
      </c>
      <c r="T14" s="398" t="str">
        <f>IF(Teams!F14=-0.00001,"",Teams!F14)</f>
        <v/>
      </c>
      <c r="U14" s="399" t="str">
        <f>IF(Teams!G14=-0.00001,"",Teams!Z14)</f>
        <v/>
      </c>
      <c r="V14" s="399" t="str">
        <f>IF(Teams!H14=-0.00001,"",Teams!AA14)</f>
        <v/>
      </c>
      <c r="W14" s="399" t="str">
        <f>IF(Teams!I14=-0.00001,"",Teams!AB14)</f>
        <v/>
      </c>
      <c r="X14" s="399" t="str">
        <f>IF(Teams!J14=-0.00001,"",Teams!AC14)</f>
        <v/>
      </c>
      <c r="Y14" s="399" t="str">
        <f>IF(Teams!K14=-0.00001,"",Teams!AD14)</f>
        <v/>
      </c>
      <c r="Z14" s="399" t="str">
        <f>IF(Teams!L14=-0.00001,"",Teams!AE14)</f>
        <v/>
      </c>
      <c r="AA14" s="399" t="str">
        <f>IF(Teams!M14=-0.00001,"",Teams!AF14)</f>
        <v/>
      </c>
      <c r="AB14" s="399" t="str">
        <f>IF(Teams!N14=-0.00001,"",Teams!AG14)</f>
        <v/>
      </c>
      <c r="AC14" s="424" t="str">
        <f>IF(Teams!O14=-0.00001,"",Teams!AH14)</f>
        <v/>
      </c>
      <c r="AD14" s="399" t="str">
        <f>IF(Teams!P14=-0.00001,"",Teams!AI14)</f>
        <v/>
      </c>
      <c r="AE14" s="425" t="str">
        <f>IF(Teams!Q14=-0.00001,"",Teams!R14)</f>
        <v/>
      </c>
      <c r="AF14" s="424" t="str">
        <f>IF(Teams!R14=-0.00001,"",Teams!AJ14)</f>
        <v/>
      </c>
      <c r="AG14" s="399" t="str">
        <f>IF(Teams!S14=-0.00001,"",Teams!AK14)</f>
        <v/>
      </c>
      <c r="AH14" s="425" t="str">
        <f>IF(Teams!T14=-0.00001,"",Teams!U14)</f>
        <v/>
      </c>
      <c r="AI14" s="399" t="str">
        <f>IF(Teams!U14=-0.00001,"",Teams!AL14)</f>
        <v/>
      </c>
      <c r="AJ14" s="399" t="str">
        <f>IF(Teams!V14=-0.00001,"",Teams!AM14)</f>
        <v/>
      </c>
      <c r="AK14" s="400" t="str">
        <f>IF(Teams!W14=-0.00001,"",Teams!X14)</f>
        <v/>
      </c>
    </row>
    <row r="15" spans="1:37" s="282" customFormat="1" ht="18.75" customHeight="1" x14ac:dyDescent="0.25">
      <c r="A15" s="334" t="str">
        <f ca="1">INDEX(Admin!$Z$4:$AO$30,,$E$1)</f>
        <v/>
      </c>
      <c r="B15" s="335" t="str">
        <f ca="1">IF($A15="","",VLOOKUP($A15,IndividualsPerGame!$C$4:$U$80,4,FALSE))</f>
        <v/>
      </c>
      <c r="C15" s="335" t="str">
        <f ca="1">IF($A15="","",VLOOKUP($A15,IndividualsPerGame!$C$4:$U$80,5,FALSE))</f>
        <v/>
      </c>
      <c r="D15" s="336" t="str">
        <f ca="1">IF($A15="","",VLOOKUP($A15,IndividualsPerGame!$C$4:$U$80,6,FALSE))</f>
        <v/>
      </c>
      <c r="E15" s="313"/>
      <c r="F15" s="295" t="s">
        <v>83</v>
      </c>
      <c r="G15" s="362">
        <f>IF($A$1="","",VLOOKUP($A$1,Teams!$C$4:$AM$80,34,FALSE))</f>
        <v>26.25</v>
      </c>
      <c r="H15" s="414">
        <f>LeagueTotals!P$7</f>
        <v>23.666666666666668</v>
      </c>
      <c r="I15" s="370">
        <f>IF($L$1="","",VLOOKUP($L$1,Teams!$C$4:$AM$80,34,FALSE))</f>
        <v>28.25</v>
      </c>
      <c r="J15" s="299" t="s">
        <v>83</v>
      </c>
      <c r="K15" s="313"/>
      <c r="L15" s="337" t="str">
        <f ca="1">INDEX(Admin!$Z$4:$AO$30,,$K$1)</f>
        <v/>
      </c>
      <c r="M15" s="335" t="str">
        <f ca="1">IF($L15="","",VLOOKUP($L15,IndividualsPerGame!$C$4:$U$80,4,FALSE))</f>
        <v/>
      </c>
      <c r="N15" s="335" t="str">
        <f ca="1">IF($L15="","",VLOOKUP($L15,IndividualsPerGame!$C$4:$U$80,5,FALSE))</f>
        <v/>
      </c>
      <c r="O15" s="338" t="str">
        <f ca="1">IF($L15="","",VLOOKUP($L15,IndividualsPerGame!$C$4:$U$80,6,FALSE))</f>
        <v/>
      </c>
      <c r="P15"/>
      <c r="Q15" s="398" t="str">
        <f>IF($R15="","",MAX($Q$4:Q14)+1)</f>
        <v/>
      </c>
      <c r="R15" s="397" t="str">
        <f>IF(Teams!C15="","",Teams!C15)</f>
        <v/>
      </c>
      <c r="S15" s="398" t="str">
        <f>IF($R15="","",VLOOKUP($R15,Teams!$C$4:$E$9,2,FALSE)&amp;" - "&amp;VLOOKUP($R15,Teams!$C$4:$E$9,3,FALSE))</f>
        <v/>
      </c>
      <c r="T15" s="398" t="str">
        <f>IF(Teams!F15=-0.00001,"",Teams!F15)</f>
        <v/>
      </c>
      <c r="U15" s="399" t="str">
        <f>IF(Teams!G15=-0.00001,"",Teams!Z15)</f>
        <v/>
      </c>
      <c r="V15" s="399" t="str">
        <f>IF(Teams!H15=-0.00001,"",Teams!AA15)</f>
        <v/>
      </c>
      <c r="W15" s="399" t="str">
        <f>IF(Teams!I15=-0.00001,"",Teams!AB15)</f>
        <v/>
      </c>
      <c r="X15" s="399" t="str">
        <f>IF(Teams!J15=-0.00001,"",Teams!AC15)</f>
        <v/>
      </c>
      <c r="Y15" s="399" t="str">
        <f>IF(Teams!K15=-0.00001,"",Teams!AD15)</f>
        <v/>
      </c>
      <c r="Z15" s="399" t="str">
        <f>IF(Teams!L15=-0.00001,"",Teams!AE15)</f>
        <v/>
      </c>
      <c r="AA15" s="399" t="str">
        <f>IF(Teams!M15=-0.00001,"",Teams!AF15)</f>
        <v/>
      </c>
      <c r="AB15" s="399" t="str">
        <f>IF(Teams!N15=-0.00001,"",Teams!AG15)</f>
        <v/>
      </c>
      <c r="AC15" s="424" t="str">
        <f>IF(Teams!O15=-0.00001,"",Teams!AH15)</f>
        <v/>
      </c>
      <c r="AD15" s="399" t="str">
        <f>IF(Teams!P15=-0.00001,"",Teams!AI15)</f>
        <v/>
      </c>
      <c r="AE15" s="425" t="str">
        <f>IF(Teams!Q15=-0.00001,"",Teams!R15)</f>
        <v/>
      </c>
      <c r="AF15" s="424" t="str">
        <f>IF(Teams!R15=-0.00001,"",Teams!AJ15)</f>
        <v/>
      </c>
      <c r="AG15" s="399" t="str">
        <f>IF(Teams!S15=-0.00001,"",Teams!AK15)</f>
        <v/>
      </c>
      <c r="AH15" s="425" t="str">
        <f>IF(Teams!T15=-0.00001,"",Teams!U15)</f>
        <v/>
      </c>
      <c r="AI15" s="399" t="str">
        <f>IF(Teams!U15=-0.00001,"",Teams!AL15)</f>
        <v/>
      </c>
      <c r="AJ15" s="399" t="str">
        <f>IF(Teams!V15=-0.00001,"",Teams!AM15)</f>
        <v/>
      </c>
      <c r="AK15" s="400" t="str">
        <f>IF(Teams!W15=-0.00001,"",Teams!X15)</f>
        <v/>
      </c>
    </row>
    <row r="16" spans="1:37" s="282" customFormat="1" ht="18.75" customHeight="1" thickBot="1" x14ac:dyDescent="0.3">
      <c r="A16" s="334" t="str">
        <f ca="1">INDEX(Admin!$Z$4:$AO$30,,$E$1)</f>
        <v/>
      </c>
      <c r="B16" s="335" t="str">
        <f ca="1">IF($A16="","",VLOOKUP($A16,IndividualsPerGame!$C$4:$U$80,4,FALSE))</f>
        <v/>
      </c>
      <c r="C16" s="335" t="str">
        <f ca="1">IF($A16="","",VLOOKUP($A16,IndividualsPerGame!$C$4:$U$80,5,FALSE))</f>
        <v/>
      </c>
      <c r="D16" s="336" t="str">
        <f ca="1">IF($A16="","",VLOOKUP($A16,IndividualsPerGame!$C$4:$U$80,6,FALSE))</f>
        <v/>
      </c>
      <c r="E16" s="313"/>
      <c r="F16" s="296" t="s">
        <v>84</v>
      </c>
      <c r="G16" s="363">
        <f>IF($A$1="","",VLOOKUP($A$1,Teams!$C$4:$AM$80,35,FALSE))</f>
        <v>63.5</v>
      </c>
      <c r="H16" s="415">
        <f>LeagueTotals!Q$7</f>
        <v>64.333333333333329</v>
      </c>
      <c r="I16" s="371">
        <f>IF($L$1="","",VLOOKUP($L$1,Teams!$C$4:$AM$80,35,FALSE))</f>
        <v>67.25</v>
      </c>
      <c r="J16" s="301" t="s">
        <v>84</v>
      </c>
      <c r="K16" s="313"/>
      <c r="L16" s="337" t="str">
        <f ca="1">INDEX(Admin!$Z$4:$AO$30,,$K$1)</f>
        <v/>
      </c>
      <c r="M16" s="335" t="str">
        <f ca="1">IF($L16="","",VLOOKUP($L16,IndividualsPerGame!$C$4:$U$80,4,FALSE))</f>
        <v/>
      </c>
      <c r="N16" s="335" t="str">
        <f ca="1">IF($L16="","",VLOOKUP($L16,IndividualsPerGame!$C$4:$U$80,5,FALSE))</f>
        <v/>
      </c>
      <c r="O16" s="338" t="str">
        <f ca="1">IF($L16="","",VLOOKUP($L16,IndividualsPerGame!$C$4:$U$80,6,FALSE))</f>
        <v/>
      </c>
      <c r="P16"/>
      <c r="Q16" s="402"/>
      <c r="R16" s="401" t="str">
        <f>IF(Teams!C16="","",Teams!C16)</f>
        <v/>
      </c>
      <c r="S16" s="402" t="str">
        <f>IF($R16="","",VLOOKUP($R16,Teams!$C$4:$E$9,2,FALSE)&amp;" - "&amp;VLOOKUP($R16,Teams!$C$4:$E$9,3,FALSE))</f>
        <v/>
      </c>
      <c r="T16" s="402" t="str">
        <f>IF(Teams!F16=-0.00001,"",Teams!F16)</f>
        <v/>
      </c>
      <c r="U16" s="403" t="str">
        <f>IF(Teams!G16=-0.00001,"",Teams!Z16)</f>
        <v/>
      </c>
      <c r="V16" s="403" t="str">
        <f>IF(Teams!H16=-0.00001,"",Teams!AA16)</f>
        <v/>
      </c>
      <c r="W16" s="403" t="str">
        <f>IF(Teams!I16=-0.00001,"",Teams!AB16)</f>
        <v/>
      </c>
      <c r="X16" s="403" t="str">
        <f>IF(Teams!J16=-0.00001,"",Teams!AC16)</f>
        <v/>
      </c>
      <c r="Y16" s="403" t="str">
        <f>IF(Teams!K16=-0.00001,"",Teams!AD16)</f>
        <v/>
      </c>
      <c r="Z16" s="403" t="str">
        <f>IF(Teams!L16=-0.00001,"",Teams!AE16)</f>
        <v/>
      </c>
      <c r="AA16" s="403" t="str">
        <f>IF(Teams!M16=-0.00001,"",Teams!AF16)</f>
        <v/>
      </c>
      <c r="AB16" s="403" t="str">
        <f>IF(Teams!N16=-0.00001,"",Teams!AG16)</f>
        <v/>
      </c>
      <c r="AC16" s="426" t="str">
        <f>IF(Teams!O16=-0.00001,"",Teams!AH16)</f>
        <v/>
      </c>
      <c r="AD16" s="403" t="str">
        <f>IF(Teams!P16=-0.00001,"",Teams!AI16)</f>
        <v/>
      </c>
      <c r="AE16" s="427" t="str">
        <f>IF(Teams!Q16=-0.00001,"",Teams!R16)</f>
        <v/>
      </c>
      <c r="AF16" s="426" t="str">
        <f>IF(Teams!R16=-0.00001,"",Teams!AJ16)</f>
        <v/>
      </c>
      <c r="AG16" s="403" t="str">
        <f>IF(Teams!S16=-0.00001,"",Teams!AK16)</f>
        <v/>
      </c>
      <c r="AH16" s="427" t="str">
        <f>IF(Teams!T16=-0.00001,"",Teams!U16)</f>
        <v/>
      </c>
      <c r="AI16" s="403" t="str">
        <f>IF(Teams!U16=-0.00001,"",Teams!AL16)</f>
        <v/>
      </c>
      <c r="AJ16" s="403" t="str">
        <f>IF(Teams!V16=-0.00001,"",Teams!AM16)</f>
        <v/>
      </c>
      <c r="AK16" s="404" t="str">
        <f>IF(Teams!W16=-0.00001,"",Teams!X16)</f>
        <v/>
      </c>
    </row>
    <row r="17" spans="1:37" s="282" customFormat="1" ht="18.75" customHeight="1" x14ac:dyDescent="0.25">
      <c r="A17" s="334" t="str">
        <f ca="1">INDEX(Admin!$Z$4:$AO$30,,$E$1)</f>
        <v/>
      </c>
      <c r="B17" s="335" t="str">
        <f ca="1">IF($A17="","",VLOOKUP($A17,IndividualsPerGame!$C$4:$U$80,4,FALSE))</f>
        <v/>
      </c>
      <c r="C17" s="335" t="str">
        <f ca="1">IF($A17="","",VLOOKUP($A17,IndividualsPerGame!$C$4:$U$80,5,FALSE))</f>
        <v/>
      </c>
      <c r="D17" s="336" t="str">
        <f ca="1">IF($A17="","",VLOOKUP($A17,IndividualsPerGame!$C$4:$U$80,6,FALSE))</f>
        <v/>
      </c>
      <c r="E17" s="313"/>
      <c r="F17" s="295" t="s">
        <v>86</v>
      </c>
      <c r="G17" s="362">
        <f>IF($A$1="","",VLOOKUP($A$1,Teams!$C$4:$AM$80,36,FALSE))</f>
        <v>3.5</v>
      </c>
      <c r="H17" s="414">
        <f>LeagueTotals!S$7</f>
        <v>2.9166666666666665</v>
      </c>
      <c r="I17" s="370">
        <f>IF($L$1="","",VLOOKUP($L$1,Teams!$C$4:$AM$80,36,FALSE))</f>
        <v>2.75</v>
      </c>
      <c r="J17" s="299" t="s">
        <v>86</v>
      </c>
      <c r="K17" s="313"/>
      <c r="L17" s="337" t="str">
        <f ca="1">INDEX(Admin!$Z$4:$AO$30,,$K$1)</f>
        <v/>
      </c>
      <c r="M17" s="335" t="str">
        <f ca="1">IF($L17="","",VLOOKUP($L17,IndividualsPerGame!$C$4:$U$80,4,FALSE))</f>
        <v/>
      </c>
      <c r="N17" s="335" t="str">
        <f ca="1">IF($L17="","",VLOOKUP($L17,IndividualsPerGame!$C$4:$U$80,5,FALSE))</f>
        <v/>
      </c>
      <c r="O17" s="338" t="str">
        <f ca="1">IF($L17="","",VLOOKUP($L17,IndividualsPerGame!$C$4:$U$80,6,FALSE))</f>
        <v/>
      </c>
      <c r="P17"/>
      <c r="Q17" s="421" t="s">
        <v>255</v>
      </c>
    </row>
    <row r="18" spans="1:37" s="282" customFormat="1" ht="18.75" customHeight="1" thickBot="1" x14ac:dyDescent="0.3">
      <c r="A18" s="429" t="str">
        <f ca="1">INDEX(Admin!$Z$4:$AO$30,,$E$1)</f>
        <v/>
      </c>
      <c r="B18" s="339" t="str">
        <f ca="1">IF($A18="","",VLOOKUP($A18,IndividualsPerGame!$C$4:$U$80,4,FALSE))</f>
        <v/>
      </c>
      <c r="C18" s="339" t="str">
        <f ca="1">IF($A18="","",VLOOKUP($A18,IndividualsPerGame!$C$4:$U$80,5,FALSE))</f>
        <v/>
      </c>
      <c r="D18" s="341" t="str">
        <f ca="1">IF($A18="","",VLOOKUP($A18,IndividualsPerGame!$C$4:$U$80,6,FALSE))</f>
        <v/>
      </c>
      <c r="E18" s="313"/>
      <c r="F18" s="296" t="s">
        <v>87</v>
      </c>
      <c r="G18" s="363">
        <f>IF($A$1="","",VLOOKUP($A$1,Teams!$C$4:$AM$80,37,FALSE))</f>
        <v>7</v>
      </c>
      <c r="H18" s="415">
        <f>LeagueTotals!T$7</f>
        <v>5.416666666666667</v>
      </c>
      <c r="I18" s="371">
        <f>IF($L$1="","",VLOOKUP($L$1,Teams!$C$4:$AM$80,37,FALSE))</f>
        <v>3.75</v>
      </c>
      <c r="J18" s="301" t="s">
        <v>87</v>
      </c>
      <c r="K18" s="313"/>
      <c r="L18" s="428" t="str">
        <f ca="1">INDEX(Admin!$Z$4:$AO$30,,$K$1)</f>
        <v/>
      </c>
      <c r="M18" s="339" t="str">
        <f ca="1">IF($L18="","",VLOOKUP($L18,IndividualsPerGame!$C$4:$U$80,4,FALSE))</f>
        <v/>
      </c>
      <c r="N18" s="339" t="str">
        <f ca="1">IF($L18="","",VLOOKUP($L18,IndividualsPerGame!$C$4:$U$80,5,FALSE))</f>
        <v/>
      </c>
      <c r="O18" s="340" t="str">
        <f ca="1">IF($L18="","",VLOOKUP($L18,IndividualsPerGame!$C$4:$U$80,6,FALSE))</f>
        <v/>
      </c>
      <c r="P18"/>
    </row>
    <row r="19" spans="1:37" s="282" customFormat="1" ht="18.75" customHeight="1" x14ac:dyDescent="0.25">
      <c r="A19" s="327"/>
      <c r="B19" s="329"/>
      <c r="C19" s="330"/>
      <c r="D19" s="330"/>
      <c r="E19" s="313"/>
      <c r="F19" s="295" t="s">
        <v>233</v>
      </c>
      <c r="G19" s="364">
        <f>IF($A$1="","",VLOOKUP($A$1,Teams!$C$4:$AM$80,16,FALSE))</f>
        <v>0.30263157894736842</v>
      </c>
      <c r="H19" s="413">
        <f>LeagueTotals!O$7</f>
        <v>0.28264208909370203</v>
      </c>
      <c r="I19" s="372">
        <f>IF($L$1="","",VLOOKUP($L$1,Teams!$C$4:$AM$80,16,FALSE))</f>
        <v>0.31468531468531469</v>
      </c>
      <c r="J19" s="299" t="s">
        <v>233</v>
      </c>
      <c r="K19" s="313"/>
      <c r="L19" s="328"/>
      <c r="M19" s="330"/>
      <c r="N19" s="330"/>
      <c r="O19" s="331"/>
      <c r="P19"/>
    </row>
    <row r="20" spans="1:37" s="282" customFormat="1" ht="18.75" customHeight="1" x14ac:dyDescent="0.25">
      <c r="A20" s="327"/>
      <c r="B20" s="329"/>
      <c r="C20" s="330"/>
      <c r="D20" s="330"/>
      <c r="E20" s="313"/>
      <c r="F20" s="297" t="s">
        <v>234</v>
      </c>
      <c r="G20" s="365">
        <f>IF($A$1="","",VLOOKUP($A$1,Teams!$C$4:$AM$80,19,FALSE))</f>
        <v>0.41338582677165353</v>
      </c>
      <c r="H20" s="379">
        <f>LeagueTotals!R$7</f>
        <v>0.36787564766839381</v>
      </c>
      <c r="I20" s="373">
        <f>IF($L$1="","",VLOOKUP($L$1,Teams!$C$4:$AM$80,19,FALSE))</f>
        <v>0.4200743494423792</v>
      </c>
      <c r="J20" s="300" t="s">
        <v>234</v>
      </c>
      <c r="K20" s="313"/>
      <c r="L20" s="328"/>
      <c r="M20" s="330"/>
      <c r="N20" s="330"/>
      <c r="O20" s="331"/>
      <c r="P20"/>
    </row>
    <row r="21" spans="1:37" s="282" customFormat="1" ht="18.75" customHeight="1" thickBot="1" x14ac:dyDescent="0.3">
      <c r="A21" s="327"/>
      <c r="B21" s="329"/>
      <c r="C21" s="330"/>
      <c r="D21" s="418" t="s">
        <v>253</v>
      </c>
      <c r="E21" s="313"/>
      <c r="F21" s="298" t="s">
        <v>235</v>
      </c>
      <c r="G21" s="366">
        <f>IF($A$1="","",VLOOKUP($A$1,Teams!$C$4:$AM$80,22,FALSE))</f>
        <v>0.5</v>
      </c>
      <c r="H21" s="380">
        <f>LeagueTotals!U$7</f>
        <v>0.53846153846153844</v>
      </c>
      <c r="I21" s="374">
        <f>IF($L$1="","",VLOOKUP($L$1,Teams!$C$4:$AM$80,22,FALSE))</f>
        <v>0.73333333333333328</v>
      </c>
      <c r="J21" s="302" t="s">
        <v>235</v>
      </c>
      <c r="K21" s="313"/>
      <c r="L21" s="419" t="s">
        <v>254</v>
      </c>
      <c r="M21" s="330"/>
      <c r="N21" s="330"/>
      <c r="O21" s="331"/>
      <c r="P21"/>
    </row>
    <row r="22" spans="1:37" s="282" customFormat="1" ht="7.5" customHeight="1" thickBot="1" x14ac:dyDescent="0.3">
      <c r="A22" s="349"/>
      <c r="B22" s="350"/>
      <c r="C22" s="350"/>
      <c r="D22" s="350"/>
      <c r="E22" s="350"/>
      <c r="F22" s="351"/>
      <c r="G22" s="351"/>
      <c r="H22" s="350"/>
      <c r="I22" s="350"/>
      <c r="J22" s="350"/>
      <c r="K22" s="350"/>
      <c r="L22" s="350"/>
      <c r="M22" s="350"/>
      <c r="N22" s="350"/>
      <c r="O22" s="352"/>
      <c r="P22"/>
    </row>
    <row r="23" spans="1:37" s="282" customFormat="1" x14ac:dyDescent="0.2">
      <c r="A23" s="420" t="s">
        <v>238</v>
      </c>
      <c r="B23" s="309"/>
      <c r="C23" s="309"/>
      <c r="D23" s="309"/>
      <c r="E23" s="309"/>
      <c r="F23" s="311"/>
      <c r="G23" s="311"/>
      <c r="H23" s="318"/>
      <c r="I23" s="309"/>
      <c r="J23" s="309"/>
      <c r="K23" s="309"/>
      <c r="L23" s="309"/>
      <c r="M23" s="309"/>
      <c r="N23" s="309"/>
      <c r="O23" s="310"/>
      <c r="P23" s="309"/>
    </row>
    <row r="24" spans="1:37" s="282" customFormat="1" x14ac:dyDescent="0.25">
      <c r="A24" s="416"/>
      <c r="B24" s="342"/>
      <c r="C24" s="342"/>
      <c r="D24" s="342"/>
      <c r="E24" s="342"/>
      <c r="F24" s="343"/>
      <c r="G24" s="343"/>
      <c r="H24" s="344"/>
      <c r="I24" s="342"/>
      <c r="J24" s="342"/>
      <c r="K24" s="342"/>
      <c r="L24" s="342"/>
      <c r="M24" s="342"/>
      <c r="N24" s="342"/>
      <c r="O24" s="310"/>
      <c r="P24" s="309"/>
    </row>
    <row r="25" spans="1:37" s="282" customFormat="1" x14ac:dyDescent="0.25">
      <c r="A25" s="416"/>
      <c r="B25" s="342"/>
      <c r="C25" s="342"/>
      <c r="D25" s="342"/>
      <c r="E25" s="342"/>
      <c r="F25" s="343"/>
      <c r="G25" s="343"/>
      <c r="H25" s="344"/>
      <c r="I25" s="342"/>
      <c r="J25" s="342"/>
      <c r="K25" s="342"/>
      <c r="L25" s="342"/>
      <c r="M25" s="342"/>
      <c r="N25" s="342"/>
      <c r="O25" s="310"/>
      <c r="P25" s="309"/>
    </row>
    <row r="26" spans="1:37" s="282" customFormat="1" x14ac:dyDescent="0.25">
      <c r="A26" s="416"/>
      <c r="B26" s="342"/>
      <c r="C26" s="342"/>
      <c r="D26" s="342"/>
      <c r="E26" s="342"/>
      <c r="F26" s="343"/>
      <c r="G26" s="343"/>
      <c r="H26" s="344"/>
      <c r="I26" s="342"/>
      <c r="J26" s="342"/>
      <c r="K26" s="342"/>
      <c r="L26" s="342"/>
      <c r="M26" s="342"/>
      <c r="N26" s="342"/>
      <c r="O26" s="310"/>
      <c r="P26" s="309"/>
    </row>
    <row r="27" spans="1:37" s="282" customFormat="1" x14ac:dyDescent="0.25">
      <c r="A27" s="416"/>
      <c r="B27" s="342"/>
      <c r="C27" s="342"/>
      <c r="D27" s="342"/>
      <c r="E27" s="342"/>
      <c r="F27" s="343"/>
      <c r="G27" s="343"/>
      <c r="H27" s="344"/>
      <c r="I27" s="342"/>
      <c r="J27" s="342"/>
      <c r="K27" s="342"/>
      <c r="L27" s="342"/>
      <c r="M27" s="342"/>
      <c r="N27" s="342"/>
      <c r="O27" s="310"/>
      <c r="P27" s="309"/>
    </row>
    <row r="28" spans="1:37" s="282" customFormat="1" ht="15.75" thickBot="1" x14ac:dyDescent="0.3">
      <c r="A28" s="417"/>
      <c r="B28" s="356"/>
      <c r="C28" s="356"/>
      <c r="D28" s="356"/>
      <c r="E28" s="356"/>
      <c r="F28" s="357"/>
      <c r="G28" s="357"/>
      <c r="H28" s="358"/>
      <c r="I28" s="356"/>
      <c r="J28" s="356"/>
      <c r="K28" s="356"/>
      <c r="L28" s="356"/>
      <c r="M28" s="356"/>
      <c r="N28" s="356"/>
      <c r="O28" s="312"/>
      <c r="P28" s="309"/>
    </row>
    <row r="29" spans="1:37" s="282" customFormat="1" ht="15.75" thickTop="1" x14ac:dyDescent="0.25">
      <c r="F29" s="294"/>
      <c r="G29" s="294"/>
    </row>
    <row r="30" spans="1:37" s="282" customFormat="1" ht="10.5" customHeight="1" x14ac:dyDescent="0.25">
      <c r="F30" s="294"/>
      <c r="G30" s="294"/>
      <c r="Q30" s="444" t="s">
        <v>250</v>
      </c>
      <c r="R30" s="444"/>
      <c r="S30" s="444"/>
      <c r="T30" s="444"/>
      <c r="U30" s="444"/>
      <c r="V30" s="444"/>
      <c r="W30" s="444"/>
      <c r="X30" s="444"/>
      <c r="Y30" s="444"/>
      <c r="Z30" s="444"/>
      <c r="AA30" s="444"/>
      <c r="AB30" s="444"/>
      <c r="AC30" s="444"/>
      <c r="AD30" s="444"/>
      <c r="AE30" s="444"/>
      <c r="AF30" s="444"/>
      <c r="AG30" s="444"/>
      <c r="AH30" s="444"/>
      <c r="AI30" s="444"/>
      <c r="AJ30" s="444"/>
      <c r="AK30" s="444"/>
    </row>
    <row r="31" spans="1:37" x14ac:dyDescent="0.25">
      <c r="G31" s="227"/>
      <c r="Q31" s="386" t="s">
        <v>69</v>
      </c>
      <c r="R31" s="386" t="s">
        <v>0</v>
      </c>
      <c r="S31" s="386" t="s">
        <v>70</v>
      </c>
      <c r="T31" s="387" t="s">
        <v>71</v>
      </c>
      <c r="U31" s="387" t="s">
        <v>72</v>
      </c>
      <c r="V31" s="387" t="s">
        <v>73</v>
      </c>
      <c r="W31" s="387" t="s">
        <v>74</v>
      </c>
      <c r="X31" s="387" t="s">
        <v>75</v>
      </c>
      <c r="Y31" s="387" t="s">
        <v>76</v>
      </c>
      <c r="Z31" s="387" t="s">
        <v>77</v>
      </c>
      <c r="AA31" s="387" t="s">
        <v>78</v>
      </c>
      <c r="AB31" s="387" t="s">
        <v>79</v>
      </c>
      <c r="AC31" s="387" t="s">
        <v>244</v>
      </c>
      <c r="AD31" s="387" t="s">
        <v>245</v>
      </c>
      <c r="AE31" s="388" t="s">
        <v>82</v>
      </c>
      <c r="AF31" s="387" t="s">
        <v>246</v>
      </c>
      <c r="AG31" s="387" t="s">
        <v>249</v>
      </c>
      <c r="AH31" s="388" t="s">
        <v>85</v>
      </c>
      <c r="AI31" s="387" t="s">
        <v>247</v>
      </c>
      <c r="AJ31" s="387" t="s">
        <v>248</v>
      </c>
      <c r="AK31" s="387" t="s">
        <v>88</v>
      </c>
    </row>
    <row r="32" spans="1:37" ht="11.25" customHeight="1" x14ac:dyDescent="0.25">
      <c r="G32" s="227"/>
      <c r="Q32" s="394">
        <f>IF($R$32="","",1)</f>
        <v>1</v>
      </c>
      <c r="R32" s="405" t="str">
        <f>IF(IndividualsPerGame!C4="","",IndividualsPerGame!C4)</f>
        <v>Josh Williams</v>
      </c>
      <c r="S32" s="405" t="str">
        <f>IF(IndividualsPerGame!D4="","",IndividualsPerGame!D4)</f>
        <v>Mustangs</v>
      </c>
      <c r="T32" s="406">
        <f>IF(IndividualsPerGame!E4=-0.00001,"",IndividualsPerGame!E4)</f>
        <v>4</v>
      </c>
      <c r="U32" s="395">
        <f>IF(IndividualsPerGame!F4=-0.00001,"",IndividualsPerGame!F4)</f>
        <v>25</v>
      </c>
      <c r="V32" s="395">
        <f>IF(IndividualsPerGame!G4=-0.00001,"",IndividualsPerGame!G4)</f>
        <v>5.75</v>
      </c>
      <c r="W32" s="395">
        <f>IF(IndividualsPerGame!H4=-0.00001,"",IndividualsPerGame!H4)</f>
        <v>3.5</v>
      </c>
      <c r="X32" s="395">
        <f>IF(IndividualsPerGame!I4=-0.00001,"",IndividualsPerGame!I4)</f>
        <v>3.5</v>
      </c>
      <c r="Y32" s="395">
        <f>IF(IndividualsPerGame!J4=-0.00001,"",IndividualsPerGame!J4)</f>
        <v>0</v>
      </c>
      <c r="Z32" s="395">
        <f>IF(IndividualsPerGame!K4=-0.00001,"",IndividualsPerGame!K4)</f>
        <v>3.75</v>
      </c>
      <c r="AA32" s="395">
        <f>IF(IndividualsPerGame!L4=-0.00001,"",IndividualsPerGame!L4)</f>
        <v>1.75</v>
      </c>
      <c r="AB32" s="395">
        <f>IF(IndividualsPerGame!M4=-0.00001,"",IndividualsPerGame!M4)</f>
        <v>3.25</v>
      </c>
      <c r="AC32" s="422">
        <f>IF(IndividualsPerGame!N4=-0.00001,"",IndividualsPerGame!N4)</f>
        <v>4.75</v>
      </c>
      <c r="AD32" s="395">
        <f>IF(IndividualsPerGame!O4=-0.00001,"",IndividualsPerGame!O4)</f>
        <v>11.25</v>
      </c>
      <c r="AE32" s="423">
        <f>IF(IndividualsPerGame!P4=-0.00001,"",IndividualsPerGame!P4)</f>
        <v>0.35808080808080811</v>
      </c>
      <c r="AF32" s="422">
        <f>IF(IndividualsPerGame!Q4=-0.00001,"",IndividualsPerGame!Q4)</f>
        <v>9.5</v>
      </c>
      <c r="AG32" s="395">
        <f>IF(IndividualsPerGame!R4=-0.00001,"",IndividualsPerGame!R4)</f>
        <v>20.5</v>
      </c>
      <c r="AH32" s="423">
        <f>IF(IndividualsPerGame!S4=-0.00001,"",IndividualsPerGame!S4)</f>
        <v>0.43450292397660817</v>
      </c>
      <c r="AI32" s="395">
        <f>IF(IndividualsPerGame!T4=-0.00001,"",IndividualsPerGame!T4)</f>
        <v>1.25</v>
      </c>
      <c r="AJ32" s="395">
        <f>IF(IndividualsPerGame!U4=-0.00001,"",IndividualsPerGame!U4)</f>
        <v>1.25</v>
      </c>
      <c r="AK32" s="396">
        <f>IF(IndividualsPerGame!V4=-0.00001,"",IndividualsPerGame!V4)</f>
        <v>1</v>
      </c>
    </row>
    <row r="33" spans="17:37" ht="11.25" customHeight="1" x14ac:dyDescent="0.25">
      <c r="Q33" s="398">
        <f>IF($R33="","",MAX($Q$32:Q32)+1)</f>
        <v>2</v>
      </c>
      <c r="R33" s="407" t="str">
        <f>IF(IndividualsPerGame!C5="","",IndividualsPerGame!C5)</f>
        <v>Jake Schmeltz</v>
      </c>
      <c r="S33" s="407" t="str">
        <f>IF(IndividualsPerGame!D5="","",IndividualsPerGame!D5)</f>
        <v>Wombats</v>
      </c>
      <c r="T33" s="398">
        <f>IF(IndividualsPerGame!E5=-0.00001,"",IndividualsPerGame!E5)</f>
        <v>4</v>
      </c>
      <c r="U33" s="399">
        <f>IF(IndividualsPerGame!F5=-0.00001,"",IndividualsPerGame!F5)</f>
        <v>23.75</v>
      </c>
      <c r="V33" s="399">
        <f>IF(IndividualsPerGame!G5=-0.00001,"",IndividualsPerGame!G5)</f>
        <v>5.5</v>
      </c>
      <c r="W33" s="399">
        <f>IF(IndividualsPerGame!H5=-0.00001,"",IndividualsPerGame!H5)</f>
        <v>3.5</v>
      </c>
      <c r="X33" s="399">
        <f>IF(IndividualsPerGame!I5=-0.00001,"",IndividualsPerGame!I5)</f>
        <v>0.5</v>
      </c>
      <c r="Y33" s="399">
        <f>IF(IndividualsPerGame!J5=-0.00001,"",IndividualsPerGame!J5)</f>
        <v>0</v>
      </c>
      <c r="Z33" s="399">
        <f>IF(IndividualsPerGame!K5=-0.00001,"",IndividualsPerGame!K5)</f>
        <v>3.75</v>
      </c>
      <c r="AA33" s="399">
        <f>IF(IndividualsPerGame!L5=-0.00001,"",IndividualsPerGame!L5)</f>
        <v>2.5</v>
      </c>
      <c r="AB33" s="399">
        <f>IF(IndividualsPerGame!M5=-0.00001,"",IndividualsPerGame!M5)</f>
        <v>3</v>
      </c>
      <c r="AC33" s="424">
        <f>IF(IndividualsPerGame!N5=-0.00001,"",IndividualsPerGame!N5)</f>
        <v>3</v>
      </c>
      <c r="AD33" s="399">
        <f>IF(IndividualsPerGame!O5=-0.00001,"",IndividualsPerGame!O5)</f>
        <v>9.75</v>
      </c>
      <c r="AE33" s="425">
        <f>IF(IndividualsPerGame!P5=-0.00001,"",IndividualsPerGame!P5)</f>
        <v>0.30208333333333331</v>
      </c>
      <c r="AF33" s="424">
        <f>IF(IndividualsPerGame!Q5=-0.00001,"",IndividualsPerGame!Q5)</f>
        <v>9</v>
      </c>
      <c r="AG33" s="399">
        <f>IF(IndividualsPerGame!R5=-0.00001,"",IndividualsPerGame!R5)</f>
        <v>23.75</v>
      </c>
      <c r="AH33" s="425">
        <f>IF(IndividualsPerGame!S5=-0.00001,"",IndividualsPerGame!S5)</f>
        <v>0.38237446933099106</v>
      </c>
      <c r="AI33" s="399">
        <f>IF(IndividualsPerGame!T5=-0.00001,"",IndividualsPerGame!T5)</f>
        <v>2.75</v>
      </c>
      <c r="AJ33" s="399">
        <f>IF(IndividualsPerGame!U5=-0.00001,"",IndividualsPerGame!U5)</f>
        <v>5.25</v>
      </c>
      <c r="AK33" s="400">
        <f>IF(IndividualsPerGame!V5=-0.00001,"",IndividualsPerGame!V5)</f>
        <v>0.5625</v>
      </c>
    </row>
    <row r="34" spans="17:37" ht="11.25" customHeight="1" x14ac:dyDescent="0.25">
      <c r="Q34" s="398">
        <f>IF($R34="","",MAX($Q$32:Q33)+1)</f>
        <v>3</v>
      </c>
      <c r="R34" s="407" t="str">
        <f>IF(IndividualsPerGame!C6="","",IndividualsPerGame!C6)</f>
        <v>Jake Schwiefert</v>
      </c>
      <c r="S34" s="407" t="str">
        <f>IF(IndividualsPerGame!D6="","",IndividualsPerGame!D6)</f>
        <v>Vandals</v>
      </c>
      <c r="T34" s="398">
        <f>IF(IndividualsPerGame!E6=-0.00001,"",IndividualsPerGame!E6)</f>
        <v>4</v>
      </c>
      <c r="U34" s="399">
        <f>IF(IndividualsPerGame!F6=-0.00001,"",IndividualsPerGame!F6)</f>
        <v>20.5</v>
      </c>
      <c r="V34" s="399">
        <f>IF(IndividualsPerGame!G6=-0.00001,"",IndividualsPerGame!G6)</f>
        <v>5</v>
      </c>
      <c r="W34" s="399">
        <f>IF(IndividualsPerGame!H6=-0.00001,"",IndividualsPerGame!H6)</f>
        <v>2.25</v>
      </c>
      <c r="X34" s="399">
        <f>IF(IndividualsPerGame!I6=-0.00001,"",IndividualsPerGame!I6)</f>
        <v>0.5</v>
      </c>
      <c r="Y34" s="399">
        <f>IF(IndividualsPerGame!J6=-0.00001,"",IndividualsPerGame!J6)</f>
        <v>0.75</v>
      </c>
      <c r="Z34" s="399">
        <f>IF(IndividualsPerGame!K6=-0.00001,"",IndividualsPerGame!K6)</f>
        <v>4</v>
      </c>
      <c r="AA34" s="399">
        <f>IF(IndividualsPerGame!L6=-0.00001,"",IndividualsPerGame!L6)</f>
        <v>0.75</v>
      </c>
      <c r="AB34" s="399">
        <f>IF(IndividualsPerGame!M6=-0.00001,"",IndividualsPerGame!M6)</f>
        <v>3.25</v>
      </c>
      <c r="AC34" s="424">
        <f>IF(IndividualsPerGame!N6=-0.00001,"",IndividualsPerGame!N6)</f>
        <v>1.75</v>
      </c>
      <c r="AD34" s="399">
        <f>IF(IndividualsPerGame!O6=-0.00001,"",IndividualsPerGame!O6)</f>
        <v>5.75</v>
      </c>
      <c r="AE34" s="425">
        <f>IF(IndividualsPerGame!P6=-0.00001,"",IndividualsPerGame!P6)</f>
        <v>0.30476190476190479</v>
      </c>
      <c r="AF34" s="424">
        <f>IF(IndividualsPerGame!Q6=-0.00001,"",IndividualsPerGame!Q6)</f>
        <v>8</v>
      </c>
      <c r="AG34" s="399">
        <f>IF(IndividualsPerGame!R6=-0.00001,"",IndividualsPerGame!R6)</f>
        <v>19.75</v>
      </c>
      <c r="AH34" s="425">
        <f>IF(IndividualsPerGame!S6=-0.00001,"",IndividualsPerGame!S6)</f>
        <v>0.40616753947955991</v>
      </c>
      <c r="AI34" s="399">
        <f>IF(IndividualsPerGame!T6=-0.00001,"",IndividualsPerGame!T6)</f>
        <v>2.75</v>
      </c>
      <c r="AJ34" s="399">
        <f>IF(IndividualsPerGame!U6=-0.00001,"",IndividualsPerGame!U6)</f>
        <v>3.5</v>
      </c>
      <c r="AK34" s="400">
        <f>IF(IndividualsPerGame!V6=-0.00001,"",IndividualsPerGame!V6)</f>
        <v>0.7</v>
      </c>
    </row>
    <row r="35" spans="17:37" ht="11.25" customHeight="1" x14ac:dyDescent="0.25">
      <c r="Q35" s="398">
        <f>IF($R35="","",MAX($Q$32:Q34)+1)</f>
        <v>4</v>
      </c>
      <c r="R35" s="407" t="str">
        <f>IF(IndividualsPerGame!C7="","",IndividualsPerGame!C7)</f>
        <v>Braden Womack</v>
      </c>
      <c r="S35" s="407" t="str">
        <f>IF(IndividualsPerGame!D7="","",IndividualsPerGame!D7)</f>
        <v>Hoopers</v>
      </c>
      <c r="T35" s="398">
        <f>IF(IndividualsPerGame!E7=-0.00001,"",IndividualsPerGame!E7)</f>
        <v>4</v>
      </c>
      <c r="U35" s="399">
        <f>IF(IndividualsPerGame!F7=-0.00001,"",IndividualsPerGame!F7)</f>
        <v>19.5</v>
      </c>
      <c r="V35" s="399">
        <f>IF(IndividualsPerGame!G7=-0.00001,"",IndividualsPerGame!G7)</f>
        <v>6.75</v>
      </c>
      <c r="W35" s="399">
        <f>IF(IndividualsPerGame!H7=-0.00001,"",IndividualsPerGame!H7)</f>
        <v>2</v>
      </c>
      <c r="X35" s="399">
        <f>IF(IndividualsPerGame!I7=-0.00001,"",IndividualsPerGame!I7)</f>
        <v>0.5</v>
      </c>
      <c r="Y35" s="399">
        <f>IF(IndividualsPerGame!J7=-0.00001,"",IndividualsPerGame!J7)</f>
        <v>0</v>
      </c>
      <c r="Z35" s="399">
        <f>IF(IndividualsPerGame!K7=-0.00001,"",IndividualsPerGame!K7)</f>
        <v>1</v>
      </c>
      <c r="AA35" s="399">
        <f>IF(IndividualsPerGame!L7=-0.00001,"",IndividualsPerGame!L7)</f>
        <v>3.25</v>
      </c>
      <c r="AB35" s="399">
        <f>IF(IndividualsPerGame!M7=-0.00001,"",IndividualsPerGame!M7)</f>
        <v>3.5</v>
      </c>
      <c r="AC35" s="424">
        <f>IF(IndividualsPerGame!N7=-0.00001,"",IndividualsPerGame!N7)</f>
        <v>3.75</v>
      </c>
      <c r="AD35" s="399">
        <f>IF(IndividualsPerGame!O7=-0.00001,"",IndividualsPerGame!O7)</f>
        <v>10.5</v>
      </c>
      <c r="AE35" s="425">
        <f>IF(IndividualsPerGame!P7=-0.00001,"",IndividualsPerGame!P7)</f>
        <v>0.29707792207792205</v>
      </c>
      <c r="AF35" s="424">
        <f>IF(IndividualsPerGame!Q7=-0.00001,"",IndividualsPerGame!Q7)</f>
        <v>7.5</v>
      </c>
      <c r="AG35" s="399">
        <f>IF(IndividualsPerGame!R7=-0.00001,"",IndividualsPerGame!R7)</f>
        <v>22</v>
      </c>
      <c r="AH35" s="425">
        <f>IF(IndividualsPerGame!S7=-0.00001,"",IndividualsPerGame!S7)</f>
        <v>0.29964001515725658</v>
      </c>
      <c r="AI35" s="399">
        <f>IF(IndividualsPerGame!T7=-0.00001,"",IndividualsPerGame!T7)</f>
        <v>0.75</v>
      </c>
      <c r="AJ35" s="399">
        <f>IF(IndividualsPerGame!U7=-0.00001,"",IndividualsPerGame!U7)</f>
        <v>1</v>
      </c>
      <c r="AK35" s="400">
        <f>IF(IndividualsPerGame!V7=-0.00001,"",IndividualsPerGame!V7)</f>
        <v>0.75</v>
      </c>
    </row>
    <row r="36" spans="17:37" ht="11.25" customHeight="1" x14ac:dyDescent="0.25">
      <c r="Q36" s="398">
        <f>IF($R36="","",MAX($Q$32:Q35)+1)</f>
        <v>5</v>
      </c>
      <c r="R36" s="407" t="str">
        <f>IF(IndividualsPerGame!C8="","",IndividualsPerGame!C8)</f>
        <v>JP Celis</v>
      </c>
      <c r="S36" s="407" t="str">
        <f>IF(IndividualsPerGame!D8="","",IndividualsPerGame!D8)</f>
        <v>Mustangs</v>
      </c>
      <c r="T36" s="398">
        <f>IF(IndividualsPerGame!E8=-0.00001,"",IndividualsPerGame!E8)</f>
        <v>4</v>
      </c>
      <c r="U36" s="399">
        <f>IF(IndividualsPerGame!F8=-0.00001,"",IndividualsPerGame!F8)</f>
        <v>17.5</v>
      </c>
      <c r="V36" s="399">
        <f>IF(IndividualsPerGame!G8=-0.00001,"",IndividualsPerGame!G8)</f>
        <v>10.25</v>
      </c>
      <c r="W36" s="399">
        <f>IF(IndividualsPerGame!H8=-0.00001,"",IndividualsPerGame!H8)</f>
        <v>4.25</v>
      </c>
      <c r="X36" s="399">
        <f>IF(IndividualsPerGame!I8=-0.00001,"",IndividualsPerGame!I8)</f>
        <v>2.25</v>
      </c>
      <c r="Y36" s="399">
        <f>IF(IndividualsPerGame!J8=-0.00001,"",IndividualsPerGame!J8)</f>
        <v>0.25</v>
      </c>
      <c r="Z36" s="399">
        <f>IF(IndividualsPerGame!K8=-0.00001,"",IndividualsPerGame!K8)</f>
        <v>3</v>
      </c>
      <c r="AA36" s="399">
        <f>IF(IndividualsPerGame!L8=-0.00001,"",IndividualsPerGame!L8)</f>
        <v>2.75</v>
      </c>
      <c r="AB36" s="399">
        <f>IF(IndividualsPerGame!M8=-0.00001,"",IndividualsPerGame!M8)</f>
        <v>3.25</v>
      </c>
      <c r="AC36" s="424">
        <f>IF(IndividualsPerGame!N8=-0.00001,"",IndividualsPerGame!N8)</f>
        <v>3</v>
      </c>
      <c r="AD36" s="399">
        <f>IF(IndividualsPerGame!O8=-0.00001,"",IndividualsPerGame!O8)</f>
        <v>9</v>
      </c>
      <c r="AE36" s="425">
        <f>IF(IndividualsPerGame!P8=-0.00001,"",IndividualsPerGame!P8)</f>
        <v>0.35189393939393943</v>
      </c>
      <c r="AF36" s="424">
        <f>IF(IndividualsPerGame!Q8=-0.00001,"",IndividualsPerGame!Q8)</f>
        <v>7</v>
      </c>
      <c r="AG36" s="399">
        <f>IF(IndividualsPerGame!R8=-0.00001,"",IndividualsPerGame!R8)</f>
        <v>16.25</v>
      </c>
      <c r="AH36" s="425">
        <f>IF(IndividualsPerGame!S8=-0.00001,"",IndividualsPerGame!S8)</f>
        <v>0.44598214285714288</v>
      </c>
      <c r="AI36" s="399">
        <f>IF(IndividualsPerGame!T8=-0.00001,"",IndividualsPerGame!T8)</f>
        <v>0.5</v>
      </c>
      <c r="AJ36" s="399">
        <f>IF(IndividualsPerGame!U8=-0.00001,"",IndividualsPerGame!U8)</f>
        <v>1</v>
      </c>
      <c r="AK36" s="400">
        <f>IF(IndividualsPerGame!V8=-0.00001,"",IndividualsPerGame!V8)</f>
        <v>0.5</v>
      </c>
    </row>
    <row r="37" spans="17:37" ht="11.25" customHeight="1" x14ac:dyDescent="0.25">
      <c r="Q37" s="398">
        <f>IF($R37="","",MAX($Q$32:Q36)+1)</f>
        <v>6</v>
      </c>
      <c r="R37" s="407" t="str">
        <f>IF(IndividualsPerGame!C9="","",IndividualsPerGame!C9)</f>
        <v>Will Varner</v>
      </c>
      <c r="S37" s="407" t="str">
        <f>IF(IndividualsPerGame!D9="","",IndividualsPerGame!D9)</f>
        <v>Lightning</v>
      </c>
      <c r="T37" s="398">
        <f>IF(IndividualsPerGame!E9=-0.00001,"",IndividualsPerGame!E9)</f>
        <v>2</v>
      </c>
      <c r="U37" s="399">
        <f>IF(IndividualsPerGame!F9=-0.00001,"",IndividualsPerGame!F9)</f>
        <v>17.5</v>
      </c>
      <c r="V37" s="399">
        <f>IF(IndividualsPerGame!G9=-0.00001,"",IndividualsPerGame!G9)</f>
        <v>7</v>
      </c>
      <c r="W37" s="399">
        <f>IF(IndividualsPerGame!H9=-0.00001,"",IndividualsPerGame!H9)</f>
        <v>3</v>
      </c>
      <c r="X37" s="399">
        <f>IF(IndividualsPerGame!I9=-0.00001,"",IndividualsPerGame!I9)</f>
        <v>2.5</v>
      </c>
      <c r="Y37" s="399">
        <f>IF(IndividualsPerGame!J9=-0.00001,"",IndividualsPerGame!J9)</f>
        <v>0</v>
      </c>
      <c r="Z37" s="399">
        <f>IF(IndividualsPerGame!K9=-0.00001,"",IndividualsPerGame!K9)</f>
        <v>2.5</v>
      </c>
      <c r="AA37" s="399">
        <f>IF(IndividualsPerGame!L9=-0.00001,"",IndividualsPerGame!L9)</f>
        <v>1</v>
      </c>
      <c r="AB37" s="399">
        <f>IF(IndividualsPerGame!M9=-0.00001,"",IndividualsPerGame!M9)</f>
        <v>6</v>
      </c>
      <c r="AC37" s="424">
        <f>IF(IndividualsPerGame!N9=-0.00001,"",IndividualsPerGame!N9)</f>
        <v>4</v>
      </c>
      <c r="AD37" s="399">
        <f>IF(IndividualsPerGame!O9=-0.00001,"",IndividualsPerGame!O9)</f>
        <v>11</v>
      </c>
      <c r="AE37" s="425">
        <f>IF(IndividualsPerGame!P9=-0.00001,"",IndividualsPerGame!P9)</f>
        <v>0.375</v>
      </c>
      <c r="AF37" s="424">
        <f>IF(IndividualsPerGame!Q9=-0.00001,"",IndividualsPerGame!Q9)</f>
        <v>6.5</v>
      </c>
      <c r="AG37" s="399">
        <f>IF(IndividualsPerGame!R9=-0.00001,"",IndividualsPerGame!R9)</f>
        <v>16</v>
      </c>
      <c r="AH37" s="425">
        <f>IF(IndividualsPerGame!S9=-0.00001,"",IndividualsPerGame!S9)</f>
        <v>0.40196078431372551</v>
      </c>
      <c r="AI37" s="399">
        <f>IF(IndividualsPerGame!T9=-0.00001,"",IndividualsPerGame!T9)</f>
        <v>0.5</v>
      </c>
      <c r="AJ37" s="399">
        <f>IF(IndividualsPerGame!U9=-0.00001,"",IndividualsPerGame!U9)</f>
        <v>1</v>
      </c>
      <c r="AK37" s="400">
        <f>IF(IndividualsPerGame!V9=-0.00001,"",IndividualsPerGame!V9)</f>
        <v>0.5</v>
      </c>
    </row>
    <row r="38" spans="17:37" ht="11.25" customHeight="1" x14ac:dyDescent="0.25">
      <c r="Q38" s="398">
        <f>IF($R38="","",MAX($Q$32:Q37)+1)</f>
        <v>7</v>
      </c>
      <c r="R38" s="407" t="str">
        <f>IF(IndividualsPerGame!C10="","",IndividualsPerGame!C10)</f>
        <v>Jalen Myers</v>
      </c>
      <c r="S38" s="407" t="str">
        <f>IF(IndividualsPerGame!D10="","",IndividualsPerGame!D10)</f>
        <v>Lightning</v>
      </c>
      <c r="T38" s="398">
        <f>IF(IndividualsPerGame!E10=-0.00001,"",IndividualsPerGame!E10)</f>
        <v>4</v>
      </c>
      <c r="U38" s="399">
        <f>IF(IndividualsPerGame!F10=-0.00001,"",IndividualsPerGame!F10)</f>
        <v>16.75</v>
      </c>
      <c r="V38" s="399">
        <f>IF(IndividualsPerGame!G10=-0.00001,"",IndividualsPerGame!G10)</f>
        <v>12.25</v>
      </c>
      <c r="W38" s="399">
        <f>IF(IndividualsPerGame!H10=-0.00001,"",IndividualsPerGame!H10)</f>
        <v>5.75</v>
      </c>
      <c r="X38" s="399">
        <f>IF(IndividualsPerGame!I10=-0.00001,"",IndividualsPerGame!I10)</f>
        <v>3.25</v>
      </c>
      <c r="Y38" s="399">
        <f>IF(IndividualsPerGame!J10=-0.00001,"",IndividualsPerGame!J10)</f>
        <v>3.5</v>
      </c>
      <c r="Z38" s="399">
        <f>IF(IndividualsPerGame!K10=-0.00001,"",IndividualsPerGame!K10)</f>
        <v>2</v>
      </c>
      <c r="AA38" s="399">
        <f>IF(IndividualsPerGame!L10=-0.00001,"",IndividualsPerGame!L10)</f>
        <v>2.75</v>
      </c>
      <c r="AB38" s="399">
        <f>IF(IndividualsPerGame!M10=-0.00001,"",IndividualsPerGame!M10)</f>
        <v>9.5</v>
      </c>
      <c r="AC38" s="424">
        <f>IF(IndividualsPerGame!N10=-0.00001,"",IndividualsPerGame!N10)</f>
        <v>0.5</v>
      </c>
      <c r="AD38" s="399">
        <f>IF(IndividualsPerGame!O10=-0.00001,"",IndividualsPerGame!O10)</f>
        <v>1</v>
      </c>
      <c r="AE38" s="425">
        <f>IF(IndividualsPerGame!P10=-0.00001,"",IndividualsPerGame!P10)</f>
        <v>0.5</v>
      </c>
      <c r="AF38" s="424">
        <f>IF(IndividualsPerGame!Q10=-0.00001,"",IndividualsPerGame!Q10)</f>
        <v>7</v>
      </c>
      <c r="AG38" s="399">
        <f>IF(IndividualsPerGame!R10=-0.00001,"",IndividualsPerGame!R10)</f>
        <v>12.25</v>
      </c>
      <c r="AH38" s="425">
        <f>IF(IndividualsPerGame!S10=-0.00001,"",IndividualsPerGame!S10)</f>
        <v>0.56370192307692302</v>
      </c>
      <c r="AI38" s="399">
        <f>IF(IndividualsPerGame!T10=-0.00001,"",IndividualsPerGame!T10)</f>
        <v>2.25</v>
      </c>
      <c r="AJ38" s="399">
        <f>IF(IndividualsPerGame!U10=-0.00001,"",IndividualsPerGame!U10)</f>
        <v>5</v>
      </c>
      <c r="AK38" s="400">
        <f>IF(IndividualsPerGame!V10=-0.00001,"",IndividualsPerGame!V10)</f>
        <v>0.41666666666666669</v>
      </c>
    </row>
    <row r="39" spans="17:37" ht="11.25" customHeight="1" x14ac:dyDescent="0.25">
      <c r="Q39" s="398">
        <f>IF($R39="","",MAX($Q$32:Q38)+1)</f>
        <v>8</v>
      </c>
      <c r="R39" s="407" t="str">
        <f>IF(IndividualsPerGame!C11="","",IndividualsPerGame!C11)</f>
        <v>AJ Wagner</v>
      </c>
      <c r="S39" s="407" t="str">
        <f>IF(IndividualsPerGame!D11="","",IndividualsPerGame!D11)</f>
        <v>Lightning</v>
      </c>
      <c r="T39" s="398">
        <f>IF(IndividualsPerGame!E11=-0.00001,"",IndividualsPerGame!E11)</f>
        <v>4</v>
      </c>
      <c r="U39" s="399">
        <f>IF(IndividualsPerGame!F11=-0.00001,"",IndividualsPerGame!F11)</f>
        <v>15.5</v>
      </c>
      <c r="V39" s="399">
        <f>IF(IndividualsPerGame!G11=-0.00001,"",IndividualsPerGame!G11)</f>
        <v>5.25</v>
      </c>
      <c r="W39" s="399">
        <f>IF(IndividualsPerGame!H11=-0.00001,"",IndividualsPerGame!H11)</f>
        <v>2</v>
      </c>
      <c r="X39" s="399">
        <f>IF(IndividualsPerGame!I11=-0.00001,"",IndividualsPerGame!I11)</f>
        <v>2</v>
      </c>
      <c r="Y39" s="399">
        <f>IF(IndividualsPerGame!J11=-0.00001,"",IndividualsPerGame!J11)</f>
        <v>0.25</v>
      </c>
      <c r="Z39" s="399">
        <f>IF(IndividualsPerGame!K11=-0.00001,"",IndividualsPerGame!K11)</f>
        <v>0.75</v>
      </c>
      <c r="AA39" s="399">
        <f>IF(IndividualsPerGame!L11=-0.00001,"",IndividualsPerGame!L11)</f>
        <v>2</v>
      </c>
      <c r="AB39" s="399">
        <f>IF(IndividualsPerGame!M11=-0.00001,"",IndividualsPerGame!M11)</f>
        <v>3.25</v>
      </c>
      <c r="AC39" s="424">
        <f>IF(IndividualsPerGame!N11=-0.00001,"",IndividualsPerGame!N11)</f>
        <v>1.75</v>
      </c>
      <c r="AD39" s="399">
        <f>IF(IndividualsPerGame!O11=-0.00001,"",IndividualsPerGame!O11)</f>
        <v>6.25</v>
      </c>
      <c r="AE39" s="425">
        <f>IF(IndividualsPerGame!P11=-0.00001,"",IndividualsPerGame!P11)</f>
        <v>0.17207792207792205</v>
      </c>
      <c r="AF39" s="424">
        <f>IF(IndividualsPerGame!Q11=-0.00001,"",IndividualsPerGame!Q11)</f>
        <v>6.75</v>
      </c>
      <c r="AG39" s="399">
        <f>IF(IndividualsPerGame!R11=-0.00001,"",IndividualsPerGame!R11)</f>
        <v>17.5</v>
      </c>
      <c r="AH39" s="425">
        <f>IF(IndividualsPerGame!S11=-0.00001,"",IndividualsPerGame!S11)</f>
        <v>0.36562499999999998</v>
      </c>
      <c r="AI39" s="399">
        <f>IF(IndividualsPerGame!T11=-0.00001,"",IndividualsPerGame!T11)</f>
        <v>0.25</v>
      </c>
      <c r="AJ39" s="399">
        <f>IF(IndividualsPerGame!U11=-0.00001,"",IndividualsPerGame!U11)</f>
        <v>0.25</v>
      </c>
      <c r="AK39" s="400">
        <f>IF(IndividualsPerGame!V11=-0.00001,"",IndividualsPerGame!V11)</f>
        <v>1</v>
      </c>
    </row>
    <row r="40" spans="17:37" ht="11.25" customHeight="1" x14ac:dyDescent="0.25">
      <c r="Q40" s="398">
        <f>IF($R40="","",MAX($Q$32:Q39)+1)</f>
        <v>9</v>
      </c>
      <c r="R40" s="407" t="str">
        <f>IF(IndividualsPerGame!C12="","",IndividualsPerGame!C12)</f>
        <v>Dakota Maher</v>
      </c>
      <c r="S40" s="407" t="str">
        <f>IF(IndividualsPerGame!D12="","",IndividualsPerGame!D12)</f>
        <v>Hoopers</v>
      </c>
      <c r="T40" s="398">
        <f>IF(IndividualsPerGame!E12=-0.00001,"",IndividualsPerGame!E12)</f>
        <v>4</v>
      </c>
      <c r="U40" s="399">
        <f>IF(IndividualsPerGame!F12=-0.00001,"",IndividualsPerGame!F12)</f>
        <v>15.25</v>
      </c>
      <c r="V40" s="399">
        <f>IF(IndividualsPerGame!G12=-0.00001,"",IndividualsPerGame!G12)</f>
        <v>6.25</v>
      </c>
      <c r="W40" s="399">
        <f>IF(IndividualsPerGame!H12=-0.00001,"",IndividualsPerGame!H12)</f>
        <v>0.25</v>
      </c>
      <c r="X40" s="399">
        <f>IF(IndividualsPerGame!I12=-0.00001,"",IndividualsPerGame!I12)</f>
        <v>1.25</v>
      </c>
      <c r="Y40" s="399">
        <f>IF(IndividualsPerGame!J12=-0.00001,"",IndividualsPerGame!J12)</f>
        <v>0</v>
      </c>
      <c r="Z40" s="399">
        <f>IF(IndividualsPerGame!K12=-0.00001,"",IndividualsPerGame!K12)</f>
        <v>1.5</v>
      </c>
      <c r="AA40" s="399">
        <f>IF(IndividualsPerGame!L12=-0.00001,"",IndividualsPerGame!L12)</f>
        <v>2.25</v>
      </c>
      <c r="AB40" s="399">
        <f>IF(IndividualsPerGame!M12=-0.00001,"",IndividualsPerGame!M12)</f>
        <v>4</v>
      </c>
      <c r="AC40" s="424">
        <f>IF(IndividualsPerGame!N12=-0.00001,"",IndividualsPerGame!N12)</f>
        <v>1</v>
      </c>
      <c r="AD40" s="399">
        <f>IF(IndividualsPerGame!O12=-0.00001,"",IndividualsPerGame!O12)</f>
        <v>5.5</v>
      </c>
      <c r="AE40" s="425">
        <f>IF(IndividualsPerGame!P12=-0.00001,"",IndividualsPerGame!P12)</f>
        <v>0.20512820512820512</v>
      </c>
      <c r="AF40" s="424">
        <f>IF(IndividualsPerGame!Q12=-0.00001,"",IndividualsPerGame!Q12)</f>
        <v>7</v>
      </c>
      <c r="AG40" s="399">
        <f>IF(IndividualsPerGame!R12=-0.00001,"",IndividualsPerGame!R12)</f>
        <v>20</v>
      </c>
      <c r="AH40" s="425">
        <f>IF(IndividualsPerGame!S12=-0.00001,"",IndividualsPerGame!S12)</f>
        <v>0.32800066312997345</v>
      </c>
      <c r="AI40" s="399">
        <f>IF(IndividualsPerGame!T12=-0.00001,"",IndividualsPerGame!T12)</f>
        <v>0.25</v>
      </c>
      <c r="AJ40" s="399">
        <f>IF(IndividualsPerGame!U12=-0.00001,"",IndividualsPerGame!U12)</f>
        <v>1.75</v>
      </c>
      <c r="AK40" s="400">
        <f>IF(IndividualsPerGame!V12=-0.00001,"",IndividualsPerGame!V12)</f>
        <v>0.16666666666666666</v>
      </c>
    </row>
    <row r="41" spans="17:37" ht="11.25" customHeight="1" x14ac:dyDescent="0.25">
      <c r="Q41" s="398">
        <f>IF($R41="","",MAX($Q$32:Q40)+1)</f>
        <v>10</v>
      </c>
      <c r="R41" s="407" t="str">
        <f>IF(IndividualsPerGame!C13="","",IndividualsPerGame!C13)</f>
        <v>Mike Flipse</v>
      </c>
      <c r="S41" s="407" t="str">
        <f>IF(IndividualsPerGame!D13="","",IndividualsPerGame!D13)</f>
        <v>Vandals</v>
      </c>
      <c r="T41" s="398">
        <f>IF(IndividualsPerGame!E13=-0.00001,"",IndividualsPerGame!E13)</f>
        <v>3</v>
      </c>
      <c r="U41" s="399">
        <f>IF(IndividualsPerGame!F13=-0.00001,"",IndividualsPerGame!F13)</f>
        <v>14</v>
      </c>
      <c r="V41" s="399">
        <f>IF(IndividualsPerGame!G13=-0.00001,"",IndividualsPerGame!G13)</f>
        <v>10</v>
      </c>
      <c r="W41" s="399">
        <f>IF(IndividualsPerGame!H13=-0.00001,"",IndividualsPerGame!H13)</f>
        <v>2</v>
      </c>
      <c r="X41" s="399">
        <f>IF(IndividualsPerGame!I13=-0.00001,"",IndividualsPerGame!I13)</f>
        <v>2.6666666666666665</v>
      </c>
      <c r="Y41" s="399">
        <f>IF(IndividualsPerGame!J13=-0.00001,"",IndividualsPerGame!J13)</f>
        <v>0</v>
      </c>
      <c r="Z41" s="399">
        <f>IF(IndividualsPerGame!K13=-0.00001,"",IndividualsPerGame!K13)</f>
        <v>4.333333333333333</v>
      </c>
      <c r="AA41" s="399">
        <f>IF(IndividualsPerGame!L13=-0.00001,"",IndividualsPerGame!L13)</f>
        <v>2.3333333333333335</v>
      </c>
      <c r="AB41" s="399">
        <f>IF(IndividualsPerGame!M13=-0.00001,"",IndividualsPerGame!M13)</f>
        <v>4</v>
      </c>
      <c r="AC41" s="424">
        <f>IF(IndividualsPerGame!N13=-0.00001,"",IndividualsPerGame!N13)</f>
        <v>0.66666666666666663</v>
      </c>
      <c r="AD41" s="399">
        <f>IF(IndividualsPerGame!O13=-0.00001,"",IndividualsPerGame!O13)</f>
        <v>2.6666666666666665</v>
      </c>
      <c r="AE41" s="425">
        <f>IF(IndividualsPerGame!P13=-0.00001,"",IndividualsPerGame!P13)</f>
        <v>0.13333333333333333</v>
      </c>
      <c r="AF41" s="424">
        <f>IF(IndividualsPerGame!Q13=-0.00001,"",IndividualsPerGame!Q13)</f>
        <v>5.666666666666667</v>
      </c>
      <c r="AG41" s="399">
        <f>IF(IndividualsPerGame!R13=-0.00001,"",IndividualsPerGame!R13)</f>
        <v>14</v>
      </c>
      <c r="AH41" s="425">
        <f>IF(IndividualsPerGame!S13=-0.00001,"",IndividualsPerGame!S13)</f>
        <v>0.40122100122100118</v>
      </c>
      <c r="AI41" s="399">
        <f>IF(IndividualsPerGame!T13=-0.00001,"",IndividualsPerGame!T13)</f>
        <v>2</v>
      </c>
      <c r="AJ41" s="399">
        <f>IF(IndividualsPerGame!U13=-0.00001,"",IndividualsPerGame!U13)</f>
        <v>2.3333333333333335</v>
      </c>
      <c r="AK41" s="400">
        <f>IF(IndividualsPerGame!V13=-0.00001,"",IndividualsPerGame!V13)</f>
        <v>0.91666666666666674</v>
      </c>
    </row>
    <row r="42" spans="17:37" ht="11.25" customHeight="1" x14ac:dyDescent="0.25">
      <c r="Q42" s="398">
        <f>IF($R42="","",MAX($Q$32:Q41)+1)</f>
        <v>11</v>
      </c>
      <c r="R42" s="407" t="str">
        <f>IF(IndividualsPerGame!C14="","",IndividualsPerGame!C14)</f>
        <v>Alex VanDeBussche</v>
      </c>
      <c r="S42" s="407" t="str">
        <f>IF(IndividualsPerGame!D14="","",IndividualsPerGame!D14)</f>
        <v>Pistons</v>
      </c>
      <c r="T42" s="398">
        <f>IF(IndividualsPerGame!E14=-0.00001,"",IndividualsPerGame!E14)</f>
        <v>3</v>
      </c>
      <c r="U42" s="399">
        <f>IF(IndividualsPerGame!F14=-0.00001,"",IndividualsPerGame!F14)</f>
        <v>14</v>
      </c>
      <c r="V42" s="399">
        <f>IF(IndividualsPerGame!G14=-0.00001,"",IndividualsPerGame!G14)</f>
        <v>7.333333333333333</v>
      </c>
      <c r="W42" s="399">
        <f>IF(IndividualsPerGame!H14=-0.00001,"",IndividualsPerGame!H14)</f>
        <v>1.6666666666666667</v>
      </c>
      <c r="X42" s="399">
        <f>IF(IndividualsPerGame!I14=-0.00001,"",IndividualsPerGame!I14)</f>
        <v>1</v>
      </c>
      <c r="Y42" s="399">
        <f>IF(IndividualsPerGame!J14=-0.00001,"",IndividualsPerGame!J14)</f>
        <v>0.33333333333333331</v>
      </c>
      <c r="Z42" s="399">
        <f>IF(IndividualsPerGame!K14=-0.00001,"",IndividualsPerGame!K14)</f>
        <v>0.66666666666666663</v>
      </c>
      <c r="AA42" s="399">
        <f>IF(IndividualsPerGame!L14=-0.00001,"",IndividualsPerGame!L14)</f>
        <v>2.3333333333333335</v>
      </c>
      <c r="AB42" s="399">
        <f>IF(IndividualsPerGame!M14=-0.00001,"",IndividualsPerGame!M14)</f>
        <v>5</v>
      </c>
      <c r="AC42" s="424">
        <f>IF(IndividualsPerGame!N14=-0.00001,"",IndividualsPerGame!N14)</f>
        <v>3.3333333333333335</v>
      </c>
      <c r="AD42" s="399">
        <f>IF(IndividualsPerGame!O14=-0.00001,"",IndividualsPerGame!O14)</f>
        <v>11</v>
      </c>
      <c r="AE42" s="425">
        <f>IF(IndividualsPerGame!P14=-0.00001,"",IndividualsPerGame!P14)</f>
        <v>0.32064232064232062</v>
      </c>
      <c r="AF42" s="424">
        <f>IF(IndividualsPerGame!Q14=-0.00001,"",IndividualsPerGame!Q14)</f>
        <v>5.333333333333333</v>
      </c>
      <c r="AG42" s="399">
        <f>IF(IndividualsPerGame!R14=-0.00001,"",IndividualsPerGame!R14)</f>
        <v>17.333333333333332</v>
      </c>
      <c r="AH42" s="425">
        <f>IF(IndividualsPerGame!S14=-0.00001,"",IndividualsPerGame!S14)</f>
        <v>0.31871212121212122</v>
      </c>
      <c r="AI42" s="399">
        <f>IF(IndividualsPerGame!T14=-0.00001,"",IndividualsPerGame!T14)</f>
        <v>0</v>
      </c>
      <c r="AJ42" s="399">
        <f>IF(IndividualsPerGame!U14=-0.00001,"",IndividualsPerGame!U14)</f>
        <v>0.33333333333333331</v>
      </c>
      <c r="AK42" s="400">
        <f>IF(IndividualsPerGame!V14=-0.00001,"",IndividualsPerGame!V14)</f>
        <v>0</v>
      </c>
    </row>
    <row r="43" spans="17:37" ht="11.25" customHeight="1" x14ac:dyDescent="0.25">
      <c r="Q43" s="398">
        <f>IF($R43="","",MAX($Q$32:Q42)+1)</f>
        <v>12</v>
      </c>
      <c r="R43" s="407" t="str">
        <f>IF(IndividualsPerGame!C15="","",IndividualsPerGame!C15)</f>
        <v>Dylan Semler</v>
      </c>
      <c r="S43" s="407" t="str">
        <f>IF(IndividualsPerGame!D15="","",IndividualsPerGame!D15)</f>
        <v>Wombats</v>
      </c>
      <c r="T43" s="398">
        <f>IF(IndividualsPerGame!E15=-0.00001,"",IndividualsPerGame!E15)</f>
        <v>4</v>
      </c>
      <c r="U43" s="399">
        <f>IF(IndividualsPerGame!F15=-0.00001,"",IndividualsPerGame!F15)</f>
        <v>13</v>
      </c>
      <c r="V43" s="399">
        <f>IF(IndividualsPerGame!G15=-0.00001,"",IndividualsPerGame!G15)</f>
        <v>6.5</v>
      </c>
      <c r="W43" s="399">
        <f>IF(IndividualsPerGame!H15=-0.00001,"",IndividualsPerGame!H15)</f>
        <v>2</v>
      </c>
      <c r="X43" s="399">
        <f>IF(IndividualsPerGame!I15=-0.00001,"",IndividualsPerGame!I15)</f>
        <v>1</v>
      </c>
      <c r="Y43" s="399">
        <f>IF(IndividualsPerGame!J15=-0.00001,"",IndividualsPerGame!J15)</f>
        <v>0</v>
      </c>
      <c r="Z43" s="399">
        <f>IF(IndividualsPerGame!K15=-0.00001,"",IndividualsPerGame!K15)</f>
        <v>1.25</v>
      </c>
      <c r="AA43" s="399">
        <f>IF(IndividualsPerGame!L15=-0.00001,"",IndividualsPerGame!L15)</f>
        <v>1.75</v>
      </c>
      <c r="AB43" s="399">
        <f>IF(IndividualsPerGame!M15=-0.00001,"",IndividualsPerGame!M15)</f>
        <v>4.75</v>
      </c>
      <c r="AC43" s="424">
        <f>IF(IndividualsPerGame!N15=-0.00001,"",IndividualsPerGame!N15)</f>
        <v>2.5</v>
      </c>
      <c r="AD43" s="399">
        <f>IF(IndividualsPerGame!O15=-0.00001,"",IndividualsPerGame!O15)</f>
        <v>8.5</v>
      </c>
      <c r="AE43" s="425">
        <f>IF(IndividualsPerGame!P15=-0.00001,"",IndividualsPerGame!P15)</f>
        <v>0.30638111888111891</v>
      </c>
      <c r="AF43" s="424">
        <f>IF(IndividualsPerGame!Q15=-0.00001,"",IndividualsPerGame!Q15)</f>
        <v>5.25</v>
      </c>
      <c r="AG43" s="399">
        <f>IF(IndividualsPerGame!R15=-0.00001,"",IndividualsPerGame!R15)</f>
        <v>13.5</v>
      </c>
      <c r="AH43" s="425">
        <f>IF(IndividualsPerGame!S15=-0.00001,"",IndividualsPerGame!S15)</f>
        <v>0.38583638583638585</v>
      </c>
      <c r="AI43" s="399">
        <f>IF(IndividualsPerGame!T15=-0.00001,"",IndividualsPerGame!T15)</f>
        <v>0</v>
      </c>
      <c r="AJ43" s="399">
        <f>IF(IndividualsPerGame!U15=-0.00001,"",IndividualsPerGame!U15)</f>
        <v>0.25</v>
      </c>
      <c r="AK43" s="400">
        <f>IF(IndividualsPerGame!V15=-0.00001,"",IndividualsPerGame!V15)</f>
        <v>0</v>
      </c>
    </row>
    <row r="44" spans="17:37" ht="11.25" customHeight="1" x14ac:dyDescent="0.25">
      <c r="Q44" s="398">
        <f>IF($R44="","",MAX($Q$32:Q43)+1)</f>
        <v>13</v>
      </c>
      <c r="R44" s="407" t="str">
        <f>IF(IndividualsPerGame!C16="","",IndividualsPerGame!C16)</f>
        <v>Brett Fitzwater</v>
      </c>
      <c r="S44" s="407" t="str">
        <f>IF(IndividualsPerGame!D16="","",IndividualsPerGame!D16)</f>
        <v>Vandals</v>
      </c>
      <c r="T44" s="398">
        <f>IF(IndividualsPerGame!E16=-0.00001,"",IndividualsPerGame!E16)</f>
        <v>4</v>
      </c>
      <c r="U44" s="399">
        <f>IF(IndividualsPerGame!F16=-0.00001,"",IndividualsPerGame!F16)</f>
        <v>12.75</v>
      </c>
      <c r="V44" s="399">
        <f>IF(IndividualsPerGame!G16=-0.00001,"",IndividualsPerGame!G16)</f>
        <v>14.75</v>
      </c>
      <c r="W44" s="399">
        <f>IF(IndividualsPerGame!H16=-0.00001,"",IndividualsPerGame!H16)</f>
        <v>2.5</v>
      </c>
      <c r="X44" s="399">
        <f>IF(IndividualsPerGame!I16=-0.00001,"",IndividualsPerGame!I16)</f>
        <v>4.75</v>
      </c>
      <c r="Y44" s="399">
        <f>IF(IndividualsPerGame!J16=-0.00001,"",IndividualsPerGame!J16)</f>
        <v>1</v>
      </c>
      <c r="Z44" s="399">
        <f>IF(IndividualsPerGame!K16=-0.00001,"",IndividualsPerGame!K16)</f>
        <v>3.5</v>
      </c>
      <c r="AA44" s="399">
        <f>IF(IndividualsPerGame!L16=-0.00001,"",IndividualsPerGame!L16)</f>
        <v>1.75</v>
      </c>
      <c r="AB44" s="399">
        <f>IF(IndividualsPerGame!M16=-0.00001,"",IndividualsPerGame!M16)</f>
        <v>10.25</v>
      </c>
      <c r="AC44" s="424">
        <f>IF(IndividualsPerGame!N16=-0.00001,"",IndividualsPerGame!N16)</f>
        <v>1.5</v>
      </c>
      <c r="AD44" s="399">
        <f>IF(IndividualsPerGame!O16=-0.00001,"",IndividualsPerGame!O16)</f>
        <v>6</v>
      </c>
      <c r="AE44" s="425">
        <f>IF(IndividualsPerGame!P16=-0.00001,"",IndividualsPerGame!P16)</f>
        <v>0.23809523809523808</v>
      </c>
      <c r="AF44" s="424">
        <f>IF(IndividualsPerGame!Q16=-0.00001,"",IndividualsPerGame!Q16)</f>
        <v>5.5</v>
      </c>
      <c r="AG44" s="399">
        <f>IF(IndividualsPerGame!R16=-0.00001,"",IndividualsPerGame!R16)</f>
        <v>15.75</v>
      </c>
      <c r="AH44" s="425">
        <f>IF(IndividualsPerGame!S16=-0.00001,"",IndividualsPerGame!S16)</f>
        <v>0.35361519607843134</v>
      </c>
      <c r="AI44" s="399">
        <f>IF(IndividualsPerGame!T16=-0.00001,"",IndividualsPerGame!T16)</f>
        <v>0.25</v>
      </c>
      <c r="AJ44" s="399">
        <f>IF(IndividualsPerGame!U16=-0.00001,"",IndividualsPerGame!U16)</f>
        <v>0.5</v>
      </c>
      <c r="AK44" s="400">
        <f>IF(IndividualsPerGame!V16=-0.00001,"",IndividualsPerGame!V16)</f>
        <v>0.5</v>
      </c>
    </row>
    <row r="45" spans="17:37" ht="11.25" customHeight="1" x14ac:dyDescent="0.25">
      <c r="Q45" s="398">
        <f>IF($R45="","",MAX($Q$32:Q44)+1)</f>
        <v>14</v>
      </c>
      <c r="R45" s="407" t="str">
        <f>IF(IndividualsPerGame!C17="","",IndividualsPerGame!C17)</f>
        <v>Jarid Schwiefert</v>
      </c>
      <c r="S45" s="407" t="str">
        <f>IF(IndividualsPerGame!D17="","",IndividualsPerGame!D17)</f>
        <v>Vandals</v>
      </c>
      <c r="T45" s="398">
        <f>IF(IndividualsPerGame!E17=-0.00001,"",IndividualsPerGame!E17)</f>
        <v>3</v>
      </c>
      <c r="U45" s="399">
        <f>IF(IndividualsPerGame!F17=-0.00001,"",IndividualsPerGame!F17)</f>
        <v>12.666666666666666</v>
      </c>
      <c r="V45" s="399">
        <f>IF(IndividualsPerGame!G17=-0.00001,"",IndividualsPerGame!G17)</f>
        <v>6.333333333333333</v>
      </c>
      <c r="W45" s="399">
        <f>IF(IndividualsPerGame!H17=-0.00001,"",IndividualsPerGame!H17)</f>
        <v>4</v>
      </c>
      <c r="X45" s="399">
        <f>IF(IndividualsPerGame!I17=-0.00001,"",IndividualsPerGame!I17)</f>
        <v>3</v>
      </c>
      <c r="Y45" s="399">
        <f>IF(IndividualsPerGame!J17=-0.00001,"",IndividualsPerGame!J17)</f>
        <v>0.33333333333333331</v>
      </c>
      <c r="Z45" s="399">
        <f>IF(IndividualsPerGame!K17=-0.00001,"",IndividualsPerGame!K17)</f>
        <v>2.3333333333333335</v>
      </c>
      <c r="AA45" s="399">
        <f>IF(IndividualsPerGame!L17=-0.00001,"",IndividualsPerGame!L17)</f>
        <v>2.3333333333333335</v>
      </c>
      <c r="AB45" s="399">
        <f>IF(IndividualsPerGame!M17=-0.00001,"",IndividualsPerGame!M17)</f>
        <v>4</v>
      </c>
      <c r="AC45" s="424">
        <f>IF(IndividualsPerGame!N17=-0.00001,"",IndividualsPerGame!N17)</f>
        <v>1.3333333333333333</v>
      </c>
      <c r="AD45" s="399">
        <f>IF(IndividualsPerGame!O17=-0.00001,"",IndividualsPerGame!O17)</f>
        <v>6</v>
      </c>
      <c r="AE45" s="425">
        <f>IF(IndividualsPerGame!P17=-0.00001,"",IndividualsPerGame!P17)</f>
        <v>0.24801587301587302</v>
      </c>
      <c r="AF45" s="424">
        <f>IF(IndividualsPerGame!Q17=-0.00001,"",IndividualsPerGame!Q17)</f>
        <v>5.333333333333333</v>
      </c>
      <c r="AG45" s="399">
        <f>IF(IndividualsPerGame!R17=-0.00001,"",IndividualsPerGame!R17)</f>
        <v>15.666666666666666</v>
      </c>
      <c r="AH45" s="425">
        <f>IF(IndividualsPerGame!S17=-0.00001,"",IndividualsPerGame!S17)</f>
        <v>0.34331232492997205</v>
      </c>
      <c r="AI45" s="399">
        <f>IF(IndividualsPerGame!T17=-0.00001,"",IndividualsPerGame!T17)</f>
        <v>0.66666666666666663</v>
      </c>
      <c r="AJ45" s="399">
        <f>IF(IndividualsPerGame!U17=-0.00001,"",IndividualsPerGame!U17)</f>
        <v>1.3333333333333333</v>
      </c>
      <c r="AK45" s="400">
        <f>IF(IndividualsPerGame!V17=-0.00001,"",IndividualsPerGame!V17)</f>
        <v>0.5</v>
      </c>
    </row>
    <row r="46" spans="17:37" ht="11.25" customHeight="1" x14ac:dyDescent="0.25">
      <c r="Q46" s="398">
        <f>IF($R46="","",MAX($Q$32:Q45)+1)</f>
        <v>15</v>
      </c>
      <c r="R46" s="407" t="str">
        <f>IF(IndividualsPerGame!C18="","",IndividualsPerGame!C18)</f>
        <v>Parker Vollmar</v>
      </c>
      <c r="S46" s="407" t="str">
        <f>IF(IndividualsPerGame!D18="","",IndividualsPerGame!D18)</f>
        <v>Pistons</v>
      </c>
      <c r="T46" s="398">
        <f>IF(IndividualsPerGame!E18=-0.00001,"",IndividualsPerGame!E18)</f>
        <v>4</v>
      </c>
      <c r="U46" s="399">
        <f>IF(IndividualsPerGame!F18=-0.00001,"",IndividualsPerGame!F18)</f>
        <v>12.5</v>
      </c>
      <c r="V46" s="399">
        <f>IF(IndividualsPerGame!G18=-0.00001,"",IndividualsPerGame!G18)</f>
        <v>5.5</v>
      </c>
      <c r="W46" s="399">
        <f>IF(IndividualsPerGame!H18=-0.00001,"",IndividualsPerGame!H18)</f>
        <v>1.75</v>
      </c>
      <c r="X46" s="399">
        <f>IF(IndividualsPerGame!I18=-0.00001,"",IndividualsPerGame!I18)</f>
        <v>1.25</v>
      </c>
      <c r="Y46" s="399">
        <f>IF(IndividualsPerGame!J18=-0.00001,"",IndividualsPerGame!J18)</f>
        <v>0.25</v>
      </c>
      <c r="Z46" s="399">
        <f>IF(IndividualsPerGame!K18=-0.00001,"",IndividualsPerGame!K18)</f>
        <v>1.75</v>
      </c>
      <c r="AA46" s="399">
        <f>IF(IndividualsPerGame!L18=-0.00001,"",IndividualsPerGame!L18)</f>
        <v>1</v>
      </c>
      <c r="AB46" s="399">
        <f>IF(IndividualsPerGame!M18=-0.00001,"",IndividualsPerGame!M18)</f>
        <v>4.5</v>
      </c>
      <c r="AC46" s="424">
        <f>IF(IndividualsPerGame!N18=-0.00001,"",IndividualsPerGame!N18)</f>
        <v>1.5</v>
      </c>
      <c r="AD46" s="399">
        <f>IF(IndividualsPerGame!O18=-0.00001,"",IndividualsPerGame!O18)</f>
        <v>7.75</v>
      </c>
      <c r="AE46" s="425">
        <f>IF(IndividualsPerGame!P18=-0.00001,"",IndividualsPerGame!P18)</f>
        <v>0.16382575757575757</v>
      </c>
      <c r="AF46" s="424">
        <f>IF(IndividualsPerGame!Q18=-0.00001,"",IndividualsPerGame!Q18)</f>
        <v>5</v>
      </c>
      <c r="AG46" s="399">
        <f>IF(IndividualsPerGame!R18=-0.00001,"",IndividualsPerGame!R18)</f>
        <v>15</v>
      </c>
      <c r="AH46" s="425">
        <f>IF(IndividualsPerGame!S18=-0.00001,"",IndividualsPerGame!S18)</f>
        <v>0.33748006379585327</v>
      </c>
      <c r="AI46" s="399">
        <f>IF(IndividualsPerGame!T18=-0.00001,"",IndividualsPerGame!T18)</f>
        <v>0.5</v>
      </c>
      <c r="AJ46" s="399">
        <f>IF(IndividualsPerGame!U18=-0.00001,"",IndividualsPerGame!U18)</f>
        <v>1</v>
      </c>
      <c r="AK46" s="400">
        <f>IF(IndividualsPerGame!V18=-0.00001,"",IndividualsPerGame!V18)</f>
        <v>0.5</v>
      </c>
    </row>
    <row r="47" spans="17:37" ht="11.25" customHeight="1" x14ac:dyDescent="0.25">
      <c r="Q47" s="398">
        <f>IF($R47="","",MAX($Q$32:Q46)+1)</f>
        <v>16</v>
      </c>
      <c r="R47" s="407" t="str">
        <f>IF(IndividualsPerGame!C19="","",IndividualsPerGame!C19)</f>
        <v>Logan Frobose</v>
      </c>
      <c r="S47" s="407" t="str">
        <f>IF(IndividualsPerGame!D19="","",IndividualsPerGame!D19)</f>
        <v>Mustangs</v>
      </c>
      <c r="T47" s="398">
        <f>IF(IndividualsPerGame!E19=-0.00001,"",IndividualsPerGame!E19)</f>
        <v>3</v>
      </c>
      <c r="U47" s="399">
        <f>IF(IndividualsPerGame!F19=-0.00001,"",IndividualsPerGame!F19)</f>
        <v>11.666666666666666</v>
      </c>
      <c r="V47" s="399">
        <f>IF(IndividualsPerGame!G19=-0.00001,"",IndividualsPerGame!G19)</f>
        <v>5.333333333333333</v>
      </c>
      <c r="W47" s="399">
        <f>IF(IndividualsPerGame!H19=-0.00001,"",IndividualsPerGame!H19)</f>
        <v>2</v>
      </c>
      <c r="X47" s="399">
        <f>IF(IndividualsPerGame!I19=-0.00001,"",IndividualsPerGame!I19)</f>
        <v>2.3333333333333335</v>
      </c>
      <c r="Y47" s="399">
        <f>IF(IndividualsPerGame!J19=-0.00001,"",IndividualsPerGame!J19)</f>
        <v>0.33333333333333331</v>
      </c>
      <c r="Z47" s="399">
        <f>IF(IndividualsPerGame!K19=-0.00001,"",IndividualsPerGame!K19)</f>
        <v>1.3333333333333333</v>
      </c>
      <c r="AA47" s="399">
        <f>IF(IndividualsPerGame!L19=-0.00001,"",IndividualsPerGame!L19)</f>
        <v>0.33333333333333331</v>
      </c>
      <c r="AB47" s="399">
        <f>IF(IndividualsPerGame!M19=-0.00001,"",IndividualsPerGame!M19)</f>
        <v>3.6666666666666665</v>
      </c>
      <c r="AC47" s="424">
        <f>IF(IndividualsPerGame!N19=-0.00001,"",IndividualsPerGame!N19)</f>
        <v>1.6666666666666667</v>
      </c>
      <c r="AD47" s="399">
        <f>IF(IndividualsPerGame!O19=-0.00001,"",IndividualsPerGame!O19)</f>
        <v>8</v>
      </c>
      <c r="AE47" s="425">
        <f>IF(IndividualsPerGame!P19=-0.00001,"",IndividualsPerGame!P19)</f>
        <v>0.16666666666666666</v>
      </c>
      <c r="AF47" s="424">
        <f>IF(IndividualsPerGame!Q19=-0.00001,"",IndividualsPerGame!Q19)</f>
        <v>5</v>
      </c>
      <c r="AG47" s="399">
        <f>IF(IndividualsPerGame!R19=-0.00001,"",IndividualsPerGame!R19)</f>
        <v>14</v>
      </c>
      <c r="AH47" s="425">
        <f>IF(IndividualsPerGame!S19=-0.00001,"",IndividualsPerGame!S19)</f>
        <v>0.35454545454545455</v>
      </c>
      <c r="AI47" s="399">
        <f>IF(IndividualsPerGame!T19=-0.00001,"",IndividualsPerGame!T19)</f>
        <v>0</v>
      </c>
      <c r="AJ47" s="399">
        <f>IF(IndividualsPerGame!U19=-0.00001,"",IndividualsPerGame!U19)</f>
        <v>0</v>
      </c>
      <c r="AK47" s="400" t="str">
        <f>IF(IndividualsPerGame!V19=-0.00001,"",IndividualsPerGame!V19)</f>
        <v/>
      </c>
    </row>
    <row r="48" spans="17:37" ht="11.25" customHeight="1" x14ac:dyDescent="0.25">
      <c r="Q48" s="398">
        <f>IF($R48="","",MAX($Q$32:Q47)+1)</f>
        <v>17</v>
      </c>
      <c r="R48" s="407" t="str">
        <f>IF(IndividualsPerGame!C20="","",IndividualsPerGame!C20)</f>
        <v>Dallas Keifer</v>
      </c>
      <c r="S48" s="407" t="str">
        <f>IF(IndividualsPerGame!D20="","",IndividualsPerGame!D20)</f>
        <v>Wombats</v>
      </c>
      <c r="T48" s="398">
        <f>IF(IndividualsPerGame!E20=-0.00001,"",IndividualsPerGame!E20)</f>
        <v>4</v>
      </c>
      <c r="U48" s="399">
        <f>IF(IndividualsPerGame!F20=-0.00001,"",IndividualsPerGame!F20)</f>
        <v>11.5</v>
      </c>
      <c r="V48" s="399">
        <f>IF(IndividualsPerGame!G20=-0.00001,"",IndividualsPerGame!G20)</f>
        <v>7.75</v>
      </c>
      <c r="W48" s="399">
        <f>IF(IndividualsPerGame!H20=-0.00001,"",IndividualsPerGame!H20)</f>
        <v>3</v>
      </c>
      <c r="X48" s="399">
        <f>IF(IndividualsPerGame!I20=-0.00001,"",IndividualsPerGame!I20)</f>
        <v>0.25</v>
      </c>
      <c r="Y48" s="399">
        <f>IF(IndividualsPerGame!J20=-0.00001,"",IndividualsPerGame!J20)</f>
        <v>0.25</v>
      </c>
      <c r="Z48" s="399">
        <f>IF(IndividualsPerGame!K20=-0.00001,"",IndividualsPerGame!K20)</f>
        <v>2.25</v>
      </c>
      <c r="AA48" s="399">
        <f>IF(IndividualsPerGame!L20=-0.00001,"",IndividualsPerGame!L20)</f>
        <v>2.25</v>
      </c>
      <c r="AB48" s="399">
        <f>IF(IndividualsPerGame!M20=-0.00001,"",IndividualsPerGame!M20)</f>
        <v>5.5</v>
      </c>
      <c r="AC48" s="424">
        <f>IF(IndividualsPerGame!N20=-0.00001,"",IndividualsPerGame!N20)</f>
        <v>1.75</v>
      </c>
      <c r="AD48" s="399">
        <f>IF(IndividualsPerGame!O20=-0.00001,"",IndividualsPerGame!O20)</f>
        <v>4.5</v>
      </c>
      <c r="AE48" s="425">
        <f>IF(IndividualsPerGame!P20=-0.00001,"",IndividualsPerGame!P20)</f>
        <v>0.375</v>
      </c>
      <c r="AF48" s="424">
        <f>IF(IndividualsPerGame!Q20=-0.00001,"",IndividualsPerGame!Q20)</f>
        <v>4.25</v>
      </c>
      <c r="AG48" s="399">
        <f>IF(IndividualsPerGame!R20=-0.00001,"",IndividualsPerGame!R20)</f>
        <v>12</v>
      </c>
      <c r="AH48" s="425">
        <f>IF(IndividualsPerGame!S20=-0.00001,"",IndividualsPerGame!S20)</f>
        <v>0.34081196581196582</v>
      </c>
      <c r="AI48" s="399">
        <f>IF(IndividualsPerGame!T20=-0.00001,"",IndividualsPerGame!T20)</f>
        <v>1.25</v>
      </c>
      <c r="AJ48" s="399">
        <f>IF(IndividualsPerGame!U20=-0.00001,"",IndividualsPerGame!U20)</f>
        <v>2.25</v>
      </c>
      <c r="AK48" s="400">
        <f>IF(IndividualsPerGame!V20=-0.00001,"",IndividualsPerGame!V20)</f>
        <v>0.52777777777777779</v>
      </c>
    </row>
    <row r="49" spans="17:37" ht="11.25" customHeight="1" x14ac:dyDescent="0.25">
      <c r="Q49" s="398">
        <f>IF($R49="","",MAX($Q$32:Q48)+1)</f>
        <v>18</v>
      </c>
      <c r="R49" s="407" t="str">
        <f>IF(IndividualsPerGame!C21="","",IndividualsPerGame!C21)</f>
        <v>Luke Beach</v>
      </c>
      <c r="S49" s="407" t="str">
        <f>IF(IndividualsPerGame!D21="","",IndividualsPerGame!D21)</f>
        <v>Hoopers</v>
      </c>
      <c r="T49" s="398">
        <f>IF(IndividualsPerGame!E21=-0.00001,"",IndividualsPerGame!E21)</f>
        <v>3</v>
      </c>
      <c r="U49" s="399">
        <f>IF(IndividualsPerGame!F21=-0.00001,"",IndividualsPerGame!F21)</f>
        <v>11.333333333333334</v>
      </c>
      <c r="V49" s="399">
        <f>IF(IndividualsPerGame!G21=-0.00001,"",IndividualsPerGame!G21)</f>
        <v>7.666666666666667</v>
      </c>
      <c r="W49" s="399">
        <f>IF(IndividualsPerGame!H21=-0.00001,"",IndividualsPerGame!H21)</f>
        <v>2</v>
      </c>
      <c r="X49" s="399">
        <f>IF(IndividualsPerGame!I21=-0.00001,"",IndividualsPerGame!I21)</f>
        <v>2.6666666666666665</v>
      </c>
      <c r="Y49" s="399">
        <f>IF(IndividualsPerGame!J21=-0.00001,"",IndividualsPerGame!J21)</f>
        <v>0.33333333333333331</v>
      </c>
      <c r="Z49" s="399">
        <f>IF(IndividualsPerGame!K21=-0.00001,"",IndividualsPerGame!K21)</f>
        <v>1.3333333333333333</v>
      </c>
      <c r="AA49" s="399">
        <f>IF(IndividualsPerGame!L21=-0.00001,"",IndividualsPerGame!L21)</f>
        <v>0.33333333333333331</v>
      </c>
      <c r="AB49" s="399">
        <f>IF(IndividualsPerGame!M21=-0.00001,"",IndividualsPerGame!M21)</f>
        <v>7.333333333333333</v>
      </c>
      <c r="AC49" s="424">
        <f>IF(IndividualsPerGame!N21=-0.00001,"",IndividualsPerGame!N21)</f>
        <v>2</v>
      </c>
      <c r="AD49" s="399">
        <f>IF(IndividualsPerGame!O21=-0.00001,"",IndividualsPerGame!O21)</f>
        <v>4.666666666666667</v>
      </c>
      <c r="AE49" s="425">
        <f>IF(IndividualsPerGame!P21=-0.00001,"",IndividualsPerGame!P21)</f>
        <v>0.46666666666666662</v>
      </c>
      <c r="AF49" s="424">
        <f>IF(IndividualsPerGame!Q21=-0.00001,"",IndividualsPerGame!Q21)</f>
        <v>4.333333333333333</v>
      </c>
      <c r="AG49" s="399">
        <f>IF(IndividualsPerGame!R21=-0.00001,"",IndividualsPerGame!R21)</f>
        <v>10</v>
      </c>
      <c r="AH49" s="425">
        <f>IF(IndividualsPerGame!S21=-0.00001,"",IndividualsPerGame!S21)</f>
        <v>0.4704184704184704</v>
      </c>
      <c r="AI49" s="399">
        <f>IF(IndividualsPerGame!T21=-0.00001,"",IndividualsPerGame!T21)</f>
        <v>0.66666666666666663</v>
      </c>
      <c r="AJ49" s="399">
        <f>IF(IndividualsPerGame!U21=-0.00001,"",IndividualsPerGame!U21)</f>
        <v>1.3333333333333333</v>
      </c>
      <c r="AK49" s="400">
        <f>IF(IndividualsPerGame!V21=-0.00001,"",IndividualsPerGame!V21)</f>
        <v>0.5</v>
      </c>
    </row>
    <row r="50" spans="17:37" ht="11.25" customHeight="1" x14ac:dyDescent="0.25">
      <c r="Q50" s="398">
        <f>IF($R50="","",MAX($Q$32:Q49)+1)</f>
        <v>19</v>
      </c>
      <c r="R50" s="407" t="str">
        <f>IF(IndividualsPerGame!C22="","",IndividualsPerGame!C22)</f>
        <v>Pat Hackney</v>
      </c>
      <c r="S50" s="407" t="str">
        <f>IF(IndividualsPerGame!D22="","",IndividualsPerGame!D22)</f>
        <v>Pistons</v>
      </c>
      <c r="T50" s="398">
        <f>IF(IndividualsPerGame!E22=-0.00001,"",IndividualsPerGame!E22)</f>
        <v>4</v>
      </c>
      <c r="U50" s="399">
        <f>IF(IndividualsPerGame!F22=-0.00001,"",IndividualsPerGame!F22)</f>
        <v>10</v>
      </c>
      <c r="V50" s="399">
        <f>IF(IndividualsPerGame!G22=-0.00001,"",IndividualsPerGame!G22)</f>
        <v>4</v>
      </c>
      <c r="W50" s="399">
        <f>IF(IndividualsPerGame!H22=-0.00001,"",IndividualsPerGame!H22)</f>
        <v>3</v>
      </c>
      <c r="X50" s="399">
        <f>IF(IndividualsPerGame!I22=-0.00001,"",IndividualsPerGame!I22)</f>
        <v>1</v>
      </c>
      <c r="Y50" s="399">
        <f>IF(IndividualsPerGame!J22=-0.00001,"",IndividualsPerGame!J22)</f>
        <v>0</v>
      </c>
      <c r="Z50" s="399">
        <f>IF(IndividualsPerGame!K22=-0.00001,"",IndividualsPerGame!K22)</f>
        <v>4.75</v>
      </c>
      <c r="AA50" s="399">
        <f>IF(IndividualsPerGame!L22=-0.00001,"",IndividualsPerGame!L22)</f>
        <v>0.5</v>
      </c>
      <c r="AB50" s="399">
        <f>IF(IndividualsPerGame!M22=-0.00001,"",IndividualsPerGame!M22)</f>
        <v>3.5</v>
      </c>
      <c r="AC50" s="424">
        <f>IF(IndividualsPerGame!N22=-0.00001,"",IndividualsPerGame!N22)</f>
        <v>0.75</v>
      </c>
      <c r="AD50" s="399">
        <f>IF(IndividualsPerGame!O22=-0.00001,"",IndividualsPerGame!O22)</f>
        <v>3.75</v>
      </c>
      <c r="AE50" s="425">
        <f>IF(IndividualsPerGame!P22=-0.00001,"",IndividualsPerGame!P22)</f>
        <v>0.18333333333333335</v>
      </c>
      <c r="AF50" s="424">
        <f>IF(IndividualsPerGame!Q22=-0.00001,"",IndividualsPerGame!Q22)</f>
        <v>4.5</v>
      </c>
      <c r="AG50" s="399">
        <f>IF(IndividualsPerGame!R22=-0.00001,"",IndividualsPerGame!R22)</f>
        <v>13.25</v>
      </c>
      <c r="AH50" s="425">
        <f>IF(IndividualsPerGame!S22=-0.00001,"",IndividualsPerGame!S22)</f>
        <v>0.35290404040404039</v>
      </c>
      <c r="AI50" s="399">
        <f>IF(IndividualsPerGame!T22=-0.00001,"",IndividualsPerGame!T22)</f>
        <v>0.25</v>
      </c>
      <c r="AJ50" s="399">
        <f>IF(IndividualsPerGame!U22=-0.00001,"",IndividualsPerGame!U22)</f>
        <v>0.75</v>
      </c>
      <c r="AK50" s="400">
        <f>IF(IndividualsPerGame!V22=-0.00001,"",IndividualsPerGame!V22)</f>
        <v>0.33333333333333331</v>
      </c>
    </row>
    <row r="51" spans="17:37" ht="11.25" customHeight="1" x14ac:dyDescent="0.25">
      <c r="Q51" s="398">
        <f>IF($R51="","",MAX($Q$32:Q50)+1)</f>
        <v>20</v>
      </c>
      <c r="R51" s="407" t="str">
        <f>IF(IndividualsPerGame!C23="","",IndividualsPerGame!C23)</f>
        <v>Logan Elias</v>
      </c>
      <c r="S51" s="407" t="str">
        <f>IF(IndividualsPerGame!D23="","",IndividualsPerGame!D23)</f>
        <v>Lightning</v>
      </c>
      <c r="T51" s="398">
        <f>IF(IndividualsPerGame!E23=-0.00001,"",IndividualsPerGame!E23)</f>
        <v>4</v>
      </c>
      <c r="U51" s="399">
        <f>IF(IndividualsPerGame!F23=-0.00001,"",IndividualsPerGame!F23)</f>
        <v>9.25</v>
      </c>
      <c r="V51" s="399">
        <f>IF(IndividualsPerGame!G23=-0.00001,"",IndividualsPerGame!G23)</f>
        <v>5.25</v>
      </c>
      <c r="W51" s="399">
        <f>IF(IndividualsPerGame!H23=-0.00001,"",IndividualsPerGame!H23)</f>
        <v>2.75</v>
      </c>
      <c r="X51" s="399">
        <f>IF(IndividualsPerGame!I23=-0.00001,"",IndividualsPerGame!I23)</f>
        <v>2</v>
      </c>
      <c r="Y51" s="399">
        <f>IF(IndividualsPerGame!J23=-0.00001,"",IndividualsPerGame!J23)</f>
        <v>0</v>
      </c>
      <c r="Z51" s="399">
        <f>IF(IndividualsPerGame!K23=-0.00001,"",IndividualsPerGame!K23)</f>
        <v>2.25</v>
      </c>
      <c r="AA51" s="399">
        <f>IF(IndividualsPerGame!L23=-0.00001,"",IndividualsPerGame!L23)</f>
        <v>1</v>
      </c>
      <c r="AB51" s="399">
        <f>IF(IndividualsPerGame!M23=-0.00001,"",IndividualsPerGame!M23)</f>
        <v>4.25</v>
      </c>
      <c r="AC51" s="424">
        <f>IF(IndividualsPerGame!N23=-0.00001,"",IndividualsPerGame!N23)</f>
        <v>1.25</v>
      </c>
      <c r="AD51" s="399">
        <f>IF(IndividualsPerGame!O23=-0.00001,"",IndividualsPerGame!O23)</f>
        <v>4.75</v>
      </c>
      <c r="AE51" s="425">
        <f>IF(IndividualsPerGame!P23=-0.00001,"",IndividualsPerGame!P23)</f>
        <v>0.19047619047619047</v>
      </c>
      <c r="AF51" s="424">
        <f>IF(IndividualsPerGame!Q23=-0.00001,"",IndividualsPerGame!Q23)</f>
        <v>4</v>
      </c>
      <c r="AG51" s="399">
        <f>IF(IndividualsPerGame!R23=-0.00001,"",IndividualsPerGame!R23)</f>
        <v>10.25</v>
      </c>
      <c r="AH51" s="425">
        <f>IF(IndividualsPerGame!S23=-0.00001,"",IndividualsPerGame!S23)</f>
        <v>0.38465909090909089</v>
      </c>
      <c r="AI51" s="399">
        <f>IF(IndividualsPerGame!T23=-0.00001,"",IndividualsPerGame!T23)</f>
        <v>0</v>
      </c>
      <c r="AJ51" s="399">
        <f>IF(IndividualsPerGame!U23=-0.00001,"",IndividualsPerGame!U23)</f>
        <v>0</v>
      </c>
      <c r="AK51" s="400" t="str">
        <f>IF(IndividualsPerGame!V23=-0.00001,"",IndividualsPerGame!V23)</f>
        <v/>
      </c>
    </row>
    <row r="52" spans="17:37" ht="11.25" customHeight="1" x14ac:dyDescent="0.25">
      <c r="Q52" s="398">
        <f>IF($R52="","",MAX($Q$32:Q51)+1)</f>
        <v>21</v>
      </c>
      <c r="R52" s="407" t="str">
        <f>IF(IndividualsPerGame!C24="","",IndividualsPerGame!C24)</f>
        <v>Cam Carsey</v>
      </c>
      <c r="S52" s="407" t="str">
        <f>IF(IndividualsPerGame!D24="","",IndividualsPerGame!D24)</f>
        <v>Lightning</v>
      </c>
      <c r="T52" s="398">
        <f>IF(IndividualsPerGame!E24=-0.00001,"",IndividualsPerGame!E24)</f>
        <v>4</v>
      </c>
      <c r="U52" s="399">
        <f>IF(IndividualsPerGame!F24=-0.00001,"",IndividualsPerGame!F24)</f>
        <v>9</v>
      </c>
      <c r="V52" s="399">
        <f>IF(IndividualsPerGame!G24=-0.00001,"",IndividualsPerGame!G24)</f>
        <v>7</v>
      </c>
      <c r="W52" s="399">
        <f>IF(IndividualsPerGame!H24=-0.00001,"",IndividualsPerGame!H24)</f>
        <v>0.5</v>
      </c>
      <c r="X52" s="399">
        <f>IF(IndividualsPerGame!I24=-0.00001,"",IndividualsPerGame!I24)</f>
        <v>0.5</v>
      </c>
      <c r="Y52" s="399">
        <f>IF(IndividualsPerGame!J24=-0.00001,"",IndividualsPerGame!J24)</f>
        <v>0</v>
      </c>
      <c r="Z52" s="399">
        <f>IF(IndividualsPerGame!K24=-0.00001,"",IndividualsPerGame!K24)</f>
        <v>1</v>
      </c>
      <c r="AA52" s="399">
        <f>IF(IndividualsPerGame!L24=-0.00001,"",IndividualsPerGame!L24)</f>
        <v>2.5</v>
      </c>
      <c r="AB52" s="399">
        <f>IF(IndividualsPerGame!M24=-0.00001,"",IndividualsPerGame!M24)</f>
        <v>4.5</v>
      </c>
      <c r="AC52" s="424">
        <f>IF(IndividualsPerGame!N24=-0.00001,"",IndividualsPerGame!N24)</f>
        <v>0.25</v>
      </c>
      <c r="AD52" s="399">
        <f>IF(IndividualsPerGame!O24=-0.00001,"",IndividualsPerGame!O24)</f>
        <v>1.25</v>
      </c>
      <c r="AE52" s="425">
        <f>IF(IndividualsPerGame!P24=-0.00001,"",IndividualsPerGame!P24)</f>
        <v>0.33333333333333331</v>
      </c>
      <c r="AF52" s="424">
        <f>IF(IndividualsPerGame!Q24=-0.00001,"",IndividualsPerGame!Q24)</f>
        <v>4</v>
      </c>
      <c r="AG52" s="399">
        <f>IF(IndividualsPerGame!R24=-0.00001,"",IndividualsPerGame!R24)</f>
        <v>12.25</v>
      </c>
      <c r="AH52" s="425">
        <f>IF(IndividualsPerGame!S24=-0.00001,"",IndividualsPerGame!S24)</f>
        <v>0.31371753246753248</v>
      </c>
      <c r="AI52" s="399">
        <f>IF(IndividualsPerGame!T24=-0.00001,"",IndividualsPerGame!T24)</f>
        <v>0.75</v>
      </c>
      <c r="AJ52" s="399">
        <f>IF(IndividualsPerGame!U24=-0.00001,"",IndividualsPerGame!U24)</f>
        <v>0.75</v>
      </c>
      <c r="AK52" s="400">
        <f>IF(IndividualsPerGame!V24=-0.00001,"",IndividualsPerGame!V24)</f>
        <v>1</v>
      </c>
    </row>
    <row r="53" spans="17:37" ht="11.25" customHeight="1" x14ac:dyDescent="0.25">
      <c r="Q53" s="398">
        <f>IF($R53="","",MAX($Q$32:Q52)+1)</f>
        <v>22</v>
      </c>
      <c r="R53" s="407" t="str">
        <f>IF(IndividualsPerGame!C25="","",IndividualsPerGame!C25)</f>
        <v>Claudio Pino</v>
      </c>
      <c r="S53" s="407" t="str">
        <f>IF(IndividualsPerGame!D25="","",IndividualsPerGame!D25)</f>
        <v>Pistons</v>
      </c>
      <c r="T53" s="398">
        <f>IF(IndividualsPerGame!E25=-0.00001,"",IndividualsPerGame!E25)</f>
        <v>2</v>
      </c>
      <c r="U53" s="399">
        <f>IF(IndividualsPerGame!F25=-0.00001,"",IndividualsPerGame!F25)</f>
        <v>8.5</v>
      </c>
      <c r="V53" s="399">
        <f>IF(IndividualsPerGame!G25=-0.00001,"",IndividualsPerGame!G25)</f>
        <v>5.5</v>
      </c>
      <c r="W53" s="399">
        <f>IF(IndividualsPerGame!H25=-0.00001,"",IndividualsPerGame!H25)</f>
        <v>2</v>
      </c>
      <c r="X53" s="399">
        <f>IF(IndividualsPerGame!I25=-0.00001,"",IndividualsPerGame!I25)</f>
        <v>1</v>
      </c>
      <c r="Y53" s="399">
        <f>IF(IndividualsPerGame!J25=-0.00001,"",IndividualsPerGame!J25)</f>
        <v>0</v>
      </c>
      <c r="Z53" s="399">
        <f>IF(IndividualsPerGame!K25=-0.00001,"",IndividualsPerGame!K25)</f>
        <v>0.5</v>
      </c>
      <c r="AA53" s="399">
        <f>IF(IndividualsPerGame!L25=-0.00001,"",IndividualsPerGame!L25)</f>
        <v>1</v>
      </c>
      <c r="AB53" s="399">
        <f>IF(IndividualsPerGame!M25=-0.00001,"",IndividualsPerGame!M25)</f>
        <v>4.5</v>
      </c>
      <c r="AC53" s="424">
        <f>IF(IndividualsPerGame!N25=-0.00001,"",IndividualsPerGame!N25)</f>
        <v>1.5</v>
      </c>
      <c r="AD53" s="399">
        <f>IF(IndividualsPerGame!O25=-0.00001,"",IndividualsPerGame!O25)</f>
        <v>3</v>
      </c>
      <c r="AE53" s="425">
        <f>IF(IndividualsPerGame!P25=-0.00001,"",IndividualsPerGame!P25)</f>
        <v>0.5</v>
      </c>
      <c r="AF53" s="424">
        <f>IF(IndividualsPerGame!Q25=-0.00001,"",IndividualsPerGame!Q25)</f>
        <v>3.5</v>
      </c>
      <c r="AG53" s="399">
        <f>IF(IndividualsPerGame!R25=-0.00001,"",IndividualsPerGame!R25)</f>
        <v>8</v>
      </c>
      <c r="AH53" s="425">
        <f>IF(IndividualsPerGame!S25=-0.00001,"",IndividualsPerGame!S25)</f>
        <v>0.43650793650793651</v>
      </c>
      <c r="AI53" s="399">
        <f>IF(IndividualsPerGame!T25=-0.00001,"",IndividualsPerGame!T25)</f>
        <v>0</v>
      </c>
      <c r="AJ53" s="399">
        <f>IF(IndividualsPerGame!U25=-0.00001,"",IndividualsPerGame!U25)</f>
        <v>0</v>
      </c>
      <c r="AK53" s="400" t="str">
        <f>IF(IndividualsPerGame!V25=-0.00001,"",IndividualsPerGame!V25)</f>
        <v/>
      </c>
    </row>
    <row r="54" spans="17:37" ht="11.25" customHeight="1" x14ac:dyDescent="0.25">
      <c r="Q54" s="398">
        <f>IF($R54="","",MAX($Q$32:Q53)+1)</f>
        <v>23</v>
      </c>
      <c r="R54" s="407" t="str">
        <f>IF(IndividualsPerGame!C26="","",IndividualsPerGame!C26)</f>
        <v>Tanner Greenhagen</v>
      </c>
      <c r="S54" s="407" t="str">
        <f>IF(IndividualsPerGame!D26="","",IndividualsPerGame!D26)</f>
        <v>Mustangs</v>
      </c>
      <c r="T54" s="398">
        <f>IF(IndividualsPerGame!E26=-0.00001,"",IndividualsPerGame!E26)</f>
        <v>4</v>
      </c>
      <c r="U54" s="399">
        <f>IF(IndividualsPerGame!F26=-0.00001,"",IndividualsPerGame!F26)</f>
        <v>7.5</v>
      </c>
      <c r="V54" s="399">
        <f>IF(IndividualsPerGame!G26=-0.00001,"",IndividualsPerGame!G26)</f>
        <v>4.25</v>
      </c>
      <c r="W54" s="399">
        <f>IF(IndividualsPerGame!H26=-0.00001,"",IndividualsPerGame!H26)</f>
        <v>0</v>
      </c>
      <c r="X54" s="399">
        <f>IF(IndividualsPerGame!I26=-0.00001,"",IndividualsPerGame!I26)</f>
        <v>1.5</v>
      </c>
      <c r="Y54" s="399">
        <f>IF(IndividualsPerGame!J26=-0.00001,"",IndividualsPerGame!J26)</f>
        <v>0.75</v>
      </c>
      <c r="Z54" s="399">
        <f>IF(IndividualsPerGame!K26=-0.00001,"",IndividualsPerGame!K26)</f>
        <v>0.5</v>
      </c>
      <c r="AA54" s="399">
        <f>IF(IndividualsPerGame!L26=-0.00001,"",IndividualsPerGame!L26)</f>
        <v>0.75</v>
      </c>
      <c r="AB54" s="399">
        <f>IF(IndividualsPerGame!M26=-0.00001,"",IndividualsPerGame!M26)</f>
        <v>2.5</v>
      </c>
      <c r="AC54" s="424">
        <f>IF(IndividualsPerGame!N26=-0.00001,"",IndividualsPerGame!N26)</f>
        <v>0.5</v>
      </c>
      <c r="AD54" s="399">
        <f>IF(IndividualsPerGame!O26=-0.00001,"",IndividualsPerGame!O26)</f>
        <v>2</v>
      </c>
      <c r="AE54" s="425">
        <f>IF(IndividualsPerGame!P26=-0.00001,"",IndividualsPerGame!P26)</f>
        <v>0.16666666666666666</v>
      </c>
      <c r="AF54" s="424">
        <f>IF(IndividualsPerGame!Q26=-0.00001,"",IndividualsPerGame!Q26)</f>
        <v>3</v>
      </c>
      <c r="AG54" s="399">
        <f>IF(IndividualsPerGame!R26=-0.00001,"",IndividualsPerGame!R26)</f>
        <v>7</v>
      </c>
      <c r="AH54" s="425">
        <f>IF(IndividualsPerGame!S26=-0.00001,"",IndividualsPerGame!S26)</f>
        <v>0.42113095238095233</v>
      </c>
      <c r="AI54" s="399">
        <f>IF(IndividualsPerGame!T26=-0.00001,"",IndividualsPerGame!T26)</f>
        <v>1</v>
      </c>
      <c r="AJ54" s="399">
        <f>IF(IndividualsPerGame!U26=-0.00001,"",IndividualsPerGame!U26)</f>
        <v>1.25</v>
      </c>
      <c r="AK54" s="400">
        <f>IF(IndividualsPerGame!V26=-0.00001,"",IndividualsPerGame!V26)</f>
        <v>0.83333333333333337</v>
      </c>
    </row>
    <row r="55" spans="17:37" ht="11.25" customHeight="1" x14ac:dyDescent="0.25">
      <c r="Q55" s="398">
        <f>IF($R55="","",MAX($Q$32:Q54)+1)</f>
        <v>24</v>
      </c>
      <c r="R55" s="407" t="str">
        <f>IF(IndividualsPerGame!C27="","",IndividualsPerGame!C27)</f>
        <v>Denzel Johnson</v>
      </c>
      <c r="S55" s="407" t="str">
        <f>IF(IndividualsPerGame!D27="","",IndividualsPerGame!D27)</f>
        <v>Mustangs</v>
      </c>
      <c r="T55" s="398">
        <f>IF(IndividualsPerGame!E27=-0.00001,"",IndividualsPerGame!E27)</f>
        <v>3</v>
      </c>
      <c r="U55" s="399">
        <f>IF(IndividualsPerGame!F27=-0.00001,"",IndividualsPerGame!F27)</f>
        <v>7.333333333333333</v>
      </c>
      <c r="V55" s="399">
        <f>IF(IndividualsPerGame!G27=-0.00001,"",IndividualsPerGame!G27)</f>
        <v>7</v>
      </c>
      <c r="W55" s="399">
        <f>IF(IndividualsPerGame!H27=-0.00001,"",IndividualsPerGame!H27)</f>
        <v>2.6666666666666665</v>
      </c>
      <c r="X55" s="399">
        <f>IF(IndividualsPerGame!I27=-0.00001,"",IndividualsPerGame!I27)</f>
        <v>0.33333333333333331</v>
      </c>
      <c r="Y55" s="399">
        <f>IF(IndividualsPerGame!J27=-0.00001,"",IndividualsPerGame!J27)</f>
        <v>0</v>
      </c>
      <c r="Z55" s="399">
        <f>IF(IndividualsPerGame!K27=-0.00001,"",IndividualsPerGame!K27)</f>
        <v>1</v>
      </c>
      <c r="AA55" s="399">
        <f>IF(IndividualsPerGame!L27=-0.00001,"",IndividualsPerGame!L27)</f>
        <v>2.6666666666666665</v>
      </c>
      <c r="AB55" s="399">
        <f>IF(IndividualsPerGame!M27=-0.00001,"",IndividualsPerGame!M27)</f>
        <v>4.333333333333333</v>
      </c>
      <c r="AC55" s="424">
        <f>IF(IndividualsPerGame!N27=-0.00001,"",IndividualsPerGame!N27)</f>
        <v>0.66666666666666663</v>
      </c>
      <c r="AD55" s="399">
        <f>IF(IndividualsPerGame!O27=-0.00001,"",IndividualsPerGame!O27)</f>
        <v>3.6666666666666665</v>
      </c>
      <c r="AE55" s="425">
        <f>IF(IndividualsPerGame!P27=-0.00001,"",IndividualsPerGame!P27)</f>
        <v>0.1111111111111111</v>
      </c>
      <c r="AF55" s="424">
        <f>IF(IndividualsPerGame!Q27=-0.00001,"",IndividualsPerGame!Q27)</f>
        <v>3.3333333333333335</v>
      </c>
      <c r="AG55" s="399">
        <f>IF(IndividualsPerGame!R27=-0.00001,"",IndividualsPerGame!R27)</f>
        <v>8.6666666666666661</v>
      </c>
      <c r="AH55" s="425">
        <f>IF(IndividualsPerGame!S27=-0.00001,"",IndividualsPerGame!S27)</f>
        <v>0.36507936507936506</v>
      </c>
      <c r="AI55" s="399">
        <f>IF(IndividualsPerGame!T27=-0.00001,"",IndividualsPerGame!T27)</f>
        <v>0</v>
      </c>
      <c r="AJ55" s="399">
        <f>IF(IndividualsPerGame!U27=-0.00001,"",IndividualsPerGame!U27)</f>
        <v>0</v>
      </c>
      <c r="AK55" s="400" t="str">
        <f>IF(IndividualsPerGame!V27=-0.00001,"",IndividualsPerGame!V27)</f>
        <v/>
      </c>
    </row>
    <row r="56" spans="17:37" ht="11.25" customHeight="1" x14ac:dyDescent="0.25">
      <c r="Q56" s="398">
        <f>IF($R56="","",MAX($Q$32:Q55)+1)</f>
        <v>25</v>
      </c>
      <c r="R56" s="407" t="str">
        <f>IF(IndividualsPerGame!C28="","",IndividualsPerGame!C28)</f>
        <v>Daniel Moser</v>
      </c>
      <c r="S56" s="407" t="str">
        <f>IF(IndividualsPerGame!D28="","",IndividualsPerGame!D28)</f>
        <v>Mustangs</v>
      </c>
      <c r="T56" s="398">
        <f>IF(IndividualsPerGame!E28=-0.00001,"",IndividualsPerGame!E28)</f>
        <v>4</v>
      </c>
      <c r="U56" s="399">
        <f>IF(IndividualsPerGame!F28=-0.00001,"",IndividualsPerGame!F28)</f>
        <v>6.25</v>
      </c>
      <c r="V56" s="399">
        <f>IF(IndividualsPerGame!G28=-0.00001,"",IndividualsPerGame!G28)</f>
        <v>6.75</v>
      </c>
      <c r="W56" s="399">
        <f>IF(IndividualsPerGame!H28=-0.00001,"",IndividualsPerGame!H28)</f>
        <v>2.75</v>
      </c>
      <c r="X56" s="399">
        <f>IF(IndividualsPerGame!I28=-0.00001,"",IndividualsPerGame!I28)</f>
        <v>0</v>
      </c>
      <c r="Y56" s="399">
        <f>IF(IndividualsPerGame!J28=-0.00001,"",IndividualsPerGame!J28)</f>
        <v>0</v>
      </c>
      <c r="Z56" s="399">
        <f>IF(IndividualsPerGame!K28=-0.00001,"",IndividualsPerGame!K28)</f>
        <v>1.25</v>
      </c>
      <c r="AA56" s="399">
        <f>IF(IndividualsPerGame!L28=-0.00001,"",IndividualsPerGame!L28)</f>
        <v>1.5</v>
      </c>
      <c r="AB56" s="399">
        <f>IF(IndividualsPerGame!M28=-0.00001,"",IndividualsPerGame!M28)</f>
        <v>3</v>
      </c>
      <c r="AC56" s="424">
        <f>IF(IndividualsPerGame!N28=-0.00001,"",IndividualsPerGame!N28)</f>
        <v>1.25</v>
      </c>
      <c r="AD56" s="399">
        <f>IF(IndividualsPerGame!O28=-0.00001,"",IndividualsPerGame!O28)</f>
        <v>4.75</v>
      </c>
      <c r="AE56" s="425">
        <f>IF(IndividualsPerGame!P28=-0.00001,"",IndividualsPerGame!P28)</f>
        <v>0.3</v>
      </c>
      <c r="AF56" s="424">
        <f>IF(IndividualsPerGame!Q28=-0.00001,"",IndividualsPerGame!Q28)</f>
        <v>2.5</v>
      </c>
      <c r="AG56" s="399">
        <f>IF(IndividualsPerGame!R28=-0.00001,"",IndividualsPerGame!R28)</f>
        <v>6.5</v>
      </c>
      <c r="AH56" s="425">
        <f>IF(IndividualsPerGame!S28=-0.00001,"",IndividualsPerGame!S28)</f>
        <v>0.3833333333333333</v>
      </c>
      <c r="AI56" s="399">
        <f>IF(IndividualsPerGame!T28=-0.00001,"",IndividualsPerGame!T28)</f>
        <v>0</v>
      </c>
      <c r="AJ56" s="399">
        <f>IF(IndividualsPerGame!U28=-0.00001,"",IndividualsPerGame!U28)</f>
        <v>0.25</v>
      </c>
      <c r="AK56" s="400">
        <f>IF(IndividualsPerGame!V28=-0.00001,"",IndividualsPerGame!V28)</f>
        <v>0</v>
      </c>
    </row>
    <row r="57" spans="17:37" ht="11.25" customHeight="1" x14ac:dyDescent="0.25">
      <c r="Q57" s="398">
        <f>IF($R57="","",MAX($Q$32:Q56)+1)</f>
        <v>26</v>
      </c>
      <c r="R57" s="407" t="str">
        <f>IF(IndividualsPerGame!C29="","",IndividualsPerGame!C29)</f>
        <v>Matt Paris</v>
      </c>
      <c r="S57" s="407" t="str">
        <f>IF(IndividualsPerGame!D29="","",IndividualsPerGame!D29)</f>
        <v>Hoopers</v>
      </c>
      <c r="T57" s="398">
        <f>IF(IndividualsPerGame!E29=-0.00001,"",IndividualsPerGame!E29)</f>
        <v>4</v>
      </c>
      <c r="U57" s="399">
        <f>IF(IndividualsPerGame!F29=-0.00001,"",IndividualsPerGame!F29)</f>
        <v>6.25</v>
      </c>
      <c r="V57" s="399">
        <f>IF(IndividualsPerGame!G29=-0.00001,"",IndividualsPerGame!G29)</f>
        <v>4.75</v>
      </c>
      <c r="W57" s="399">
        <f>IF(IndividualsPerGame!H29=-0.00001,"",IndividualsPerGame!H29)</f>
        <v>0.5</v>
      </c>
      <c r="X57" s="399">
        <f>IF(IndividualsPerGame!I29=-0.00001,"",IndividualsPerGame!I29)</f>
        <v>0.75</v>
      </c>
      <c r="Y57" s="399">
        <f>IF(IndividualsPerGame!J29=-0.00001,"",IndividualsPerGame!J29)</f>
        <v>0.25</v>
      </c>
      <c r="Z57" s="399">
        <f>IF(IndividualsPerGame!K29=-0.00001,"",IndividualsPerGame!K29)</f>
        <v>0.5</v>
      </c>
      <c r="AA57" s="399">
        <f>IF(IndividualsPerGame!L29=-0.00001,"",IndividualsPerGame!L29)</f>
        <v>1</v>
      </c>
      <c r="AB57" s="399">
        <f>IF(IndividualsPerGame!M29=-0.00001,"",IndividualsPerGame!M29)</f>
        <v>3.75</v>
      </c>
      <c r="AC57" s="424">
        <f>IF(IndividualsPerGame!N29=-0.00001,"",IndividualsPerGame!N29)</f>
        <v>1.75</v>
      </c>
      <c r="AD57" s="399">
        <f>IF(IndividualsPerGame!O29=-0.00001,"",IndividualsPerGame!O29)</f>
        <v>5</v>
      </c>
      <c r="AE57" s="425">
        <f>IF(IndividualsPerGame!P29=-0.00001,"",IndividualsPerGame!P29)</f>
        <v>0.35714285714285715</v>
      </c>
      <c r="AF57" s="424">
        <f>IF(IndividualsPerGame!Q29=-0.00001,"",IndividualsPerGame!Q29)</f>
        <v>2.25</v>
      </c>
      <c r="AG57" s="399">
        <f>IF(IndividualsPerGame!R29=-0.00001,"",IndividualsPerGame!R29)</f>
        <v>6.5</v>
      </c>
      <c r="AH57" s="425">
        <f>IF(IndividualsPerGame!S29=-0.00001,"",IndividualsPerGame!S29)</f>
        <v>0.35446428571428573</v>
      </c>
      <c r="AI57" s="399">
        <f>IF(IndividualsPerGame!T29=-0.00001,"",IndividualsPerGame!T29)</f>
        <v>0</v>
      </c>
      <c r="AJ57" s="399">
        <f>IF(IndividualsPerGame!U29=-0.00001,"",IndividualsPerGame!U29)</f>
        <v>0</v>
      </c>
      <c r="AK57" s="400" t="str">
        <f>IF(IndividualsPerGame!V29=-0.00001,"",IndividualsPerGame!V29)</f>
        <v/>
      </c>
    </row>
    <row r="58" spans="17:37" ht="11.25" customHeight="1" x14ac:dyDescent="0.25">
      <c r="Q58" s="398">
        <f>IF($R58="","",MAX($Q$32:Q57)+1)</f>
        <v>27</v>
      </c>
      <c r="R58" s="407" t="str">
        <f>IF(IndividualsPerGame!C30="","",IndividualsPerGame!C30)</f>
        <v>Kyle Holdridge</v>
      </c>
      <c r="S58" s="407" t="str">
        <f>IF(IndividualsPerGame!D30="","",IndividualsPerGame!D30)</f>
        <v>Pistons</v>
      </c>
      <c r="T58" s="398">
        <f>IF(IndividualsPerGame!E30=-0.00001,"",IndividualsPerGame!E30)</f>
        <v>2</v>
      </c>
      <c r="U58" s="399">
        <f>IF(IndividualsPerGame!F30=-0.00001,"",IndividualsPerGame!F30)</f>
        <v>5</v>
      </c>
      <c r="V58" s="399">
        <f>IF(IndividualsPerGame!G30=-0.00001,"",IndividualsPerGame!G30)</f>
        <v>10</v>
      </c>
      <c r="W58" s="399">
        <f>IF(IndividualsPerGame!H30=-0.00001,"",IndividualsPerGame!H30)</f>
        <v>0</v>
      </c>
      <c r="X58" s="399">
        <f>IF(IndividualsPerGame!I30=-0.00001,"",IndividualsPerGame!I30)</f>
        <v>0</v>
      </c>
      <c r="Y58" s="399">
        <f>IF(IndividualsPerGame!J30=-0.00001,"",IndividualsPerGame!J30)</f>
        <v>0.5</v>
      </c>
      <c r="Z58" s="399">
        <f>IF(IndividualsPerGame!K30=-0.00001,"",IndividualsPerGame!K30)</f>
        <v>3.5</v>
      </c>
      <c r="AA58" s="399">
        <f>IF(IndividualsPerGame!L30=-0.00001,"",IndividualsPerGame!L30)</f>
        <v>4</v>
      </c>
      <c r="AB58" s="399">
        <f>IF(IndividualsPerGame!M30=-0.00001,"",IndividualsPerGame!M30)</f>
        <v>6</v>
      </c>
      <c r="AC58" s="424">
        <f>IF(IndividualsPerGame!N30=-0.00001,"",IndividualsPerGame!N30)</f>
        <v>0</v>
      </c>
      <c r="AD58" s="399">
        <f>IF(IndividualsPerGame!O30=-0.00001,"",IndividualsPerGame!O30)</f>
        <v>0</v>
      </c>
      <c r="AE58" s="425" t="str">
        <f>IF(IndividualsPerGame!P30=-0.00001,"",IndividualsPerGame!P30)</f>
        <v/>
      </c>
      <c r="AF58" s="424">
        <f>IF(IndividualsPerGame!Q30=-0.00001,"",IndividualsPerGame!Q30)</f>
        <v>2.5</v>
      </c>
      <c r="AG58" s="399">
        <f>IF(IndividualsPerGame!R30=-0.00001,"",IndividualsPerGame!R30)</f>
        <v>9</v>
      </c>
      <c r="AH58" s="425">
        <f>IF(IndividualsPerGame!S30=-0.00001,"",IndividualsPerGame!S30)</f>
        <v>0.35714285714285715</v>
      </c>
      <c r="AI58" s="399">
        <f>IF(IndividualsPerGame!T30=-0.00001,"",IndividualsPerGame!T30)</f>
        <v>0</v>
      </c>
      <c r="AJ58" s="399">
        <f>IF(IndividualsPerGame!U30=-0.00001,"",IndividualsPerGame!U30)</f>
        <v>1</v>
      </c>
      <c r="AK58" s="400">
        <f>IF(IndividualsPerGame!V30=-0.00001,"",IndividualsPerGame!V30)</f>
        <v>0</v>
      </c>
    </row>
    <row r="59" spans="17:37" ht="11.25" customHeight="1" x14ac:dyDescent="0.25">
      <c r="Q59" s="398">
        <f>IF($R59="","",MAX($Q$32:Q58)+1)</f>
        <v>28</v>
      </c>
      <c r="R59" s="407" t="str">
        <f>IF(IndividualsPerGame!C31="","",IndividualsPerGame!C31)</f>
        <v>Mason Gonzales</v>
      </c>
      <c r="S59" s="407" t="str">
        <f>IF(IndividualsPerGame!D31="","",IndividualsPerGame!D31)</f>
        <v>Hoopers</v>
      </c>
      <c r="T59" s="398">
        <f>IF(IndividualsPerGame!E31=-0.00001,"",IndividualsPerGame!E31)</f>
        <v>3</v>
      </c>
      <c r="U59" s="399">
        <f>IF(IndividualsPerGame!F31=-0.00001,"",IndividualsPerGame!F31)</f>
        <v>5</v>
      </c>
      <c r="V59" s="399">
        <f>IF(IndividualsPerGame!G31=-0.00001,"",IndividualsPerGame!G31)</f>
        <v>9.3333333333333339</v>
      </c>
      <c r="W59" s="399">
        <f>IF(IndividualsPerGame!H31=-0.00001,"",IndividualsPerGame!H31)</f>
        <v>2</v>
      </c>
      <c r="X59" s="399">
        <f>IF(IndividualsPerGame!I31=-0.00001,"",IndividualsPerGame!I31)</f>
        <v>1.3333333333333333</v>
      </c>
      <c r="Y59" s="399">
        <f>IF(IndividualsPerGame!J31=-0.00001,"",IndividualsPerGame!J31)</f>
        <v>0.33333333333333331</v>
      </c>
      <c r="Z59" s="399">
        <f>IF(IndividualsPerGame!K31=-0.00001,"",IndividualsPerGame!K31)</f>
        <v>3</v>
      </c>
      <c r="AA59" s="399">
        <f>IF(IndividualsPerGame!L31=-0.00001,"",IndividualsPerGame!L31)</f>
        <v>4.666666666666667</v>
      </c>
      <c r="AB59" s="399">
        <f>IF(IndividualsPerGame!M31=-0.00001,"",IndividualsPerGame!M31)</f>
        <v>4.666666666666667</v>
      </c>
      <c r="AC59" s="424">
        <f>IF(IndividualsPerGame!N31=-0.00001,"",IndividualsPerGame!N31)</f>
        <v>0.33333333333333331</v>
      </c>
      <c r="AD59" s="399">
        <f>IF(IndividualsPerGame!O31=-0.00001,"",IndividualsPerGame!O31)</f>
        <v>2.3333333333333335</v>
      </c>
      <c r="AE59" s="425">
        <f>IF(IndividualsPerGame!P31=-0.00001,"",IndividualsPerGame!P31)</f>
        <v>8.3333333333333329E-2</v>
      </c>
      <c r="AF59" s="424">
        <f>IF(IndividualsPerGame!Q31=-0.00001,"",IndividualsPerGame!Q31)</f>
        <v>2.3333333333333335</v>
      </c>
      <c r="AG59" s="399">
        <f>IF(IndividualsPerGame!R31=-0.00001,"",IndividualsPerGame!R31)</f>
        <v>9.3333333333333339</v>
      </c>
      <c r="AH59" s="425">
        <f>IF(IndividualsPerGame!S31=-0.00001,"",IndividualsPerGame!S31)</f>
        <v>0.23838383838383836</v>
      </c>
      <c r="AI59" s="399">
        <f>IF(IndividualsPerGame!T31=-0.00001,"",IndividualsPerGame!T31)</f>
        <v>0</v>
      </c>
      <c r="AJ59" s="399">
        <f>IF(IndividualsPerGame!U31=-0.00001,"",IndividualsPerGame!U31)</f>
        <v>1.3333333333333333</v>
      </c>
      <c r="AK59" s="400">
        <f>IF(IndividualsPerGame!V31=-0.00001,"",IndividualsPerGame!V31)</f>
        <v>0</v>
      </c>
    </row>
    <row r="60" spans="17:37" ht="11.25" customHeight="1" x14ac:dyDescent="0.25">
      <c r="Q60" s="398">
        <f>IF($R60="","",MAX($Q$32:Q59)+1)</f>
        <v>29</v>
      </c>
      <c r="R60" s="407" t="str">
        <f>IF(IndividualsPerGame!C32="","",IndividualsPerGame!C32)</f>
        <v>Jacek Kuron</v>
      </c>
      <c r="S60" s="407" t="str">
        <f>IF(IndividualsPerGame!D32="","",IndividualsPerGame!D32)</f>
        <v>Wombats</v>
      </c>
      <c r="T60" s="398">
        <f>IF(IndividualsPerGame!E32=-0.00001,"",IndividualsPerGame!E32)</f>
        <v>4</v>
      </c>
      <c r="U60" s="399">
        <f>IF(IndividualsPerGame!F32=-0.00001,"",IndividualsPerGame!F32)</f>
        <v>4.5</v>
      </c>
      <c r="V60" s="399">
        <f>IF(IndividualsPerGame!G32=-0.00001,"",IndividualsPerGame!G32)</f>
        <v>3.75</v>
      </c>
      <c r="W60" s="399">
        <f>IF(IndividualsPerGame!H32=-0.00001,"",IndividualsPerGame!H32)</f>
        <v>1</v>
      </c>
      <c r="X60" s="399">
        <f>IF(IndividualsPerGame!I32=-0.00001,"",IndividualsPerGame!I32)</f>
        <v>0.75</v>
      </c>
      <c r="Y60" s="399">
        <f>IF(IndividualsPerGame!J32=-0.00001,"",IndividualsPerGame!J32)</f>
        <v>0</v>
      </c>
      <c r="Z60" s="399">
        <f>IF(IndividualsPerGame!K32=-0.00001,"",IndividualsPerGame!K32)</f>
        <v>1.75</v>
      </c>
      <c r="AA60" s="399">
        <f>IF(IndividualsPerGame!L32=-0.00001,"",IndividualsPerGame!L32)</f>
        <v>1</v>
      </c>
      <c r="AB60" s="399">
        <f>IF(IndividualsPerGame!M32=-0.00001,"",IndividualsPerGame!M32)</f>
        <v>2.75</v>
      </c>
      <c r="AC60" s="424">
        <f>IF(IndividualsPerGame!N32=-0.00001,"",IndividualsPerGame!N32)</f>
        <v>1.5</v>
      </c>
      <c r="AD60" s="399">
        <f>IF(IndividualsPerGame!O32=-0.00001,"",IndividualsPerGame!O32)</f>
        <v>4.75</v>
      </c>
      <c r="AE60" s="425">
        <f>IF(IndividualsPerGame!P32=-0.00001,"",IndividualsPerGame!P32)</f>
        <v>0.26250000000000001</v>
      </c>
      <c r="AF60" s="424">
        <f>IF(IndividualsPerGame!Q32=-0.00001,"",IndividualsPerGame!Q32)</f>
        <v>1.5</v>
      </c>
      <c r="AG60" s="399">
        <f>IF(IndividualsPerGame!R32=-0.00001,"",IndividualsPerGame!R32)</f>
        <v>7.25</v>
      </c>
      <c r="AH60" s="425">
        <f>IF(IndividualsPerGame!S32=-0.00001,"",IndividualsPerGame!S32)</f>
        <v>0.20352564102564102</v>
      </c>
      <c r="AI60" s="399">
        <f>IF(IndividualsPerGame!T32=-0.00001,"",IndividualsPerGame!T32)</f>
        <v>0</v>
      </c>
      <c r="AJ60" s="399">
        <f>IF(IndividualsPerGame!U32=-0.00001,"",IndividualsPerGame!U32)</f>
        <v>0</v>
      </c>
      <c r="AK60" s="400" t="str">
        <f>IF(IndividualsPerGame!V32=-0.00001,"",IndividualsPerGame!V32)</f>
        <v/>
      </c>
    </row>
    <row r="61" spans="17:37" ht="11.25" customHeight="1" x14ac:dyDescent="0.25">
      <c r="Q61" s="398">
        <f>IF($R61="","",MAX($Q$32:Q60)+1)</f>
        <v>30</v>
      </c>
      <c r="R61" s="407" t="str">
        <f>IF(IndividualsPerGame!C33="","",IndividualsPerGame!C33)</f>
        <v>Andrew Hofbaur</v>
      </c>
      <c r="S61" s="407" t="str">
        <f>IF(IndividualsPerGame!D33="","",IndividualsPerGame!D33)</f>
        <v>Lightning</v>
      </c>
      <c r="T61" s="398">
        <f>IF(IndividualsPerGame!E33=-0.00001,"",IndividualsPerGame!E33)</f>
        <v>1</v>
      </c>
      <c r="U61" s="399">
        <f>IF(IndividualsPerGame!F33=-0.00001,"",IndividualsPerGame!F33)</f>
        <v>4</v>
      </c>
      <c r="V61" s="399">
        <f>IF(IndividualsPerGame!G33=-0.00001,"",IndividualsPerGame!G33)</f>
        <v>5</v>
      </c>
      <c r="W61" s="399">
        <f>IF(IndividualsPerGame!H33=-0.00001,"",IndividualsPerGame!H33)</f>
        <v>0</v>
      </c>
      <c r="X61" s="399">
        <f>IF(IndividualsPerGame!I33=-0.00001,"",IndividualsPerGame!I33)</f>
        <v>3</v>
      </c>
      <c r="Y61" s="399">
        <f>IF(IndividualsPerGame!J33=-0.00001,"",IndividualsPerGame!J33)</f>
        <v>3</v>
      </c>
      <c r="Z61" s="399">
        <f>IF(IndividualsPerGame!K33=-0.00001,"",IndividualsPerGame!K33)</f>
        <v>1</v>
      </c>
      <c r="AA61" s="399">
        <f>IF(IndividualsPerGame!L33=-0.00001,"",IndividualsPerGame!L33)</f>
        <v>1</v>
      </c>
      <c r="AB61" s="399">
        <f>IF(IndividualsPerGame!M33=-0.00001,"",IndividualsPerGame!M33)</f>
        <v>4</v>
      </c>
      <c r="AC61" s="424">
        <f>IF(IndividualsPerGame!N33=-0.00001,"",IndividualsPerGame!N33)</f>
        <v>0</v>
      </c>
      <c r="AD61" s="399">
        <f>IF(IndividualsPerGame!O33=-0.00001,"",IndividualsPerGame!O33)</f>
        <v>1</v>
      </c>
      <c r="AE61" s="425">
        <f>IF(IndividualsPerGame!P33=-0.00001,"",IndividualsPerGame!P33)</f>
        <v>0</v>
      </c>
      <c r="AF61" s="424">
        <f>IF(IndividualsPerGame!Q33=-0.00001,"",IndividualsPerGame!Q33)</f>
        <v>2</v>
      </c>
      <c r="AG61" s="399">
        <f>IF(IndividualsPerGame!R33=-0.00001,"",IndividualsPerGame!R33)</f>
        <v>4</v>
      </c>
      <c r="AH61" s="425">
        <f>IF(IndividualsPerGame!S33=-0.00001,"",IndividualsPerGame!S33)</f>
        <v>0.5</v>
      </c>
      <c r="AI61" s="399">
        <f>IF(IndividualsPerGame!T33=-0.00001,"",IndividualsPerGame!T33)</f>
        <v>0</v>
      </c>
      <c r="AJ61" s="399">
        <f>IF(IndividualsPerGame!U33=-0.00001,"",IndividualsPerGame!U33)</f>
        <v>0</v>
      </c>
      <c r="AK61" s="400" t="str">
        <f>IF(IndividualsPerGame!V33=-0.00001,"",IndividualsPerGame!V33)</f>
        <v/>
      </c>
    </row>
    <row r="62" spans="17:37" ht="11.25" customHeight="1" x14ac:dyDescent="0.25">
      <c r="Q62" s="398">
        <f>IF($R62="","",MAX($Q$32:Q61)+1)</f>
        <v>31</v>
      </c>
      <c r="R62" s="407" t="str">
        <f>IF(IndividualsPerGame!C34="","",IndividualsPerGame!C34)</f>
        <v>Zac Gregory</v>
      </c>
      <c r="S62" s="407" t="str">
        <f>IF(IndividualsPerGame!D34="","",IndividualsPerGame!D34)</f>
        <v>Wombats</v>
      </c>
      <c r="T62" s="398">
        <f>IF(IndividualsPerGame!E34=-0.00001,"",IndividualsPerGame!E34)</f>
        <v>3</v>
      </c>
      <c r="U62" s="399">
        <f>IF(IndividualsPerGame!F34=-0.00001,"",IndividualsPerGame!F34)</f>
        <v>3.3333333333333335</v>
      </c>
      <c r="V62" s="399">
        <f>IF(IndividualsPerGame!G34=-0.00001,"",IndividualsPerGame!G34)</f>
        <v>3</v>
      </c>
      <c r="W62" s="399">
        <f>IF(IndividualsPerGame!H34=-0.00001,"",IndividualsPerGame!H34)</f>
        <v>0.66666666666666663</v>
      </c>
      <c r="X62" s="399">
        <f>IF(IndividualsPerGame!I34=-0.00001,"",IndividualsPerGame!I34)</f>
        <v>1.3333333333333333</v>
      </c>
      <c r="Y62" s="399">
        <f>IF(IndividualsPerGame!J34=-0.00001,"",IndividualsPerGame!J34)</f>
        <v>0.33333333333333331</v>
      </c>
      <c r="Z62" s="399">
        <f>IF(IndividualsPerGame!K34=-0.00001,"",IndividualsPerGame!K34)</f>
        <v>0.66666666666666663</v>
      </c>
      <c r="AA62" s="399">
        <f>IF(IndividualsPerGame!L34=-0.00001,"",IndividualsPerGame!L34)</f>
        <v>1</v>
      </c>
      <c r="AB62" s="399">
        <f>IF(IndividualsPerGame!M34=-0.00001,"",IndividualsPerGame!M34)</f>
        <v>2</v>
      </c>
      <c r="AC62" s="424">
        <f>IF(IndividualsPerGame!N34=-0.00001,"",IndividualsPerGame!N34)</f>
        <v>0.66666666666666663</v>
      </c>
      <c r="AD62" s="399">
        <f>IF(IndividualsPerGame!O34=-0.00001,"",IndividualsPerGame!O34)</f>
        <v>1.6666666666666667</v>
      </c>
      <c r="AE62" s="425">
        <f>IF(IndividualsPerGame!P34=-0.00001,"",IndividualsPerGame!P34)</f>
        <v>0.33333333333333331</v>
      </c>
      <c r="AF62" s="424">
        <f>IF(IndividualsPerGame!Q34=-0.00001,"",IndividualsPerGame!Q34)</f>
        <v>1.3333333333333333</v>
      </c>
      <c r="AG62" s="399">
        <f>IF(IndividualsPerGame!R34=-0.00001,"",IndividualsPerGame!R34)</f>
        <v>3.3333333333333335</v>
      </c>
      <c r="AH62" s="425">
        <f>IF(IndividualsPerGame!S34=-0.00001,"",IndividualsPerGame!S34)</f>
        <v>0.38888888888888884</v>
      </c>
      <c r="AI62" s="399">
        <f>IF(IndividualsPerGame!T34=-0.00001,"",IndividualsPerGame!T34)</f>
        <v>0</v>
      </c>
      <c r="AJ62" s="399">
        <f>IF(IndividualsPerGame!U34=-0.00001,"",IndividualsPerGame!U34)</f>
        <v>0</v>
      </c>
      <c r="AK62" s="400" t="str">
        <f>IF(IndividualsPerGame!V34=-0.00001,"",IndividualsPerGame!V34)</f>
        <v/>
      </c>
    </row>
    <row r="63" spans="17:37" ht="11.25" customHeight="1" x14ac:dyDescent="0.25">
      <c r="Q63" s="398">
        <f>IF($R63="","",MAX($Q$32:Q62)+1)</f>
        <v>32</v>
      </c>
      <c r="R63" s="407" t="str">
        <f>IF(IndividualsPerGame!C35="","",IndividualsPerGame!C35)</f>
        <v>Justen Garmenn</v>
      </c>
      <c r="S63" s="407" t="str">
        <f>IF(IndividualsPerGame!D35="","",IndividualsPerGame!D35)</f>
        <v>Vandals</v>
      </c>
      <c r="T63" s="398">
        <f>IF(IndividualsPerGame!E35=-0.00001,"",IndividualsPerGame!E35)</f>
        <v>4</v>
      </c>
      <c r="U63" s="399">
        <f>IF(IndividualsPerGame!F35=-0.00001,"",IndividualsPerGame!F35)</f>
        <v>3.25</v>
      </c>
      <c r="V63" s="399">
        <f>IF(IndividualsPerGame!G35=-0.00001,"",IndividualsPerGame!G35)</f>
        <v>3.75</v>
      </c>
      <c r="W63" s="399">
        <f>IF(IndividualsPerGame!H35=-0.00001,"",IndividualsPerGame!H35)</f>
        <v>0.75</v>
      </c>
      <c r="X63" s="399">
        <f>IF(IndividualsPerGame!I35=-0.00001,"",IndividualsPerGame!I35)</f>
        <v>0</v>
      </c>
      <c r="Y63" s="399">
        <f>IF(IndividualsPerGame!J35=-0.00001,"",IndividualsPerGame!J35)</f>
        <v>0.25</v>
      </c>
      <c r="Z63" s="399">
        <f>IF(IndividualsPerGame!K35=-0.00001,"",IndividualsPerGame!K35)</f>
        <v>0.75</v>
      </c>
      <c r="AA63" s="399">
        <f>IF(IndividualsPerGame!L35=-0.00001,"",IndividualsPerGame!L35)</f>
        <v>0.25</v>
      </c>
      <c r="AB63" s="399">
        <f>IF(IndividualsPerGame!M35=-0.00001,"",IndividualsPerGame!M35)</f>
        <v>3</v>
      </c>
      <c r="AC63" s="424">
        <f>IF(IndividualsPerGame!N35=-0.00001,"",IndividualsPerGame!N35)</f>
        <v>0.5</v>
      </c>
      <c r="AD63" s="399">
        <f>IF(IndividualsPerGame!O35=-0.00001,"",IndividualsPerGame!O35)</f>
        <v>3</v>
      </c>
      <c r="AE63" s="425">
        <f>IF(IndividualsPerGame!P35=-0.00001,"",IndividualsPerGame!P35)</f>
        <v>0.14583333333333331</v>
      </c>
      <c r="AF63" s="424">
        <f>IF(IndividualsPerGame!Q35=-0.00001,"",IndividualsPerGame!Q35)</f>
        <v>1.5</v>
      </c>
      <c r="AG63" s="399">
        <f>IF(IndividualsPerGame!R35=-0.00001,"",IndividualsPerGame!R35)</f>
        <v>4.75</v>
      </c>
      <c r="AH63" s="425">
        <f>IF(IndividualsPerGame!S35=-0.00001,"",IndividualsPerGame!S35)</f>
        <v>0.31666666666666665</v>
      </c>
      <c r="AI63" s="399">
        <f>IF(IndividualsPerGame!T35=-0.00001,"",IndividualsPerGame!T35)</f>
        <v>0</v>
      </c>
      <c r="AJ63" s="399">
        <f>IF(IndividualsPerGame!U35=-0.00001,"",IndividualsPerGame!U35)</f>
        <v>0</v>
      </c>
      <c r="AK63" s="400" t="str">
        <f>IF(IndividualsPerGame!V35=-0.00001,"",IndividualsPerGame!V35)</f>
        <v/>
      </c>
    </row>
    <row r="64" spans="17:37" ht="11.25" customHeight="1" x14ac:dyDescent="0.25">
      <c r="Q64" s="398">
        <f>IF($R64="","",MAX($Q$32:Q63)+1)</f>
        <v>33</v>
      </c>
      <c r="R64" s="407" t="str">
        <f>IF(IndividualsPerGame!C36="","",IndividualsPerGame!C36)</f>
        <v>Aaron Roberts</v>
      </c>
      <c r="S64" s="407" t="str">
        <f>IF(IndividualsPerGame!D36="","",IndividualsPerGame!D36)</f>
        <v>Pistons</v>
      </c>
      <c r="T64" s="398">
        <f>IF(IndividualsPerGame!E36=-0.00001,"",IndividualsPerGame!E36)</f>
        <v>4</v>
      </c>
      <c r="U64" s="399">
        <f>IF(IndividualsPerGame!F36=-0.00001,"",IndividualsPerGame!F36)</f>
        <v>3</v>
      </c>
      <c r="V64" s="399">
        <f>IF(IndividualsPerGame!G36=-0.00001,"",IndividualsPerGame!G36)</f>
        <v>8.25</v>
      </c>
      <c r="W64" s="399">
        <f>IF(IndividualsPerGame!H36=-0.00001,"",IndividualsPerGame!H36)</f>
        <v>0.25</v>
      </c>
      <c r="X64" s="399">
        <f>IF(IndividualsPerGame!I36=-0.00001,"",IndividualsPerGame!I36)</f>
        <v>0.75</v>
      </c>
      <c r="Y64" s="399">
        <f>IF(IndividualsPerGame!J36=-0.00001,"",IndividualsPerGame!J36)</f>
        <v>0.5</v>
      </c>
      <c r="Z64" s="399">
        <f>IF(IndividualsPerGame!K36=-0.00001,"",IndividualsPerGame!K36)</f>
        <v>1.25</v>
      </c>
      <c r="AA64" s="399">
        <f>IF(IndividualsPerGame!L36=-0.00001,"",IndividualsPerGame!L36)</f>
        <v>0.5</v>
      </c>
      <c r="AB64" s="399">
        <f>IF(IndividualsPerGame!M36=-0.00001,"",IndividualsPerGame!M36)</f>
        <v>7.75</v>
      </c>
      <c r="AC64" s="424">
        <f>IF(IndividualsPerGame!N36=-0.00001,"",IndividualsPerGame!N36)</f>
        <v>0</v>
      </c>
      <c r="AD64" s="399">
        <f>IF(IndividualsPerGame!O36=-0.00001,"",IndividualsPerGame!O36)</f>
        <v>1.5</v>
      </c>
      <c r="AE64" s="425">
        <f>IF(IndividualsPerGame!P36=-0.00001,"",IndividualsPerGame!P36)</f>
        <v>0</v>
      </c>
      <c r="AF64" s="424">
        <f>IF(IndividualsPerGame!Q36=-0.00001,"",IndividualsPerGame!Q36)</f>
        <v>1.5</v>
      </c>
      <c r="AG64" s="399">
        <f>IF(IndividualsPerGame!R36=-0.00001,"",IndividualsPerGame!R36)</f>
        <v>4.75</v>
      </c>
      <c r="AH64" s="425">
        <f>IF(IndividualsPerGame!S36=-0.00001,"",IndividualsPerGame!S36)</f>
        <v>0.29583333333333328</v>
      </c>
      <c r="AI64" s="399">
        <f>IF(IndividualsPerGame!T36=-0.00001,"",IndividualsPerGame!T36)</f>
        <v>0</v>
      </c>
      <c r="AJ64" s="399">
        <f>IF(IndividualsPerGame!U36=-0.00001,"",IndividualsPerGame!U36)</f>
        <v>0</v>
      </c>
      <c r="AK64" s="400" t="str">
        <f>IF(IndividualsPerGame!V36=-0.00001,"",IndividualsPerGame!V36)</f>
        <v/>
      </c>
    </row>
    <row r="65" spans="17:37" ht="11.25" customHeight="1" x14ac:dyDescent="0.25">
      <c r="Q65" s="398">
        <f>IF($R65="","",MAX($Q$32:Q64)+1)</f>
        <v>34</v>
      </c>
      <c r="R65" s="407" t="str">
        <f>IF(IndividualsPerGame!C37="","",IndividualsPerGame!C37)</f>
        <v>Seth Harnishfeger</v>
      </c>
      <c r="S65" s="407" t="str">
        <f>IF(IndividualsPerGame!D37="","",IndividualsPerGame!D37)</f>
        <v>Hoopers</v>
      </c>
      <c r="T65" s="398">
        <f>IF(IndividualsPerGame!E37=-0.00001,"",IndividualsPerGame!E37)</f>
        <v>4</v>
      </c>
      <c r="U65" s="399">
        <f>IF(IndividualsPerGame!F37=-0.00001,"",IndividualsPerGame!F37)</f>
        <v>2.75</v>
      </c>
      <c r="V65" s="399">
        <f>IF(IndividualsPerGame!G37=-0.00001,"",IndividualsPerGame!G37)</f>
        <v>5.75</v>
      </c>
      <c r="W65" s="399">
        <f>IF(IndividualsPerGame!H37=-0.00001,"",IndividualsPerGame!H37)</f>
        <v>0.75</v>
      </c>
      <c r="X65" s="399">
        <f>IF(IndividualsPerGame!I37=-0.00001,"",IndividualsPerGame!I37)</f>
        <v>0.75</v>
      </c>
      <c r="Y65" s="399">
        <f>IF(IndividualsPerGame!J37=-0.00001,"",IndividualsPerGame!J37)</f>
        <v>1.5</v>
      </c>
      <c r="Z65" s="399">
        <f>IF(IndividualsPerGame!K37=-0.00001,"",IndividualsPerGame!K37)</f>
        <v>2.5</v>
      </c>
      <c r="AA65" s="399">
        <f>IF(IndividualsPerGame!L37=-0.00001,"",IndividualsPerGame!L37)</f>
        <v>2.75</v>
      </c>
      <c r="AB65" s="399">
        <f>IF(IndividualsPerGame!M37=-0.00001,"",IndividualsPerGame!M37)</f>
        <v>3</v>
      </c>
      <c r="AC65" s="424">
        <f>IF(IndividualsPerGame!N37=-0.00001,"",IndividualsPerGame!N37)</f>
        <v>0.25</v>
      </c>
      <c r="AD65" s="399">
        <f>IF(IndividualsPerGame!O37=-0.00001,"",IndividualsPerGame!O37)</f>
        <v>1.25</v>
      </c>
      <c r="AE65" s="425">
        <f>IF(IndividualsPerGame!P37=-0.00001,"",IndividualsPerGame!P37)</f>
        <v>0.125</v>
      </c>
      <c r="AF65" s="424">
        <f>IF(IndividualsPerGame!Q37=-0.00001,"",IndividualsPerGame!Q37)</f>
        <v>1.25</v>
      </c>
      <c r="AG65" s="399">
        <f>IF(IndividualsPerGame!R37=-0.00001,"",IndividualsPerGame!R37)</f>
        <v>4.75</v>
      </c>
      <c r="AH65" s="425">
        <f>IF(IndividualsPerGame!S37=-0.00001,"",IndividualsPerGame!S37)</f>
        <v>0.1875</v>
      </c>
      <c r="AI65" s="399">
        <f>IF(IndividualsPerGame!T37=-0.00001,"",IndividualsPerGame!T37)</f>
        <v>0</v>
      </c>
      <c r="AJ65" s="399">
        <f>IF(IndividualsPerGame!U37=-0.00001,"",IndividualsPerGame!U37)</f>
        <v>0</v>
      </c>
      <c r="AK65" s="400" t="str">
        <f>IF(IndividualsPerGame!V37=-0.00001,"",IndividualsPerGame!V37)</f>
        <v/>
      </c>
    </row>
    <row r="66" spans="17:37" ht="11.25" customHeight="1" x14ac:dyDescent="0.25">
      <c r="Q66" s="398">
        <f>IF($R66="","",MAX($Q$32:Q65)+1)</f>
        <v>35</v>
      </c>
      <c r="R66" s="407" t="str">
        <f>IF(IndividualsPerGame!C38="","",IndividualsPerGame!C38)</f>
        <v>Fred Balmoria</v>
      </c>
      <c r="S66" s="407" t="str">
        <f>IF(IndividualsPerGame!D38="","",IndividualsPerGame!D38)</f>
        <v>Pistons</v>
      </c>
      <c r="T66" s="398">
        <f>IF(IndividualsPerGame!E38=-0.00001,"",IndividualsPerGame!E38)</f>
        <v>4</v>
      </c>
      <c r="U66" s="399">
        <f>IF(IndividualsPerGame!F38=-0.00001,"",IndividualsPerGame!F38)</f>
        <v>2.5</v>
      </c>
      <c r="V66" s="399">
        <f>IF(IndividualsPerGame!G38=-0.00001,"",IndividualsPerGame!G38)</f>
        <v>4.25</v>
      </c>
      <c r="W66" s="399">
        <f>IF(IndividualsPerGame!H38=-0.00001,"",IndividualsPerGame!H38)</f>
        <v>0.25</v>
      </c>
      <c r="X66" s="399">
        <f>IF(IndividualsPerGame!I38=-0.00001,"",IndividualsPerGame!I38)</f>
        <v>0.5</v>
      </c>
      <c r="Y66" s="399">
        <f>IF(IndividualsPerGame!J38=-0.00001,"",IndividualsPerGame!J38)</f>
        <v>0</v>
      </c>
      <c r="Z66" s="399">
        <f>IF(IndividualsPerGame!K38=-0.00001,"",IndividualsPerGame!K38)</f>
        <v>2.25</v>
      </c>
      <c r="AA66" s="399">
        <f>IF(IndividualsPerGame!L38=-0.00001,"",IndividualsPerGame!L38)</f>
        <v>1.25</v>
      </c>
      <c r="AB66" s="399">
        <f>IF(IndividualsPerGame!M38=-0.00001,"",IndividualsPerGame!M38)</f>
        <v>3</v>
      </c>
      <c r="AC66" s="424">
        <f>IF(IndividualsPerGame!N38=-0.00001,"",IndividualsPerGame!N38)</f>
        <v>0</v>
      </c>
      <c r="AD66" s="399">
        <f>IF(IndividualsPerGame!O38=-0.00001,"",IndividualsPerGame!O38)</f>
        <v>2.25</v>
      </c>
      <c r="AE66" s="425">
        <f>IF(IndividualsPerGame!P38=-0.00001,"",IndividualsPerGame!P38)</f>
        <v>0</v>
      </c>
      <c r="AF66" s="424">
        <f>IF(IndividualsPerGame!Q38=-0.00001,"",IndividualsPerGame!Q38)</f>
        <v>1.25</v>
      </c>
      <c r="AG66" s="399">
        <f>IF(IndividualsPerGame!R38=-0.00001,"",IndividualsPerGame!R38)</f>
        <v>4.5</v>
      </c>
      <c r="AH66" s="425">
        <f>IF(IndividualsPerGame!S38=-0.00001,"",IndividualsPerGame!S38)</f>
        <v>0.25476190476190474</v>
      </c>
      <c r="AI66" s="399">
        <f>IF(IndividualsPerGame!T38=-0.00001,"",IndividualsPerGame!T38)</f>
        <v>0</v>
      </c>
      <c r="AJ66" s="399">
        <f>IF(IndividualsPerGame!U38=-0.00001,"",IndividualsPerGame!U38)</f>
        <v>0</v>
      </c>
      <c r="AK66" s="400" t="str">
        <f>IF(IndividualsPerGame!V38=-0.00001,"",IndividualsPerGame!V38)</f>
        <v/>
      </c>
    </row>
    <row r="67" spans="17:37" ht="11.25" customHeight="1" x14ac:dyDescent="0.25">
      <c r="Q67" s="398">
        <f>IF($R67="","",MAX($Q$32:Q66)+1)</f>
        <v>36</v>
      </c>
      <c r="R67" s="407" t="str">
        <f>IF(IndividualsPerGame!C39="","",IndividualsPerGame!C39)</f>
        <v>Garry Armstrong</v>
      </c>
      <c r="S67" s="407" t="str">
        <f>IF(IndividualsPerGame!D39="","",IndividualsPerGame!D39)</f>
        <v>Wombats</v>
      </c>
      <c r="T67" s="398">
        <f>IF(IndividualsPerGame!E39=-0.00001,"",IndividualsPerGame!E39)</f>
        <v>3</v>
      </c>
      <c r="U67" s="399">
        <f>IF(IndividualsPerGame!F39=-0.00001,"",IndividualsPerGame!F39)</f>
        <v>2.3333333333333335</v>
      </c>
      <c r="V67" s="399">
        <f>IF(IndividualsPerGame!G39=-0.00001,"",IndividualsPerGame!G39)</f>
        <v>3</v>
      </c>
      <c r="W67" s="399">
        <f>IF(IndividualsPerGame!H39=-0.00001,"",IndividualsPerGame!H39)</f>
        <v>0.33333333333333331</v>
      </c>
      <c r="X67" s="399">
        <f>IF(IndividualsPerGame!I39=-0.00001,"",IndividualsPerGame!I39)</f>
        <v>0.33333333333333331</v>
      </c>
      <c r="Y67" s="399">
        <f>IF(IndividualsPerGame!J39=-0.00001,"",IndividualsPerGame!J39)</f>
        <v>0.33333333333333331</v>
      </c>
      <c r="Z67" s="399">
        <f>IF(IndividualsPerGame!K39=-0.00001,"",IndividualsPerGame!K39)</f>
        <v>1.3333333333333333</v>
      </c>
      <c r="AA67" s="399">
        <f>IF(IndividualsPerGame!L39=-0.00001,"",IndividualsPerGame!L39)</f>
        <v>0.33333333333333331</v>
      </c>
      <c r="AB67" s="399">
        <f>IF(IndividualsPerGame!M39=-0.00001,"",IndividualsPerGame!M39)</f>
        <v>2.6666666666666665</v>
      </c>
      <c r="AC67" s="424">
        <f>IF(IndividualsPerGame!N39=-0.00001,"",IndividualsPerGame!N39)</f>
        <v>0.33333333333333331</v>
      </c>
      <c r="AD67" s="399">
        <f>IF(IndividualsPerGame!O39=-0.00001,"",IndividualsPerGame!O39)</f>
        <v>4.333333333333333</v>
      </c>
      <c r="AE67" s="425">
        <f>IF(IndividualsPerGame!P39=-0.00001,"",IndividualsPerGame!P39)</f>
        <v>8.3333333333333329E-2</v>
      </c>
      <c r="AF67" s="424">
        <f>IF(IndividualsPerGame!Q39=-0.00001,"",IndividualsPerGame!Q39)</f>
        <v>1</v>
      </c>
      <c r="AG67" s="399">
        <f>IF(IndividualsPerGame!R39=-0.00001,"",IndividualsPerGame!R39)</f>
        <v>6</v>
      </c>
      <c r="AH67" s="425">
        <f>IF(IndividualsPerGame!S39=-0.00001,"",IndividualsPerGame!S39)</f>
        <v>0.16666666666666666</v>
      </c>
      <c r="AI67" s="399">
        <f>IF(IndividualsPerGame!T39=-0.00001,"",IndividualsPerGame!T39)</f>
        <v>0</v>
      </c>
      <c r="AJ67" s="399">
        <f>IF(IndividualsPerGame!U39=-0.00001,"",IndividualsPerGame!U39)</f>
        <v>0</v>
      </c>
      <c r="AK67" s="400" t="str">
        <f>IF(IndividualsPerGame!V39=-0.00001,"",IndividualsPerGame!V39)</f>
        <v/>
      </c>
    </row>
    <row r="68" spans="17:37" ht="11.25" customHeight="1" x14ac:dyDescent="0.25">
      <c r="Q68" s="398">
        <f>IF($R68="","",MAX($Q$32:Q67)+1)</f>
        <v>37</v>
      </c>
      <c r="R68" s="407" t="str">
        <f>IF(IndividualsPerGame!C40="","",IndividualsPerGame!C40)</f>
        <v>Austin Rohleder</v>
      </c>
      <c r="S68" s="407" t="str">
        <f>IF(IndividualsPerGame!D40="","",IndividualsPerGame!D40)</f>
        <v>Lightning</v>
      </c>
      <c r="T68" s="398">
        <f>IF(IndividualsPerGame!E40=-0.00001,"",IndividualsPerGame!E40)</f>
        <v>3</v>
      </c>
      <c r="U68" s="399">
        <f>IF(IndividualsPerGame!F40=-0.00001,"",IndividualsPerGame!F40)</f>
        <v>2</v>
      </c>
      <c r="V68" s="399">
        <f>IF(IndividualsPerGame!G40=-0.00001,"",IndividualsPerGame!G40)</f>
        <v>2.6666666666666665</v>
      </c>
      <c r="W68" s="399">
        <f>IF(IndividualsPerGame!H40=-0.00001,"",IndividualsPerGame!H40)</f>
        <v>1.6666666666666667</v>
      </c>
      <c r="X68" s="399">
        <f>IF(IndividualsPerGame!I40=-0.00001,"",IndividualsPerGame!I40)</f>
        <v>0.66666666666666663</v>
      </c>
      <c r="Y68" s="399">
        <f>IF(IndividualsPerGame!J40=-0.00001,"",IndividualsPerGame!J40)</f>
        <v>0.33333333333333331</v>
      </c>
      <c r="Z68" s="399">
        <f>IF(IndividualsPerGame!K40=-0.00001,"",IndividualsPerGame!K40)</f>
        <v>0.33333333333333331</v>
      </c>
      <c r="AA68" s="399">
        <f>IF(IndividualsPerGame!L40=-0.00001,"",IndividualsPerGame!L40)</f>
        <v>1.3333333333333333</v>
      </c>
      <c r="AB68" s="399">
        <f>IF(IndividualsPerGame!M40=-0.00001,"",IndividualsPerGame!M40)</f>
        <v>1.3333333333333333</v>
      </c>
      <c r="AC68" s="424">
        <f>IF(IndividualsPerGame!N40=-0.00001,"",IndividualsPerGame!N40)</f>
        <v>0</v>
      </c>
      <c r="AD68" s="399">
        <f>IF(IndividualsPerGame!O40=-0.00001,"",IndividualsPerGame!O40)</f>
        <v>0</v>
      </c>
      <c r="AE68" s="425" t="str">
        <f>IF(IndividualsPerGame!P40=-0.00001,"",IndividualsPerGame!P40)</f>
        <v/>
      </c>
      <c r="AF68" s="424">
        <f>IF(IndividualsPerGame!Q40=-0.00001,"",IndividualsPerGame!Q40)</f>
        <v>1</v>
      </c>
      <c r="AG68" s="399">
        <f>IF(IndividualsPerGame!R40=-0.00001,"",IndividualsPerGame!R40)</f>
        <v>3</v>
      </c>
      <c r="AH68" s="425">
        <f>IF(IndividualsPerGame!S40=-0.00001,"",IndividualsPerGame!S40)</f>
        <v>0.30555555555555552</v>
      </c>
      <c r="AI68" s="399">
        <f>IF(IndividualsPerGame!T40=-0.00001,"",IndividualsPerGame!T40)</f>
        <v>0</v>
      </c>
      <c r="AJ68" s="399">
        <f>IF(IndividualsPerGame!U40=-0.00001,"",IndividualsPerGame!U40)</f>
        <v>0.66666666666666663</v>
      </c>
      <c r="AK68" s="400">
        <f>IF(IndividualsPerGame!V40=-0.00001,"",IndividualsPerGame!V40)</f>
        <v>0</v>
      </c>
    </row>
    <row r="69" spans="17:37" ht="11.25" customHeight="1" x14ac:dyDescent="0.25">
      <c r="Q69" s="398">
        <f>IF($R69="","",MAX($Q$32:Q68)+1)</f>
        <v>38</v>
      </c>
      <c r="R69" s="407" t="str">
        <f>IF(IndividualsPerGame!C41="","",IndividualsPerGame!C41)</f>
        <v>PJ Brandel</v>
      </c>
      <c r="S69" s="407" t="str">
        <f>IF(IndividualsPerGame!D41="","",IndividualsPerGame!D41)</f>
        <v>Vandals</v>
      </c>
      <c r="T69" s="398">
        <f>IF(IndividualsPerGame!E41=-0.00001,"",IndividualsPerGame!E41)</f>
        <v>4</v>
      </c>
      <c r="U69" s="399">
        <f>IF(IndividualsPerGame!F41=-0.00001,"",IndividualsPerGame!F41)</f>
        <v>0.75</v>
      </c>
      <c r="V69" s="399">
        <f>IF(IndividualsPerGame!G41=-0.00001,"",IndividualsPerGame!G41)</f>
        <v>3.5</v>
      </c>
      <c r="W69" s="399">
        <f>IF(IndividualsPerGame!H41=-0.00001,"",IndividualsPerGame!H41)</f>
        <v>1.25</v>
      </c>
      <c r="X69" s="399">
        <f>IF(IndividualsPerGame!I41=-0.00001,"",IndividualsPerGame!I41)</f>
        <v>0.25</v>
      </c>
      <c r="Y69" s="399">
        <f>IF(IndividualsPerGame!J41=-0.00001,"",IndividualsPerGame!J41)</f>
        <v>0</v>
      </c>
      <c r="Z69" s="399">
        <f>IF(IndividualsPerGame!K41=-0.00001,"",IndividualsPerGame!K41)</f>
        <v>1.75</v>
      </c>
      <c r="AA69" s="399">
        <f>IF(IndividualsPerGame!L41=-0.00001,"",IndividualsPerGame!L41)</f>
        <v>0.25</v>
      </c>
      <c r="AB69" s="399">
        <f>IF(IndividualsPerGame!M41=-0.00001,"",IndividualsPerGame!M41)</f>
        <v>1.75</v>
      </c>
      <c r="AC69" s="424">
        <f>IF(IndividualsPerGame!N41=-0.00001,"",IndividualsPerGame!N41)</f>
        <v>0.25</v>
      </c>
      <c r="AD69" s="399">
        <f>IF(IndividualsPerGame!O41=-0.00001,"",IndividualsPerGame!O41)</f>
        <v>2.25</v>
      </c>
      <c r="AE69" s="425">
        <f>IF(IndividualsPerGame!P41=-0.00001,"",IndividualsPerGame!P41)</f>
        <v>8.3333333333333329E-2</v>
      </c>
      <c r="AF69" s="424">
        <f>IF(IndividualsPerGame!Q41=-0.00001,"",IndividualsPerGame!Q41)</f>
        <v>0.25</v>
      </c>
      <c r="AG69" s="399">
        <f>IF(IndividualsPerGame!R41=-0.00001,"",IndividualsPerGame!R41)</f>
        <v>2.5</v>
      </c>
      <c r="AH69" s="425">
        <f>IF(IndividualsPerGame!S41=-0.00001,"",IndividualsPerGame!S41)</f>
        <v>8.3333333333333329E-2</v>
      </c>
      <c r="AI69" s="399">
        <f>IF(IndividualsPerGame!T41=-0.00001,"",IndividualsPerGame!T41)</f>
        <v>0</v>
      </c>
      <c r="AJ69" s="399">
        <f>IF(IndividualsPerGame!U41=-0.00001,"",IndividualsPerGame!U41)</f>
        <v>0</v>
      </c>
      <c r="AK69" s="400" t="str">
        <f>IF(IndividualsPerGame!V41=-0.00001,"",IndividualsPerGame!V41)</f>
        <v/>
      </c>
    </row>
    <row r="70" spans="17:37" ht="11.25" customHeight="1" x14ac:dyDescent="0.25">
      <c r="Q70" s="398" t="str">
        <f>IF($R70="","",MAX($Q$32:Q69)+1)</f>
        <v/>
      </c>
      <c r="R70" s="407" t="str">
        <f>IF(IndividualsPerGame!C42="","",IndividualsPerGame!C42)</f>
        <v/>
      </c>
      <c r="S70" s="407" t="str">
        <f>IF(IndividualsPerGame!D42="","",IndividualsPerGame!D42)</f>
        <v/>
      </c>
      <c r="T70" s="398" t="str">
        <f>IF(IndividualsPerGame!E42=-0.00001,"",IndividualsPerGame!E42)</f>
        <v/>
      </c>
      <c r="U70" s="399" t="str">
        <f>IF(IndividualsPerGame!F42=-0.00001,"",IndividualsPerGame!F42)</f>
        <v/>
      </c>
      <c r="V70" s="399" t="str">
        <f>IF(IndividualsPerGame!G42=-0.00001,"",IndividualsPerGame!G42)</f>
        <v/>
      </c>
      <c r="W70" s="399" t="str">
        <f>IF(IndividualsPerGame!H42=-0.00001,"",IndividualsPerGame!H42)</f>
        <v/>
      </c>
      <c r="X70" s="399" t="str">
        <f>IF(IndividualsPerGame!I42=-0.00001,"",IndividualsPerGame!I42)</f>
        <v/>
      </c>
      <c r="Y70" s="399" t="str">
        <f>IF(IndividualsPerGame!J42=-0.00001,"",IndividualsPerGame!J42)</f>
        <v/>
      </c>
      <c r="Z70" s="399" t="str">
        <f>IF(IndividualsPerGame!K42=-0.00001,"",IndividualsPerGame!K42)</f>
        <v/>
      </c>
      <c r="AA70" s="399" t="str">
        <f>IF(IndividualsPerGame!L42=-0.00001,"",IndividualsPerGame!L42)</f>
        <v/>
      </c>
      <c r="AB70" s="399" t="str">
        <f>IF(IndividualsPerGame!M42=-0.00001,"",IndividualsPerGame!M42)</f>
        <v/>
      </c>
      <c r="AC70" s="424" t="str">
        <f>IF(IndividualsPerGame!N42=-0.00001,"",IndividualsPerGame!N42)</f>
        <v/>
      </c>
      <c r="AD70" s="399" t="str">
        <f>IF(IndividualsPerGame!O42=-0.00001,"",IndividualsPerGame!O42)</f>
        <v/>
      </c>
      <c r="AE70" s="425" t="str">
        <f>IF(IndividualsPerGame!P42=-0.00001,"",IndividualsPerGame!P42)</f>
        <v/>
      </c>
      <c r="AF70" s="424" t="str">
        <f>IF(IndividualsPerGame!Q42=-0.00001,"",IndividualsPerGame!Q42)</f>
        <v/>
      </c>
      <c r="AG70" s="399" t="str">
        <f>IF(IndividualsPerGame!R42=-0.00001,"",IndividualsPerGame!R42)</f>
        <v/>
      </c>
      <c r="AH70" s="425" t="str">
        <f>IF(IndividualsPerGame!S42=-0.00001,"",IndividualsPerGame!S42)</f>
        <v/>
      </c>
      <c r="AI70" s="399" t="str">
        <f>IF(IndividualsPerGame!T42=-0.00001,"",IndividualsPerGame!T42)</f>
        <v/>
      </c>
      <c r="AJ70" s="399" t="str">
        <f>IF(IndividualsPerGame!U42=-0.00001,"",IndividualsPerGame!U42)</f>
        <v/>
      </c>
      <c r="AK70" s="400" t="str">
        <f>IF(IndividualsPerGame!V42=-0.00001,"",IndividualsPerGame!V42)</f>
        <v/>
      </c>
    </row>
    <row r="71" spans="17:37" ht="11.25" customHeight="1" x14ac:dyDescent="0.25">
      <c r="Q71" s="398" t="str">
        <f>IF($R71="","",MAX($Q$32:Q70)+1)</f>
        <v/>
      </c>
      <c r="R71" s="407" t="str">
        <f>IF(IndividualsPerGame!C43="","",IndividualsPerGame!C43)</f>
        <v/>
      </c>
      <c r="S71" s="407" t="str">
        <f>IF(IndividualsPerGame!D43="","",IndividualsPerGame!D43)</f>
        <v/>
      </c>
      <c r="T71" s="398" t="str">
        <f>IF(IndividualsPerGame!E43=-0.00001,"",IndividualsPerGame!E43)</f>
        <v/>
      </c>
      <c r="U71" s="399" t="str">
        <f>IF(IndividualsPerGame!F43=-0.00001,"",IndividualsPerGame!F43)</f>
        <v/>
      </c>
      <c r="V71" s="399" t="str">
        <f>IF(IndividualsPerGame!G43=-0.00001,"",IndividualsPerGame!G43)</f>
        <v/>
      </c>
      <c r="W71" s="399" t="str">
        <f>IF(IndividualsPerGame!H43=-0.00001,"",IndividualsPerGame!H43)</f>
        <v/>
      </c>
      <c r="X71" s="399" t="str">
        <f>IF(IndividualsPerGame!I43=-0.00001,"",IndividualsPerGame!I43)</f>
        <v/>
      </c>
      <c r="Y71" s="399" t="str">
        <f>IF(IndividualsPerGame!J43=-0.00001,"",IndividualsPerGame!J43)</f>
        <v/>
      </c>
      <c r="Z71" s="399" t="str">
        <f>IF(IndividualsPerGame!K43=-0.00001,"",IndividualsPerGame!K43)</f>
        <v/>
      </c>
      <c r="AA71" s="399" t="str">
        <f>IF(IndividualsPerGame!L43=-0.00001,"",IndividualsPerGame!L43)</f>
        <v/>
      </c>
      <c r="AB71" s="399" t="str">
        <f>IF(IndividualsPerGame!M43=-0.00001,"",IndividualsPerGame!M43)</f>
        <v/>
      </c>
      <c r="AC71" s="424" t="str">
        <f>IF(IndividualsPerGame!N43=-0.00001,"",IndividualsPerGame!N43)</f>
        <v/>
      </c>
      <c r="AD71" s="399" t="str">
        <f>IF(IndividualsPerGame!O43=-0.00001,"",IndividualsPerGame!O43)</f>
        <v/>
      </c>
      <c r="AE71" s="425" t="str">
        <f>IF(IndividualsPerGame!P43=-0.00001,"",IndividualsPerGame!P43)</f>
        <v/>
      </c>
      <c r="AF71" s="424" t="str">
        <f>IF(IndividualsPerGame!Q43=-0.00001,"",IndividualsPerGame!Q43)</f>
        <v/>
      </c>
      <c r="AG71" s="399" t="str">
        <f>IF(IndividualsPerGame!R43=-0.00001,"",IndividualsPerGame!R43)</f>
        <v/>
      </c>
      <c r="AH71" s="425" t="str">
        <f>IF(IndividualsPerGame!S43=-0.00001,"",IndividualsPerGame!S43)</f>
        <v/>
      </c>
      <c r="AI71" s="399" t="str">
        <f>IF(IndividualsPerGame!T43=-0.00001,"",IndividualsPerGame!T43)</f>
        <v/>
      </c>
      <c r="AJ71" s="399" t="str">
        <f>IF(IndividualsPerGame!U43=-0.00001,"",IndividualsPerGame!U43)</f>
        <v/>
      </c>
      <c r="AK71" s="400" t="str">
        <f>IF(IndividualsPerGame!V43=-0.00001,"",IndividualsPerGame!V43)</f>
        <v/>
      </c>
    </row>
    <row r="72" spans="17:37" ht="11.25" customHeight="1" x14ac:dyDescent="0.25">
      <c r="Q72" s="398" t="str">
        <f>IF($R72="","",MAX($Q$32:Q71)+1)</f>
        <v/>
      </c>
      <c r="R72" s="407" t="str">
        <f>IF(IndividualsPerGame!C44="","",IndividualsPerGame!C44)</f>
        <v/>
      </c>
      <c r="S72" s="407" t="str">
        <f>IF(IndividualsPerGame!D44="","",IndividualsPerGame!D44)</f>
        <v/>
      </c>
      <c r="T72" s="398" t="str">
        <f>IF(IndividualsPerGame!E44=-0.00001,"",IndividualsPerGame!E44)</f>
        <v/>
      </c>
      <c r="U72" s="399" t="str">
        <f>IF(IndividualsPerGame!F44=-0.00001,"",IndividualsPerGame!F44)</f>
        <v/>
      </c>
      <c r="V72" s="399" t="str">
        <f>IF(IndividualsPerGame!G44=-0.00001,"",IndividualsPerGame!G44)</f>
        <v/>
      </c>
      <c r="W72" s="399" t="str">
        <f>IF(IndividualsPerGame!H44=-0.00001,"",IndividualsPerGame!H44)</f>
        <v/>
      </c>
      <c r="X72" s="399" t="str">
        <f>IF(IndividualsPerGame!I44=-0.00001,"",IndividualsPerGame!I44)</f>
        <v/>
      </c>
      <c r="Y72" s="399" t="str">
        <f>IF(IndividualsPerGame!J44=-0.00001,"",IndividualsPerGame!J44)</f>
        <v/>
      </c>
      <c r="Z72" s="399" t="str">
        <f>IF(IndividualsPerGame!K44=-0.00001,"",IndividualsPerGame!K44)</f>
        <v/>
      </c>
      <c r="AA72" s="399" t="str">
        <f>IF(IndividualsPerGame!L44=-0.00001,"",IndividualsPerGame!L44)</f>
        <v/>
      </c>
      <c r="AB72" s="399" t="str">
        <f>IF(IndividualsPerGame!M44=-0.00001,"",IndividualsPerGame!M44)</f>
        <v/>
      </c>
      <c r="AC72" s="424" t="str">
        <f>IF(IndividualsPerGame!N44=-0.00001,"",IndividualsPerGame!N44)</f>
        <v/>
      </c>
      <c r="AD72" s="399" t="str">
        <f>IF(IndividualsPerGame!O44=-0.00001,"",IndividualsPerGame!O44)</f>
        <v/>
      </c>
      <c r="AE72" s="425" t="str">
        <f>IF(IndividualsPerGame!P44=-0.00001,"",IndividualsPerGame!P44)</f>
        <v/>
      </c>
      <c r="AF72" s="424" t="str">
        <f>IF(IndividualsPerGame!Q44=-0.00001,"",IndividualsPerGame!Q44)</f>
        <v/>
      </c>
      <c r="AG72" s="399" t="str">
        <f>IF(IndividualsPerGame!R44=-0.00001,"",IndividualsPerGame!R44)</f>
        <v/>
      </c>
      <c r="AH72" s="425" t="str">
        <f>IF(IndividualsPerGame!S44=-0.00001,"",IndividualsPerGame!S44)</f>
        <v/>
      </c>
      <c r="AI72" s="399" t="str">
        <f>IF(IndividualsPerGame!T44=-0.00001,"",IndividualsPerGame!T44)</f>
        <v/>
      </c>
      <c r="AJ72" s="399" t="str">
        <f>IF(IndividualsPerGame!U44=-0.00001,"",IndividualsPerGame!U44)</f>
        <v/>
      </c>
      <c r="AK72" s="400" t="str">
        <f>IF(IndividualsPerGame!V44=-0.00001,"",IndividualsPerGame!V44)</f>
        <v/>
      </c>
    </row>
    <row r="73" spans="17:37" ht="11.25" customHeight="1" x14ac:dyDescent="0.25">
      <c r="Q73" s="398" t="str">
        <f>IF($R73="","",MAX($Q$32:Q72)+1)</f>
        <v/>
      </c>
      <c r="R73" s="407" t="str">
        <f>IF(IndividualsPerGame!C45="","",IndividualsPerGame!C45)</f>
        <v/>
      </c>
      <c r="S73" s="407" t="str">
        <f>IF(IndividualsPerGame!D45="","",IndividualsPerGame!D45)</f>
        <v/>
      </c>
      <c r="T73" s="398" t="str">
        <f>IF(IndividualsPerGame!E45=-0.00001,"",IndividualsPerGame!E45)</f>
        <v/>
      </c>
      <c r="U73" s="399" t="str">
        <f>IF(IndividualsPerGame!F45=-0.00001,"",IndividualsPerGame!F45)</f>
        <v/>
      </c>
      <c r="V73" s="399" t="str">
        <f>IF(IndividualsPerGame!G45=-0.00001,"",IndividualsPerGame!G45)</f>
        <v/>
      </c>
      <c r="W73" s="399" t="str">
        <f>IF(IndividualsPerGame!H45=-0.00001,"",IndividualsPerGame!H45)</f>
        <v/>
      </c>
      <c r="X73" s="399" t="str">
        <f>IF(IndividualsPerGame!I45=-0.00001,"",IndividualsPerGame!I45)</f>
        <v/>
      </c>
      <c r="Y73" s="399" t="str">
        <f>IF(IndividualsPerGame!J45=-0.00001,"",IndividualsPerGame!J45)</f>
        <v/>
      </c>
      <c r="Z73" s="399" t="str">
        <f>IF(IndividualsPerGame!K45=-0.00001,"",IndividualsPerGame!K45)</f>
        <v/>
      </c>
      <c r="AA73" s="399" t="str">
        <f>IF(IndividualsPerGame!L45=-0.00001,"",IndividualsPerGame!L45)</f>
        <v/>
      </c>
      <c r="AB73" s="399" t="str">
        <f>IF(IndividualsPerGame!M45=-0.00001,"",IndividualsPerGame!M45)</f>
        <v/>
      </c>
      <c r="AC73" s="424" t="str">
        <f>IF(IndividualsPerGame!N45=-0.00001,"",IndividualsPerGame!N45)</f>
        <v/>
      </c>
      <c r="AD73" s="399" t="str">
        <f>IF(IndividualsPerGame!O45=-0.00001,"",IndividualsPerGame!O45)</f>
        <v/>
      </c>
      <c r="AE73" s="425" t="str">
        <f>IF(IndividualsPerGame!P45=-0.00001,"",IndividualsPerGame!P45)</f>
        <v/>
      </c>
      <c r="AF73" s="424" t="str">
        <f>IF(IndividualsPerGame!Q45=-0.00001,"",IndividualsPerGame!Q45)</f>
        <v/>
      </c>
      <c r="AG73" s="399" t="str">
        <f>IF(IndividualsPerGame!R45=-0.00001,"",IndividualsPerGame!R45)</f>
        <v/>
      </c>
      <c r="AH73" s="425" t="str">
        <f>IF(IndividualsPerGame!S45=-0.00001,"",IndividualsPerGame!S45)</f>
        <v/>
      </c>
      <c r="AI73" s="399" t="str">
        <f>IF(IndividualsPerGame!T45=-0.00001,"",IndividualsPerGame!T45)</f>
        <v/>
      </c>
      <c r="AJ73" s="399" t="str">
        <f>IF(IndividualsPerGame!U45=-0.00001,"",IndividualsPerGame!U45)</f>
        <v/>
      </c>
      <c r="AK73" s="400" t="str">
        <f>IF(IndividualsPerGame!V45=-0.00001,"",IndividualsPerGame!V45)</f>
        <v/>
      </c>
    </row>
    <row r="74" spans="17:37" ht="11.25" customHeight="1" x14ac:dyDescent="0.25">
      <c r="Q74" s="402" t="str">
        <f>IF($R74="","",MAX($Q$32:Q73)+1)</f>
        <v/>
      </c>
      <c r="R74" s="408" t="str">
        <f>IF(IndividualsPerGame!C46="","",IndividualsPerGame!C46)</f>
        <v/>
      </c>
      <c r="S74" s="408" t="str">
        <f>IF(IndividualsPerGame!D46="","",IndividualsPerGame!D46)</f>
        <v/>
      </c>
      <c r="T74" s="402" t="str">
        <f>IF(IndividualsPerGame!E46=-0.00001,"",IndividualsPerGame!E46)</f>
        <v/>
      </c>
      <c r="U74" s="403" t="str">
        <f>IF(IndividualsPerGame!F46=-0.00001,"",IndividualsPerGame!F46)</f>
        <v/>
      </c>
      <c r="V74" s="403" t="str">
        <f>IF(IndividualsPerGame!G46=-0.00001,"",IndividualsPerGame!G46)</f>
        <v/>
      </c>
      <c r="W74" s="403" t="str">
        <f>IF(IndividualsPerGame!H46=-0.00001,"",IndividualsPerGame!H46)</f>
        <v/>
      </c>
      <c r="X74" s="403" t="str">
        <f>IF(IndividualsPerGame!I46=-0.00001,"",IndividualsPerGame!I46)</f>
        <v/>
      </c>
      <c r="Y74" s="403" t="str">
        <f>IF(IndividualsPerGame!J46=-0.00001,"",IndividualsPerGame!J46)</f>
        <v/>
      </c>
      <c r="Z74" s="403" t="str">
        <f>IF(IndividualsPerGame!K46=-0.00001,"",IndividualsPerGame!K46)</f>
        <v/>
      </c>
      <c r="AA74" s="403" t="str">
        <f>IF(IndividualsPerGame!L46=-0.00001,"",IndividualsPerGame!L46)</f>
        <v/>
      </c>
      <c r="AB74" s="403" t="str">
        <f>IF(IndividualsPerGame!M46=-0.00001,"",IndividualsPerGame!M46)</f>
        <v/>
      </c>
      <c r="AC74" s="426" t="str">
        <f>IF(IndividualsPerGame!N46=-0.00001,"",IndividualsPerGame!N46)</f>
        <v/>
      </c>
      <c r="AD74" s="403" t="str">
        <f>IF(IndividualsPerGame!O46=-0.00001,"",IndividualsPerGame!O46)</f>
        <v/>
      </c>
      <c r="AE74" s="427" t="str">
        <f>IF(IndividualsPerGame!P46=-0.00001,"",IndividualsPerGame!P46)</f>
        <v/>
      </c>
      <c r="AF74" s="426" t="str">
        <f>IF(IndividualsPerGame!Q46=-0.00001,"",IndividualsPerGame!Q46)</f>
        <v/>
      </c>
      <c r="AG74" s="403" t="str">
        <f>IF(IndividualsPerGame!R46=-0.00001,"",IndividualsPerGame!R46)</f>
        <v/>
      </c>
      <c r="AH74" s="427" t="str">
        <f>IF(IndividualsPerGame!S46=-0.00001,"",IndividualsPerGame!S46)</f>
        <v/>
      </c>
      <c r="AI74" s="403" t="str">
        <f>IF(IndividualsPerGame!T46=-0.00001,"",IndividualsPerGame!T46)</f>
        <v/>
      </c>
      <c r="AJ74" s="403" t="str">
        <f>IF(IndividualsPerGame!U46=-0.00001,"",IndividualsPerGame!U46)</f>
        <v/>
      </c>
      <c r="AK74" s="404" t="str">
        <f>IF(IndividualsPerGame!V46=-0.00001,"",IndividualsPerGame!V46)</f>
        <v/>
      </c>
    </row>
    <row r="75" spans="17:37" ht="11.25" customHeight="1" x14ac:dyDescent="0.25">
      <c r="Q75" s="389" t="str">
        <f>IF($R75="","",MAX($Q$32:Q74)+1)</f>
        <v/>
      </c>
      <c r="R75" s="390" t="str">
        <f>IF(IndividualsPerGame!C47="","",IndividualsPerGame!C47)</f>
        <v/>
      </c>
      <c r="S75" s="390" t="str">
        <f>IF(IndividualsPerGame!D47="","",IndividualsPerGame!D47)</f>
        <v/>
      </c>
      <c r="T75" s="389" t="str">
        <f>IF(IndividualsPerGame!E47=-0.00001,"",IndividualsPerGame!E47)</f>
        <v/>
      </c>
      <c r="U75" s="391" t="str">
        <f>IF(IndividualsPerGame!F47=-0.00001,"",IndividualsPerGame!F47)</f>
        <v/>
      </c>
      <c r="V75" s="391" t="str">
        <f>IF(IndividualsPerGame!G47=-0.00001,"",IndividualsPerGame!G47)</f>
        <v/>
      </c>
      <c r="W75" s="391" t="str">
        <f>IF(IndividualsPerGame!H47=-0.00001,"",IndividualsPerGame!H47)</f>
        <v/>
      </c>
      <c r="X75" s="391" t="str">
        <f>IF(IndividualsPerGame!I47=-0.00001,"",IndividualsPerGame!I47)</f>
        <v/>
      </c>
      <c r="Y75" s="391" t="str">
        <f>IF(IndividualsPerGame!J47=-0.00001,"",IndividualsPerGame!J47)</f>
        <v/>
      </c>
      <c r="Z75" s="391" t="str">
        <f>IF(IndividualsPerGame!K47=-0.00001,"",IndividualsPerGame!K47)</f>
        <v/>
      </c>
      <c r="AA75" s="391" t="str">
        <f>IF(IndividualsPerGame!L47=-0.00001,"",IndividualsPerGame!L47)</f>
        <v/>
      </c>
      <c r="AB75" s="391" t="str">
        <f>IF(IndividualsPerGame!M47=-0.00001,"",IndividualsPerGame!M47)</f>
        <v/>
      </c>
      <c r="AC75" s="391" t="str">
        <f>IF(IndividualsPerGame!N47=-0.00001,"",IndividualsPerGame!N47)</f>
        <v/>
      </c>
      <c r="AD75" s="391" t="str">
        <f>IF(IndividualsPerGame!O47=-0.00001,"",IndividualsPerGame!O47)</f>
        <v/>
      </c>
      <c r="AE75" s="392" t="str">
        <f>IF(IndividualsPerGame!P47=-0.00001,"",IndividualsPerGame!P47)</f>
        <v/>
      </c>
      <c r="AF75" s="391" t="str">
        <f>IF(IndividualsPerGame!Q47=-0.00001,"",IndividualsPerGame!Q47)</f>
        <v/>
      </c>
      <c r="AG75" s="391" t="str">
        <f>IF(IndividualsPerGame!R47=-0.00001,"",IndividualsPerGame!R47)</f>
        <v/>
      </c>
      <c r="AH75" s="392" t="str">
        <f>IF(IndividualsPerGame!S47=-0.00001,"",IndividualsPerGame!S47)</f>
        <v/>
      </c>
      <c r="AI75" s="391" t="str">
        <f>IF(IndividualsPerGame!T47=-0.00001,"",IndividualsPerGame!T47)</f>
        <v/>
      </c>
      <c r="AJ75" s="391" t="str">
        <f>IF(IndividualsPerGame!U47=-0.00001,"",IndividualsPerGame!U47)</f>
        <v/>
      </c>
      <c r="AK75" s="392" t="str">
        <f>IF(IndividualsPerGame!V47=-0.00001,"",IndividualsPerGame!V47)</f>
        <v/>
      </c>
    </row>
    <row r="76" spans="17:37" ht="11.25" customHeight="1" x14ac:dyDescent="0.25">
      <c r="Q76" s="384"/>
      <c r="R76" s="320"/>
      <c r="S76" s="320"/>
      <c r="T76" s="320"/>
      <c r="U76" s="320"/>
      <c r="V76" s="320"/>
      <c r="W76" s="320"/>
      <c r="X76" s="320"/>
      <c r="Y76" s="320"/>
      <c r="Z76" s="320"/>
      <c r="AA76" s="320"/>
      <c r="AB76" s="320"/>
      <c r="AC76" s="320"/>
      <c r="AD76" s="320"/>
      <c r="AE76" s="385"/>
      <c r="AF76" s="320"/>
      <c r="AG76" s="320"/>
      <c r="AH76" s="385"/>
      <c r="AI76" s="320"/>
      <c r="AJ76" s="320"/>
      <c r="AK76" s="385"/>
    </row>
    <row r="77" spans="17:37" ht="11.25" customHeight="1" x14ac:dyDescent="0.25"/>
    <row r="78" spans="17:37" ht="11.25" customHeight="1" x14ac:dyDescent="0.25"/>
    <row r="79" spans="17:37" ht="11.25" customHeight="1" x14ac:dyDescent="0.25"/>
    <row r="80" spans="17:37" ht="11.25" customHeight="1" x14ac:dyDescent="0.25"/>
    <row r="81" ht="11.25" customHeight="1" x14ac:dyDescent="0.25"/>
  </sheetData>
  <sheetProtection algorithmName="SHA-512" hashValue="ywE6hIs6z/0OzXBa31f2bTDz+2rn/l5lv/En6ewklNvGfvbCeMEjFX7KmW5MjLcRakCe1j1xEpLCG9wj7w24Xw==" saltValue="in4eB0144Gz/8W+vC0rwpw==" spinCount="100000" sheet="1" objects="1" scenarios="1" selectLockedCells="1"/>
  <mergeCells count="8">
    <mergeCell ref="Q30:AK30"/>
    <mergeCell ref="S2:T2"/>
    <mergeCell ref="Q1:AK1"/>
    <mergeCell ref="A1:D1"/>
    <mergeCell ref="L1:O1"/>
    <mergeCell ref="F1:G1"/>
    <mergeCell ref="I1:J1"/>
    <mergeCell ref="H3:H4"/>
  </mergeCells>
  <conditionalFormatting sqref="G5:G21">
    <cfRule type="expression" dxfId="10" priority="10">
      <formula>G5&gt;I5</formula>
    </cfRule>
    <cfRule type="expression" dxfId="9" priority="11">
      <formula>$G5&gt;$H5</formula>
    </cfRule>
  </conditionalFormatting>
  <conditionalFormatting sqref="I5:I21">
    <cfRule type="expression" dxfId="8" priority="8">
      <formula>$I5&gt;$H5</formula>
    </cfRule>
    <cfRule type="expression" dxfId="7" priority="9">
      <formula>I5&gt;G5</formula>
    </cfRule>
  </conditionalFormatting>
  <conditionalFormatting sqref="A1:D1 L1:O1">
    <cfRule type="containsText" dxfId="6" priority="7" operator="containsText" text="LIGHTNING">
      <formula>NOT(ISERROR(SEARCH("LIGHTNING",A1)))</formula>
    </cfRule>
    <cfRule type="containsText" dxfId="5" priority="6" operator="containsText" text="MUSTANGS">
      <formula>NOT(ISERROR(SEARCH("MUSTANGS",A1)))</formula>
    </cfRule>
    <cfRule type="containsText" dxfId="4" priority="5" operator="containsText" text="WOMBATS">
      <formula>NOT(ISERROR(SEARCH("WOMBATS",A1)))</formula>
    </cfRule>
    <cfRule type="containsText" dxfId="3" priority="4" operator="containsText" text="PISTONS">
      <formula>NOT(ISERROR(SEARCH("PISTONS",A1)))</formula>
    </cfRule>
    <cfRule type="containsText" dxfId="2" priority="3" operator="containsText" text="VANDALS">
      <formula>NOT(ISERROR(SEARCH("VANDALS",A1)))</formula>
    </cfRule>
    <cfRule type="containsText" dxfId="1" priority="2" operator="containsText" text="HOOPERS">
      <formula>NOT(ISERROR(SEARCH("HOOPERS",A1)))</formula>
    </cfRule>
  </conditionalFormatting>
  <conditionalFormatting sqref="U4:AK16">
    <cfRule type="expression" dxfId="0" priority="1">
      <formula>U4&gt;U$2</formula>
    </cfRule>
  </conditionalFormatting>
  <dataValidations count="2">
    <dataValidation type="list" allowBlank="1" showInputMessage="1" showErrorMessage="1" sqref="L1 A1" xr:uid="{C5E8EB68-3B96-4413-AAC8-3BFC72A90D20}">
      <formula1>CurrentTeams</formula1>
    </dataValidation>
    <dataValidation type="list" allowBlank="1" showInputMessage="1" showErrorMessage="1" sqref="I1:J1" xr:uid="{0645403D-4668-4A14-9AA4-2750645E674E}">
      <formula1>WeeksInSeason</formula1>
    </dataValidation>
  </dataValidations>
  <printOptions horizontalCentered="1" verticalCentered="1"/>
  <pageMargins left="0.7" right="0.7" top="0.75" bottom="0.75" header="0.3" footer="0.3"/>
  <pageSetup orientation="landscape" verticalDpi="300" r:id="rId1"/>
  <headerFooter>
    <oddHeader>&amp;L&amp;G&amp;R&amp;"Bahnschrift,Bold"OFFICIAL PROGRAM</oddHeader>
    <oddFooter>&amp;C
&amp;R&amp;8Statbook and design created by Kevin Vollmar
kevinvollmar@gmail.com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rgb="FFFFFF00"/>
  </sheetPr>
  <dimension ref="A1:Z248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ColWidth="9.140625" defaultRowHeight="15" x14ac:dyDescent="0.25"/>
  <cols>
    <col min="1" max="1" width="2" style="153" customWidth="1"/>
    <col min="2" max="2" width="6.42578125" style="127" customWidth="1"/>
    <col min="3" max="3" width="18.7109375" style="154" bestFit="1" customWidth="1"/>
    <col min="4" max="13" width="19.42578125" style="119" customWidth="1"/>
    <col min="14" max="16384" width="9.140625" style="107"/>
  </cols>
  <sheetData>
    <row r="1" spans="1:26" s="158" customFormat="1" x14ac:dyDescent="0.25">
      <c r="A1" s="149"/>
      <c r="B1" s="120"/>
      <c r="C1" s="150"/>
      <c r="D1" s="155"/>
      <c r="E1" s="155"/>
      <c r="F1" s="155"/>
      <c r="G1" s="155"/>
      <c r="H1" s="155"/>
      <c r="I1" s="155"/>
      <c r="J1" s="155"/>
      <c r="K1" s="155"/>
      <c r="L1" s="155"/>
      <c r="M1" s="156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</row>
    <row r="2" spans="1:26" s="160" customFormat="1" ht="22.5" customHeight="1" x14ac:dyDescent="0.25">
      <c r="A2" s="151"/>
      <c r="B2" s="121"/>
      <c r="C2" s="121"/>
      <c r="D2" s="458" t="s">
        <v>104</v>
      </c>
      <c r="E2" s="458"/>
      <c r="F2" s="458"/>
      <c r="G2" s="458"/>
      <c r="H2" s="458"/>
      <c r="I2" s="458"/>
      <c r="J2" s="458"/>
      <c r="K2" s="458"/>
      <c r="L2" s="458"/>
      <c r="M2" s="458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</row>
    <row r="3" spans="1:26" s="160" customFormat="1" x14ac:dyDescent="0.25">
      <c r="A3" s="152"/>
      <c r="B3" s="120" t="s">
        <v>103</v>
      </c>
      <c r="C3" s="120" t="s">
        <v>98</v>
      </c>
      <c r="D3" s="120" t="s">
        <v>45</v>
      </c>
      <c r="E3" s="120" t="s">
        <v>46</v>
      </c>
      <c r="F3" s="120" t="s">
        <v>47</v>
      </c>
      <c r="G3" s="120" t="s">
        <v>48</v>
      </c>
      <c r="H3" s="120" t="s">
        <v>49</v>
      </c>
      <c r="I3" s="120" t="s">
        <v>50</v>
      </c>
      <c r="J3" s="120" t="s">
        <v>51</v>
      </c>
      <c r="K3" s="120" t="s">
        <v>52</v>
      </c>
      <c r="L3" s="120" t="s">
        <v>53</v>
      </c>
      <c r="M3" s="161" t="s">
        <v>54</v>
      </c>
      <c r="N3" s="159"/>
      <c r="O3" s="159"/>
      <c r="P3" s="159"/>
      <c r="Q3" s="159"/>
      <c r="R3" s="159"/>
      <c r="S3" s="159"/>
      <c r="T3" s="159"/>
      <c r="U3" s="159"/>
      <c r="V3" s="159"/>
      <c r="W3" s="159"/>
      <c r="X3" s="159"/>
      <c r="Y3" s="159"/>
      <c r="Z3" s="159"/>
    </row>
    <row r="4" spans="1:26" s="106" customFormat="1" x14ac:dyDescent="0.25">
      <c r="A4" s="149">
        <v>3</v>
      </c>
      <c r="B4" s="122">
        <f t="shared" ref="B4:B35" si="0">IF($C4="","",COUNTA($D4:$M4))</f>
        <v>2</v>
      </c>
      <c r="C4" s="122" t="s">
        <v>17</v>
      </c>
      <c r="D4" s="112" t="s">
        <v>41</v>
      </c>
      <c r="E4" s="112" t="s">
        <v>222</v>
      </c>
      <c r="F4" s="112"/>
      <c r="G4" s="112"/>
      <c r="H4" s="112"/>
      <c r="I4" s="112"/>
      <c r="J4" s="112"/>
      <c r="K4" s="112"/>
      <c r="L4" s="112"/>
      <c r="M4" s="11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106" customFormat="1" x14ac:dyDescent="0.25">
      <c r="A5" s="149">
        <v>3</v>
      </c>
      <c r="B5" s="122">
        <f t="shared" si="0"/>
        <v>1</v>
      </c>
      <c r="C5" s="122" t="s">
        <v>20</v>
      </c>
      <c r="D5" s="114"/>
      <c r="E5" s="114" t="s">
        <v>38</v>
      </c>
      <c r="F5" s="114"/>
      <c r="G5" s="114"/>
      <c r="H5" s="114"/>
      <c r="I5" s="114"/>
      <c r="J5" s="114"/>
      <c r="K5" s="114"/>
      <c r="L5" s="114"/>
      <c r="M5" s="115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s="106" customFormat="1" x14ac:dyDescent="0.25">
      <c r="A6" s="149">
        <v>3</v>
      </c>
      <c r="B6" s="122">
        <f t="shared" si="0"/>
        <v>1</v>
      </c>
      <c r="C6" s="122" t="s">
        <v>14</v>
      </c>
      <c r="D6" s="112"/>
      <c r="E6" s="112" t="s">
        <v>222</v>
      </c>
      <c r="F6" s="112"/>
      <c r="G6" s="112"/>
      <c r="H6" s="112"/>
      <c r="I6" s="112"/>
      <c r="J6" s="112"/>
      <c r="K6" s="112"/>
      <c r="L6" s="112"/>
      <c r="M6" s="11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s="106" customFormat="1" x14ac:dyDescent="0.25">
      <c r="A7" s="149">
        <v>3</v>
      </c>
      <c r="B7" s="122">
        <f t="shared" si="0"/>
        <v>2</v>
      </c>
      <c r="C7" s="122" t="s">
        <v>100</v>
      </c>
      <c r="D7" s="114" t="s">
        <v>119</v>
      </c>
      <c r="E7" s="114" t="s">
        <v>38</v>
      </c>
      <c r="F7" s="114"/>
      <c r="G7" s="114"/>
      <c r="H7" s="114"/>
      <c r="I7" s="114"/>
      <c r="J7" s="114"/>
      <c r="K7" s="114"/>
      <c r="L7" s="114"/>
      <c r="M7" s="115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s="106" customFormat="1" x14ac:dyDescent="0.25">
      <c r="A8" s="149">
        <v>3</v>
      </c>
      <c r="B8" s="122">
        <f t="shared" si="0"/>
        <v>2</v>
      </c>
      <c r="C8" s="122" t="s">
        <v>24</v>
      </c>
      <c r="D8" s="114" t="s">
        <v>119</v>
      </c>
      <c r="E8" s="114" t="s">
        <v>38</v>
      </c>
      <c r="F8" s="114"/>
      <c r="G8" s="114"/>
      <c r="H8" s="114"/>
      <c r="I8" s="114"/>
      <c r="J8" s="114"/>
      <c r="K8" s="114"/>
      <c r="L8" s="114"/>
      <c r="M8" s="115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s="106" customFormat="1" x14ac:dyDescent="0.25">
      <c r="A9" s="149">
        <v>3</v>
      </c>
      <c r="B9" s="122">
        <f t="shared" si="0"/>
        <v>1</v>
      </c>
      <c r="C9" s="122" t="s">
        <v>26</v>
      </c>
      <c r="D9" s="112"/>
      <c r="E9" s="112" t="s">
        <v>42</v>
      </c>
      <c r="F9" s="112"/>
      <c r="G9" s="112"/>
      <c r="H9" s="112"/>
      <c r="I9" s="112"/>
      <c r="J9" s="112"/>
      <c r="K9" s="112"/>
      <c r="L9" s="112"/>
      <c r="M9" s="11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s="106" customFormat="1" x14ac:dyDescent="0.25">
      <c r="A10" s="149">
        <v>3</v>
      </c>
      <c r="B10" s="122">
        <f t="shared" si="0"/>
        <v>1</v>
      </c>
      <c r="C10" s="122" t="s">
        <v>33</v>
      </c>
      <c r="D10" s="112"/>
      <c r="E10" s="112" t="s">
        <v>43</v>
      </c>
      <c r="F10" s="112"/>
      <c r="G10" s="112"/>
      <c r="H10" s="112"/>
      <c r="I10" s="112"/>
      <c r="J10" s="112"/>
      <c r="K10" s="112"/>
      <c r="L10" s="112"/>
      <c r="M10" s="11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s="106" customFormat="1" x14ac:dyDescent="0.25">
      <c r="A11" s="149">
        <v>3</v>
      </c>
      <c r="B11" s="122">
        <f t="shared" si="0"/>
        <v>1</v>
      </c>
      <c r="C11" s="122" t="s">
        <v>21</v>
      </c>
      <c r="D11" s="114"/>
      <c r="E11" s="114" t="s">
        <v>38</v>
      </c>
      <c r="F11" s="114"/>
      <c r="G11" s="114"/>
      <c r="H11" s="114"/>
      <c r="I11" s="114"/>
      <c r="J11" s="114"/>
      <c r="K11" s="114"/>
      <c r="L11" s="114"/>
      <c r="M11" s="115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s="106" customFormat="1" x14ac:dyDescent="0.25">
      <c r="A12" s="149">
        <v>2</v>
      </c>
      <c r="B12" s="122">
        <f t="shared" si="0"/>
        <v>1</v>
      </c>
      <c r="C12" s="122" t="s">
        <v>99</v>
      </c>
      <c r="D12" s="112" t="s">
        <v>38</v>
      </c>
      <c r="E12" s="112"/>
      <c r="F12" s="112"/>
      <c r="G12" s="112"/>
      <c r="H12" s="112"/>
      <c r="I12" s="112"/>
      <c r="J12" s="112"/>
      <c r="K12" s="112"/>
      <c r="L12" s="112"/>
      <c r="M12" s="11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s="106" customFormat="1" x14ac:dyDescent="0.25">
      <c r="A13" s="149">
        <v>3</v>
      </c>
      <c r="B13" s="122">
        <f t="shared" si="0"/>
        <v>2</v>
      </c>
      <c r="C13" s="122" t="s">
        <v>16</v>
      </c>
      <c r="D13" s="114" t="s">
        <v>40</v>
      </c>
      <c r="E13" s="114" t="s">
        <v>222</v>
      </c>
      <c r="F13" s="114"/>
      <c r="G13" s="114"/>
      <c r="H13" s="114"/>
      <c r="I13" s="114"/>
      <c r="J13" s="114"/>
      <c r="K13" s="114"/>
      <c r="L13" s="114"/>
      <c r="M13" s="115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s="106" customFormat="1" x14ac:dyDescent="0.25">
      <c r="A14" s="149">
        <v>3</v>
      </c>
      <c r="B14" s="122">
        <f t="shared" si="0"/>
        <v>2</v>
      </c>
      <c r="C14" s="122" t="s">
        <v>27</v>
      </c>
      <c r="D14" s="112" t="s">
        <v>40</v>
      </c>
      <c r="E14" s="112" t="s">
        <v>42</v>
      </c>
      <c r="F14" s="112"/>
      <c r="G14" s="112"/>
      <c r="H14" s="112"/>
      <c r="I14" s="112"/>
      <c r="J14" s="112"/>
      <c r="K14" s="112"/>
      <c r="L14" s="112"/>
      <c r="M14" s="11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s="106" customFormat="1" x14ac:dyDescent="0.25">
      <c r="A15" s="149">
        <v>3</v>
      </c>
      <c r="B15" s="122">
        <f t="shared" si="0"/>
        <v>2</v>
      </c>
      <c r="C15" s="122" t="s">
        <v>7</v>
      </c>
      <c r="D15" s="112" t="s">
        <v>40</v>
      </c>
      <c r="E15" s="112" t="s">
        <v>40</v>
      </c>
      <c r="F15" s="112"/>
      <c r="G15" s="112"/>
      <c r="H15" s="112"/>
      <c r="I15" s="112"/>
      <c r="J15" s="112"/>
      <c r="K15" s="112"/>
      <c r="L15" s="112"/>
      <c r="M15" s="11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s="106" customFormat="1" x14ac:dyDescent="0.25">
      <c r="A16" s="149">
        <v>3</v>
      </c>
      <c r="B16" s="122">
        <f t="shared" si="0"/>
        <v>2</v>
      </c>
      <c r="C16" s="122" t="s">
        <v>4</v>
      </c>
      <c r="D16" s="114" t="s">
        <v>38</v>
      </c>
      <c r="E16" s="114" t="s">
        <v>39</v>
      </c>
      <c r="F16" s="114"/>
      <c r="G16" s="114"/>
      <c r="H16" s="114"/>
      <c r="I16" s="114"/>
      <c r="J16" s="114"/>
      <c r="K16" s="114"/>
      <c r="L16" s="114"/>
      <c r="M16" s="115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s="106" customFormat="1" x14ac:dyDescent="0.25">
      <c r="A17" s="149">
        <v>3</v>
      </c>
      <c r="B17" s="122">
        <f t="shared" si="0"/>
        <v>1</v>
      </c>
      <c r="C17" s="122" t="s">
        <v>6</v>
      </c>
      <c r="D17" s="112"/>
      <c r="E17" s="112" t="s">
        <v>39</v>
      </c>
      <c r="F17" s="112"/>
      <c r="G17" s="112"/>
      <c r="H17" s="112"/>
      <c r="I17" s="112"/>
      <c r="J17" s="112"/>
      <c r="K17" s="112"/>
      <c r="L17" s="112"/>
      <c r="M17" s="11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s="106" customFormat="1" x14ac:dyDescent="0.25">
      <c r="A18" s="149">
        <v>3</v>
      </c>
      <c r="B18" s="122">
        <f t="shared" si="0"/>
        <v>2</v>
      </c>
      <c r="C18" s="122" t="s">
        <v>9</v>
      </c>
      <c r="D18" s="114" t="s">
        <v>119</v>
      </c>
      <c r="E18" s="114" t="s">
        <v>40</v>
      </c>
      <c r="F18" s="114"/>
      <c r="G18" s="114"/>
      <c r="H18" s="114"/>
      <c r="I18" s="114"/>
      <c r="J18" s="114"/>
      <c r="K18" s="114"/>
      <c r="L18" s="114"/>
      <c r="M18" s="115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s="106" customFormat="1" x14ac:dyDescent="0.25">
      <c r="A19" s="149">
        <v>3</v>
      </c>
      <c r="B19" s="122">
        <f t="shared" si="0"/>
        <v>2</v>
      </c>
      <c r="C19" s="122" t="s">
        <v>18</v>
      </c>
      <c r="D19" s="112" t="s">
        <v>119</v>
      </c>
      <c r="E19" s="112" t="s">
        <v>222</v>
      </c>
      <c r="F19" s="112"/>
      <c r="G19" s="112"/>
      <c r="H19" s="112"/>
      <c r="I19" s="112"/>
      <c r="J19" s="112"/>
      <c r="K19" s="112"/>
      <c r="L19" s="112"/>
      <c r="M19" s="11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s="106" customFormat="1" x14ac:dyDescent="0.25">
      <c r="A20" s="149">
        <v>3</v>
      </c>
      <c r="B20" s="122">
        <f t="shared" si="0"/>
        <v>2</v>
      </c>
      <c r="C20" s="122" t="s">
        <v>30</v>
      </c>
      <c r="D20" s="114" t="s">
        <v>41</v>
      </c>
      <c r="E20" s="114" t="s">
        <v>40</v>
      </c>
      <c r="F20" s="114"/>
      <c r="G20" s="114"/>
      <c r="H20" s="114"/>
      <c r="I20" s="114"/>
      <c r="J20" s="114"/>
      <c r="K20" s="114"/>
      <c r="L20" s="114"/>
      <c r="M20" s="115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s="106" customFormat="1" x14ac:dyDescent="0.25">
      <c r="A21" s="149">
        <v>3</v>
      </c>
      <c r="B21" s="122">
        <f t="shared" si="0"/>
        <v>1</v>
      </c>
      <c r="C21" s="122" t="s">
        <v>10</v>
      </c>
      <c r="D21" s="112"/>
      <c r="E21" s="114" t="s">
        <v>40</v>
      </c>
      <c r="F21" s="112"/>
      <c r="G21" s="112"/>
      <c r="H21" s="112"/>
      <c r="I21" s="112"/>
      <c r="J21" s="112"/>
      <c r="K21" s="112"/>
      <c r="L21" s="112"/>
      <c r="M21" s="11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s="106" customFormat="1" x14ac:dyDescent="0.25">
      <c r="A22" s="149">
        <v>3</v>
      </c>
      <c r="B22" s="122">
        <f t="shared" si="0"/>
        <v>1</v>
      </c>
      <c r="C22" s="122" t="s">
        <v>8</v>
      </c>
      <c r="D22" s="114"/>
      <c r="E22" s="114" t="s">
        <v>40</v>
      </c>
      <c r="F22" s="114"/>
      <c r="G22" s="114"/>
      <c r="H22" s="114"/>
      <c r="I22" s="114"/>
      <c r="J22" s="114"/>
      <c r="K22" s="114"/>
      <c r="L22" s="114"/>
      <c r="M22" s="115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s="106" customFormat="1" x14ac:dyDescent="0.25">
      <c r="A23" s="149">
        <v>3</v>
      </c>
      <c r="B23" s="122">
        <f t="shared" si="0"/>
        <v>2</v>
      </c>
      <c r="C23" s="122" t="s">
        <v>31</v>
      </c>
      <c r="D23" s="112" t="s">
        <v>40</v>
      </c>
      <c r="E23" s="112" t="s">
        <v>43</v>
      </c>
      <c r="F23" s="112"/>
      <c r="G23" s="112"/>
      <c r="H23" s="112"/>
      <c r="I23" s="112"/>
      <c r="J23" s="112"/>
      <c r="K23" s="112"/>
      <c r="L23" s="112"/>
      <c r="M23" s="11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s="106" customFormat="1" x14ac:dyDescent="0.25">
      <c r="A24" s="149">
        <v>3</v>
      </c>
      <c r="B24" s="122">
        <f t="shared" si="0"/>
        <v>2</v>
      </c>
      <c r="C24" s="122" t="s">
        <v>19</v>
      </c>
      <c r="D24" s="114" t="s">
        <v>38</v>
      </c>
      <c r="E24" s="114" t="s">
        <v>38</v>
      </c>
      <c r="F24" s="114"/>
      <c r="G24" s="114"/>
      <c r="H24" s="114"/>
      <c r="I24" s="114"/>
      <c r="J24" s="114"/>
      <c r="K24" s="114"/>
      <c r="L24" s="114"/>
      <c r="M24" s="115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s="106" customFormat="1" x14ac:dyDescent="0.25">
      <c r="A25" s="149">
        <v>3</v>
      </c>
      <c r="B25" s="122">
        <f t="shared" si="0"/>
        <v>2</v>
      </c>
      <c r="C25" s="122" t="s">
        <v>32</v>
      </c>
      <c r="D25" s="112" t="s">
        <v>41</v>
      </c>
      <c r="E25" s="114" t="s">
        <v>43</v>
      </c>
      <c r="F25" s="112"/>
      <c r="G25" s="112"/>
      <c r="H25" s="112"/>
      <c r="I25" s="112"/>
      <c r="J25" s="112"/>
      <c r="K25" s="112"/>
      <c r="L25" s="112"/>
      <c r="M25" s="11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106" customFormat="1" x14ac:dyDescent="0.25">
      <c r="A26" s="149">
        <v>3</v>
      </c>
      <c r="B26" s="122">
        <f t="shared" si="0"/>
        <v>2</v>
      </c>
      <c r="C26" s="122" t="s">
        <v>2</v>
      </c>
      <c r="D26" s="114" t="s">
        <v>41</v>
      </c>
      <c r="E26" s="114" t="s">
        <v>39</v>
      </c>
      <c r="F26" s="114"/>
      <c r="G26" s="114"/>
      <c r="H26" s="114"/>
      <c r="I26" s="114"/>
      <c r="J26" s="114"/>
      <c r="K26" s="114"/>
      <c r="L26" s="114"/>
      <c r="M26" s="115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s="106" customFormat="1" x14ac:dyDescent="0.25">
      <c r="A27" s="149">
        <v>3</v>
      </c>
      <c r="B27" s="122">
        <f t="shared" si="0"/>
        <v>2</v>
      </c>
      <c r="C27" s="122" t="s">
        <v>1</v>
      </c>
      <c r="D27" s="112" t="s">
        <v>119</v>
      </c>
      <c r="E27" s="112" t="s">
        <v>39</v>
      </c>
      <c r="F27" s="112"/>
      <c r="G27" s="112"/>
      <c r="H27" s="112"/>
      <c r="I27" s="112"/>
      <c r="J27" s="112"/>
      <c r="K27" s="112"/>
      <c r="L27" s="112"/>
      <c r="M27" s="11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s="106" customFormat="1" x14ac:dyDescent="0.25">
      <c r="A28" s="149">
        <v>3</v>
      </c>
      <c r="B28" s="122">
        <f t="shared" si="0"/>
        <v>2</v>
      </c>
      <c r="C28" s="122" t="s">
        <v>35</v>
      </c>
      <c r="D28" s="114" t="s">
        <v>40</v>
      </c>
      <c r="E28" s="114" t="s">
        <v>43</v>
      </c>
      <c r="F28" s="114"/>
      <c r="G28" s="114"/>
      <c r="H28" s="114"/>
      <c r="I28" s="114"/>
      <c r="J28" s="114"/>
      <c r="K28" s="114"/>
      <c r="L28" s="114"/>
      <c r="M28" s="115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s="106" customFormat="1" x14ac:dyDescent="0.25">
      <c r="A29" s="149">
        <v>2</v>
      </c>
      <c r="B29" s="122">
        <f t="shared" si="0"/>
        <v>1</v>
      </c>
      <c r="C29" s="122" t="s">
        <v>101</v>
      </c>
      <c r="D29" s="112" t="s">
        <v>38</v>
      </c>
      <c r="E29" s="112"/>
      <c r="F29" s="112"/>
      <c r="G29" s="112"/>
      <c r="H29" s="112"/>
      <c r="I29" s="112"/>
      <c r="J29" s="112"/>
      <c r="K29" s="112"/>
      <c r="L29" s="112"/>
      <c r="M29" s="11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s="106" customFormat="1" x14ac:dyDescent="0.25">
      <c r="A30" s="149">
        <v>3</v>
      </c>
      <c r="B30" s="122">
        <f t="shared" si="0"/>
        <v>1</v>
      </c>
      <c r="C30" s="122" t="s">
        <v>230</v>
      </c>
      <c r="D30" s="114"/>
      <c r="E30" s="114" t="s">
        <v>222</v>
      </c>
      <c r="F30" s="114"/>
      <c r="G30" s="114"/>
      <c r="H30" s="114"/>
      <c r="I30" s="114"/>
      <c r="J30" s="114"/>
      <c r="K30" s="114"/>
      <c r="L30" s="114"/>
      <c r="M30" s="115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s="106" customFormat="1" x14ac:dyDescent="0.25">
      <c r="A31" s="149">
        <v>2</v>
      </c>
      <c r="B31" s="122">
        <f t="shared" si="0"/>
        <v>1</v>
      </c>
      <c r="C31" s="122" t="s">
        <v>102</v>
      </c>
      <c r="D31" s="112" t="s">
        <v>38</v>
      </c>
      <c r="E31" s="112"/>
      <c r="F31" s="112"/>
      <c r="G31" s="112"/>
      <c r="H31" s="112"/>
      <c r="I31" s="112"/>
      <c r="J31" s="112"/>
      <c r="K31" s="112"/>
      <c r="L31" s="112"/>
      <c r="M31" s="11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s="106" customFormat="1" x14ac:dyDescent="0.25">
      <c r="A32" s="149">
        <v>3</v>
      </c>
      <c r="B32" s="122">
        <f t="shared" si="0"/>
        <v>1</v>
      </c>
      <c r="C32" s="122" t="s">
        <v>23</v>
      </c>
      <c r="D32" s="112"/>
      <c r="E32" s="112" t="s">
        <v>38</v>
      </c>
      <c r="F32" s="112"/>
      <c r="G32" s="112"/>
      <c r="H32" s="112"/>
      <c r="I32" s="112"/>
      <c r="J32" s="112"/>
      <c r="K32" s="112"/>
      <c r="L32" s="112"/>
      <c r="M32" s="11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s="106" customFormat="1" x14ac:dyDescent="0.25">
      <c r="A33" s="149">
        <v>3</v>
      </c>
      <c r="B33" s="122">
        <f t="shared" si="0"/>
        <v>1</v>
      </c>
      <c r="C33" s="122" t="s">
        <v>3</v>
      </c>
      <c r="D33" s="112"/>
      <c r="E33" s="112" t="s">
        <v>39</v>
      </c>
      <c r="F33" s="112"/>
      <c r="G33" s="112"/>
      <c r="H33" s="112"/>
      <c r="I33" s="112"/>
      <c r="J33" s="112"/>
      <c r="K33" s="112"/>
      <c r="L33" s="112"/>
      <c r="M33" s="11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s="106" customFormat="1" x14ac:dyDescent="0.25">
      <c r="A34" s="149">
        <v>3</v>
      </c>
      <c r="B34" s="122">
        <f t="shared" si="0"/>
        <v>2</v>
      </c>
      <c r="C34" s="122" t="s">
        <v>25</v>
      </c>
      <c r="D34" s="114" t="s">
        <v>41</v>
      </c>
      <c r="E34" s="114" t="s">
        <v>42</v>
      </c>
      <c r="F34" s="114"/>
      <c r="G34" s="114"/>
      <c r="H34" s="114"/>
      <c r="I34" s="114"/>
      <c r="J34" s="114"/>
      <c r="K34" s="114"/>
      <c r="L34" s="114"/>
      <c r="M34" s="115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s="106" customFormat="1" x14ac:dyDescent="0.25">
      <c r="A35" s="149">
        <v>3</v>
      </c>
      <c r="B35" s="122">
        <f t="shared" si="0"/>
        <v>1</v>
      </c>
      <c r="C35" s="122" t="s">
        <v>29</v>
      </c>
      <c r="D35" s="114"/>
      <c r="E35" s="114" t="s">
        <v>42</v>
      </c>
      <c r="F35" s="114"/>
      <c r="G35" s="114"/>
      <c r="H35" s="114"/>
      <c r="I35" s="114"/>
      <c r="J35" s="114"/>
      <c r="K35" s="114"/>
      <c r="L35" s="114"/>
      <c r="M35" s="115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s="106" customFormat="1" x14ac:dyDescent="0.25">
      <c r="A36" s="149">
        <v>3</v>
      </c>
      <c r="B36" s="122">
        <f t="shared" ref="B36:B67" si="1">IF($C36="","",COUNTA($D36:$M36))</f>
        <v>2</v>
      </c>
      <c r="C36" s="122" t="s">
        <v>28</v>
      </c>
      <c r="D36" s="114" t="s">
        <v>41</v>
      </c>
      <c r="E36" s="114" t="s">
        <v>42</v>
      </c>
      <c r="F36" s="114"/>
      <c r="G36" s="114"/>
      <c r="H36" s="114"/>
      <c r="I36" s="114"/>
      <c r="J36" s="114"/>
      <c r="K36" s="114"/>
      <c r="L36" s="114"/>
      <c r="M36" s="115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s="106" customFormat="1" x14ac:dyDescent="0.25">
      <c r="A37" s="149">
        <v>3</v>
      </c>
      <c r="B37" s="122">
        <f t="shared" si="1"/>
        <v>1</v>
      </c>
      <c r="C37" s="122" t="s">
        <v>34</v>
      </c>
      <c r="D37" s="114"/>
      <c r="E37" s="114" t="s">
        <v>43</v>
      </c>
      <c r="F37" s="114"/>
      <c r="G37" s="114"/>
      <c r="H37" s="114"/>
      <c r="I37" s="114"/>
      <c r="J37" s="114"/>
      <c r="K37" s="114"/>
      <c r="L37" s="114"/>
      <c r="M37" s="115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s="106" customFormat="1" x14ac:dyDescent="0.25">
      <c r="A38" s="149">
        <v>3</v>
      </c>
      <c r="B38" s="122">
        <f t="shared" si="1"/>
        <v>2</v>
      </c>
      <c r="C38" s="122" t="s">
        <v>15</v>
      </c>
      <c r="D38" s="112" t="s">
        <v>38</v>
      </c>
      <c r="E38" s="112" t="s">
        <v>222</v>
      </c>
      <c r="F38" s="112"/>
      <c r="G38" s="112"/>
      <c r="H38" s="112"/>
      <c r="I38" s="112"/>
      <c r="J38" s="112"/>
      <c r="K38" s="112"/>
      <c r="L38" s="112"/>
      <c r="M38" s="11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s="106" customFormat="1" x14ac:dyDescent="0.25">
      <c r="A39" s="149">
        <v>3</v>
      </c>
      <c r="B39" s="122">
        <f t="shared" si="1"/>
        <v>2</v>
      </c>
      <c r="C39" s="122" t="s">
        <v>13</v>
      </c>
      <c r="D39" s="114" t="s">
        <v>41</v>
      </c>
      <c r="E39" s="114" t="s">
        <v>222</v>
      </c>
      <c r="F39" s="114"/>
      <c r="G39" s="114"/>
      <c r="H39" s="114"/>
      <c r="I39" s="114"/>
      <c r="J39" s="114"/>
      <c r="K39" s="114"/>
      <c r="L39" s="114"/>
      <c r="M39" s="115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s="106" customFormat="1" x14ac:dyDescent="0.25">
      <c r="A40" s="149">
        <v>3</v>
      </c>
      <c r="B40" s="122">
        <f t="shared" si="1"/>
        <v>2</v>
      </c>
      <c r="C40" s="122" t="s">
        <v>36</v>
      </c>
      <c r="D40" s="112" t="s">
        <v>119</v>
      </c>
      <c r="E40" s="112" t="s">
        <v>43</v>
      </c>
      <c r="F40" s="112"/>
      <c r="G40" s="112"/>
      <c r="H40" s="112"/>
      <c r="I40" s="112"/>
      <c r="J40" s="112"/>
      <c r="K40" s="112"/>
      <c r="L40" s="112"/>
      <c r="M40" s="11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s="106" customFormat="1" x14ac:dyDescent="0.25">
      <c r="A41" s="149">
        <v>3</v>
      </c>
      <c r="B41" s="122">
        <f t="shared" si="1"/>
        <v>2</v>
      </c>
      <c r="C41" s="122" t="s">
        <v>12</v>
      </c>
      <c r="D41" s="114" t="s">
        <v>38</v>
      </c>
      <c r="E41" s="114" t="s">
        <v>42</v>
      </c>
      <c r="F41" s="114"/>
      <c r="G41" s="114"/>
      <c r="H41" s="114"/>
      <c r="I41" s="114"/>
      <c r="J41" s="114"/>
      <c r="K41" s="114"/>
      <c r="L41" s="114"/>
      <c r="M41" s="115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s="106" customFormat="1" x14ac:dyDescent="0.25">
      <c r="A42" s="149">
        <v>3</v>
      </c>
      <c r="B42" s="122">
        <f t="shared" si="1"/>
        <v>1</v>
      </c>
      <c r="C42" s="122" t="s">
        <v>5</v>
      </c>
      <c r="D42" s="112"/>
      <c r="E42" s="112" t="s">
        <v>39</v>
      </c>
      <c r="F42" s="112"/>
      <c r="G42" s="112"/>
      <c r="H42" s="112"/>
      <c r="I42" s="112"/>
      <c r="J42" s="112"/>
      <c r="K42" s="112"/>
      <c r="L42" s="112"/>
      <c r="M42" s="11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s="106" customFormat="1" x14ac:dyDescent="0.25">
      <c r="A43" s="149">
        <v>3</v>
      </c>
      <c r="B43" s="122">
        <f t="shared" si="1"/>
        <v>1</v>
      </c>
      <c r="C43" s="122" t="s">
        <v>22</v>
      </c>
      <c r="D43" s="114"/>
      <c r="E43" s="114" t="s">
        <v>38</v>
      </c>
      <c r="F43" s="114"/>
      <c r="G43" s="114"/>
      <c r="H43" s="114"/>
      <c r="I43" s="114"/>
      <c r="J43" s="114"/>
      <c r="K43" s="114"/>
      <c r="L43" s="114"/>
      <c r="M43" s="115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s="106" customFormat="1" x14ac:dyDescent="0.25">
      <c r="A44" s="149">
        <v>3</v>
      </c>
      <c r="B44" s="122">
        <f t="shared" si="1"/>
        <v>2</v>
      </c>
      <c r="C44" s="122" t="s">
        <v>11</v>
      </c>
      <c r="D44" s="112" t="s">
        <v>40</v>
      </c>
      <c r="E44" s="112" t="s">
        <v>40</v>
      </c>
      <c r="F44" s="112"/>
      <c r="G44" s="112"/>
      <c r="H44" s="112"/>
      <c r="I44" s="112"/>
      <c r="J44" s="112"/>
      <c r="K44" s="112"/>
      <c r="L44" s="112"/>
      <c r="M44" s="11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s="106" customFormat="1" x14ac:dyDescent="0.25">
      <c r="A45" s="149">
        <v>0</v>
      </c>
      <c r="B45" s="122" t="str">
        <f t="shared" si="1"/>
        <v/>
      </c>
      <c r="C45" s="122"/>
      <c r="D45" s="114"/>
      <c r="E45" s="114"/>
      <c r="F45" s="114"/>
      <c r="G45" s="114"/>
      <c r="H45" s="114"/>
      <c r="I45" s="114"/>
      <c r="J45" s="114"/>
      <c r="K45" s="114"/>
      <c r="L45" s="114"/>
      <c r="M45" s="115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s="106" customFormat="1" x14ac:dyDescent="0.25">
      <c r="A46" s="149">
        <v>0</v>
      </c>
      <c r="B46" s="122" t="str">
        <f t="shared" si="1"/>
        <v/>
      </c>
      <c r="C46" s="122"/>
      <c r="D46" s="112"/>
      <c r="E46" s="114"/>
      <c r="F46" s="112"/>
      <c r="G46" s="112"/>
      <c r="H46" s="112"/>
      <c r="I46" s="112"/>
      <c r="J46" s="112"/>
      <c r="K46" s="112"/>
      <c r="L46" s="112"/>
      <c r="M46" s="11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s="106" customFormat="1" x14ac:dyDescent="0.25">
      <c r="A47" s="149">
        <v>0</v>
      </c>
      <c r="B47" s="122" t="str">
        <f t="shared" si="1"/>
        <v/>
      </c>
      <c r="C47" s="122"/>
      <c r="D47" s="114"/>
      <c r="E47" s="114"/>
      <c r="F47" s="114"/>
      <c r="G47" s="114"/>
      <c r="H47" s="114"/>
      <c r="I47" s="114"/>
      <c r="J47" s="114"/>
      <c r="K47" s="114"/>
      <c r="L47" s="114"/>
      <c r="M47" s="115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s="106" customFormat="1" x14ac:dyDescent="0.25">
      <c r="A48" s="149">
        <v>0</v>
      </c>
      <c r="B48" s="122" t="str">
        <f t="shared" si="1"/>
        <v/>
      </c>
      <c r="C48" s="122"/>
      <c r="D48" s="112"/>
      <c r="E48" s="112"/>
      <c r="F48" s="112"/>
      <c r="G48" s="112"/>
      <c r="H48" s="112"/>
      <c r="I48" s="112"/>
      <c r="J48" s="112"/>
      <c r="K48" s="112"/>
      <c r="L48" s="112"/>
      <c r="M48" s="11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s="106" customFormat="1" x14ac:dyDescent="0.25">
      <c r="A49" s="149">
        <v>0</v>
      </c>
      <c r="B49" s="122" t="str">
        <f t="shared" si="1"/>
        <v/>
      </c>
      <c r="C49" s="122"/>
      <c r="D49" s="114"/>
      <c r="E49" s="114"/>
      <c r="F49" s="114"/>
      <c r="G49" s="114"/>
      <c r="H49" s="114"/>
      <c r="I49" s="114"/>
      <c r="J49" s="114"/>
      <c r="K49" s="114"/>
      <c r="L49" s="114"/>
      <c r="M49" s="115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s="106" customFormat="1" x14ac:dyDescent="0.25">
      <c r="A50" s="149">
        <v>0</v>
      </c>
      <c r="B50" s="122" t="str">
        <f t="shared" si="1"/>
        <v/>
      </c>
      <c r="C50" s="122"/>
      <c r="D50" s="112"/>
      <c r="E50" s="112"/>
      <c r="F50" s="112"/>
      <c r="G50" s="112"/>
      <c r="H50" s="112"/>
      <c r="I50" s="112"/>
      <c r="J50" s="112"/>
      <c r="K50" s="112"/>
      <c r="L50" s="112"/>
      <c r="M50" s="11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s="106" customFormat="1" x14ac:dyDescent="0.25">
      <c r="A51" s="149">
        <v>0</v>
      </c>
      <c r="B51" s="122" t="str">
        <f t="shared" si="1"/>
        <v/>
      </c>
      <c r="C51" s="122"/>
      <c r="D51" s="112"/>
      <c r="E51" s="114"/>
      <c r="F51" s="112"/>
      <c r="G51" s="112"/>
      <c r="H51" s="112"/>
      <c r="I51" s="112"/>
      <c r="J51" s="112"/>
      <c r="K51" s="112"/>
      <c r="L51" s="112"/>
      <c r="M51" s="11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s="106" customFormat="1" x14ac:dyDescent="0.25">
      <c r="A52" s="149">
        <v>0</v>
      </c>
      <c r="B52" s="122" t="str">
        <f t="shared" si="1"/>
        <v/>
      </c>
      <c r="C52" s="122"/>
      <c r="D52" s="112"/>
      <c r="E52" s="112"/>
      <c r="F52" s="112"/>
      <c r="G52" s="112"/>
      <c r="H52" s="112"/>
      <c r="I52" s="112"/>
      <c r="J52" s="112"/>
      <c r="K52" s="112"/>
      <c r="L52" s="112"/>
      <c r="M52" s="11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s="106" customFormat="1" x14ac:dyDescent="0.25">
      <c r="A53" s="149">
        <v>0</v>
      </c>
      <c r="B53" s="122" t="str">
        <f t="shared" si="1"/>
        <v/>
      </c>
      <c r="C53" s="122"/>
      <c r="D53" s="114"/>
      <c r="E53" s="114"/>
      <c r="F53" s="114"/>
      <c r="G53" s="114"/>
      <c r="H53" s="114"/>
      <c r="I53" s="114"/>
      <c r="J53" s="114"/>
      <c r="K53" s="114"/>
      <c r="L53" s="114"/>
      <c r="M53" s="115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s="106" customFormat="1" x14ac:dyDescent="0.25">
      <c r="A54" s="149">
        <v>0</v>
      </c>
      <c r="B54" s="122" t="str">
        <f t="shared" si="1"/>
        <v/>
      </c>
      <c r="C54" s="122"/>
      <c r="D54" s="112"/>
      <c r="E54" s="112"/>
      <c r="F54" s="112"/>
      <c r="G54" s="112"/>
      <c r="H54" s="112"/>
      <c r="I54" s="112"/>
      <c r="J54" s="112"/>
      <c r="K54" s="112"/>
      <c r="L54" s="112"/>
      <c r="M54" s="11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s="106" customFormat="1" x14ac:dyDescent="0.25">
      <c r="A55" s="149">
        <v>0</v>
      </c>
      <c r="B55" s="122" t="str">
        <f t="shared" si="1"/>
        <v/>
      </c>
      <c r="C55" s="122"/>
      <c r="D55" s="114"/>
      <c r="E55" s="114"/>
      <c r="F55" s="114"/>
      <c r="G55" s="114"/>
      <c r="H55" s="114"/>
      <c r="I55" s="114"/>
      <c r="J55" s="114"/>
      <c r="K55" s="114"/>
      <c r="L55" s="114"/>
      <c r="M55" s="115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s="106" customFormat="1" x14ac:dyDescent="0.25">
      <c r="A56" s="149">
        <v>0</v>
      </c>
      <c r="B56" s="122" t="str">
        <f t="shared" si="1"/>
        <v/>
      </c>
      <c r="C56" s="122"/>
      <c r="D56" s="112"/>
      <c r="E56" s="112"/>
      <c r="F56" s="112"/>
      <c r="G56" s="112"/>
      <c r="H56" s="112"/>
      <c r="I56" s="112"/>
      <c r="J56" s="112"/>
      <c r="K56" s="112"/>
      <c r="L56" s="112"/>
      <c r="M56" s="11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s="106" customFormat="1" x14ac:dyDescent="0.25">
      <c r="A57" s="149">
        <v>0</v>
      </c>
      <c r="B57" s="122" t="str">
        <f t="shared" si="1"/>
        <v/>
      </c>
      <c r="C57" s="122"/>
      <c r="D57" s="114"/>
      <c r="E57" s="114"/>
      <c r="F57" s="114"/>
      <c r="G57" s="114"/>
      <c r="H57" s="114"/>
      <c r="I57" s="114"/>
      <c r="J57" s="114"/>
      <c r="K57" s="114"/>
      <c r="L57" s="114"/>
      <c r="M57" s="115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s="106" customFormat="1" x14ac:dyDescent="0.25">
      <c r="A58" s="149">
        <v>0</v>
      </c>
      <c r="B58" s="122" t="str">
        <f t="shared" si="1"/>
        <v/>
      </c>
      <c r="C58" s="122"/>
      <c r="D58" s="114"/>
      <c r="E58" s="114"/>
      <c r="F58" s="114"/>
      <c r="G58" s="114"/>
      <c r="H58" s="114"/>
      <c r="I58" s="114"/>
      <c r="J58" s="114"/>
      <c r="K58" s="114"/>
      <c r="L58" s="114"/>
      <c r="M58" s="115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s="106" customFormat="1" x14ac:dyDescent="0.25">
      <c r="A59" s="149">
        <v>0</v>
      </c>
      <c r="B59" s="122" t="str">
        <f t="shared" si="1"/>
        <v/>
      </c>
      <c r="C59" s="122"/>
      <c r="D59" s="112"/>
      <c r="E59" s="112"/>
      <c r="F59" s="112"/>
      <c r="G59" s="112"/>
      <c r="H59" s="112"/>
      <c r="I59" s="112"/>
      <c r="J59" s="112"/>
      <c r="K59" s="112"/>
      <c r="L59" s="112"/>
      <c r="M59" s="11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s="106" customFormat="1" x14ac:dyDescent="0.25">
      <c r="A60" s="149">
        <v>0</v>
      </c>
      <c r="B60" s="122" t="str">
        <f t="shared" si="1"/>
        <v/>
      </c>
      <c r="C60" s="122"/>
      <c r="D60" s="114"/>
      <c r="E60" s="114"/>
      <c r="F60" s="114"/>
      <c r="G60" s="114"/>
      <c r="H60" s="114"/>
      <c r="I60" s="114"/>
      <c r="J60" s="114"/>
      <c r="K60" s="114"/>
      <c r="L60" s="114"/>
      <c r="M60" s="115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s="106" customFormat="1" x14ac:dyDescent="0.25">
      <c r="A61" s="149">
        <v>0</v>
      </c>
      <c r="B61" s="122" t="str">
        <f t="shared" si="1"/>
        <v/>
      </c>
      <c r="C61" s="122"/>
      <c r="D61" s="112"/>
      <c r="E61" s="112"/>
      <c r="F61" s="112"/>
      <c r="G61" s="112"/>
      <c r="H61" s="112"/>
      <c r="I61" s="112"/>
      <c r="J61" s="112"/>
      <c r="K61" s="112"/>
      <c r="L61" s="112"/>
      <c r="M61" s="11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s="106" customFormat="1" x14ac:dyDescent="0.25">
      <c r="A62" s="149">
        <v>0</v>
      </c>
      <c r="B62" s="122" t="str">
        <f t="shared" si="1"/>
        <v/>
      </c>
      <c r="C62" s="122"/>
      <c r="D62" s="112"/>
      <c r="E62" s="112"/>
      <c r="F62" s="112"/>
      <c r="G62" s="112"/>
      <c r="H62" s="112"/>
      <c r="I62" s="112"/>
      <c r="J62" s="112"/>
      <c r="K62" s="112"/>
      <c r="L62" s="112"/>
      <c r="M62" s="11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s="106" customFormat="1" x14ac:dyDescent="0.25">
      <c r="A63" s="149">
        <v>0</v>
      </c>
      <c r="B63" s="122" t="str">
        <f t="shared" si="1"/>
        <v/>
      </c>
      <c r="C63" s="122"/>
      <c r="D63" s="114"/>
      <c r="E63" s="114"/>
      <c r="F63" s="114"/>
      <c r="G63" s="114"/>
      <c r="H63" s="114"/>
      <c r="I63" s="114"/>
      <c r="J63" s="114"/>
      <c r="K63" s="114"/>
      <c r="L63" s="114"/>
      <c r="M63" s="115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s="106" customFormat="1" x14ac:dyDescent="0.25">
      <c r="A64" s="149">
        <v>0</v>
      </c>
      <c r="B64" s="122" t="str">
        <f t="shared" si="1"/>
        <v/>
      </c>
      <c r="C64" s="122"/>
      <c r="D64" s="112"/>
      <c r="E64" s="112"/>
      <c r="F64" s="112"/>
      <c r="G64" s="112"/>
      <c r="H64" s="112"/>
      <c r="I64" s="112"/>
      <c r="J64" s="112"/>
      <c r="K64" s="112"/>
      <c r="L64" s="112"/>
      <c r="M64" s="11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s="106" customFormat="1" x14ac:dyDescent="0.25">
      <c r="A65" s="149">
        <v>0</v>
      </c>
      <c r="B65" s="122" t="str">
        <f t="shared" si="1"/>
        <v/>
      </c>
      <c r="C65" s="122"/>
      <c r="D65" s="114"/>
      <c r="E65" s="114"/>
      <c r="F65" s="114"/>
      <c r="G65" s="114"/>
      <c r="H65" s="114"/>
      <c r="I65" s="114"/>
      <c r="J65" s="114"/>
      <c r="K65" s="114"/>
      <c r="L65" s="114"/>
      <c r="M65" s="115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s="106" customFormat="1" x14ac:dyDescent="0.25">
      <c r="A66" s="149">
        <v>0</v>
      </c>
      <c r="B66" s="122" t="str">
        <f t="shared" si="1"/>
        <v/>
      </c>
      <c r="C66" s="122"/>
      <c r="D66" s="112"/>
      <c r="E66" s="112"/>
      <c r="F66" s="112"/>
      <c r="G66" s="112"/>
      <c r="H66" s="112"/>
      <c r="I66" s="112"/>
      <c r="J66" s="112"/>
      <c r="K66" s="112"/>
      <c r="L66" s="112"/>
      <c r="M66" s="11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s="106" customFormat="1" x14ac:dyDescent="0.25">
      <c r="A67" s="149">
        <v>0</v>
      </c>
      <c r="B67" s="122" t="str">
        <f t="shared" si="1"/>
        <v/>
      </c>
      <c r="C67" s="122"/>
      <c r="D67" s="114"/>
      <c r="E67" s="114"/>
      <c r="F67" s="114"/>
      <c r="G67" s="114"/>
      <c r="H67" s="114"/>
      <c r="I67" s="114"/>
      <c r="J67" s="114"/>
      <c r="K67" s="114"/>
      <c r="L67" s="114"/>
      <c r="M67" s="115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s="106" customFormat="1" x14ac:dyDescent="0.25">
      <c r="A68" s="149">
        <v>0</v>
      </c>
      <c r="B68" s="122" t="str">
        <f t="shared" ref="B68:B90" si="2">IF($C68="","",COUNTA($D68:$M68))</f>
        <v/>
      </c>
      <c r="C68" s="122"/>
      <c r="D68" s="112"/>
      <c r="E68" s="112"/>
      <c r="F68" s="112"/>
      <c r="G68" s="112"/>
      <c r="H68" s="112"/>
      <c r="I68" s="112"/>
      <c r="J68" s="112"/>
      <c r="K68" s="112"/>
      <c r="L68" s="112"/>
      <c r="M68" s="11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s="106" customFormat="1" x14ac:dyDescent="0.25">
      <c r="A69" s="149">
        <v>0</v>
      </c>
      <c r="B69" s="122" t="str">
        <f t="shared" si="2"/>
        <v/>
      </c>
      <c r="C69" s="122"/>
      <c r="D69" s="114"/>
      <c r="E69" s="114"/>
      <c r="F69" s="114"/>
      <c r="G69" s="114"/>
      <c r="H69" s="114"/>
      <c r="I69" s="114"/>
      <c r="J69" s="114"/>
      <c r="K69" s="114"/>
      <c r="L69" s="114"/>
      <c r="M69" s="115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s="106" customFormat="1" x14ac:dyDescent="0.25">
      <c r="A70" s="149">
        <v>0</v>
      </c>
      <c r="B70" s="122" t="str">
        <f t="shared" si="2"/>
        <v/>
      </c>
      <c r="C70" s="122"/>
      <c r="D70" s="112"/>
      <c r="E70" s="112"/>
      <c r="F70" s="112"/>
      <c r="G70" s="112"/>
      <c r="H70" s="112"/>
      <c r="I70" s="112"/>
      <c r="J70" s="112"/>
      <c r="K70" s="112"/>
      <c r="L70" s="112"/>
      <c r="M70" s="11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s="106" customFormat="1" x14ac:dyDescent="0.25">
      <c r="A71" s="149">
        <v>0</v>
      </c>
      <c r="B71" s="122" t="str">
        <f t="shared" si="2"/>
        <v/>
      </c>
      <c r="C71" s="122"/>
      <c r="D71" s="114"/>
      <c r="E71" s="114"/>
      <c r="F71" s="114"/>
      <c r="G71" s="114"/>
      <c r="H71" s="114"/>
      <c r="I71" s="114"/>
      <c r="J71" s="114"/>
      <c r="K71" s="114"/>
      <c r="L71" s="114"/>
      <c r="M71" s="115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s="106" customFormat="1" x14ac:dyDescent="0.25">
      <c r="A72" s="149">
        <v>0</v>
      </c>
      <c r="B72" s="122" t="str">
        <f t="shared" si="2"/>
        <v/>
      </c>
      <c r="C72" s="122"/>
      <c r="D72" s="112"/>
      <c r="E72" s="112"/>
      <c r="F72" s="112"/>
      <c r="G72" s="112"/>
      <c r="H72" s="112"/>
      <c r="I72" s="112"/>
      <c r="J72" s="112"/>
      <c r="K72" s="112"/>
      <c r="L72" s="112"/>
      <c r="M72" s="11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s="106" customFormat="1" x14ac:dyDescent="0.25">
      <c r="A73" s="149">
        <v>0</v>
      </c>
      <c r="B73" s="122" t="str">
        <f t="shared" si="2"/>
        <v/>
      </c>
      <c r="C73" s="122"/>
      <c r="D73" s="114"/>
      <c r="E73" s="114"/>
      <c r="F73" s="114"/>
      <c r="G73" s="114"/>
      <c r="H73" s="114"/>
      <c r="I73" s="114"/>
      <c r="J73" s="114"/>
      <c r="K73" s="114"/>
      <c r="L73" s="114"/>
      <c r="M73" s="115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s="106" customFormat="1" x14ac:dyDescent="0.25">
      <c r="A74" s="149">
        <v>0</v>
      </c>
      <c r="B74" s="122" t="str">
        <f t="shared" si="2"/>
        <v/>
      </c>
      <c r="C74" s="122"/>
      <c r="D74" s="112"/>
      <c r="E74" s="112"/>
      <c r="F74" s="112"/>
      <c r="G74" s="112"/>
      <c r="H74" s="112"/>
      <c r="I74" s="112"/>
      <c r="J74" s="112"/>
      <c r="K74" s="112"/>
      <c r="L74" s="112"/>
      <c r="M74" s="11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s="106" customFormat="1" x14ac:dyDescent="0.25">
      <c r="A75" s="149">
        <v>0</v>
      </c>
      <c r="B75" s="122" t="str">
        <f t="shared" si="2"/>
        <v/>
      </c>
      <c r="C75" s="122"/>
      <c r="D75" s="114"/>
      <c r="E75" s="114"/>
      <c r="F75" s="114"/>
      <c r="G75" s="114"/>
      <c r="H75" s="114"/>
      <c r="I75" s="114"/>
      <c r="J75" s="114"/>
      <c r="K75" s="114"/>
      <c r="L75" s="114"/>
      <c r="M75" s="115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s="106" customFormat="1" x14ac:dyDescent="0.25">
      <c r="A76" s="149">
        <v>0</v>
      </c>
      <c r="B76" s="122" t="str">
        <f t="shared" si="2"/>
        <v/>
      </c>
      <c r="C76" s="122"/>
      <c r="D76" s="112"/>
      <c r="E76" s="112"/>
      <c r="F76" s="112"/>
      <c r="G76" s="112"/>
      <c r="H76" s="112"/>
      <c r="I76" s="112"/>
      <c r="J76" s="112"/>
      <c r="K76" s="112"/>
      <c r="L76" s="112"/>
      <c r="M76" s="11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s="106" customFormat="1" x14ac:dyDescent="0.25">
      <c r="A77" s="149">
        <v>0</v>
      </c>
      <c r="B77" s="122" t="str">
        <f t="shared" si="2"/>
        <v/>
      </c>
      <c r="C77" s="122"/>
      <c r="D77" s="114"/>
      <c r="E77" s="114"/>
      <c r="F77" s="114"/>
      <c r="G77" s="114"/>
      <c r="H77" s="114"/>
      <c r="I77" s="114"/>
      <c r="J77" s="114"/>
      <c r="K77" s="114"/>
      <c r="L77" s="114"/>
      <c r="M77" s="115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s="106" customFormat="1" x14ac:dyDescent="0.25">
      <c r="A78" s="149">
        <v>0</v>
      </c>
      <c r="B78" s="122" t="str">
        <f t="shared" si="2"/>
        <v/>
      </c>
      <c r="C78" s="122"/>
      <c r="D78" s="112"/>
      <c r="E78" s="112"/>
      <c r="F78" s="112"/>
      <c r="G78" s="112"/>
      <c r="H78" s="112"/>
      <c r="I78" s="112"/>
      <c r="J78" s="112"/>
      <c r="K78" s="112"/>
      <c r="L78" s="112"/>
      <c r="M78" s="11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s="106" customFormat="1" x14ac:dyDescent="0.25">
      <c r="A79" s="149">
        <v>0</v>
      </c>
      <c r="B79" s="122" t="str">
        <f t="shared" si="2"/>
        <v/>
      </c>
      <c r="C79" s="122"/>
      <c r="D79" s="114"/>
      <c r="E79" s="114"/>
      <c r="F79" s="114"/>
      <c r="G79" s="114"/>
      <c r="H79" s="114"/>
      <c r="I79" s="114"/>
      <c r="J79" s="114"/>
      <c r="K79" s="114"/>
      <c r="L79" s="114"/>
      <c r="M79" s="115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s="106" customFormat="1" x14ac:dyDescent="0.25">
      <c r="A80" s="149">
        <v>0</v>
      </c>
      <c r="B80" s="122" t="str">
        <f t="shared" si="2"/>
        <v/>
      </c>
      <c r="C80" s="122"/>
      <c r="D80" s="112"/>
      <c r="E80" s="112"/>
      <c r="F80" s="112"/>
      <c r="G80" s="112"/>
      <c r="H80" s="112"/>
      <c r="I80" s="112"/>
      <c r="J80" s="112"/>
      <c r="K80" s="112"/>
      <c r="L80" s="112"/>
      <c r="M80" s="11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s="106" customFormat="1" x14ac:dyDescent="0.25">
      <c r="A81" s="149">
        <v>0</v>
      </c>
      <c r="B81" s="122" t="str">
        <f t="shared" si="2"/>
        <v/>
      </c>
      <c r="C81" s="122"/>
      <c r="D81" s="114"/>
      <c r="E81" s="114"/>
      <c r="F81" s="114"/>
      <c r="G81" s="114"/>
      <c r="H81" s="114"/>
      <c r="I81" s="114"/>
      <c r="J81" s="114"/>
      <c r="K81" s="114"/>
      <c r="L81" s="114"/>
      <c r="M81" s="115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s="106" customFormat="1" x14ac:dyDescent="0.25">
      <c r="A82" s="149">
        <v>0</v>
      </c>
      <c r="B82" s="122" t="str">
        <f t="shared" si="2"/>
        <v/>
      </c>
      <c r="C82" s="122"/>
      <c r="D82" s="112"/>
      <c r="E82" s="112"/>
      <c r="F82" s="112"/>
      <c r="G82" s="112"/>
      <c r="H82" s="112"/>
      <c r="I82" s="112"/>
      <c r="J82" s="112"/>
      <c r="K82" s="112"/>
      <c r="L82" s="112"/>
      <c r="M82" s="11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s="106" customFormat="1" x14ac:dyDescent="0.25">
      <c r="A83" s="149">
        <v>0</v>
      </c>
      <c r="B83" s="122" t="str">
        <f t="shared" si="2"/>
        <v/>
      </c>
      <c r="C83" s="122"/>
      <c r="D83" s="114"/>
      <c r="E83" s="114"/>
      <c r="F83" s="114"/>
      <c r="G83" s="114"/>
      <c r="H83" s="114"/>
      <c r="I83" s="114"/>
      <c r="J83" s="114"/>
      <c r="K83" s="114"/>
      <c r="L83" s="114"/>
      <c r="M83" s="115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s="106" customFormat="1" x14ac:dyDescent="0.25">
      <c r="A84" s="149">
        <v>0</v>
      </c>
      <c r="B84" s="122" t="str">
        <f t="shared" si="2"/>
        <v/>
      </c>
      <c r="C84" s="122"/>
      <c r="D84" s="112"/>
      <c r="E84" s="112"/>
      <c r="F84" s="112"/>
      <c r="G84" s="112"/>
      <c r="H84" s="112"/>
      <c r="I84" s="112"/>
      <c r="J84" s="112"/>
      <c r="K84" s="112"/>
      <c r="L84" s="112"/>
      <c r="M84" s="11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s="106" customFormat="1" x14ac:dyDescent="0.25">
      <c r="A85" s="149">
        <v>0</v>
      </c>
      <c r="B85" s="122" t="str">
        <f t="shared" si="2"/>
        <v/>
      </c>
      <c r="C85" s="122"/>
      <c r="D85" s="114"/>
      <c r="E85" s="114"/>
      <c r="F85" s="114"/>
      <c r="G85" s="114"/>
      <c r="H85" s="114"/>
      <c r="I85" s="114"/>
      <c r="J85" s="114"/>
      <c r="K85" s="114"/>
      <c r="L85" s="114"/>
      <c r="M85" s="115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s="106" customFormat="1" x14ac:dyDescent="0.25">
      <c r="A86" s="149">
        <v>0</v>
      </c>
      <c r="B86" s="122" t="str">
        <f t="shared" si="2"/>
        <v/>
      </c>
      <c r="C86" s="122"/>
      <c r="D86" s="112"/>
      <c r="E86" s="112"/>
      <c r="F86" s="112"/>
      <c r="G86" s="112"/>
      <c r="H86" s="112"/>
      <c r="I86" s="112"/>
      <c r="J86" s="112"/>
      <c r="K86" s="112"/>
      <c r="L86" s="112"/>
      <c r="M86" s="11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s="106" customFormat="1" x14ac:dyDescent="0.25">
      <c r="A87" s="149">
        <v>0</v>
      </c>
      <c r="B87" s="122" t="str">
        <f t="shared" si="2"/>
        <v/>
      </c>
      <c r="C87" s="122"/>
      <c r="D87" s="114"/>
      <c r="E87" s="114"/>
      <c r="F87" s="114"/>
      <c r="G87" s="114"/>
      <c r="H87" s="114"/>
      <c r="I87" s="114"/>
      <c r="J87" s="114"/>
      <c r="K87" s="114"/>
      <c r="L87" s="114"/>
      <c r="M87" s="115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s="106" customFormat="1" x14ac:dyDescent="0.25">
      <c r="A88" s="149">
        <v>0</v>
      </c>
      <c r="B88" s="122" t="str">
        <f t="shared" si="2"/>
        <v/>
      </c>
      <c r="C88" s="122"/>
      <c r="D88" s="112"/>
      <c r="E88" s="112"/>
      <c r="F88" s="112"/>
      <c r="G88" s="112"/>
      <c r="H88" s="112"/>
      <c r="I88" s="112"/>
      <c r="J88" s="112"/>
      <c r="K88" s="112"/>
      <c r="L88" s="112"/>
      <c r="M88" s="11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s="106" customFormat="1" x14ac:dyDescent="0.25">
      <c r="A89" s="149">
        <v>0</v>
      </c>
      <c r="B89" s="122" t="str">
        <f t="shared" si="2"/>
        <v/>
      </c>
      <c r="C89" s="122"/>
      <c r="D89" s="114"/>
      <c r="E89" s="114"/>
      <c r="F89" s="114"/>
      <c r="G89" s="114"/>
      <c r="H89" s="114"/>
      <c r="I89" s="114"/>
      <c r="J89" s="114"/>
      <c r="K89" s="114"/>
      <c r="L89" s="114"/>
      <c r="M89" s="115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s="106" customFormat="1" x14ac:dyDescent="0.25">
      <c r="A90" s="149">
        <v>0</v>
      </c>
      <c r="B90" s="122" t="str">
        <f t="shared" si="2"/>
        <v/>
      </c>
      <c r="C90" s="122"/>
      <c r="D90" s="114"/>
      <c r="E90" s="114"/>
      <c r="F90" s="114"/>
      <c r="G90" s="114"/>
      <c r="H90" s="114"/>
      <c r="I90" s="114"/>
      <c r="J90" s="114"/>
      <c r="K90" s="114"/>
      <c r="L90" s="114"/>
      <c r="M90" s="115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s="106" customFormat="1" x14ac:dyDescent="0.25">
      <c r="A91" s="149">
        <v>-1</v>
      </c>
      <c r="B91" s="122"/>
      <c r="C91" s="122"/>
      <c r="D91" s="112"/>
      <c r="E91" s="112"/>
      <c r="F91" s="112"/>
      <c r="G91" s="112"/>
      <c r="H91" s="112"/>
      <c r="I91" s="112"/>
      <c r="J91" s="112"/>
      <c r="K91" s="112"/>
      <c r="L91" s="112"/>
      <c r="M91" s="11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s="106" customFormat="1" x14ac:dyDescent="0.25">
      <c r="A92" s="149">
        <v>-1</v>
      </c>
      <c r="B92" s="123"/>
      <c r="C92" s="122"/>
      <c r="D92" s="114"/>
      <c r="E92" s="114"/>
      <c r="F92" s="114"/>
      <c r="G92" s="114"/>
      <c r="H92" s="114"/>
      <c r="I92" s="114"/>
      <c r="J92" s="114"/>
      <c r="K92" s="114"/>
      <c r="L92" s="114"/>
      <c r="M92" s="115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s="106" customFormat="1" x14ac:dyDescent="0.25">
      <c r="A93" s="149">
        <v>-1</v>
      </c>
      <c r="B93" s="122"/>
      <c r="C93" s="122"/>
      <c r="D93" s="112"/>
      <c r="E93" s="112"/>
      <c r="F93" s="112"/>
      <c r="G93" s="112"/>
      <c r="H93" s="112"/>
      <c r="I93" s="112"/>
      <c r="J93" s="112"/>
      <c r="K93" s="112"/>
      <c r="L93" s="112"/>
      <c r="M93" s="11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s="106" customFormat="1" x14ac:dyDescent="0.25">
      <c r="A94" s="149">
        <v>-1</v>
      </c>
      <c r="B94" s="123"/>
      <c r="C94" s="122"/>
      <c r="D94" s="114"/>
      <c r="E94" s="114"/>
      <c r="F94" s="114"/>
      <c r="G94" s="114"/>
      <c r="H94" s="114"/>
      <c r="I94" s="114"/>
      <c r="J94" s="114"/>
      <c r="K94" s="114"/>
      <c r="L94" s="114"/>
      <c r="M94" s="115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s="106" customFormat="1" x14ac:dyDescent="0.25">
      <c r="A95" s="149">
        <v>-1</v>
      </c>
      <c r="B95" s="122"/>
      <c r="C95" s="122"/>
      <c r="D95" s="112"/>
      <c r="E95" s="112"/>
      <c r="F95" s="112"/>
      <c r="G95" s="112"/>
      <c r="H95" s="112"/>
      <c r="I95" s="112"/>
      <c r="J95" s="112"/>
      <c r="K95" s="112"/>
      <c r="L95" s="112"/>
      <c r="M95" s="11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s="106" customFormat="1" x14ac:dyDescent="0.25">
      <c r="A96" s="149">
        <v>-1</v>
      </c>
      <c r="B96" s="123"/>
      <c r="C96" s="122"/>
      <c r="D96" s="114"/>
      <c r="E96" s="114"/>
      <c r="F96" s="114"/>
      <c r="G96" s="114"/>
      <c r="H96" s="114"/>
      <c r="I96" s="114"/>
      <c r="J96" s="114"/>
      <c r="K96" s="114"/>
      <c r="L96" s="114"/>
      <c r="M96" s="115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s="106" customFormat="1" x14ac:dyDescent="0.25">
      <c r="A97" s="149">
        <v>-1</v>
      </c>
      <c r="B97" s="122"/>
      <c r="C97" s="122"/>
      <c r="D97" s="112"/>
      <c r="E97" s="112"/>
      <c r="F97" s="112"/>
      <c r="G97" s="112"/>
      <c r="H97" s="112"/>
      <c r="I97" s="112"/>
      <c r="J97" s="112"/>
      <c r="K97" s="112"/>
      <c r="L97" s="112"/>
      <c r="M97" s="11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s="106" customFormat="1" x14ac:dyDescent="0.25">
      <c r="A98" s="149">
        <v>-1</v>
      </c>
      <c r="B98" s="123"/>
      <c r="C98" s="122"/>
      <c r="D98" s="114"/>
      <c r="E98" s="114"/>
      <c r="F98" s="114"/>
      <c r="G98" s="114"/>
      <c r="H98" s="114"/>
      <c r="I98" s="114"/>
      <c r="J98" s="114"/>
      <c r="K98" s="114"/>
      <c r="L98" s="114"/>
      <c r="M98" s="115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s="106" customFormat="1" x14ac:dyDescent="0.25">
      <c r="A99" s="149">
        <v>-1</v>
      </c>
      <c r="B99" s="122"/>
      <c r="C99" s="122"/>
      <c r="D99" s="112"/>
      <c r="E99" s="112"/>
      <c r="F99" s="112"/>
      <c r="G99" s="112"/>
      <c r="H99" s="112"/>
      <c r="I99" s="112"/>
      <c r="J99" s="112"/>
      <c r="K99" s="112"/>
      <c r="L99" s="112"/>
      <c r="M99" s="11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s="106" customFormat="1" x14ac:dyDescent="0.25">
      <c r="A100" s="149">
        <v>-1</v>
      </c>
      <c r="B100" s="123"/>
      <c r="C100" s="122"/>
      <c r="D100" s="114"/>
      <c r="E100" s="114"/>
      <c r="F100" s="114"/>
      <c r="G100" s="114"/>
      <c r="H100" s="114"/>
      <c r="I100" s="114"/>
      <c r="J100" s="114"/>
      <c r="K100" s="114"/>
      <c r="L100" s="114"/>
      <c r="M100" s="115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s="106" customFormat="1" x14ac:dyDescent="0.25">
      <c r="A101" s="149"/>
      <c r="B101" s="122"/>
      <c r="C101" s="122"/>
      <c r="D101" s="112"/>
      <c r="E101" s="112"/>
      <c r="F101" s="112"/>
      <c r="G101" s="112"/>
      <c r="H101" s="112"/>
      <c r="I101" s="112"/>
      <c r="J101" s="112"/>
      <c r="K101" s="112"/>
      <c r="L101" s="112"/>
      <c r="M101" s="11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s="106" customFormat="1" x14ac:dyDescent="0.25">
      <c r="A102" s="149"/>
      <c r="B102" s="123"/>
      <c r="C102" s="122"/>
      <c r="D102" s="114"/>
      <c r="E102" s="114"/>
      <c r="F102" s="114"/>
      <c r="G102" s="114"/>
      <c r="H102" s="114"/>
      <c r="I102" s="114"/>
      <c r="J102" s="114"/>
      <c r="K102" s="114"/>
      <c r="L102" s="114"/>
      <c r="M102" s="115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s="106" customFormat="1" x14ac:dyDescent="0.25">
      <c r="A103" s="149"/>
      <c r="B103" s="122"/>
      <c r="C103" s="122"/>
      <c r="D103" s="112"/>
      <c r="E103" s="112"/>
      <c r="F103" s="112"/>
      <c r="G103" s="112"/>
      <c r="H103" s="112"/>
      <c r="I103" s="112"/>
      <c r="J103" s="112"/>
      <c r="K103" s="112"/>
      <c r="L103" s="112"/>
      <c r="M103" s="11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s="106" customFormat="1" x14ac:dyDescent="0.25">
      <c r="A104" s="149"/>
      <c r="B104" s="123"/>
      <c r="C104" s="122"/>
      <c r="D104" s="114"/>
      <c r="E104" s="114"/>
      <c r="F104" s="114"/>
      <c r="G104" s="114"/>
      <c r="H104" s="114"/>
      <c r="I104" s="114"/>
      <c r="J104" s="114"/>
      <c r="K104" s="114"/>
      <c r="L104" s="114"/>
      <c r="M104" s="115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s="106" customFormat="1" x14ac:dyDescent="0.25">
      <c r="A105" s="149"/>
      <c r="B105" s="122"/>
      <c r="C105" s="122"/>
      <c r="D105" s="112"/>
      <c r="E105" s="112"/>
      <c r="F105" s="112"/>
      <c r="G105" s="112"/>
      <c r="H105" s="112"/>
      <c r="I105" s="112"/>
      <c r="J105" s="112"/>
      <c r="K105" s="112"/>
      <c r="L105" s="112"/>
      <c r="M105" s="11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s="106" customFormat="1" x14ac:dyDescent="0.25">
      <c r="A106" s="149"/>
      <c r="B106" s="123"/>
      <c r="C106" s="122"/>
      <c r="D106" s="114"/>
      <c r="E106" s="114"/>
      <c r="F106" s="114"/>
      <c r="G106" s="114"/>
      <c r="H106" s="114"/>
      <c r="I106" s="114"/>
      <c r="J106" s="114"/>
      <c r="K106" s="114"/>
      <c r="L106" s="114"/>
      <c r="M106" s="115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s="106" customFormat="1" x14ac:dyDescent="0.25">
      <c r="A107" s="149"/>
      <c r="B107" s="122"/>
      <c r="C107" s="122"/>
      <c r="D107" s="112"/>
      <c r="E107" s="112"/>
      <c r="F107" s="112"/>
      <c r="G107" s="112"/>
      <c r="H107" s="112"/>
      <c r="I107" s="112"/>
      <c r="J107" s="112"/>
      <c r="K107" s="112"/>
      <c r="L107" s="112"/>
      <c r="M107" s="11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s="106" customFormat="1" x14ac:dyDescent="0.25">
      <c r="A108" s="149"/>
      <c r="B108" s="123"/>
      <c r="C108" s="122"/>
      <c r="D108" s="114"/>
      <c r="E108" s="114"/>
      <c r="F108" s="114"/>
      <c r="G108" s="114"/>
      <c r="H108" s="114"/>
      <c r="I108" s="114"/>
      <c r="J108" s="114"/>
      <c r="K108" s="114"/>
      <c r="L108" s="114"/>
      <c r="M108" s="115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s="106" customFormat="1" x14ac:dyDescent="0.25">
      <c r="A109" s="149"/>
      <c r="B109" s="122"/>
      <c r="C109" s="122"/>
      <c r="D109" s="112"/>
      <c r="E109" s="112"/>
      <c r="F109" s="112"/>
      <c r="G109" s="112"/>
      <c r="H109" s="112"/>
      <c r="I109" s="112"/>
      <c r="J109" s="112"/>
      <c r="K109" s="112"/>
      <c r="L109" s="112"/>
      <c r="M109" s="11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s="106" customFormat="1" x14ac:dyDescent="0.25">
      <c r="A110" s="149"/>
      <c r="B110" s="123"/>
      <c r="C110" s="122"/>
      <c r="D110" s="114"/>
      <c r="E110" s="114"/>
      <c r="F110" s="114"/>
      <c r="G110" s="114"/>
      <c r="H110" s="114"/>
      <c r="I110" s="114"/>
      <c r="J110" s="114"/>
      <c r="K110" s="114"/>
      <c r="L110" s="114"/>
      <c r="M110" s="115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s="106" customFormat="1" x14ac:dyDescent="0.25">
      <c r="A111" s="149"/>
      <c r="B111" s="122"/>
      <c r="C111" s="122"/>
      <c r="D111" s="112"/>
      <c r="E111" s="112"/>
      <c r="F111" s="112"/>
      <c r="G111" s="112"/>
      <c r="H111" s="112"/>
      <c r="I111" s="112"/>
      <c r="J111" s="112"/>
      <c r="K111" s="112"/>
      <c r="L111" s="112"/>
      <c r="M111" s="11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s="106" customFormat="1" x14ac:dyDescent="0.25">
      <c r="A112" s="149"/>
      <c r="B112" s="123"/>
      <c r="C112" s="122"/>
      <c r="D112" s="114"/>
      <c r="E112" s="114"/>
      <c r="F112" s="114"/>
      <c r="G112" s="114"/>
      <c r="H112" s="114"/>
      <c r="I112" s="114"/>
      <c r="J112" s="114"/>
      <c r="K112" s="114"/>
      <c r="L112" s="114"/>
      <c r="M112" s="115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s="106" customFormat="1" x14ac:dyDescent="0.25">
      <c r="A113" s="149"/>
      <c r="B113" s="122"/>
      <c r="C113" s="12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s="106" customFormat="1" x14ac:dyDescent="0.25">
      <c r="A114" s="149"/>
      <c r="B114" s="123"/>
      <c r="C114" s="122"/>
      <c r="D114" s="114"/>
      <c r="E114" s="114"/>
      <c r="F114" s="114"/>
      <c r="G114" s="114"/>
      <c r="H114" s="114"/>
      <c r="I114" s="114"/>
      <c r="J114" s="114"/>
      <c r="K114" s="114"/>
      <c r="L114" s="114"/>
      <c r="M114" s="115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s="106" customFormat="1" x14ac:dyDescent="0.25">
      <c r="A115" s="149"/>
      <c r="B115" s="122"/>
      <c r="C115" s="122"/>
      <c r="D115" s="112"/>
      <c r="E115" s="112"/>
      <c r="F115" s="112"/>
      <c r="G115" s="112"/>
      <c r="H115" s="112"/>
      <c r="I115" s="112"/>
      <c r="J115" s="112"/>
      <c r="K115" s="112"/>
      <c r="L115" s="112"/>
      <c r="M115" s="11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s="106" customFormat="1" x14ac:dyDescent="0.25">
      <c r="A116" s="149"/>
      <c r="B116" s="123"/>
      <c r="C116" s="122"/>
      <c r="D116" s="114"/>
      <c r="E116" s="114"/>
      <c r="F116" s="114"/>
      <c r="G116" s="114"/>
      <c r="H116" s="114"/>
      <c r="I116" s="114"/>
      <c r="J116" s="114"/>
      <c r="K116" s="114"/>
      <c r="L116" s="114"/>
      <c r="M116" s="115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s="106" customFormat="1" x14ac:dyDescent="0.25">
      <c r="A117" s="149"/>
      <c r="B117" s="122"/>
      <c r="C117" s="12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s="106" customFormat="1" x14ac:dyDescent="0.25">
      <c r="A118" s="149"/>
      <c r="B118" s="123"/>
      <c r="C118" s="122"/>
      <c r="D118" s="114"/>
      <c r="E118" s="114"/>
      <c r="F118" s="114"/>
      <c r="G118" s="114"/>
      <c r="H118" s="114"/>
      <c r="I118" s="114"/>
      <c r="J118" s="114"/>
      <c r="K118" s="114"/>
      <c r="L118" s="114"/>
      <c r="M118" s="115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s="106" customFormat="1" x14ac:dyDescent="0.25">
      <c r="A119" s="149"/>
      <c r="B119" s="122"/>
      <c r="C119" s="122"/>
      <c r="D119" s="112"/>
      <c r="E119" s="112"/>
      <c r="F119" s="112"/>
      <c r="G119" s="112"/>
      <c r="H119" s="112"/>
      <c r="I119" s="112"/>
      <c r="J119" s="112"/>
      <c r="K119" s="112"/>
      <c r="L119" s="112"/>
      <c r="M119" s="11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s="106" customFormat="1" x14ac:dyDescent="0.25">
      <c r="A120" s="149"/>
      <c r="B120" s="123"/>
      <c r="C120" s="122"/>
      <c r="D120" s="114"/>
      <c r="E120" s="114"/>
      <c r="F120" s="114"/>
      <c r="G120" s="114"/>
      <c r="H120" s="114"/>
      <c r="I120" s="114"/>
      <c r="J120" s="114"/>
      <c r="K120" s="114"/>
      <c r="L120" s="114"/>
      <c r="M120" s="115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s="106" customFormat="1" x14ac:dyDescent="0.25">
      <c r="A121" s="149"/>
      <c r="B121" s="122"/>
      <c r="C121" s="122"/>
      <c r="D121" s="112"/>
      <c r="E121" s="112"/>
      <c r="F121" s="112"/>
      <c r="G121" s="112"/>
      <c r="H121" s="112"/>
      <c r="I121" s="112"/>
      <c r="J121" s="112"/>
      <c r="K121" s="112"/>
      <c r="L121" s="112"/>
      <c r="M121" s="11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s="106" customFormat="1" x14ac:dyDescent="0.25">
      <c r="A122" s="149"/>
      <c r="B122" s="123"/>
      <c r="C122" s="122"/>
      <c r="D122" s="114"/>
      <c r="E122" s="114"/>
      <c r="F122" s="114"/>
      <c r="G122" s="114"/>
      <c r="H122" s="114"/>
      <c r="I122" s="114"/>
      <c r="J122" s="114"/>
      <c r="K122" s="114"/>
      <c r="L122" s="114"/>
      <c r="M122" s="115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s="106" customFormat="1" x14ac:dyDescent="0.25">
      <c r="A123" s="149"/>
      <c r="B123" s="122"/>
      <c r="C123" s="122"/>
      <c r="D123" s="112"/>
      <c r="E123" s="112"/>
      <c r="F123" s="112"/>
      <c r="G123" s="112"/>
      <c r="H123" s="112"/>
      <c r="I123" s="112"/>
      <c r="J123" s="112"/>
      <c r="K123" s="112"/>
      <c r="L123" s="112"/>
      <c r="M123" s="11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s="106" customFormat="1" x14ac:dyDescent="0.25">
      <c r="A124" s="149"/>
      <c r="B124" s="123"/>
      <c r="C124" s="122"/>
      <c r="D124" s="114"/>
      <c r="E124" s="114"/>
      <c r="F124" s="114"/>
      <c r="G124" s="114"/>
      <c r="H124" s="114"/>
      <c r="I124" s="114"/>
      <c r="J124" s="114"/>
      <c r="K124" s="114"/>
      <c r="L124" s="114"/>
      <c r="M124" s="115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s="106" customFormat="1" x14ac:dyDescent="0.25">
      <c r="A125" s="149"/>
      <c r="B125" s="122"/>
      <c r="C125" s="122"/>
      <c r="D125" s="112"/>
      <c r="E125" s="112"/>
      <c r="F125" s="112"/>
      <c r="G125" s="112"/>
      <c r="H125" s="112"/>
      <c r="I125" s="112"/>
      <c r="J125" s="112"/>
      <c r="K125" s="112"/>
      <c r="L125" s="112"/>
      <c r="M125" s="11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s="106" customFormat="1" x14ac:dyDescent="0.25">
      <c r="A126" s="149"/>
      <c r="B126" s="123"/>
      <c r="C126" s="122"/>
      <c r="D126" s="114"/>
      <c r="E126" s="114"/>
      <c r="F126" s="114"/>
      <c r="G126" s="114"/>
      <c r="H126" s="114"/>
      <c r="I126" s="114"/>
      <c r="J126" s="114"/>
      <c r="K126" s="114"/>
      <c r="L126" s="114"/>
      <c r="M126" s="115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s="106" customFormat="1" x14ac:dyDescent="0.25">
      <c r="A127" s="149"/>
      <c r="B127" s="122"/>
      <c r="C127" s="122"/>
      <c r="D127" s="112"/>
      <c r="E127" s="112"/>
      <c r="F127" s="112"/>
      <c r="G127" s="112"/>
      <c r="H127" s="112"/>
      <c r="I127" s="112"/>
      <c r="J127" s="112"/>
      <c r="K127" s="112"/>
      <c r="L127" s="112"/>
      <c r="M127" s="11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s="106" customFormat="1" x14ac:dyDescent="0.25">
      <c r="A128" s="149"/>
      <c r="B128" s="123"/>
      <c r="C128" s="122"/>
      <c r="D128" s="114"/>
      <c r="E128" s="114"/>
      <c r="F128" s="114"/>
      <c r="G128" s="114"/>
      <c r="H128" s="114"/>
      <c r="I128" s="114"/>
      <c r="J128" s="114"/>
      <c r="K128" s="114"/>
      <c r="L128" s="114"/>
      <c r="M128" s="115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s="106" customFormat="1" x14ac:dyDescent="0.25">
      <c r="A129" s="149"/>
      <c r="B129" s="122"/>
      <c r="C129" s="122"/>
      <c r="D129" s="112"/>
      <c r="E129" s="112"/>
      <c r="F129" s="112"/>
      <c r="G129" s="112"/>
      <c r="H129" s="112"/>
      <c r="I129" s="112"/>
      <c r="J129" s="112"/>
      <c r="K129" s="112"/>
      <c r="L129" s="112"/>
      <c r="M129" s="11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s="106" customFormat="1" x14ac:dyDescent="0.25">
      <c r="A130" s="149"/>
      <c r="B130" s="123"/>
      <c r="C130" s="122"/>
      <c r="D130" s="114"/>
      <c r="E130" s="114"/>
      <c r="F130" s="114"/>
      <c r="G130" s="114"/>
      <c r="H130" s="114"/>
      <c r="I130" s="114"/>
      <c r="J130" s="114"/>
      <c r="K130" s="114"/>
      <c r="L130" s="114"/>
      <c r="M130" s="115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s="106" customFormat="1" x14ac:dyDescent="0.25">
      <c r="A131" s="149"/>
      <c r="B131" s="122"/>
      <c r="C131" s="122"/>
      <c r="D131" s="112"/>
      <c r="E131" s="112"/>
      <c r="F131" s="112"/>
      <c r="G131" s="112"/>
      <c r="H131" s="112"/>
      <c r="I131" s="112"/>
      <c r="J131" s="112"/>
      <c r="K131" s="112"/>
      <c r="L131" s="112"/>
      <c r="M131" s="11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s="106" customFormat="1" x14ac:dyDescent="0.25">
      <c r="A132" s="149"/>
      <c r="B132" s="123"/>
      <c r="C132" s="122"/>
      <c r="D132" s="114"/>
      <c r="E132" s="114"/>
      <c r="F132" s="114"/>
      <c r="G132" s="114"/>
      <c r="H132" s="114"/>
      <c r="I132" s="114"/>
      <c r="J132" s="114"/>
      <c r="K132" s="114"/>
      <c r="L132" s="114"/>
      <c r="M132" s="115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s="106" customFormat="1" x14ac:dyDescent="0.25">
      <c r="A133" s="149"/>
      <c r="B133" s="122"/>
      <c r="C133" s="122"/>
      <c r="D133" s="112"/>
      <c r="E133" s="112"/>
      <c r="F133" s="112"/>
      <c r="G133" s="112"/>
      <c r="H133" s="112"/>
      <c r="I133" s="112"/>
      <c r="J133" s="112"/>
      <c r="K133" s="112"/>
      <c r="L133" s="112"/>
      <c r="M133" s="11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s="106" customFormat="1" x14ac:dyDescent="0.25">
      <c r="A134" s="149"/>
      <c r="B134" s="123"/>
      <c r="C134" s="122"/>
      <c r="D134" s="114"/>
      <c r="E134" s="114"/>
      <c r="F134" s="114"/>
      <c r="G134" s="114"/>
      <c r="H134" s="114"/>
      <c r="I134" s="114"/>
      <c r="J134" s="114"/>
      <c r="K134" s="114"/>
      <c r="L134" s="114"/>
      <c r="M134" s="115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s="106" customFormat="1" x14ac:dyDescent="0.25">
      <c r="A135" s="149"/>
      <c r="B135" s="122"/>
      <c r="C135" s="122"/>
      <c r="D135" s="112"/>
      <c r="E135" s="112"/>
      <c r="F135" s="112"/>
      <c r="G135" s="112"/>
      <c r="H135" s="112"/>
      <c r="I135" s="112"/>
      <c r="J135" s="112"/>
      <c r="K135" s="112"/>
      <c r="L135" s="112"/>
      <c r="M135" s="11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s="106" customFormat="1" x14ac:dyDescent="0.25">
      <c r="A136" s="149"/>
      <c r="B136" s="123"/>
      <c r="C136" s="122"/>
      <c r="D136" s="114"/>
      <c r="E136" s="114"/>
      <c r="F136" s="114"/>
      <c r="G136" s="114"/>
      <c r="H136" s="114"/>
      <c r="I136" s="114"/>
      <c r="J136" s="114"/>
      <c r="K136" s="114"/>
      <c r="L136" s="114"/>
      <c r="M136" s="115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s="106" customFormat="1" x14ac:dyDescent="0.25">
      <c r="A137" s="149"/>
      <c r="B137" s="122"/>
      <c r="C137" s="122"/>
      <c r="D137" s="112"/>
      <c r="E137" s="112"/>
      <c r="F137" s="112"/>
      <c r="G137" s="112"/>
      <c r="H137" s="112"/>
      <c r="I137" s="112"/>
      <c r="J137" s="112"/>
      <c r="K137" s="112"/>
      <c r="L137" s="112"/>
      <c r="M137" s="11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s="106" customFormat="1" x14ac:dyDescent="0.25">
      <c r="A138" s="149"/>
      <c r="B138" s="123"/>
      <c r="C138" s="122"/>
      <c r="D138" s="114"/>
      <c r="E138" s="114"/>
      <c r="F138" s="114"/>
      <c r="G138" s="114"/>
      <c r="H138" s="114"/>
      <c r="I138" s="114"/>
      <c r="J138" s="114"/>
      <c r="K138" s="114"/>
      <c r="L138" s="114"/>
      <c r="M138" s="115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s="106" customFormat="1" x14ac:dyDescent="0.25">
      <c r="A139" s="149"/>
      <c r="B139" s="122"/>
      <c r="C139" s="122"/>
      <c r="D139" s="112"/>
      <c r="E139" s="112"/>
      <c r="F139" s="112"/>
      <c r="G139" s="112"/>
      <c r="H139" s="112"/>
      <c r="I139" s="112"/>
      <c r="J139" s="112"/>
      <c r="K139" s="112"/>
      <c r="L139" s="112"/>
      <c r="M139" s="11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s="106" customFormat="1" x14ac:dyDescent="0.25">
      <c r="A140" s="149"/>
      <c r="B140" s="123"/>
      <c r="C140" s="122"/>
      <c r="D140" s="114"/>
      <c r="E140" s="114"/>
      <c r="F140" s="114"/>
      <c r="G140" s="114"/>
      <c r="H140" s="114"/>
      <c r="I140" s="114"/>
      <c r="J140" s="114"/>
      <c r="K140" s="114"/>
      <c r="L140" s="114"/>
      <c r="M140" s="115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s="106" customFormat="1" x14ac:dyDescent="0.25">
      <c r="A141" s="149"/>
      <c r="B141" s="122"/>
      <c r="C141" s="122"/>
      <c r="D141" s="112"/>
      <c r="E141" s="112"/>
      <c r="F141" s="112"/>
      <c r="G141" s="112"/>
      <c r="H141" s="112"/>
      <c r="I141" s="112"/>
      <c r="J141" s="112"/>
      <c r="K141" s="112"/>
      <c r="L141" s="112"/>
      <c r="M141" s="11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s="106" customFormat="1" x14ac:dyDescent="0.25">
      <c r="A142" s="149"/>
      <c r="B142" s="123"/>
      <c r="C142" s="122"/>
      <c r="D142" s="114"/>
      <c r="E142" s="114"/>
      <c r="F142" s="114"/>
      <c r="G142" s="114"/>
      <c r="H142" s="114"/>
      <c r="I142" s="114"/>
      <c r="J142" s="114"/>
      <c r="K142" s="114"/>
      <c r="L142" s="114"/>
      <c r="M142" s="115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s="106" customFormat="1" x14ac:dyDescent="0.25">
      <c r="A143" s="149"/>
      <c r="B143" s="122"/>
      <c r="C143" s="122"/>
      <c r="D143" s="112"/>
      <c r="E143" s="112"/>
      <c r="F143" s="112"/>
      <c r="G143" s="112"/>
      <c r="H143" s="112"/>
      <c r="I143" s="112"/>
      <c r="J143" s="112"/>
      <c r="K143" s="112"/>
      <c r="L143" s="112"/>
      <c r="M143" s="11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s="106" customFormat="1" x14ac:dyDescent="0.25">
      <c r="A144" s="149"/>
      <c r="B144" s="123"/>
      <c r="C144" s="122"/>
      <c r="D144" s="114"/>
      <c r="E144" s="114"/>
      <c r="F144" s="114"/>
      <c r="G144" s="114"/>
      <c r="H144" s="114"/>
      <c r="I144" s="114"/>
      <c r="J144" s="114"/>
      <c r="K144" s="114"/>
      <c r="L144" s="114"/>
      <c r="M144" s="115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s="106" customFormat="1" x14ac:dyDescent="0.25">
      <c r="A145" s="149"/>
      <c r="B145" s="122"/>
      <c r="C145" s="122"/>
      <c r="D145" s="112"/>
      <c r="E145" s="112"/>
      <c r="F145" s="112"/>
      <c r="G145" s="112"/>
      <c r="H145" s="112"/>
      <c r="I145" s="112"/>
      <c r="J145" s="112"/>
      <c r="K145" s="112"/>
      <c r="L145" s="112"/>
      <c r="M145" s="11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s="106" customFormat="1" x14ac:dyDescent="0.25">
      <c r="A146" s="149"/>
      <c r="B146" s="123"/>
      <c r="C146" s="122"/>
      <c r="D146" s="114"/>
      <c r="E146" s="114"/>
      <c r="F146" s="114"/>
      <c r="G146" s="114"/>
      <c r="H146" s="114"/>
      <c r="I146" s="114"/>
      <c r="J146" s="114"/>
      <c r="K146" s="114"/>
      <c r="L146" s="114"/>
      <c r="M146" s="115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s="106" customFormat="1" x14ac:dyDescent="0.25">
      <c r="A147" s="149"/>
      <c r="B147" s="122"/>
      <c r="C147" s="122"/>
      <c r="D147" s="112"/>
      <c r="E147" s="112"/>
      <c r="F147" s="112"/>
      <c r="G147" s="112"/>
      <c r="H147" s="112"/>
      <c r="I147" s="112"/>
      <c r="J147" s="112"/>
      <c r="K147" s="112"/>
      <c r="L147" s="112"/>
      <c r="M147" s="11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s="106" customFormat="1" x14ac:dyDescent="0.25">
      <c r="A148" s="149"/>
      <c r="B148" s="123"/>
      <c r="C148" s="122"/>
      <c r="D148" s="114"/>
      <c r="E148" s="114"/>
      <c r="F148" s="114"/>
      <c r="G148" s="114"/>
      <c r="H148" s="114"/>
      <c r="I148" s="114"/>
      <c r="J148" s="114"/>
      <c r="K148" s="114"/>
      <c r="L148" s="114"/>
      <c r="M148" s="115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s="106" customFormat="1" x14ac:dyDescent="0.25">
      <c r="A149" s="149"/>
      <c r="B149" s="122"/>
      <c r="C149" s="122"/>
      <c r="D149" s="112"/>
      <c r="E149" s="112"/>
      <c r="F149" s="112"/>
      <c r="G149" s="112"/>
      <c r="H149" s="112"/>
      <c r="I149" s="112"/>
      <c r="J149" s="112"/>
      <c r="K149" s="112"/>
      <c r="L149" s="112"/>
      <c r="M149" s="11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s="106" customFormat="1" x14ac:dyDescent="0.25">
      <c r="A150" s="149"/>
      <c r="B150" s="123"/>
      <c r="C150" s="122"/>
      <c r="D150" s="114"/>
      <c r="E150" s="114"/>
      <c r="F150" s="114"/>
      <c r="G150" s="114"/>
      <c r="H150" s="114"/>
      <c r="I150" s="114"/>
      <c r="J150" s="114"/>
      <c r="K150" s="114"/>
      <c r="L150" s="114"/>
      <c r="M150" s="115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s="106" customFormat="1" x14ac:dyDescent="0.25">
      <c r="A151" s="149"/>
      <c r="B151" s="122"/>
      <c r="C151" s="122"/>
      <c r="D151" s="112"/>
      <c r="E151" s="112"/>
      <c r="F151" s="112"/>
      <c r="G151" s="112"/>
      <c r="H151" s="112"/>
      <c r="I151" s="112"/>
      <c r="J151" s="112"/>
      <c r="K151" s="112"/>
      <c r="L151" s="112"/>
      <c r="M151" s="11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s="106" customFormat="1" x14ac:dyDescent="0.25">
      <c r="A152" s="149"/>
      <c r="B152" s="123"/>
      <c r="C152" s="122"/>
      <c r="D152" s="114"/>
      <c r="E152" s="114"/>
      <c r="F152" s="114"/>
      <c r="G152" s="114"/>
      <c r="H152" s="114"/>
      <c r="I152" s="114"/>
      <c r="J152" s="114"/>
      <c r="K152" s="114"/>
      <c r="L152" s="114"/>
      <c r="M152" s="115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s="106" customFormat="1" x14ac:dyDescent="0.25">
      <c r="A153" s="149"/>
      <c r="B153" s="122"/>
      <c r="C153" s="122"/>
      <c r="D153" s="112"/>
      <c r="E153" s="112"/>
      <c r="F153" s="112"/>
      <c r="G153" s="112"/>
      <c r="H153" s="112"/>
      <c r="I153" s="112"/>
      <c r="J153" s="112"/>
      <c r="K153" s="112"/>
      <c r="L153" s="112"/>
      <c r="M153" s="11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s="106" customFormat="1" x14ac:dyDescent="0.25">
      <c r="A154" s="149"/>
      <c r="B154" s="123"/>
      <c r="C154" s="122"/>
      <c r="D154" s="114"/>
      <c r="E154" s="114"/>
      <c r="F154" s="114"/>
      <c r="G154" s="114"/>
      <c r="H154" s="114"/>
      <c r="I154" s="114"/>
      <c r="J154" s="114"/>
      <c r="K154" s="114"/>
      <c r="L154" s="114"/>
      <c r="M154" s="115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s="106" customFormat="1" x14ac:dyDescent="0.25">
      <c r="A155" s="149"/>
      <c r="B155" s="122"/>
      <c r="C155" s="122"/>
      <c r="D155" s="112"/>
      <c r="E155" s="112"/>
      <c r="F155" s="112"/>
      <c r="G155" s="112"/>
      <c r="H155" s="112"/>
      <c r="I155" s="112"/>
      <c r="J155" s="112"/>
      <c r="K155" s="112"/>
      <c r="L155" s="112"/>
      <c r="M155" s="11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s="106" customFormat="1" x14ac:dyDescent="0.25">
      <c r="A156" s="149"/>
      <c r="B156" s="123"/>
      <c r="C156" s="122"/>
      <c r="D156" s="114"/>
      <c r="E156" s="114"/>
      <c r="F156" s="114"/>
      <c r="G156" s="114"/>
      <c r="H156" s="114"/>
      <c r="I156" s="114"/>
      <c r="J156" s="114"/>
      <c r="K156" s="114"/>
      <c r="L156" s="114"/>
      <c r="M156" s="115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s="106" customFormat="1" x14ac:dyDescent="0.25">
      <c r="A157" s="149"/>
      <c r="B157" s="122"/>
      <c r="C157" s="122"/>
      <c r="D157" s="112"/>
      <c r="E157" s="112"/>
      <c r="F157" s="112"/>
      <c r="G157" s="112"/>
      <c r="H157" s="112"/>
      <c r="I157" s="112"/>
      <c r="J157" s="112"/>
      <c r="K157" s="112"/>
      <c r="L157" s="112"/>
      <c r="M157" s="11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s="106" customFormat="1" x14ac:dyDescent="0.25">
      <c r="A158" s="149"/>
      <c r="B158" s="123"/>
      <c r="C158" s="122"/>
      <c r="D158" s="114"/>
      <c r="E158" s="114"/>
      <c r="F158" s="114"/>
      <c r="G158" s="114"/>
      <c r="H158" s="114"/>
      <c r="I158" s="114"/>
      <c r="J158" s="114"/>
      <c r="K158" s="114"/>
      <c r="L158" s="114"/>
      <c r="M158" s="115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s="106" customFormat="1" x14ac:dyDescent="0.25">
      <c r="A159" s="149"/>
      <c r="B159" s="122"/>
      <c r="C159" s="122"/>
      <c r="D159" s="112"/>
      <c r="E159" s="112"/>
      <c r="F159" s="112"/>
      <c r="G159" s="112"/>
      <c r="H159" s="112"/>
      <c r="I159" s="112"/>
      <c r="J159" s="112"/>
      <c r="K159" s="112"/>
      <c r="L159" s="112"/>
      <c r="M159" s="11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s="106" customFormat="1" x14ac:dyDescent="0.25">
      <c r="A160" s="149"/>
      <c r="B160" s="123"/>
      <c r="C160" s="122"/>
      <c r="D160" s="114"/>
      <c r="E160" s="114"/>
      <c r="F160" s="114"/>
      <c r="G160" s="114"/>
      <c r="H160" s="114"/>
      <c r="I160" s="114"/>
      <c r="J160" s="114"/>
      <c r="K160" s="114"/>
      <c r="L160" s="114"/>
      <c r="M160" s="115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s="106" customFormat="1" x14ac:dyDescent="0.25">
      <c r="A161" s="149"/>
      <c r="B161" s="122"/>
      <c r="C161" s="122"/>
      <c r="D161" s="112"/>
      <c r="E161" s="112"/>
      <c r="F161" s="112"/>
      <c r="G161" s="112"/>
      <c r="H161" s="112"/>
      <c r="I161" s="112"/>
      <c r="J161" s="112"/>
      <c r="K161" s="112"/>
      <c r="L161" s="112"/>
      <c r="M161" s="11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s="106" customFormat="1" x14ac:dyDescent="0.25">
      <c r="A162" s="149"/>
      <c r="B162" s="123"/>
      <c r="C162" s="122"/>
      <c r="D162" s="114"/>
      <c r="E162" s="114"/>
      <c r="F162" s="114"/>
      <c r="G162" s="114"/>
      <c r="H162" s="114"/>
      <c r="I162" s="114"/>
      <c r="J162" s="114"/>
      <c r="K162" s="114"/>
      <c r="L162" s="114"/>
      <c r="M162" s="115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s="106" customFormat="1" x14ac:dyDescent="0.25">
      <c r="A163" s="149"/>
      <c r="B163" s="122"/>
      <c r="C163" s="122"/>
      <c r="D163" s="112"/>
      <c r="E163" s="112"/>
      <c r="F163" s="112"/>
      <c r="G163" s="112"/>
      <c r="H163" s="112"/>
      <c r="I163" s="112"/>
      <c r="J163" s="112"/>
      <c r="K163" s="112"/>
      <c r="L163" s="112"/>
      <c r="M163" s="11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s="106" customFormat="1" x14ac:dyDescent="0.25">
      <c r="A164" s="149"/>
      <c r="B164" s="123"/>
      <c r="C164" s="122"/>
      <c r="D164" s="114"/>
      <c r="E164" s="114"/>
      <c r="F164" s="114"/>
      <c r="G164" s="114"/>
      <c r="H164" s="114"/>
      <c r="I164" s="114"/>
      <c r="J164" s="114"/>
      <c r="K164" s="114"/>
      <c r="L164" s="114"/>
      <c r="M164" s="115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s="106" customFormat="1" x14ac:dyDescent="0.25">
      <c r="A165" s="149"/>
      <c r="B165" s="122"/>
      <c r="C165" s="122"/>
      <c r="D165" s="112"/>
      <c r="E165" s="112"/>
      <c r="F165" s="112"/>
      <c r="G165" s="112"/>
      <c r="H165" s="112"/>
      <c r="I165" s="112"/>
      <c r="J165" s="112"/>
      <c r="K165" s="112"/>
      <c r="L165" s="112"/>
      <c r="M165" s="11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s="106" customFormat="1" x14ac:dyDescent="0.25">
      <c r="A166" s="149"/>
      <c r="B166" s="123"/>
      <c r="C166" s="122"/>
      <c r="D166" s="114"/>
      <c r="E166" s="114"/>
      <c r="F166" s="114"/>
      <c r="G166" s="114"/>
      <c r="H166" s="114"/>
      <c r="I166" s="114"/>
      <c r="J166" s="114"/>
      <c r="K166" s="114"/>
      <c r="L166" s="114"/>
      <c r="M166" s="115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s="106" customFormat="1" x14ac:dyDescent="0.25">
      <c r="A167" s="149"/>
      <c r="B167" s="122"/>
      <c r="C167" s="122"/>
      <c r="D167" s="112"/>
      <c r="E167" s="112"/>
      <c r="F167" s="112"/>
      <c r="G167" s="112"/>
      <c r="H167" s="112"/>
      <c r="I167" s="112"/>
      <c r="J167" s="112"/>
      <c r="K167" s="112"/>
      <c r="L167" s="112"/>
      <c r="M167" s="11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s="106" customFormat="1" x14ac:dyDescent="0.25">
      <c r="A168" s="149"/>
      <c r="B168" s="123"/>
      <c r="C168" s="122"/>
      <c r="D168" s="114"/>
      <c r="E168" s="114"/>
      <c r="F168" s="114"/>
      <c r="G168" s="114"/>
      <c r="H168" s="114"/>
      <c r="I168" s="114"/>
      <c r="J168" s="114"/>
      <c r="K168" s="114"/>
      <c r="L168" s="114"/>
      <c r="M168" s="115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s="106" customFormat="1" x14ac:dyDescent="0.25">
      <c r="A169" s="149"/>
      <c r="B169" s="122"/>
      <c r="C169" s="122"/>
      <c r="D169" s="112"/>
      <c r="E169" s="112"/>
      <c r="F169" s="112"/>
      <c r="G169" s="112"/>
      <c r="H169" s="112"/>
      <c r="I169" s="112"/>
      <c r="J169" s="112"/>
      <c r="K169" s="112"/>
      <c r="L169" s="112"/>
      <c r="M169" s="11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s="106" customFormat="1" x14ac:dyDescent="0.25">
      <c r="A170" s="149"/>
      <c r="B170" s="123"/>
      <c r="C170" s="122"/>
      <c r="D170" s="114"/>
      <c r="E170" s="114"/>
      <c r="F170" s="114"/>
      <c r="G170" s="114"/>
      <c r="H170" s="114"/>
      <c r="I170" s="114"/>
      <c r="J170" s="114"/>
      <c r="K170" s="114"/>
      <c r="L170" s="114"/>
      <c r="M170" s="115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s="106" customFormat="1" x14ac:dyDescent="0.25">
      <c r="A171" s="149"/>
      <c r="B171" s="122"/>
      <c r="C171" s="122"/>
      <c r="D171" s="112"/>
      <c r="E171" s="112"/>
      <c r="F171" s="112"/>
      <c r="G171" s="112"/>
      <c r="H171" s="112"/>
      <c r="I171" s="112"/>
      <c r="J171" s="112"/>
      <c r="K171" s="112"/>
      <c r="L171" s="112"/>
      <c r="M171" s="11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s="106" customFormat="1" x14ac:dyDescent="0.25">
      <c r="A172" s="149"/>
      <c r="B172" s="123"/>
      <c r="C172" s="122"/>
      <c r="D172" s="114"/>
      <c r="E172" s="114"/>
      <c r="F172" s="114"/>
      <c r="G172" s="114"/>
      <c r="H172" s="114"/>
      <c r="I172" s="114"/>
      <c r="J172" s="114"/>
      <c r="K172" s="114"/>
      <c r="L172" s="114"/>
      <c r="M172" s="115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s="106" customFormat="1" x14ac:dyDescent="0.25">
      <c r="A173" s="149"/>
      <c r="B173" s="122"/>
      <c r="C173" s="122"/>
      <c r="D173" s="112"/>
      <c r="E173" s="112"/>
      <c r="F173" s="112"/>
      <c r="G173" s="112"/>
      <c r="H173" s="112"/>
      <c r="I173" s="112"/>
      <c r="J173" s="112"/>
      <c r="K173" s="112"/>
      <c r="L173" s="112"/>
      <c r="M173" s="11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s="106" customFormat="1" x14ac:dyDescent="0.25">
      <c r="A174" s="149"/>
      <c r="B174" s="123"/>
      <c r="C174" s="122"/>
      <c r="D174" s="114"/>
      <c r="E174" s="114"/>
      <c r="F174" s="114"/>
      <c r="G174" s="114"/>
      <c r="H174" s="114"/>
      <c r="I174" s="114"/>
      <c r="J174" s="114"/>
      <c r="K174" s="114"/>
      <c r="L174" s="114"/>
      <c r="M174" s="115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s="106" customFormat="1" x14ac:dyDescent="0.25">
      <c r="A175" s="149"/>
      <c r="B175" s="122"/>
      <c r="C175" s="122"/>
      <c r="D175" s="112"/>
      <c r="E175" s="112"/>
      <c r="F175" s="112"/>
      <c r="G175" s="112"/>
      <c r="H175" s="112"/>
      <c r="I175" s="112"/>
      <c r="J175" s="112"/>
      <c r="K175" s="112"/>
      <c r="L175" s="112"/>
      <c r="M175" s="11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s="106" customFormat="1" x14ac:dyDescent="0.25">
      <c r="A176" s="149"/>
      <c r="B176" s="123"/>
      <c r="C176" s="122"/>
      <c r="D176" s="114"/>
      <c r="E176" s="114"/>
      <c r="F176" s="114"/>
      <c r="G176" s="114"/>
      <c r="H176" s="114"/>
      <c r="I176" s="114"/>
      <c r="J176" s="114"/>
      <c r="K176" s="114"/>
      <c r="L176" s="114"/>
      <c r="M176" s="115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s="106" customFormat="1" x14ac:dyDescent="0.25">
      <c r="A177" s="149"/>
      <c r="B177" s="122"/>
      <c r="C177" s="122"/>
      <c r="D177" s="112"/>
      <c r="E177" s="112"/>
      <c r="F177" s="112"/>
      <c r="G177" s="112"/>
      <c r="H177" s="112"/>
      <c r="I177" s="112"/>
      <c r="J177" s="112"/>
      <c r="K177" s="112"/>
      <c r="L177" s="112"/>
      <c r="M177" s="11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s="106" customFormat="1" x14ac:dyDescent="0.25">
      <c r="A178" s="149"/>
      <c r="B178" s="123"/>
      <c r="C178" s="122"/>
      <c r="D178" s="114"/>
      <c r="E178" s="114"/>
      <c r="F178" s="114"/>
      <c r="G178" s="114"/>
      <c r="H178" s="114"/>
      <c r="I178" s="114"/>
      <c r="J178" s="114"/>
      <c r="K178" s="114"/>
      <c r="L178" s="114"/>
      <c r="M178" s="115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s="106" customFormat="1" x14ac:dyDescent="0.25">
      <c r="A179" s="149"/>
      <c r="B179" s="122"/>
      <c r="C179" s="122"/>
      <c r="D179" s="112"/>
      <c r="E179" s="112"/>
      <c r="F179" s="112"/>
      <c r="G179" s="112"/>
      <c r="H179" s="112"/>
      <c r="I179" s="112"/>
      <c r="J179" s="112"/>
      <c r="K179" s="112"/>
      <c r="L179" s="112"/>
      <c r="M179" s="11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s="106" customFormat="1" x14ac:dyDescent="0.25">
      <c r="A180" s="149"/>
      <c r="B180" s="123"/>
      <c r="C180" s="122"/>
      <c r="D180" s="114"/>
      <c r="E180" s="114"/>
      <c r="F180" s="114"/>
      <c r="G180" s="114"/>
      <c r="H180" s="114"/>
      <c r="I180" s="114"/>
      <c r="J180" s="114"/>
      <c r="K180" s="114"/>
      <c r="L180" s="114"/>
      <c r="M180" s="115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s="106" customFormat="1" x14ac:dyDescent="0.25">
      <c r="A181" s="149"/>
      <c r="B181" s="122"/>
      <c r="C181" s="122"/>
      <c r="D181" s="112"/>
      <c r="E181" s="112"/>
      <c r="F181" s="112"/>
      <c r="G181" s="112"/>
      <c r="H181" s="112"/>
      <c r="I181" s="112"/>
      <c r="J181" s="112"/>
      <c r="K181" s="112"/>
      <c r="L181" s="112"/>
      <c r="M181" s="11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s="106" customFormat="1" x14ac:dyDescent="0.25">
      <c r="A182" s="149"/>
      <c r="B182" s="123"/>
      <c r="C182" s="122"/>
      <c r="D182" s="114"/>
      <c r="E182" s="114"/>
      <c r="F182" s="114"/>
      <c r="G182" s="114"/>
      <c r="H182" s="114"/>
      <c r="I182" s="114"/>
      <c r="J182" s="114"/>
      <c r="K182" s="114"/>
      <c r="L182" s="114"/>
      <c r="M182" s="115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s="106" customFormat="1" x14ac:dyDescent="0.25">
      <c r="A183" s="149"/>
      <c r="B183" s="122"/>
      <c r="C183" s="122"/>
      <c r="D183" s="112"/>
      <c r="E183" s="112"/>
      <c r="F183" s="112"/>
      <c r="G183" s="112"/>
      <c r="H183" s="112"/>
      <c r="I183" s="112"/>
      <c r="J183" s="112"/>
      <c r="K183" s="112"/>
      <c r="L183" s="112"/>
      <c r="M183" s="11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s="106" customFormat="1" x14ac:dyDescent="0.25">
      <c r="A184" s="149"/>
      <c r="B184" s="123"/>
      <c r="C184" s="122"/>
      <c r="D184" s="114"/>
      <c r="E184" s="114"/>
      <c r="F184" s="114"/>
      <c r="G184" s="114"/>
      <c r="H184" s="114"/>
      <c r="I184" s="114"/>
      <c r="J184" s="114"/>
      <c r="K184" s="114"/>
      <c r="L184" s="114"/>
      <c r="M184" s="115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s="106" customFormat="1" x14ac:dyDescent="0.25">
      <c r="A185" s="149"/>
      <c r="B185" s="122"/>
      <c r="C185" s="122"/>
      <c r="D185" s="112"/>
      <c r="E185" s="112"/>
      <c r="F185" s="112"/>
      <c r="G185" s="112"/>
      <c r="H185" s="112"/>
      <c r="I185" s="112"/>
      <c r="J185" s="112"/>
      <c r="K185" s="112"/>
      <c r="L185" s="112"/>
      <c r="M185" s="11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s="106" customFormat="1" x14ac:dyDescent="0.25">
      <c r="A186" s="149"/>
      <c r="B186" s="123"/>
      <c r="C186" s="122"/>
      <c r="D186" s="114"/>
      <c r="E186" s="114"/>
      <c r="F186" s="114"/>
      <c r="G186" s="114"/>
      <c r="H186" s="114"/>
      <c r="I186" s="114"/>
      <c r="J186" s="114"/>
      <c r="K186" s="114"/>
      <c r="L186" s="114"/>
      <c r="M186" s="115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s="106" customFormat="1" x14ac:dyDescent="0.25">
      <c r="A187" s="149"/>
      <c r="B187" s="122"/>
      <c r="C187" s="122"/>
      <c r="D187" s="112"/>
      <c r="E187" s="112"/>
      <c r="F187" s="112"/>
      <c r="G187" s="112"/>
      <c r="H187" s="112"/>
      <c r="I187" s="112"/>
      <c r="J187" s="112"/>
      <c r="K187" s="112"/>
      <c r="L187" s="112"/>
      <c r="M187" s="11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s="106" customFormat="1" x14ac:dyDescent="0.25">
      <c r="A188" s="149"/>
      <c r="B188" s="123"/>
      <c r="C188" s="122"/>
      <c r="D188" s="114"/>
      <c r="E188" s="114"/>
      <c r="F188" s="114"/>
      <c r="G188" s="114"/>
      <c r="H188" s="114"/>
      <c r="I188" s="114"/>
      <c r="J188" s="114"/>
      <c r="K188" s="114"/>
      <c r="L188" s="114"/>
      <c r="M188" s="115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s="106" customFormat="1" x14ac:dyDescent="0.25">
      <c r="A189" s="149"/>
      <c r="B189" s="122"/>
      <c r="C189" s="122"/>
      <c r="D189" s="112"/>
      <c r="E189" s="112"/>
      <c r="F189" s="112"/>
      <c r="G189" s="112"/>
      <c r="H189" s="112"/>
      <c r="I189" s="112"/>
      <c r="J189" s="112"/>
      <c r="K189" s="112"/>
      <c r="L189" s="112"/>
      <c r="M189" s="11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s="106" customFormat="1" x14ac:dyDescent="0.25">
      <c r="A190" s="149"/>
      <c r="B190" s="123"/>
      <c r="C190" s="122"/>
      <c r="D190" s="114"/>
      <c r="E190" s="114"/>
      <c r="F190" s="114"/>
      <c r="G190" s="114"/>
      <c r="H190" s="114"/>
      <c r="I190" s="114"/>
      <c r="J190" s="114"/>
      <c r="K190" s="114"/>
      <c r="L190" s="114"/>
      <c r="M190" s="115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s="106" customFormat="1" x14ac:dyDescent="0.25">
      <c r="A191" s="149"/>
      <c r="B191" s="122"/>
      <c r="C191" s="12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s="106" customFormat="1" x14ac:dyDescent="0.25">
      <c r="A192" s="149"/>
      <c r="B192" s="123"/>
      <c r="C192" s="122"/>
      <c r="D192" s="114"/>
      <c r="E192" s="114"/>
      <c r="F192" s="114"/>
      <c r="G192" s="114"/>
      <c r="H192" s="114"/>
      <c r="I192" s="114"/>
      <c r="J192" s="114"/>
      <c r="K192" s="114"/>
      <c r="L192" s="114"/>
      <c r="M192" s="115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s="106" customFormat="1" x14ac:dyDescent="0.25">
      <c r="A193" s="149"/>
      <c r="B193" s="122"/>
      <c r="C193" s="122"/>
      <c r="D193" s="112"/>
      <c r="E193" s="112"/>
      <c r="F193" s="112"/>
      <c r="G193" s="112"/>
      <c r="H193" s="112"/>
      <c r="I193" s="112"/>
      <c r="J193" s="112"/>
      <c r="K193" s="112"/>
      <c r="L193" s="112"/>
      <c r="M193" s="11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s="106" customFormat="1" x14ac:dyDescent="0.25">
      <c r="A194" s="149"/>
      <c r="B194" s="123"/>
      <c r="C194" s="122"/>
      <c r="D194" s="114"/>
      <c r="E194" s="114"/>
      <c r="F194" s="114"/>
      <c r="G194" s="114"/>
      <c r="H194" s="114"/>
      <c r="I194" s="114"/>
      <c r="J194" s="114"/>
      <c r="K194" s="114"/>
      <c r="L194" s="114"/>
      <c r="M194" s="115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s="106" customFormat="1" x14ac:dyDescent="0.25">
      <c r="A195" s="149"/>
      <c r="B195" s="122"/>
      <c r="C195" s="122"/>
      <c r="D195" s="112"/>
      <c r="E195" s="112"/>
      <c r="F195" s="112"/>
      <c r="G195" s="112"/>
      <c r="H195" s="112"/>
      <c r="I195" s="112"/>
      <c r="J195" s="112"/>
      <c r="K195" s="112"/>
      <c r="L195" s="112"/>
      <c r="M195" s="11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s="106" customFormat="1" x14ac:dyDescent="0.25">
      <c r="A196" s="149"/>
      <c r="B196" s="123"/>
      <c r="C196" s="122"/>
      <c r="D196" s="114"/>
      <c r="E196" s="114"/>
      <c r="F196" s="114"/>
      <c r="G196" s="114"/>
      <c r="H196" s="114"/>
      <c r="I196" s="114"/>
      <c r="J196" s="114"/>
      <c r="K196" s="114"/>
      <c r="L196" s="114"/>
      <c r="M196" s="115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s="106" customFormat="1" x14ac:dyDescent="0.25">
      <c r="A197" s="149"/>
      <c r="B197" s="122"/>
      <c r="C197" s="122"/>
      <c r="D197" s="112"/>
      <c r="E197" s="112"/>
      <c r="F197" s="112"/>
      <c r="G197" s="112"/>
      <c r="H197" s="112"/>
      <c r="I197" s="112"/>
      <c r="J197" s="112"/>
      <c r="K197" s="112"/>
      <c r="L197" s="112"/>
      <c r="M197" s="11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s="106" customFormat="1" x14ac:dyDescent="0.25">
      <c r="A198" s="149"/>
      <c r="B198" s="123"/>
      <c r="C198" s="122"/>
      <c r="D198" s="114"/>
      <c r="E198" s="114"/>
      <c r="F198" s="114"/>
      <c r="G198" s="114"/>
      <c r="H198" s="114"/>
      <c r="I198" s="114"/>
      <c r="J198" s="114"/>
      <c r="K198" s="114"/>
      <c r="L198" s="114"/>
      <c r="M198" s="115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s="106" customFormat="1" x14ac:dyDescent="0.25">
      <c r="A199" s="149"/>
      <c r="B199" s="122"/>
      <c r="C199" s="122"/>
      <c r="D199" s="112"/>
      <c r="E199" s="112"/>
      <c r="F199" s="112"/>
      <c r="G199" s="112"/>
      <c r="H199" s="112"/>
      <c r="I199" s="112"/>
      <c r="J199" s="112"/>
      <c r="K199" s="112"/>
      <c r="L199" s="112"/>
      <c r="M199" s="11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s="106" customFormat="1" x14ac:dyDescent="0.25">
      <c r="A200" s="149"/>
      <c r="B200" s="123"/>
      <c r="C200" s="122"/>
      <c r="D200" s="114"/>
      <c r="E200" s="114"/>
      <c r="F200" s="114"/>
      <c r="G200" s="114"/>
      <c r="H200" s="114"/>
      <c r="I200" s="114"/>
      <c r="J200" s="114"/>
      <c r="K200" s="114"/>
      <c r="L200" s="114"/>
      <c r="M200" s="115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s="106" customFormat="1" x14ac:dyDescent="0.25">
      <c r="A201" s="149"/>
      <c r="B201" s="122"/>
      <c r="C201" s="122"/>
      <c r="D201" s="112"/>
      <c r="E201" s="112"/>
      <c r="F201" s="112"/>
      <c r="G201" s="112"/>
      <c r="H201" s="112"/>
      <c r="I201" s="112"/>
      <c r="J201" s="112"/>
      <c r="K201" s="112"/>
      <c r="L201" s="112"/>
      <c r="M201" s="11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s="106" customFormat="1" x14ac:dyDescent="0.25">
      <c r="A202" s="149"/>
      <c r="B202" s="123"/>
      <c r="C202" s="122"/>
      <c r="D202" s="114"/>
      <c r="E202" s="114"/>
      <c r="F202" s="114"/>
      <c r="G202" s="114"/>
      <c r="H202" s="114"/>
      <c r="I202" s="114"/>
      <c r="J202" s="114"/>
      <c r="K202" s="114"/>
      <c r="L202" s="114"/>
      <c r="M202" s="115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s="106" customFormat="1" x14ac:dyDescent="0.25">
      <c r="A203" s="149"/>
      <c r="B203" s="122"/>
      <c r="C203" s="122"/>
      <c r="D203" s="112"/>
      <c r="E203" s="112"/>
      <c r="F203" s="112"/>
      <c r="G203" s="112"/>
      <c r="H203" s="112"/>
      <c r="I203" s="112"/>
      <c r="J203" s="112"/>
      <c r="K203" s="112"/>
      <c r="L203" s="112"/>
      <c r="M203" s="11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s="106" customFormat="1" x14ac:dyDescent="0.25">
      <c r="A204" s="149"/>
      <c r="B204" s="123"/>
      <c r="C204" s="122"/>
      <c r="D204" s="114"/>
      <c r="E204" s="114"/>
      <c r="F204" s="114"/>
      <c r="G204" s="114"/>
      <c r="H204" s="114"/>
      <c r="I204" s="114"/>
      <c r="J204" s="114"/>
      <c r="K204" s="114"/>
      <c r="L204" s="114"/>
      <c r="M204" s="115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s="106" customFormat="1" x14ac:dyDescent="0.25">
      <c r="A205" s="149"/>
      <c r="B205" s="122"/>
      <c r="C205" s="122"/>
      <c r="D205" s="112"/>
      <c r="E205" s="112"/>
      <c r="F205" s="112"/>
      <c r="G205" s="112"/>
      <c r="H205" s="112"/>
      <c r="I205" s="112"/>
      <c r="J205" s="112"/>
      <c r="K205" s="112"/>
      <c r="L205" s="112"/>
      <c r="M205" s="11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s="106" customFormat="1" x14ac:dyDescent="0.25">
      <c r="A206" s="149"/>
      <c r="B206" s="123"/>
      <c r="C206" s="122"/>
      <c r="D206" s="114"/>
      <c r="E206" s="114"/>
      <c r="F206" s="114"/>
      <c r="G206" s="114"/>
      <c r="H206" s="114"/>
      <c r="I206" s="114"/>
      <c r="J206" s="114"/>
      <c r="K206" s="114"/>
      <c r="L206" s="114"/>
      <c r="M206" s="115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s="106" customFormat="1" x14ac:dyDescent="0.25">
      <c r="A207" s="149"/>
      <c r="B207" s="122"/>
      <c r="C207" s="122"/>
      <c r="D207" s="112"/>
      <c r="E207" s="112"/>
      <c r="F207" s="112"/>
      <c r="G207" s="112"/>
      <c r="H207" s="112"/>
      <c r="I207" s="112"/>
      <c r="J207" s="112"/>
      <c r="K207" s="112"/>
      <c r="L207" s="112"/>
      <c r="M207" s="11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s="106" customFormat="1" x14ac:dyDescent="0.25">
      <c r="A208" s="149"/>
      <c r="B208" s="123"/>
      <c r="C208" s="122"/>
      <c r="D208" s="114"/>
      <c r="E208" s="114"/>
      <c r="F208" s="114"/>
      <c r="G208" s="114"/>
      <c r="H208" s="114"/>
      <c r="I208" s="114"/>
      <c r="J208" s="114"/>
      <c r="K208" s="114"/>
      <c r="L208" s="114"/>
      <c r="M208" s="115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s="106" customFormat="1" x14ac:dyDescent="0.25">
      <c r="A209" s="149"/>
      <c r="B209" s="122"/>
      <c r="C209" s="122"/>
      <c r="D209" s="112"/>
      <c r="E209" s="112"/>
      <c r="F209" s="112"/>
      <c r="G209" s="112"/>
      <c r="H209" s="112"/>
      <c r="I209" s="112"/>
      <c r="J209" s="112"/>
      <c r="K209" s="112"/>
      <c r="L209" s="112"/>
      <c r="M209" s="11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s="106" customFormat="1" x14ac:dyDescent="0.25">
      <c r="A210" s="149"/>
      <c r="B210" s="123"/>
      <c r="C210" s="122"/>
      <c r="D210" s="114"/>
      <c r="E210" s="114"/>
      <c r="F210" s="114"/>
      <c r="G210" s="114"/>
      <c r="H210" s="114"/>
      <c r="I210" s="114"/>
      <c r="J210" s="114"/>
      <c r="K210" s="114"/>
      <c r="L210" s="114"/>
      <c r="M210" s="115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s="106" customFormat="1" x14ac:dyDescent="0.25">
      <c r="A211" s="149"/>
      <c r="B211" s="122"/>
      <c r="C211" s="122"/>
      <c r="D211" s="112"/>
      <c r="E211" s="112"/>
      <c r="F211" s="112"/>
      <c r="G211" s="112"/>
      <c r="H211" s="112"/>
      <c r="I211" s="112"/>
      <c r="J211" s="112"/>
      <c r="K211" s="112"/>
      <c r="L211" s="112"/>
      <c r="M211" s="11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s="106" customFormat="1" x14ac:dyDescent="0.25">
      <c r="A212" s="149"/>
      <c r="B212" s="123"/>
      <c r="C212" s="122"/>
      <c r="D212" s="114"/>
      <c r="E212" s="114"/>
      <c r="F212" s="114"/>
      <c r="G212" s="114"/>
      <c r="H212" s="114"/>
      <c r="I212" s="114"/>
      <c r="J212" s="114"/>
      <c r="K212" s="114"/>
      <c r="L212" s="114"/>
      <c r="M212" s="115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s="106" customFormat="1" x14ac:dyDescent="0.25">
      <c r="A213" s="149"/>
      <c r="B213" s="122"/>
      <c r="C213" s="122"/>
      <c r="D213" s="112"/>
      <c r="E213" s="112"/>
      <c r="F213" s="112"/>
      <c r="G213" s="112"/>
      <c r="H213" s="112"/>
      <c r="I213" s="112"/>
      <c r="J213" s="112"/>
      <c r="K213" s="112"/>
      <c r="L213" s="112"/>
      <c r="M213" s="11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s="106" customFormat="1" x14ac:dyDescent="0.25">
      <c r="A214" s="149"/>
      <c r="B214" s="123"/>
      <c r="C214" s="122"/>
      <c r="D214" s="114"/>
      <c r="E214" s="114"/>
      <c r="F214" s="114"/>
      <c r="G214" s="114"/>
      <c r="H214" s="114"/>
      <c r="I214" s="114"/>
      <c r="J214" s="114"/>
      <c r="K214" s="114"/>
      <c r="L214" s="114"/>
      <c r="M214" s="115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s="106" customFormat="1" x14ac:dyDescent="0.25">
      <c r="A215" s="149"/>
      <c r="B215" s="122"/>
      <c r="C215" s="122"/>
      <c r="D215" s="112"/>
      <c r="E215" s="112"/>
      <c r="F215" s="112"/>
      <c r="G215" s="112"/>
      <c r="H215" s="112"/>
      <c r="I215" s="112"/>
      <c r="J215" s="112"/>
      <c r="K215" s="112"/>
      <c r="L215" s="112"/>
      <c r="M215" s="11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s="106" customFormat="1" x14ac:dyDescent="0.25">
      <c r="A216" s="149"/>
      <c r="B216" s="123"/>
      <c r="C216" s="122"/>
      <c r="D216" s="114"/>
      <c r="E216" s="114"/>
      <c r="F216" s="114"/>
      <c r="G216" s="114"/>
      <c r="H216" s="114"/>
      <c r="I216" s="114"/>
      <c r="J216" s="114"/>
      <c r="K216" s="114"/>
      <c r="L216" s="114"/>
      <c r="M216" s="115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s="106" customFormat="1" x14ac:dyDescent="0.25">
      <c r="A217" s="149"/>
      <c r="B217" s="122"/>
      <c r="C217" s="122"/>
      <c r="D217" s="112"/>
      <c r="E217" s="112"/>
      <c r="F217" s="112"/>
      <c r="G217" s="112"/>
      <c r="H217" s="112"/>
      <c r="I217" s="112"/>
      <c r="J217" s="112"/>
      <c r="K217" s="112"/>
      <c r="L217" s="112"/>
      <c r="M217" s="11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s="106" customFormat="1" x14ac:dyDescent="0.25">
      <c r="A218" s="149"/>
      <c r="B218" s="123"/>
      <c r="C218" s="122"/>
      <c r="D218" s="114"/>
      <c r="E218" s="114"/>
      <c r="F218" s="114"/>
      <c r="G218" s="114"/>
      <c r="H218" s="114"/>
      <c r="I218" s="114"/>
      <c r="J218" s="114"/>
      <c r="K218" s="114"/>
      <c r="L218" s="114"/>
      <c r="M218" s="115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s="106" customFormat="1" x14ac:dyDescent="0.25">
      <c r="A219" s="149"/>
      <c r="B219" s="122"/>
      <c r="C219" s="122"/>
      <c r="D219" s="112"/>
      <c r="E219" s="112"/>
      <c r="F219" s="112"/>
      <c r="G219" s="112"/>
      <c r="H219" s="112"/>
      <c r="I219" s="112"/>
      <c r="J219" s="112"/>
      <c r="K219" s="112"/>
      <c r="L219" s="112"/>
      <c r="M219" s="11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s="106" customFormat="1" x14ac:dyDescent="0.25">
      <c r="A220" s="149"/>
      <c r="B220" s="123"/>
      <c r="C220" s="122"/>
      <c r="D220" s="114"/>
      <c r="E220" s="114"/>
      <c r="F220" s="114"/>
      <c r="G220" s="114"/>
      <c r="H220" s="114"/>
      <c r="I220" s="114"/>
      <c r="J220" s="114"/>
      <c r="K220" s="114"/>
      <c r="L220" s="114"/>
      <c r="M220" s="115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s="106" customFormat="1" x14ac:dyDescent="0.25">
      <c r="A221" s="149"/>
      <c r="B221" s="122"/>
      <c r="C221" s="122"/>
      <c r="D221" s="112"/>
      <c r="E221" s="112"/>
      <c r="F221" s="112"/>
      <c r="G221" s="112"/>
      <c r="H221" s="112"/>
      <c r="I221" s="112"/>
      <c r="J221" s="112"/>
      <c r="K221" s="112"/>
      <c r="L221" s="112"/>
      <c r="M221" s="11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s="106" customFormat="1" x14ac:dyDescent="0.25">
      <c r="A222" s="149"/>
      <c r="B222" s="123"/>
      <c r="C222" s="122"/>
      <c r="D222" s="114"/>
      <c r="E222" s="114"/>
      <c r="F222" s="114"/>
      <c r="G222" s="114"/>
      <c r="H222" s="114"/>
      <c r="I222" s="114"/>
      <c r="J222" s="114"/>
      <c r="K222" s="114"/>
      <c r="L222" s="114"/>
      <c r="M222" s="115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s="106" customFormat="1" x14ac:dyDescent="0.25">
      <c r="A223" s="149"/>
      <c r="B223" s="122"/>
      <c r="C223" s="122"/>
      <c r="D223" s="112"/>
      <c r="E223" s="112"/>
      <c r="F223" s="112"/>
      <c r="G223" s="112"/>
      <c r="H223" s="112"/>
      <c r="I223" s="112"/>
      <c r="J223" s="112"/>
      <c r="K223" s="112"/>
      <c r="L223" s="112"/>
      <c r="M223" s="11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s="106" customFormat="1" x14ac:dyDescent="0.25">
      <c r="A224" s="149"/>
      <c r="B224" s="123"/>
      <c r="C224" s="122"/>
      <c r="D224" s="114"/>
      <c r="E224" s="114"/>
      <c r="F224" s="114"/>
      <c r="G224" s="114"/>
      <c r="H224" s="114"/>
      <c r="I224" s="114"/>
      <c r="J224" s="114"/>
      <c r="K224" s="114"/>
      <c r="L224" s="114"/>
      <c r="M224" s="115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s="106" customFormat="1" x14ac:dyDescent="0.25">
      <c r="A225" s="149"/>
      <c r="B225" s="122"/>
      <c r="C225" s="122"/>
      <c r="D225" s="112"/>
      <c r="E225" s="112"/>
      <c r="F225" s="112"/>
      <c r="G225" s="112"/>
      <c r="H225" s="112"/>
      <c r="I225" s="112"/>
      <c r="J225" s="112"/>
      <c r="K225" s="112"/>
      <c r="L225" s="112"/>
      <c r="M225" s="11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s="106" customFormat="1" x14ac:dyDescent="0.25">
      <c r="A226" s="149"/>
      <c r="B226" s="123"/>
      <c r="C226" s="122"/>
      <c r="D226" s="114"/>
      <c r="E226" s="114"/>
      <c r="F226" s="114"/>
      <c r="G226" s="114"/>
      <c r="H226" s="114"/>
      <c r="I226" s="114"/>
      <c r="J226" s="114"/>
      <c r="K226" s="114"/>
      <c r="L226" s="114"/>
      <c r="M226" s="115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s="106" customFormat="1" x14ac:dyDescent="0.25">
      <c r="A227" s="149"/>
      <c r="B227" s="122"/>
      <c r="C227" s="122"/>
      <c r="D227" s="112"/>
      <c r="E227" s="112"/>
      <c r="F227" s="112"/>
      <c r="G227" s="112"/>
      <c r="H227" s="112"/>
      <c r="I227" s="112"/>
      <c r="J227" s="112"/>
      <c r="K227" s="112"/>
      <c r="L227" s="112"/>
      <c r="M227" s="11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s="106" customFormat="1" x14ac:dyDescent="0.25">
      <c r="A228" s="149"/>
      <c r="B228" s="123"/>
      <c r="C228" s="122"/>
      <c r="D228" s="114"/>
      <c r="E228" s="114"/>
      <c r="F228" s="114"/>
      <c r="G228" s="114"/>
      <c r="H228" s="114"/>
      <c r="I228" s="114"/>
      <c r="J228" s="114"/>
      <c r="K228" s="114"/>
      <c r="L228" s="114"/>
      <c r="M228" s="115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s="106" customFormat="1" x14ac:dyDescent="0.25">
      <c r="A229" s="149"/>
      <c r="B229" s="122"/>
      <c r="C229" s="122"/>
      <c r="D229" s="112"/>
      <c r="E229" s="112"/>
      <c r="F229" s="112"/>
      <c r="G229" s="112"/>
      <c r="H229" s="112"/>
      <c r="I229" s="112"/>
      <c r="J229" s="112"/>
      <c r="K229" s="112"/>
      <c r="L229" s="112"/>
      <c r="M229" s="11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s="106" customFormat="1" x14ac:dyDescent="0.25">
      <c r="A230" s="149"/>
      <c r="B230" s="123"/>
      <c r="C230" s="122"/>
      <c r="D230" s="114"/>
      <c r="E230" s="114"/>
      <c r="F230" s="114"/>
      <c r="G230" s="114"/>
      <c r="H230" s="114"/>
      <c r="I230" s="114"/>
      <c r="J230" s="114"/>
      <c r="K230" s="114"/>
      <c r="L230" s="114"/>
      <c r="M230" s="115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s="106" customFormat="1" x14ac:dyDescent="0.25">
      <c r="A231" s="149"/>
      <c r="B231" s="122"/>
      <c r="C231" s="122"/>
      <c r="D231" s="112"/>
      <c r="E231" s="112"/>
      <c r="F231" s="112"/>
      <c r="G231" s="112"/>
      <c r="H231" s="112"/>
      <c r="I231" s="112"/>
      <c r="J231" s="112"/>
      <c r="K231" s="112"/>
      <c r="L231" s="112"/>
      <c r="M231" s="11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s="106" customFormat="1" x14ac:dyDescent="0.25">
      <c r="A232" s="149"/>
      <c r="B232" s="123"/>
      <c r="C232" s="122"/>
      <c r="D232" s="114"/>
      <c r="E232" s="114"/>
      <c r="F232" s="114"/>
      <c r="G232" s="114"/>
      <c r="H232" s="114"/>
      <c r="I232" s="114"/>
      <c r="J232" s="114"/>
      <c r="K232" s="114"/>
      <c r="L232" s="114"/>
      <c r="M232" s="115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s="106" customFormat="1" x14ac:dyDescent="0.25">
      <c r="A233" s="149"/>
      <c r="B233" s="122"/>
      <c r="C233" s="122"/>
      <c r="D233" s="112"/>
      <c r="E233" s="112"/>
      <c r="F233" s="112"/>
      <c r="G233" s="112"/>
      <c r="H233" s="112"/>
      <c r="I233" s="112"/>
      <c r="J233" s="112"/>
      <c r="K233" s="112"/>
      <c r="L233" s="112"/>
      <c r="M233" s="11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s="106" customFormat="1" x14ac:dyDescent="0.25">
      <c r="A234" s="149"/>
      <c r="B234" s="123"/>
      <c r="C234" s="122"/>
      <c r="D234" s="114"/>
      <c r="E234" s="114"/>
      <c r="F234" s="114"/>
      <c r="G234" s="114"/>
      <c r="H234" s="114"/>
      <c r="I234" s="114"/>
      <c r="J234" s="114"/>
      <c r="K234" s="114"/>
      <c r="L234" s="114"/>
      <c r="M234" s="115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s="106" customFormat="1" x14ac:dyDescent="0.25">
      <c r="A235" s="149"/>
      <c r="B235" s="122"/>
      <c r="C235" s="122"/>
      <c r="D235" s="112"/>
      <c r="E235" s="112"/>
      <c r="F235" s="112"/>
      <c r="G235" s="112"/>
      <c r="H235" s="112"/>
      <c r="I235" s="112"/>
      <c r="J235" s="112"/>
      <c r="K235" s="112"/>
      <c r="L235" s="112"/>
      <c r="M235" s="11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s="106" customFormat="1" x14ac:dyDescent="0.25">
      <c r="A236" s="149"/>
      <c r="B236" s="123"/>
      <c r="C236" s="122"/>
      <c r="D236" s="114"/>
      <c r="E236" s="114"/>
      <c r="F236" s="114"/>
      <c r="G236" s="114"/>
      <c r="H236" s="114"/>
      <c r="I236" s="114"/>
      <c r="J236" s="114"/>
      <c r="K236" s="114"/>
      <c r="L236" s="114"/>
      <c r="M236" s="115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s="106" customFormat="1" x14ac:dyDescent="0.25">
      <c r="A237" s="149"/>
      <c r="B237" s="122"/>
      <c r="C237" s="122"/>
      <c r="D237" s="112"/>
      <c r="E237" s="112"/>
      <c r="F237" s="112"/>
      <c r="G237" s="112"/>
      <c r="H237" s="112"/>
      <c r="I237" s="112"/>
      <c r="J237" s="112"/>
      <c r="K237" s="112"/>
      <c r="L237" s="112"/>
      <c r="M237" s="11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s="106" customFormat="1" x14ac:dyDescent="0.25">
      <c r="A238" s="149"/>
      <c r="B238" s="124"/>
      <c r="C238" s="122"/>
      <c r="D238" s="116"/>
      <c r="E238" s="116"/>
      <c r="F238" s="116"/>
      <c r="G238" s="116"/>
      <c r="H238" s="116"/>
      <c r="I238" s="116"/>
      <c r="J238" s="116"/>
      <c r="K238" s="116"/>
      <c r="L238" s="116"/>
      <c r="M238" s="116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s="106" customFormat="1" x14ac:dyDescent="0.25">
      <c r="A239" s="149"/>
      <c r="B239" s="125"/>
      <c r="C239" s="122"/>
      <c r="D239" s="117"/>
      <c r="E239" s="117"/>
      <c r="F239" s="117"/>
      <c r="G239" s="117"/>
      <c r="H239" s="117"/>
      <c r="I239" s="117"/>
      <c r="J239" s="117"/>
      <c r="K239" s="117"/>
      <c r="L239" s="117"/>
      <c r="M239" s="117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25">
      <c r="B240" s="126"/>
      <c r="C240" s="122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</row>
    <row r="241" spans="3:3" x14ac:dyDescent="0.25">
      <c r="C241" s="122"/>
    </row>
    <row r="242" spans="3:3" x14ac:dyDescent="0.25">
      <c r="C242" s="122"/>
    </row>
    <row r="243" spans="3:3" x14ac:dyDescent="0.25">
      <c r="C243" s="122"/>
    </row>
    <row r="244" spans="3:3" x14ac:dyDescent="0.25">
      <c r="C244" s="122"/>
    </row>
    <row r="245" spans="3:3" x14ac:dyDescent="0.25">
      <c r="C245" s="122"/>
    </row>
    <row r="246" spans="3:3" x14ac:dyDescent="0.25">
      <c r="C246" s="122"/>
    </row>
    <row r="247" spans="3:3" x14ac:dyDescent="0.25">
      <c r="C247" s="122"/>
    </row>
    <row r="248" spans="3:3" x14ac:dyDescent="0.25">
      <c r="C248" s="122"/>
    </row>
  </sheetData>
  <sheetProtection algorithmName="SHA-512" hashValue="SXMuuKcinZiFRtBDlC3WHdl3tFhvv/5l+je0xdry+FpE3QK8xaEEgl1KGbfef155XhKnVyX0l8Zage7nBXvqjA==" saltValue="iMfJl502X16sIgwlPszwTg==" spinCount="100000" sheet="1" objects="1" scenarios="1" selectLockedCells="1"/>
  <sortState ref="C4:C38">
    <sortCondition ref="C38"/>
  </sortState>
  <mergeCells count="1">
    <mergeCell ref="D2:M2"/>
  </mergeCells>
  <dataValidations count="1">
    <dataValidation type="list" allowBlank="1" showInputMessage="1" showErrorMessage="1" errorTitle="Team Does Not Exist" error="This team does not exist. Please delete information or try again." promptTitle="Current Team" prompt="Enter player's current team during respective season." sqref="D4:M239" xr:uid="{00000000-0002-0000-0A00-000000000000}">
      <formula1>AllTimeTeams</formula1>
    </dataValidation>
  </dataValidations>
  <pageMargins left="0.7" right="0.7" top="0.75" bottom="0.75" header="0.3" footer="0.3"/>
  <pageSetup orientation="portrait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1000000}">
          <x14:formula1>
            <xm:f>Lists!$D$5:$D$10</xm:f>
          </x14:formula1>
          <xm:sqref>D240:M240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rgb="FFFFFF00"/>
  </sheetPr>
  <dimension ref="A1:V80"/>
  <sheetViews>
    <sheetView topLeftCell="B1" workbookViewId="0">
      <selection activeCell="B1" sqref="B1"/>
    </sheetView>
  </sheetViews>
  <sheetFormatPr defaultColWidth="8.85546875" defaultRowHeight="15" x14ac:dyDescent="0.25"/>
  <cols>
    <col min="1" max="2" width="2.85546875" customWidth="1"/>
    <col min="3" max="3" width="18.7109375" style="138" bestFit="1" customWidth="1"/>
    <col min="4" max="4" width="20.85546875" style="138" bestFit="1" customWidth="1"/>
    <col min="5" max="5" width="9.7109375" style="138" bestFit="1" customWidth="1"/>
    <col min="6" max="6" width="9.140625" style="138"/>
    <col min="7" max="7" width="9.28515625" style="138" bestFit="1" customWidth="1"/>
    <col min="8" max="8" width="14.42578125" style="138" bestFit="1" customWidth="1"/>
    <col min="9" max="9" width="1.42578125" customWidth="1"/>
    <col min="10" max="10" width="52" bestFit="1" customWidth="1"/>
    <col min="11" max="11" width="1.42578125" customWidth="1"/>
    <col min="12" max="12" width="19.42578125" style="142" bestFit="1" customWidth="1"/>
    <col min="14" max="14" width="18.7109375" bestFit="1" customWidth="1"/>
    <col min="17" max="17" width="13.85546875" bestFit="1" customWidth="1"/>
  </cols>
  <sheetData>
    <row r="1" spans="1:22" ht="15" customHeight="1" x14ac:dyDescent="0.25">
      <c r="A1" s="1"/>
      <c r="B1" s="1"/>
      <c r="C1" s="142"/>
      <c r="D1" s="143" t="s">
        <v>111</v>
      </c>
      <c r="E1" s="139">
        <v>2</v>
      </c>
      <c r="F1" s="144"/>
      <c r="G1" s="144"/>
      <c r="H1" s="144"/>
      <c r="J1" s="147" t="s">
        <v>115</v>
      </c>
      <c r="N1" s="459" t="s">
        <v>145</v>
      </c>
      <c r="O1" s="459"/>
      <c r="Q1" s="459" t="s">
        <v>146</v>
      </c>
      <c r="R1" s="223"/>
      <c r="S1" s="459" t="s">
        <v>149</v>
      </c>
      <c r="T1" s="459"/>
    </row>
    <row r="2" spans="1:22" ht="15" customHeight="1" x14ac:dyDescent="0.25">
      <c r="A2" s="1"/>
      <c r="B2" s="1"/>
      <c r="C2" s="140"/>
      <c r="E2" s="142"/>
      <c r="F2" s="144"/>
      <c r="G2" s="144"/>
      <c r="H2" s="144"/>
      <c r="J2" s="148"/>
      <c r="N2" s="459"/>
      <c r="O2" s="459"/>
      <c r="Q2" s="459"/>
      <c r="R2" s="223"/>
      <c r="S2" s="459"/>
      <c r="T2" s="459"/>
    </row>
    <row r="3" spans="1:22" x14ac:dyDescent="0.25">
      <c r="A3" s="1"/>
      <c r="B3" s="1"/>
      <c r="C3" s="140"/>
      <c r="D3" s="140"/>
      <c r="E3" s="144"/>
      <c r="F3" s="144"/>
      <c r="G3" s="144"/>
      <c r="H3" s="144"/>
      <c r="J3" s="148"/>
      <c r="L3" s="142" t="s">
        <v>113</v>
      </c>
      <c r="N3" s="462"/>
      <c r="O3" s="462"/>
      <c r="Q3" s="462"/>
      <c r="R3" s="224"/>
      <c r="S3" t="s">
        <v>148</v>
      </c>
    </row>
    <row r="4" spans="1:22" ht="15" customHeight="1" x14ac:dyDescent="0.25">
      <c r="A4" s="1"/>
      <c r="B4" s="1"/>
      <c r="C4" s="146" t="s">
        <v>106</v>
      </c>
      <c r="D4" s="146" t="s">
        <v>37</v>
      </c>
      <c r="E4" s="146" t="s">
        <v>44</v>
      </c>
      <c r="F4" s="146" t="s">
        <v>55</v>
      </c>
      <c r="G4" s="146" t="s">
        <v>62</v>
      </c>
      <c r="H4" s="146" t="s">
        <v>117</v>
      </c>
      <c r="J4" s="460" t="s">
        <v>116</v>
      </c>
      <c r="L4" s="163" t="s">
        <v>112</v>
      </c>
      <c r="N4" s="176" t="s">
        <v>122</v>
      </c>
      <c r="O4" s="176" t="s">
        <v>123</v>
      </c>
      <c r="Q4" s="176" t="s">
        <v>144</v>
      </c>
      <c r="R4" s="228" t="s">
        <v>150</v>
      </c>
      <c r="S4" s="229" t="s">
        <v>45</v>
      </c>
      <c r="T4" s="154" t="s">
        <v>46</v>
      </c>
      <c r="U4" s="154"/>
      <c r="V4" s="225"/>
    </row>
    <row r="5" spans="1:22" x14ac:dyDescent="0.25">
      <c r="C5" s="270" t="s">
        <v>17</v>
      </c>
      <c r="D5" s="270" t="s">
        <v>222</v>
      </c>
      <c r="E5" s="145" t="str">
        <f>IF($E$1="","","Season "&amp;$E$1)</f>
        <v>Season 2</v>
      </c>
      <c r="F5" s="270" t="s">
        <v>56</v>
      </c>
      <c r="G5" s="272">
        <v>1830.7708333333333</v>
      </c>
      <c r="H5" s="270" t="s">
        <v>67</v>
      </c>
      <c r="J5" s="460"/>
      <c r="L5" s="145" t="s">
        <v>41</v>
      </c>
      <c r="N5" s="145" t="s">
        <v>17</v>
      </c>
      <c r="O5" s="177">
        <f>IFERROR(INDEX(Rosters!$A$4:$A$239,MATCH(Lists!$N5,Rosters!$C$4:$C$239,0),1),"")</f>
        <v>3</v>
      </c>
      <c r="P5">
        <v>2</v>
      </c>
      <c r="Q5" s="177" t="s">
        <v>45</v>
      </c>
      <c r="R5" s="227" t="s">
        <v>150</v>
      </c>
      <c r="S5" t="s">
        <v>100</v>
      </c>
      <c r="T5" t="s">
        <v>17</v>
      </c>
    </row>
    <row r="6" spans="1:22" x14ac:dyDescent="0.25">
      <c r="C6" s="270" t="s">
        <v>20</v>
      </c>
      <c r="D6" s="270" t="s">
        <v>38</v>
      </c>
      <c r="E6" s="141"/>
      <c r="F6" s="270" t="s">
        <v>57</v>
      </c>
      <c r="G6" s="272">
        <v>1830.8125</v>
      </c>
      <c r="H6" s="270" t="s">
        <v>64</v>
      </c>
      <c r="J6" s="460"/>
      <c r="L6" s="145" t="s">
        <v>38</v>
      </c>
      <c r="N6" s="145" t="s">
        <v>20</v>
      </c>
      <c r="O6" s="177">
        <f>IFERROR(INDEX(Rosters!$A$4:$A$239,MATCH(Lists!$N6,Rosters!$C$4:$C$239,0),1),"")</f>
        <v>3</v>
      </c>
      <c r="P6">
        <f>IF($Q6="","",$P5+1)</f>
        <v>3</v>
      </c>
      <c r="Q6" s="177" t="s">
        <v>46</v>
      </c>
      <c r="S6" t="s">
        <v>24</v>
      </c>
      <c r="T6" t="s">
        <v>20</v>
      </c>
    </row>
    <row r="7" spans="1:22" ht="15" customHeight="1" x14ac:dyDescent="0.25">
      <c r="C7" s="270" t="s">
        <v>14</v>
      </c>
      <c r="D7" s="271" t="s">
        <v>40</v>
      </c>
      <c r="E7" s="141"/>
      <c r="F7" s="270" t="s">
        <v>58</v>
      </c>
      <c r="G7" s="272">
        <v>1830.8541666666699</v>
      </c>
      <c r="H7" s="270" t="s">
        <v>66</v>
      </c>
      <c r="J7" s="460"/>
      <c r="L7" s="145" t="s">
        <v>40</v>
      </c>
      <c r="N7" s="145" t="s">
        <v>14</v>
      </c>
      <c r="O7" s="177">
        <f>IFERROR(INDEX(Rosters!$A$4:$A$239,MATCH(Lists!$N7,Rosters!$C$4:$C$239,0),1),"")</f>
        <v>3</v>
      </c>
      <c r="P7">
        <f t="shared" ref="P7:P70" si="0">IF($Q7="","",$P6+1)</f>
        <v>4</v>
      </c>
      <c r="Q7" s="177" t="s">
        <v>47</v>
      </c>
      <c r="S7" t="s">
        <v>99</v>
      </c>
      <c r="T7" t="s">
        <v>14</v>
      </c>
    </row>
    <row r="8" spans="1:22" ht="15" customHeight="1" x14ac:dyDescent="0.25">
      <c r="C8" s="270" t="s">
        <v>24</v>
      </c>
      <c r="D8" s="270" t="s">
        <v>39</v>
      </c>
      <c r="E8" s="141"/>
      <c r="F8" s="270" t="s">
        <v>59</v>
      </c>
      <c r="G8" s="272">
        <v>1830.8958333333333</v>
      </c>
      <c r="H8" s="270" t="s">
        <v>63</v>
      </c>
      <c r="J8" s="460" t="s">
        <v>114</v>
      </c>
      <c r="L8" s="145" t="s">
        <v>119</v>
      </c>
      <c r="N8" s="145" t="s">
        <v>24</v>
      </c>
      <c r="O8" s="177">
        <f>IFERROR(INDEX(Rosters!$A$4:$A$239,MATCH(Lists!$N8,Rosters!$C$4:$C$239,0),1),"")</f>
        <v>3</v>
      </c>
      <c r="P8">
        <f t="shared" si="0"/>
        <v>5</v>
      </c>
      <c r="Q8" s="177" t="s">
        <v>48</v>
      </c>
      <c r="S8" t="s">
        <v>16</v>
      </c>
      <c r="T8" t="s">
        <v>24</v>
      </c>
    </row>
    <row r="9" spans="1:22" x14ac:dyDescent="0.25">
      <c r="C9" s="270" t="s">
        <v>26</v>
      </c>
      <c r="D9" s="270" t="s">
        <v>43</v>
      </c>
      <c r="E9" s="141"/>
      <c r="F9" s="270" t="s">
        <v>60</v>
      </c>
      <c r="G9" s="273"/>
      <c r="H9" s="270" t="s">
        <v>65</v>
      </c>
      <c r="J9" s="460"/>
      <c r="L9" s="145" t="s">
        <v>39</v>
      </c>
      <c r="N9" s="145" t="s">
        <v>26</v>
      </c>
      <c r="O9" s="177">
        <f>IFERROR(INDEX(Rosters!$A$4:$A$239,MATCH(Lists!$N9,Rosters!$C$4:$C$239,0),1),"")</f>
        <v>3</v>
      </c>
      <c r="P9">
        <f t="shared" si="0"/>
        <v>6</v>
      </c>
      <c r="Q9" s="177" t="s">
        <v>49</v>
      </c>
      <c r="S9" t="s">
        <v>27</v>
      </c>
      <c r="T9" t="s">
        <v>26</v>
      </c>
    </row>
    <row r="10" spans="1:22" x14ac:dyDescent="0.25">
      <c r="C10" s="270" t="s">
        <v>33</v>
      </c>
      <c r="D10" s="270" t="s">
        <v>42</v>
      </c>
      <c r="E10" s="141"/>
      <c r="F10" s="270" t="s">
        <v>61</v>
      </c>
      <c r="G10" s="273"/>
      <c r="H10" s="270"/>
      <c r="J10" s="460"/>
      <c r="L10" s="145" t="s">
        <v>43</v>
      </c>
      <c r="N10" s="145" t="s">
        <v>33</v>
      </c>
      <c r="O10" s="177">
        <f>IFERROR(INDEX(Rosters!$A$4:$A$239,MATCH(Lists!$N10,Rosters!$C$4:$C$239,0),1),"")</f>
        <v>3</v>
      </c>
      <c r="P10">
        <f t="shared" si="0"/>
        <v>7</v>
      </c>
      <c r="Q10" s="177" t="s">
        <v>50</v>
      </c>
      <c r="S10" t="s">
        <v>7</v>
      </c>
      <c r="T10" t="s">
        <v>33</v>
      </c>
    </row>
    <row r="11" spans="1:22" x14ac:dyDescent="0.25">
      <c r="C11" s="270" t="s">
        <v>21</v>
      </c>
      <c r="D11" s="270"/>
      <c r="E11" s="141"/>
      <c r="F11" s="270"/>
      <c r="G11" s="273"/>
      <c r="H11" s="270"/>
      <c r="J11" s="460"/>
      <c r="L11" s="145" t="s">
        <v>42</v>
      </c>
      <c r="N11" s="145" t="s">
        <v>21</v>
      </c>
      <c r="O11" s="177">
        <f>IFERROR(INDEX(Rosters!$A$4:$A$239,MATCH(Lists!$N11,Rosters!$C$4:$C$239,0),1),"")</f>
        <v>3</v>
      </c>
      <c r="P11">
        <f t="shared" si="0"/>
        <v>8</v>
      </c>
      <c r="Q11" s="177" t="s">
        <v>51</v>
      </c>
      <c r="S11" t="s">
        <v>4</v>
      </c>
      <c r="T11" t="s">
        <v>21</v>
      </c>
    </row>
    <row r="12" spans="1:22" x14ac:dyDescent="0.25">
      <c r="C12" s="270" t="s">
        <v>16</v>
      </c>
      <c r="D12" s="270"/>
      <c r="E12" s="141"/>
      <c r="F12" s="270"/>
      <c r="G12" s="273"/>
      <c r="H12" s="270"/>
      <c r="J12" s="460" t="s">
        <v>118</v>
      </c>
      <c r="L12" s="145" t="s">
        <v>222</v>
      </c>
      <c r="N12" s="145" t="s">
        <v>16</v>
      </c>
      <c r="O12" s="177">
        <f>IFERROR(INDEX(Rosters!$A$4:$A$239,MATCH(Lists!$N12,Rosters!$C$4:$C$239,0),1),"")</f>
        <v>3</v>
      </c>
      <c r="P12">
        <f t="shared" si="0"/>
        <v>9</v>
      </c>
      <c r="Q12" s="177" t="s">
        <v>52</v>
      </c>
      <c r="S12" t="s">
        <v>9</v>
      </c>
      <c r="T12" t="s">
        <v>16</v>
      </c>
    </row>
    <row r="13" spans="1:22" x14ac:dyDescent="0.25">
      <c r="C13" s="270" t="s">
        <v>27</v>
      </c>
      <c r="D13" s="270"/>
      <c r="E13" s="141"/>
      <c r="F13" s="270"/>
      <c r="G13" s="273"/>
      <c r="H13" s="270"/>
      <c r="J13" s="460"/>
      <c r="L13" s="145"/>
      <c r="N13" s="145" t="s">
        <v>27</v>
      </c>
      <c r="O13" s="177">
        <f>IFERROR(INDEX(Rosters!$A$4:$A$239,MATCH(Lists!$N13,Rosters!$C$4:$C$239,0),1),"")</f>
        <v>3</v>
      </c>
      <c r="P13">
        <f t="shared" si="0"/>
        <v>10</v>
      </c>
      <c r="Q13" s="177" t="s">
        <v>53</v>
      </c>
      <c r="S13" t="s">
        <v>18</v>
      </c>
      <c r="T13" t="s">
        <v>27</v>
      </c>
    </row>
    <row r="14" spans="1:22" x14ac:dyDescent="0.25">
      <c r="C14" s="270" t="s">
        <v>7</v>
      </c>
      <c r="D14" s="270"/>
      <c r="E14" s="141"/>
      <c r="F14" s="270"/>
      <c r="G14" s="273"/>
      <c r="H14" s="270"/>
      <c r="J14" s="460"/>
      <c r="L14" s="145"/>
      <c r="N14" s="145" t="s">
        <v>7</v>
      </c>
      <c r="O14" s="177">
        <f>IFERROR(INDEX(Rosters!$A$4:$A$239,MATCH(Lists!$N14,Rosters!$C$4:$C$239,0),1),"")</f>
        <v>3</v>
      </c>
      <c r="P14">
        <f t="shared" si="0"/>
        <v>11</v>
      </c>
      <c r="Q14" s="177" t="s">
        <v>54</v>
      </c>
      <c r="S14" t="s">
        <v>30</v>
      </c>
      <c r="T14" t="s">
        <v>7</v>
      </c>
    </row>
    <row r="15" spans="1:22" x14ac:dyDescent="0.25">
      <c r="C15" s="270" t="s">
        <v>4</v>
      </c>
      <c r="D15" s="270"/>
      <c r="E15" s="141"/>
      <c r="F15" s="270"/>
      <c r="G15" s="273"/>
      <c r="H15" s="270"/>
      <c r="J15" s="460"/>
      <c r="L15" s="145"/>
      <c r="N15" s="145" t="s">
        <v>4</v>
      </c>
      <c r="O15" s="177">
        <f>IFERROR(INDEX(Rosters!$A$4:$A$239,MATCH(Lists!$N15,Rosters!$C$4:$C$239,0),1),"")</f>
        <v>3</v>
      </c>
      <c r="P15" t="str">
        <f t="shared" si="0"/>
        <v/>
      </c>
      <c r="Q15" s="177"/>
      <c r="S15" t="s">
        <v>31</v>
      </c>
      <c r="T15" t="s">
        <v>4</v>
      </c>
    </row>
    <row r="16" spans="1:22" x14ac:dyDescent="0.25">
      <c r="C16" s="270" t="s">
        <v>6</v>
      </c>
      <c r="D16" s="270"/>
      <c r="E16" s="141"/>
      <c r="F16" s="270"/>
      <c r="G16" s="273"/>
      <c r="H16" s="270"/>
      <c r="J16" s="460" t="s">
        <v>129</v>
      </c>
      <c r="L16" s="145"/>
      <c r="N16" s="145" t="s">
        <v>6</v>
      </c>
      <c r="O16" s="177">
        <f>IFERROR(INDEX(Rosters!$A$4:$A$239,MATCH(Lists!$N16,Rosters!$C$4:$C$239,0),1),"")</f>
        <v>3</v>
      </c>
      <c r="P16" t="str">
        <f t="shared" si="0"/>
        <v/>
      </c>
      <c r="Q16" s="177"/>
      <c r="S16" t="s">
        <v>19</v>
      </c>
      <c r="T16" t="s">
        <v>6</v>
      </c>
    </row>
    <row r="17" spans="3:20" x14ac:dyDescent="0.25">
      <c r="C17" s="270" t="s">
        <v>9</v>
      </c>
      <c r="D17" s="270"/>
      <c r="E17" s="141"/>
      <c r="F17" s="270"/>
      <c r="G17" s="273"/>
      <c r="H17" s="270"/>
      <c r="J17" s="463"/>
      <c r="L17" s="145"/>
      <c r="N17" s="145" t="s">
        <v>9</v>
      </c>
      <c r="O17" s="177">
        <f>IFERROR(INDEX(Rosters!$A$4:$A$239,MATCH(Lists!$N17,Rosters!$C$4:$C$239,0),1),"")</f>
        <v>3</v>
      </c>
      <c r="P17" t="str">
        <f t="shared" si="0"/>
        <v/>
      </c>
      <c r="Q17" s="177"/>
      <c r="S17" t="s">
        <v>32</v>
      </c>
      <c r="T17" t="s">
        <v>9</v>
      </c>
    </row>
    <row r="18" spans="3:20" x14ac:dyDescent="0.25">
      <c r="C18" s="270" t="s">
        <v>18</v>
      </c>
      <c r="D18" s="270"/>
      <c r="E18" s="141"/>
      <c r="F18" s="270"/>
      <c r="G18" s="273"/>
      <c r="H18" s="270"/>
      <c r="J18" s="463"/>
      <c r="L18" s="145"/>
      <c r="N18" s="145" t="s">
        <v>18</v>
      </c>
      <c r="O18" s="177">
        <f>IFERROR(INDEX(Rosters!$A$4:$A$239,MATCH(Lists!$N18,Rosters!$C$4:$C$239,0),1),"")</f>
        <v>3</v>
      </c>
      <c r="P18" t="str">
        <f t="shared" si="0"/>
        <v/>
      </c>
      <c r="Q18" s="177"/>
      <c r="S18" t="s">
        <v>2</v>
      </c>
      <c r="T18" t="s">
        <v>18</v>
      </c>
    </row>
    <row r="19" spans="3:20" ht="15" customHeight="1" x14ac:dyDescent="0.25">
      <c r="C19" s="270" t="s">
        <v>30</v>
      </c>
      <c r="D19" s="270"/>
      <c r="E19" s="141"/>
      <c r="F19" s="270"/>
      <c r="G19" s="273"/>
      <c r="H19" s="270"/>
      <c r="J19" s="463"/>
      <c r="L19" s="145"/>
      <c r="N19" s="145" t="s">
        <v>30</v>
      </c>
      <c r="O19" s="177">
        <f>IFERROR(INDEX(Rosters!$A$4:$A$239,MATCH(Lists!$N19,Rosters!$C$4:$C$239,0),1),"")</f>
        <v>3</v>
      </c>
      <c r="P19" t="str">
        <f t="shared" si="0"/>
        <v/>
      </c>
      <c r="Q19" s="177"/>
      <c r="S19" t="s">
        <v>1</v>
      </c>
      <c r="T19" t="s">
        <v>30</v>
      </c>
    </row>
    <row r="20" spans="3:20" x14ac:dyDescent="0.25">
      <c r="C20" s="270" t="s">
        <v>10</v>
      </c>
      <c r="D20" s="270"/>
      <c r="E20" s="141"/>
      <c r="F20" s="270"/>
      <c r="G20" s="273"/>
      <c r="H20" s="270"/>
      <c r="J20" s="460" t="s">
        <v>152</v>
      </c>
      <c r="L20" s="145"/>
      <c r="N20" s="145" t="s">
        <v>10</v>
      </c>
      <c r="O20" s="177">
        <f>IFERROR(INDEX(Rosters!$A$4:$A$239,MATCH(Lists!$N20,Rosters!$C$4:$C$239,0),1),"")</f>
        <v>3</v>
      </c>
      <c r="P20" t="str">
        <f t="shared" si="0"/>
        <v/>
      </c>
      <c r="Q20" s="177"/>
      <c r="S20" t="s">
        <v>35</v>
      </c>
      <c r="T20" t="s">
        <v>10</v>
      </c>
    </row>
    <row r="21" spans="3:20" x14ac:dyDescent="0.25">
      <c r="C21" s="270" t="s">
        <v>8</v>
      </c>
      <c r="D21" s="270"/>
      <c r="E21" s="141"/>
      <c r="F21" s="270"/>
      <c r="G21" s="270"/>
      <c r="H21" s="270"/>
      <c r="J21" s="460"/>
      <c r="L21" s="145"/>
      <c r="N21" s="145" t="s">
        <v>8</v>
      </c>
      <c r="O21" s="177">
        <f>IFERROR(INDEX(Rosters!$A$4:$A$239,MATCH(Lists!$N21,Rosters!$C$4:$C$239,0),1),"")</f>
        <v>3</v>
      </c>
      <c r="P21" t="str">
        <f t="shared" si="0"/>
        <v/>
      </c>
      <c r="Q21" s="177"/>
      <c r="S21" t="s">
        <v>101</v>
      </c>
      <c r="T21" t="s">
        <v>8</v>
      </c>
    </row>
    <row r="22" spans="3:20" x14ac:dyDescent="0.25">
      <c r="C22" s="270" t="s">
        <v>31</v>
      </c>
      <c r="D22" s="270"/>
      <c r="E22" s="141"/>
      <c r="F22" s="270"/>
      <c r="G22" s="270"/>
      <c r="H22" s="270"/>
      <c r="J22" s="460"/>
      <c r="L22" s="145"/>
      <c r="N22" s="145" t="s">
        <v>31</v>
      </c>
      <c r="O22" s="177">
        <f>IFERROR(INDEX(Rosters!$A$4:$A$239,MATCH(Lists!$N22,Rosters!$C$4:$C$239,0),1),"")</f>
        <v>3</v>
      </c>
      <c r="P22" t="str">
        <f t="shared" si="0"/>
        <v/>
      </c>
      <c r="Q22" s="177"/>
      <c r="S22" t="s">
        <v>102</v>
      </c>
      <c r="T22" t="s">
        <v>31</v>
      </c>
    </row>
    <row r="23" spans="3:20" ht="15" customHeight="1" x14ac:dyDescent="0.25">
      <c r="C23" s="270" t="s">
        <v>19</v>
      </c>
      <c r="D23" s="270"/>
      <c r="E23" s="141"/>
      <c r="F23" s="270"/>
      <c r="G23" s="270"/>
      <c r="H23" s="270"/>
      <c r="J23" s="460"/>
      <c r="L23" s="145"/>
      <c r="N23" s="145" t="s">
        <v>19</v>
      </c>
      <c r="O23" s="177">
        <f>IFERROR(INDEX(Rosters!$A$4:$A$239,MATCH(Lists!$N23,Rosters!$C$4:$C$239,0),1),"")</f>
        <v>3</v>
      </c>
      <c r="P23" t="str">
        <f t="shared" si="0"/>
        <v/>
      </c>
      <c r="Q23" s="177"/>
      <c r="S23" t="s">
        <v>25</v>
      </c>
      <c r="T23" t="s">
        <v>19</v>
      </c>
    </row>
    <row r="24" spans="3:20" ht="15" customHeight="1" x14ac:dyDescent="0.25">
      <c r="C24" s="270" t="s">
        <v>32</v>
      </c>
      <c r="D24" s="270"/>
      <c r="E24" s="141"/>
      <c r="F24" s="270"/>
      <c r="G24" s="270"/>
      <c r="H24" s="270"/>
      <c r="J24" s="460" t="s">
        <v>151</v>
      </c>
      <c r="L24" s="145"/>
      <c r="N24" s="145" t="s">
        <v>32</v>
      </c>
      <c r="O24" s="177">
        <f>IFERROR(INDEX(Rosters!$A$4:$A$239,MATCH(Lists!$N24,Rosters!$C$4:$C$239,0),1),"")</f>
        <v>3</v>
      </c>
      <c r="P24" t="str">
        <f t="shared" si="0"/>
        <v/>
      </c>
      <c r="Q24" s="177"/>
      <c r="S24" t="s">
        <v>28</v>
      </c>
      <c r="T24" t="s">
        <v>32</v>
      </c>
    </row>
    <row r="25" spans="3:20" x14ac:dyDescent="0.25">
      <c r="C25" s="270" t="s">
        <v>2</v>
      </c>
      <c r="D25" s="270"/>
      <c r="E25" s="141"/>
      <c r="F25" s="270"/>
      <c r="G25" s="270"/>
      <c r="H25" s="270"/>
      <c r="J25" s="460"/>
      <c r="L25" s="145"/>
      <c r="N25" s="145" t="s">
        <v>2</v>
      </c>
      <c r="O25" s="177">
        <f>IFERROR(INDEX(Rosters!$A$4:$A$239,MATCH(Lists!$N25,Rosters!$C$4:$C$239,0),1),"")</f>
        <v>3</v>
      </c>
      <c r="P25" t="str">
        <f t="shared" si="0"/>
        <v/>
      </c>
      <c r="Q25" s="177"/>
      <c r="S25" t="s">
        <v>15</v>
      </c>
      <c r="T25" t="s">
        <v>2</v>
      </c>
    </row>
    <row r="26" spans="3:20" x14ac:dyDescent="0.25">
      <c r="C26" s="270" t="s">
        <v>1</v>
      </c>
      <c r="D26" s="270"/>
      <c r="E26" s="141"/>
      <c r="F26" s="270"/>
      <c r="G26" s="270"/>
      <c r="H26" s="270"/>
      <c r="J26" s="460"/>
      <c r="L26" s="145"/>
      <c r="N26" s="145" t="s">
        <v>1</v>
      </c>
      <c r="O26" s="177">
        <f>IFERROR(INDEX(Rosters!$A$4:$A$239,MATCH(Lists!$N26,Rosters!$C$4:$C$239,0),1),"")</f>
        <v>3</v>
      </c>
      <c r="P26" t="str">
        <f t="shared" si="0"/>
        <v/>
      </c>
      <c r="Q26" s="177"/>
      <c r="S26" t="s">
        <v>13</v>
      </c>
      <c r="T26" t="s">
        <v>1</v>
      </c>
    </row>
    <row r="27" spans="3:20" ht="15.75" thickBot="1" x14ac:dyDescent="0.3">
      <c r="C27" s="270" t="s">
        <v>35</v>
      </c>
      <c r="D27" s="270"/>
      <c r="E27" s="141"/>
      <c r="F27" s="270"/>
      <c r="G27" s="270"/>
      <c r="H27" s="270"/>
      <c r="J27" s="461"/>
      <c r="L27" s="145"/>
      <c r="N27" s="145" t="s">
        <v>35</v>
      </c>
      <c r="O27" s="177">
        <f>IFERROR(INDEX(Rosters!$A$4:$A$239,MATCH(Lists!$N27,Rosters!$C$4:$C$239,0),1),"")</f>
        <v>3</v>
      </c>
      <c r="P27" t="str">
        <f t="shared" si="0"/>
        <v/>
      </c>
      <c r="Q27" s="177"/>
      <c r="S27" t="s">
        <v>36</v>
      </c>
      <c r="T27" t="s">
        <v>35</v>
      </c>
    </row>
    <row r="28" spans="3:20" x14ac:dyDescent="0.25">
      <c r="C28" s="270" t="s">
        <v>23</v>
      </c>
      <c r="D28" s="270"/>
      <c r="E28" s="141"/>
      <c r="F28" s="270"/>
      <c r="G28" s="270"/>
      <c r="H28" s="270"/>
      <c r="L28" s="145"/>
      <c r="N28" s="145" t="s">
        <v>23</v>
      </c>
      <c r="O28" s="177">
        <f>IFERROR(INDEX(Rosters!$A$4:$A$239,MATCH(Lists!$N28,Rosters!$C$4:$C$239,0),1),"")</f>
        <v>3</v>
      </c>
      <c r="P28" t="str">
        <f t="shared" si="0"/>
        <v/>
      </c>
      <c r="Q28" s="177"/>
      <c r="S28" t="s">
        <v>12</v>
      </c>
      <c r="T28" t="s">
        <v>23</v>
      </c>
    </row>
    <row r="29" spans="3:20" x14ac:dyDescent="0.25">
      <c r="C29" s="270" t="s">
        <v>3</v>
      </c>
      <c r="D29" s="270"/>
      <c r="E29" s="141"/>
      <c r="F29" s="270"/>
      <c r="G29" s="270"/>
      <c r="H29" s="270"/>
      <c r="L29" s="145"/>
      <c r="N29" s="145" t="s">
        <v>3</v>
      </c>
      <c r="O29" s="177">
        <f>IFERROR(INDEX(Rosters!$A$4:$A$239,MATCH(Lists!$N29,Rosters!$C$4:$C$239,0),1),"")</f>
        <v>3</v>
      </c>
      <c r="P29" t="str">
        <f t="shared" si="0"/>
        <v/>
      </c>
      <c r="Q29" s="177"/>
      <c r="S29" t="s">
        <v>11</v>
      </c>
      <c r="T29" t="s">
        <v>3</v>
      </c>
    </row>
    <row r="30" spans="3:20" x14ac:dyDescent="0.25">
      <c r="C30" s="270" t="s">
        <v>25</v>
      </c>
      <c r="D30" s="270"/>
      <c r="E30" s="141"/>
      <c r="F30" s="270"/>
      <c r="G30" s="270"/>
      <c r="H30" s="270"/>
      <c r="L30" s="145"/>
      <c r="N30" s="145" t="s">
        <v>25</v>
      </c>
      <c r="O30" s="177">
        <f>IFERROR(INDEX(Rosters!$A$4:$A$239,MATCH(Lists!$N30,Rosters!$C$4:$C$239,0),1),"")</f>
        <v>3</v>
      </c>
      <c r="P30" t="str">
        <f t="shared" si="0"/>
        <v/>
      </c>
      <c r="Q30" s="177"/>
      <c r="T30" t="s">
        <v>25</v>
      </c>
    </row>
    <row r="31" spans="3:20" x14ac:dyDescent="0.25">
      <c r="C31" s="270" t="s">
        <v>29</v>
      </c>
      <c r="D31" s="270"/>
      <c r="E31" s="141"/>
      <c r="F31" s="270"/>
      <c r="G31" s="270"/>
      <c r="H31" s="270"/>
      <c r="L31" s="145"/>
      <c r="N31" s="145" t="s">
        <v>29</v>
      </c>
      <c r="O31" s="177">
        <f>IFERROR(INDEX(Rosters!$A$4:$A$239,MATCH(Lists!$N31,Rosters!$C$4:$C$239,0),1),"")</f>
        <v>3</v>
      </c>
      <c r="P31" t="str">
        <f t="shared" si="0"/>
        <v/>
      </c>
      <c r="Q31" s="177"/>
      <c r="T31" t="s">
        <v>29</v>
      </c>
    </row>
    <row r="32" spans="3:20" x14ac:dyDescent="0.25">
      <c r="C32" s="270" t="s">
        <v>28</v>
      </c>
      <c r="D32" s="270"/>
      <c r="E32" s="141"/>
      <c r="F32" s="270"/>
      <c r="G32" s="270"/>
      <c r="H32" s="270"/>
      <c r="L32" s="145"/>
      <c r="N32" s="145" t="s">
        <v>28</v>
      </c>
      <c r="O32" s="177">
        <f>IFERROR(INDEX(Rosters!$A$4:$A$239,MATCH(Lists!$N32,Rosters!$C$4:$C$239,0),1),"")</f>
        <v>3</v>
      </c>
      <c r="P32" t="str">
        <f t="shared" si="0"/>
        <v/>
      </c>
      <c r="Q32" s="177"/>
      <c r="T32" t="s">
        <v>28</v>
      </c>
    </row>
    <row r="33" spans="3:20" x14ac:dyDescent="0.25">
      <c r="C33" s="270" t="s">
        <v>34</v>
      </c>
      <c r="D33" s="270"/>
      <c r="E33" s="141"/>
      <c r="F33" s="270"/>
      <c r="G33" s="270"/>
      <c r="H33" s="270"/>
      <c r="L33" s="145"/>
      <c r="N33" s="145" t="s">
        <v>34</v>
      </c>
      <c r="O33" s="177">
        <f>IFERROR(INDEX(Rosters!$A$4:$A$239,MATCH(Lists!$N33,Rosters!$C$4:$C$239,0),1),"")</f>
        <v>3</v>
      </c>
      <c r="P33" t="str">
        <f t="shared" si="0"/>
        <v/>
      </c>
      <c r="Q33" s="177"/>
      <c r="T33" t="s">
        <v>34</v>
      </c>
    </row>
    <row r="34" spans="3:20" x14ac:dyDescent="0.25">
      <c r="C34" s="270" t="s">
        <v>15</v>
      </c>
      <c r="D34" s="270"/>
      <c r="E34" s="141"/>
      <c r="F34" s="270"/>
      <c r="G34" s="270"/>
      <c r="H34" s="270"/>
      <c r="L34" s="145"/>
      <c r="N34" s="145" t="s">
        <v>15</v>
      </c>
      <c r="O34" s="177">
        <f>IFERROR(INDEX(Rosters!$A$4:$A$239,MATCH(Lists!$N34,Rosters!$C$4:$C$239,0),1),"")</f>
        <v>3</v>
      </c>
      <c r="P34" t="str">
        <f t="shared" si="0"/>
        <v/>
      </c>
      <c r="Q34" s="177"/>
      <c r="T34" t="s">
        <v>15</v>
      </c>
    </row>
    <row r="35" spans="3:20" x14ac:dyDescent="0.25">
      <c r="C35" s="270" t="s">
        <v>13</v>
      </c>
      <c r="D35" s="270"/>
      <c r="E35" s="141"/>
      <c r="F35" s="270"/>
      <c r="G35" s="270"/>
      <c r="H35" s="270"/>
      <c r="L35" s="145"/>
      <c r="N35" s="145" t="s">
        <v>13</v>
      </c>
      <c r="O35" s="177">
        <f>IFERROR(INDEX(Rosters!$A$4:$A$239,MATCH(Lists!$N35,Rosters!$C$4:$C$239,0),1),"")</f>
        <v>3</v>
      </c>
      <c r="P35" t="str">
        <f t="shared" si="0"/>
        <v/>
      </c>
      <c r="Q35" s="177"/>
      <c r="T35" t="s">
        <v>13</v>
      </c>
    </row>
    <row r="36" spans="3:20" x14ac:dyDescent="0.25">
      <c r="C36" s="270" t="s">
        <v>36</v>
      </c>
      <c r="D36" s="270"/>
      <c r="E36" s="141"/>
      <c r="F36" s="270"/>
      <c r="G36" s="270"/>
      <c r="H36" s="270"/>
      <c r="L36" s="145"/>
      <c r="N36" s="145" t="s">
        <v>36</v>
      </c>
      <c r="O36" s="177">
        <f>IFERROR(INDEX(Rosters!$A$4:$A$239,MATCH(Lists!$N36,Rosters!$C$4:$C$239,0),1),"")</f>
        <v>3</v>
      </c>
      <c r="P36" t="str">
        <f t="shared" si="0"/>
        <v/>
      </c>
      <c r="Q36" s="177"/>
      <c r="T36" t="s">
        <v>36</v>
      </c>
    </row>
    <row r="37" spans="3:20" x14ac:dyDescent="0.25">
      <c r="C37" s="270" t="s">
        <v>12</v>
      </c>
      <c r="D37" s="270"/>
      <c r="E37" s="141"/>
      <c r="F37" s="270"/>
      <c r="G37" s="270"/>
      <c r="H37" s="270"/>
      <c r="L37" s="145"/>
      <c r="N37" s="145" t="s">
        <v>12</v>
      </c>
      <c r="O37" s="177">
        <f>IFERROR(INDEX(Rosters!$A$4:$A$239,MATCH(Lists!$N37,Rosters!$C$4:$C$239,0),1),"")</f>
        <v>3</v>
      </c>
      <c r="P37" t="str">
        <f t="shared" si="0"/>
        <v/>
      </c>
      <c r="Q37" s="177"/>
      <c r="T37" t="s">
        <v>12</v>
      </c>
    </row>
    <row r="38" spans="3:20" x14ac:dyDescent="0.25">
      <c r="C38" s="270" t="s">
        <v>5</v>
      </c>
      <c r="D38" s="270"/>
      <c r="E38" s="141"/>
      <c r="F38" s="270"/>
      <c r="G38" s="270"/>
      <c r="H38" s="270"/>
      <c r="L38" s="145"/>
      <c r="N38" s="145" t="s">
        <v>5</v>
      </c>
      <c r="O38" s="177">
        <f>IFERROR(INDEX(Rosters!$A$4:$A$239,MATCH(Lists!$N38,Rosters!$C$4:$C$239,0),1),"")</f>
        <v>3</v>
      </c>
      <c r="P38" t="str">
        <f t="shared" si="0"/>
        <v/>
      </c>
      <c r="Q38" s="177"/>
      <c r="T38" t="s">
        <v>5</v>
      </c>
    </row>
    <row r="39" spans="3:20" x14ac:dyDescent="0.25">
      <c r="C39" s="270" t="s">
        <v>22</v>
      </c>
      <c r="D39" s="270"/>
      <c r="E39" s="141"/>
      <c r="F39" s="270"/>
      <c r="G39" s="270"/>
      <c r="H39" s="270"/>
      <c r="L39" s="145"/>
      <c r="N39" s="145" t="s">
        <v>22</v>
      </c>
      <c r="O39" s="177">
        <f>IFERROR(INDEX(Rosters!$A$4:$A$239,MATCH(Lists!$N39,Rosters!$C$4:$C$239,0),1),"")</f>
        <v>3</v>
      </c>
      <c r="P39" t="str">
        <f t="shared" si="0"/>
        <v/>
      </c>
      <c r="Q39" s="177"/>
      <c r="T39" t="s">
        <v>22</v>
      </c>
    </row>
    <row r="40" spans="3:20" x14ac:dyDescent="0.25">
      <c r="C40" s="270" t="s">
        <v>11</v>
      </c>
      <c r="D40" s="270"/>
      <c r="E40" s="141"/>
      <c r="F40" s="270"/>
      <c r="G40" s="270"/>
      <c r="H40" s="270"/>
      <c r="L40" s="145"/>
      <c r="N40" s="145" t="s">
        <v>11</v>
      </c>
      <c r="O40" s="177">
        <f>IFERROR(INDEX(Rosters!$A$4:$A$239,MATCH(Lists!$N40,Rosters!$C$4:$C$239,0),1),"")</f>
        <v>3</v>
      </c>
      <c r="P40" t="str">
        <f t="shared" si="0"/>
        <v/>
      </c>
      <c r="Q40" s="177"/>
      <c r="T40" t="s">
        <v>11</v>
      </c>
    </row>
    <row r="41" spans="3:20" x14ac:dyDescent="0.25">
      <c r="C41" s="270" t="s">
        <v>230</v>
      </c>
      <c r="D41" s="270"/>
      <c r="E41" s="141"/>
      <c r="F41" s="270"/>
      <c r="G41" s="270"/>
      <c r="H41" s="270"/>
      <c r="L41" s="145"/>
      <c r="N41" s="145" t="s">
        <v>230</v>
      </c>
      <c r="O41" s="177">
        <f>IFERROR(INDEX(Rosters!$A$4:$A$239,MATCH(Lists!$N41,Rosters!$C$4:$C$239,0),1),"")</f>
        <v>3</v>
      </c>
      <c r="P41" t="str">
        <f t="shared" si="0"/>
        <v/>
      </c>
      <c r="Q41" s="177"/>
      <c r="T41" t="s">
        <v>230</v>
      </c>
    </row>
    <row r="42" spans="3:20" x14ac:dyDescent="0.25">
      <c r="C42" s="270" t="s">
        <v>100</v>
      </c>
      <c r="D42" s="270"/>
      <c r="E42" s="141"/>
      <c r="F42" s="270"/>
      <c r="G42" s="270"/>
      <c r="H42" s="270"/>
      <c r="L42" s="145"/>
      <c r="N42" s="145" t="s">
        <v>100</v>
      </c>
      <c r="O42" s="177">
        <f>IFERROR(INDEX(Rosters!$A$4:$A$239,MATCH(Lists!$N42,Rosters!$C$4:$C$239,0),1),"")</f>
        <v>3</v>
      </c>
      <c r="P42" t="str">
        <f t="shared" si="0"/>
        <v/>
      </c>
      <c r="Q42" s="177"/>
      <c r="T42" t="s">
        <v>100</v>
      </c>
    </row>
    <row r="43" spans="3:20" x14ac:dyDescent="0.25">
      <c r="C43" s="270"/>
      <c r="D43" s="270"/>
      <c r="E43" s="141"/>
      <c r="F43" s="270"/>
      <c r="G43" s="270"/>
      <c r="H43" s="270"/>
      <c r="L43" s="145"/>
      <c r="N43" s="145"/>
      <c r="O43" s="177" t="str">
        <f>IFERROR(INDEX(Rosters!$A$4:$A$239,MATCH(Lists!$N43,Rosters!$C$4:$C$239,0),1),"")</f>
        <v/>
      </c>
      <c r="P43" t="str">
        <f t="shared" si="0"/>
        <v/>
      </c>
      <c r="Q43" s="177"/>
    </row>
    <row r="44" spans="3:20" x14ac:dyDescent="0.25">
      <c r="C44" s="270"/>
      <c r="D44" s="270"/>
      <c r="E44" s="141"/>
      <c r="F44" s="270"/>
      <c r="G44" s="270"/>
      <c r="H44" s="270"/>
      <c r="L44" s="145"/>
      <c r="N44" s="145"/>
      <c r="O44" s="177" t="str">
        <f>IFERROR(INDEX(Rosters!$A$4:$A$239,MATCH(Lists!$N44,Rosters!$C$4:$C$239,0),1),"")</f>
        <v/>
      </c>
      <c r="P44" t="str">
        <f t="shared" si="0"/>
        <v/>
      </c>
      <c r="Q44" s="177"/>
    </row>
    <row r="45" spans="3:20" x14ac:dyDescent="0.25">
      <c r="C45" s="270"/>
      <c r="D45" s="270"/>
      <c r="E45" s="141"/>
      <c r="F45" s="270"/>
      <c r="G45" s="270"/>
      <c r="H45" s="270"/>
      <c r="L45" s="145"/>
      <c r="N45" s="145"/>
      <c r="O45" s="177" t="str">
        <f>IFERROR(INDEX(Rosters!$A$4:$A$239,MATCH(Lists!$N45,Rosters!$C$4:$C$239,0),1),"")</f>
        <v/>
      </c>
      <c r="P45" t="str">
        <f t="shared" si="0"/>
        <v/>
      </c>
      <c r="Q45" s="177"/>
    </row>
    <row r="46" spans="3:20" x14ac:dyDescent="0.25">
      <c r="C46" s="270"/>
      <c r="D46" s="270"/>
      <c r="E46" s="141"/>
      <c r="F46" s="270"/>
      <c r="G46" s="270"/>
      <c r="H46" s="270"/>
      <c r="L46" s="145"/>
      <c r="N46" s="145"/>
      <c r="O46" s="177" t="str">
        <f>IFERROR(INDEX(Rosters!$A$4:$A$239,MATCH(Lists!$N46,Rosters!$C$4:$C$239,0),1),"")</f>
        <v/>
      </c>
      <c r="P46" t="str">
        <f t="shared" si="0"/>
        <v/>
      </c>
      <c r="Q46" s="177"/>
    </row>
    <row r="47" spans="3:20" x14ac:dyDescent="0.25">
      <c r="C47" s="270"/>
      <c r="D47" s="270"/>
      <c r="E47" s="141"/>
      <c r="F47" s="270"/>
      <c r="G47" s="270"/>
      <c r="H47" s="270"/>
      <c r="L47" s="145"/>
      <c r="N47" s="145"/>
      <c r="O47" s="177" t="str">
        <f>IFERROR(INDEX(Rosters!$A$4:$A$239,MATCH(Lists!$N47,Rosters!$C$4:$C$239,0),1),"")</f>
        <v/>
      </c>
      <c r="P47" t="str">
        <f t="shared" si="0"/>
        <v/>
      </c>
      <c r="Q47" s="177"/>
    </row>
    <row r="48" spans="3:20" x14ac:dyDescent="0.25">
      <c r="C48" s="270"/>
      <c r="D48" s="270"/>
      <c r="E48" s="141"/>
      <c r="F48" s="270"/>
      <c r="G48" s="270"/>
      <c r="H48" s="270"/>
      <c r="L48" s="145"/>
      <c r="N48" s="145"/>
      <c r="O48" s="177" t="str">
        <f>IFERROR(INDEX(Rosters!$A$4:$A$239,MATCH(Lists!$N48,Rosters!$C$4:$C$239,0),1),"")</f>
        <v/>
      </c>
      <c r="P48" t="str">
        <f t="shared" si="0"/>
        <v/>
      </c>
      <c r="Q48" s="177"/>
    </row>
    <row r="49" spans="3:17" x14ac:dyDescent="0.25">
      <c r="C49" s="270"/>
      <c r="D49" s="270"/>
      <c r="E49" s="141"/>
      <c r="F49" s="270"/>
      <c r="G49" s="270"/>
      <c r="H49" s="270"/>
      <c r="L49" s="145"/>
      <c r="N49" s="145"/>
      <c r="O49" s="177" t="str">
        <f>IFERROR(INDEX(Rosters!$A$4:$A$239,MATCH(Lists!$N49,Rosters!$C$4:$C$239,0),1),"")</f>
        <v/>
      </c>
      <c r="P49" t="str">
        <f t="shared" si="0"/>
        <v/>
      </c>
      <c r="Q49" s="177"/>
    </row>
    <row r="50" spans="3:17" x14ac:dyDescent="0.25">
      <c r="C50" s="270"/>
      <c r="D50" s="270"/>
      <c r="E50" s="141"/>
      <c r="F50" s="270"/>
      <c r="G50" s="270"/>
      <c r="H50" s="270"/>
      <c r="L50" s="145"/>
      <c r="N50" s="145"/>
      <c r="O50" s="177" t="str">
        <f>IFERROR(INDEX(Rosters!$A$4:$A$239,MATCH(Lists!$N50,Rosters!$C$4:$C$239,0),1),"")</f>
        <v/>
      </c>
      <c r="P50" t="str">
        <f t="shared" si="0"/>
        <v/>
      </c>
      <c r="Q50" s="177"/>
    </row>
    <row r="51" spans="3:17" x14ac:dyDescent="0.25">
      <c r="C51" s="270"/>
      <c r="D51" s="270"/>
      <c r="E51" s="141"/>
      <c r="F51" s="270"/>
      <c r="G51" s="270"/>
      <c r="H51" s="270"/>
      <c r="L51" s="145"/>
      <c r="N51" s="145"/>
      <c r="O51" s="177" t="str">
        <f>IFERROR(INDEX(Rosters!$A$4:$A$239,MATCH(Lists!$N51,Rosters!$C$4:$C$239,0),1),"")</f>
        <v/>
      </c>
      <c r="P51" t="str">
        <f t="shared" si="0"/>
        <v/>
      </c>
      <c r="Q51" s="177"/>
    </row>
    <row r="52" spans="3:17" x14ac:dyDescent="0.25">
      <c r="C52" s="270"/>
      <c r="D52" s="270"/>
      <c r="E52" s="141"/>
      <c r="F52" s="270"/>
      <c r="G52" s="270"/>
      <c r="H52" s="270"/>
      <c r="L52" s="145"/>
      <c r="N52" s="145"/>
      <c r="O52" s="177" t="str">
        <f>IFERROR(INDEX(Rosters!$A$4:$A$239,MATCH(Lists!$N52,Rosters!$C$4:$C$239,0),1),"")</f>
        <v/>
      </c>
      <c r="P52" t="str">
        <f t="shared" si="0"/>
        <v/>
      </c>
      <c r="Q52" s="177"/>
    </row>
    <row r="53" spans="3:17" x14ac:dyDescent="0.25">
      <c r="C53" s="270"/>
      <c r="D53" s="270"/>
      <c r="E53" s="141"/>
      <c r="F53" s="270"/>
      <c r="G53" s="270"/>
      <c r="H53" s="270"/>
      <c r="L53" s="145"/>
      <c r="N53" s="145"/>
      <c r="O53" s="177" t="str">
        <f>IFERROR(INDEX(Rosters!$A$4:$A$239,MATCH(Lists!$N53,Rosters!$C$4:$C$239,0),1),"")</f>
        <v/>
      </c>
      <c r="P53" t="str">
        <f t="shared" si="0"/>
        <v/>
      </c>
      <c r="Q53" s="177"/>
    </row>
    <row r="54" spans="3:17" x14ac:dyDescent="0.25">
      <c r="C54" s="270"/>
      <c r="D54" s="270"/>
      <c r="E54" s="141"/>
      <c r="F54" s="270"/>
      <c r="G54" s="270"/>
      <c r="H54" s="270"/>
      <c r="L54" s="145"/>
      <c r="N54" s="145"/>
      <c r="O54" s="177" t="str">
        <f>IFERROR(INDEX(Rosters!$A$4:$A$239,MATCH(Lists!$N54,Rosters!$C$4:$C$239,0),1),"")</f>
        <v/>
      </c>
      <c r="P54" t="str">
        <f t="shared" si="0"/>
        <v/>
      </c>
      <c r="Q54" s="177"/>
    </row>
    <row r="55" spans="3:17" x14ac:dyDescent="0.25">
      <c r="C55" s="270"/>
      <c r="D55" s="270"/>
      <c r="E55" s="141"/>
      <c r="F55" s="270"/>
      <c r="G55" s="270"/>
      <c r="H55" s="270"/>
      <c r="L55" s="145"/>
      <c r="N55" s="145"/>
      <c r="O55" s="177" t="str">
        <f>IFERROR(INDEX(Rosters!$A$4:$A$239,MATCH(Lists!$N55,Rosters!$C$4:$C$239,0),1),"")</f>
        <v/>
      </c>
      <c r="P55" t="str">
        <f t="shared" si="0"/>
        <v/>
      </c>
      <c r="Q55" s="177"/>
    </row>
    <row r="56" spans="3:17" x14ac:dyDescent="0.25">
      <c r="C56" s="270"/>
      <c r="D56" s="270"/>
      <c r="E56" s="141"/>
      <c r="F56" s="270"/>
      <c r="G56" s="270"/>
      <c r="H56" s="270"/>
      <c r="L56" s="145"/>
      <c r="N56" s="145"/>
      <c r="O56" s="177" t="str">
        <f>IFERROR(INDEX(Rosters!$A$4:$A$239,MATCH(Lists!$N56,Rosters!$C$4:$C$239,0),1),"")</f>
        <v/>
      </c>
      <c r="P56" t="str">
        <f t="shared" si="0"/>
        <v/>
      </c>
      <c r="Q56" s="177"/>
    </row>
    <row r="57" spans="3:17" x14ac:dyDescent="0.25">
      <c r="C57" s="270"/>
      <c r="D57" s="270"/>
      <c r="E57" s="141"/>
      <c r="F57" s="270"/>
      <c r="G57" s="270"/>
      <c r="H57" s="270"/>
      <c r="L57" s="145"/>
      <c r="N57" s="145"/>
      <c r="O57" s="177" t="str">
        <f>IFERROR(INDEX(Rosters!$A$4:$A$239,MATCH(Lists!$N57,Rosters!$C$4:$C$239,0),1),"")</f>
        <v/>
      </c>
      <c r="P57" t="str">
        <f t="shared" si="0"/>
        <v/>
      </c>
      <c r="Q57" s="177"/>
    </row>
    <row r="58" spans="3:17" x14ac:dyDescent="0.25">
      <c r="C58" s="270"/>
      <c r="D58" s="270"/>
      <c r="E58" s="141"/>
      <c r="F58" s="270"/>
      <c r="G58" s="270"/>
      <c r="H58" s="270"/>
      <c r="L58" s="145"/>
      <c r="N58" s="145"/>
      <c r="O58" s="177" t="str">
        <f>IFERROR(INDEX(Rosters!$A$4:$A$239,MATCH(Lists!$N58,Rosters!$C$4:$C$239,0),1),"")</f>
        <v/>
      </c>
      <c r="P58" t="str">
        <f t="shared" si="0"/>
        <v/>
      </c>
      <c r="Q58" s="177"/>
    </row>
    <row r="59" spans="3:17" x14ac:dyDescent="0.25">
      <c r="C59" s="270"/>
      <c r="D59" s="270"/>
      <c r="E59" s="141"/>
      <c r="F59" s="270"/>
      <c r="G59" s="270"/>
      <c r="H59" s="270"/>
      <c r="L59" s="145"/>
      <c r="N59" s="145"/>
      <c r="O59" s="177" t="str">
        <f>IFERROR(INDEX(Rosters!$A$4:$A$239,MATCH(Lists!$N59,Rosters!$C$4:$C$239,0),1),"")</f>
        <v/>
      </c>
      <c r="P59" t="str">
        <f t="shared" si="0"/>
        <v/>
      </c>
      <c r="Q59" s="177"/>
    </row>
    <row r="60" spans="3:17" x14ac:dyDescent="0.25">
      <c r="C60" s="270"/>
      <c r="D60" s="270"/>
      <c r="E60" s="141"/>
      <c r="F60" s="270"/>
      <c r="G60" s="270"/>
      <c r="H60" s="270"/>
      <c r="L60" s="145"/>
      <c r="N60" s="145"/>
      <c r="O60" s="177" t="str">
        <f>IFERROR(INDEX(Rosters!$A$4:$A$239,MATCH(Lists!$N60,Rosters!$C$4:$C$239,0),1),"")</f>
        <v/>
      </c>
      <c r="P60" t="str">
        <f t="shared" si="0"/>
        <v/>
      </c>
      <c r="Q60" s="177"/>
    </row>
    <row r="61" spans="3:17" x14ac:dyDescent="0.25">
      <c r="C61" s="270"/>
      <c r="D61" s="270"/>
      <c r="E61" s="141"/>
      <c r="F61" s="270"/>
      <c r="G61" s="270"/>
      <c r="H61" s="270"/>
      <c r="L61" s="145"/>
      <c r="N61" s="145"/>
      <c r="O61" s="177" t="str">
        <f>IFERROR(INDEX(Rosters!$A$4:$A$239,MATCH(Lists!$N61,Rosters!$C$4:$C$239,0),1),"")</f>
        <v/>
      </c>
      <c r="P61" t="str">
        <f t="shared" si="0"/>
        <v/>
      </c>
      <c r="Q61" s="177"/>
    </row>
    <row r="62" spans="3:17" x14ac:dyDescent="0.25">
      <c r="C62" s="270"/>
      <c r="D62" s="270"/>
      <c r="E62" s="141"/>
      <c r="F62" s="270"/>
      <c r="G62" s="270"/>
      <c r="H62" s="270"/>
      <c r="L62" s="145"/>
      <c r="N62" s="145"/>
      <c r="O62" s="177" t="str">
        <f>IFERROR(INDEX(Rosters!$A$4:$A$239,MATCH(Lists!$N62,Rosters!$C$4:$C$239,0),1),"")</f>
        <v/>
      </c>
      <c r="P62" t="str">
        <f t="shared" si="0"/>
        <v/>
      </c>
      <c r="Q62" s="177"/>
    </row>
    <row r="63" spans="3:17" x14ac:dyDescent="0.25">
      <c r="C63" s="270"/>
      <c r="D63" s="270"/>
      <c r="E63" s="141"/>
      <c r="F63" s="270"/>
      <c r="G63" s="270"/>
      <c r="H63" s="270"/>
      <c r="L63" s="145"/>
      <c r="N63" s="145"/>
      <c r="O63" s="177" t="str">
        <f>IFERROR(INDEX(Rosters!$A$4:$A$239,MATCH(Lists!$N63,Rosters!$C$4:$C$239,0),1),"")</f>
        <v/>
      </c>
      <c r="P63" t="str">
        <f t="shared" si="0"/>
        <v/>
      </c>
      <c r="Q63" s="177"/>
    </row>
    <row r="64" spans="3:17" x14ac:dyDescent="0.25">
      <c r="C64" s="270"/>
      <c r="D64" s="270"/>
      <c r="E64" s="141"/>
      <c r="F64" s="270"/>
      <c r="G64" s="270"/>
      <c r="H64" s="270"/>
      <c r="L64" s="145"/>
      <c r="N64" s="145"/>
      <c r="O64" s="177" t="str">
        <f>IFERROR(INDEX(Rosters!$A$4:$A$239,MATCH(Lists!$N64,Rosters!$C$4:$C$239,0),1),"")</f>
        <v/>
      </c>
      <c r="P64" t="str">
        <f t="shared" si="0"/>
        <v/>
      </c>
      <c r="Q64" s="177"/>
    </row>
    <row r="65" spans="3:17" x14ac:dyDescent="0.25">
      <c r="C65" s="270"/>
      <c r="D65" s="270"/>
      <c r="E65" s="141"/>
      <c r="F65" s="270"/>
      <c r="G65" s="270"/>
      <c r="H65" s="270"/>
      <c r="L65" s="145"/>
      <c r="N65" s="145"/>
      <c r="O65" s="177" t="str">
        <f>IFERROR(INDEX(Rosters!$A$4:$A$239,MATCH(Lists!$N65,Rosters!$C$4:$C$239,0),1),"")</f>
        <v/>
      </c>
      <c r="P65" t="str">
        <f t="shared" si="0"/>
        <v/>
      </c>
      <c r="Q65" s="177"/>
    </row>
    <row r="66" spans="3:17" x14ac:dyDescent="0.25">
      <c r="C66" s="270"/>
      <c r="D66" s="270"/>
      <c r="E66" s="141"/>
      <c r="F66" s="270"/>
      <c r="G66" s="270"/>
      <c r="H66" s="270"/>
      <c r="L66" s="145"/>
      <c r="N66" s="145"/>
      <c r="O66" s="177" t="str">
        <f>IFERROR(INDEX(Rosters!$A$4:$A$239,MATCH(Lists!$N66,Rosters!$C$4:$C$239,0),1),"")</f>
        <v/>
      </c>
      <c r="P66" t="str">
        <f t="shared" si="0"/>
        <v/>
      </c>
      <c r="Q66" s="177"/>
    </row>
    <row r="67" spans="3:17" x14ac:dyDescent="0.25">
      <c r="C67" s="270"/>
      <c r="D67" s="270"/>
      <c r="E67" s="141"/>
      <c r="F67" s="270"/>
      <c r="G67" s="270"/>
      <c r="H67" s="270"/>
      <c r="L67" s="145"/>
      <c r="N67" s="145"/>
      <c r="O67" s="177" t="str">
        <f>IFERROR(INDEX(Rosters!$A$4:$A$239,MATCH(Lists!$N67,Rosters!$C$4:$C$239,0),1),"")</f>
        <v/>
      </c>
      <c r="P67" t="str">
        <f t="shared" si="0"/>
        <v/>
      </c>
      <c r="Q67" s="177"/>
    </row>
    <row r="68" spans="3:17" x14ac:dyDescent="0.25">
      <c r="C68" s="270"/>
      <c r="D68" s="270"/>
      <c r="E68" s="141"/>
      <c r="F68" s="270"/>
      <c r="G68" s="270"/>
      <c r="H68" s="270"/>
      <c r="L68" s="145"/>
      <c r="N68" s="145"/>
      <c r="O68" s="177" t="str">
        <f>IFERROR(INDEX(Rosters!$A$4:$A$239,MATCH(Lists!$N68,Rosters!$C$4:$C$239,0),1),"")</f>
        <v/>
      </c>
      <c r="P68" t="str">
        <f t="shared" si="0"/>
        <v/>
      </c>
      <c r="Q68" s="177"/>
    </row>
    <row r="69" spans="3:17" x14ac:dyDescent="0.25">
      <c r="C69" s="270"/>
      <c r="D69" s="270"/>
      <c r="E69" s="141"/>
      <c r="F69" s="270"/>
      <c r="G69" s="270"/>
      <c r="H69" s="270"/>
      <c r="L69" s="145"/>
      <c r="N69" s="145"/>
      <c r="O69" s="177" t="str">
        <f>IFERROR(INDEX(Rosters!$A$4:$A$239,MATCH(Lists!$N69,Rosters!$C$4:$C$239,0),1),"")</f>
        <v/>
      </c>
      <c r="P69" t="str">
        <f t="shared" si="0"/>
        <v/>
      </c>
      <c r="Q69" s="177"/>
    </row>
    <row r="70" spans="3:17" x14ac:dyDescent="0.25">
      <c r="C70" s="270"/>
      <c r="D70" s="270"/>
      <c r="E70" s="141"/>
      <c r="F70" s="270"/>
      <c r="G70" s="270"/>
      <c r="H70" s="270"/>
      <c r="L70" s="145"/>
      <c r="N70" s="145"/>
      <c r="O70" s="177" t="str">
        <f>IFERROR(INDEX(Rosters!$A$4:$A$239,MATCH(Lists!$N70,Rosters!$C$4:$C$239,0),1),"")</f>
        <v/>
      </c>
      <c r="P70" t="str">
        <f t="shared" si="0"/>
        <v/>
      </c>
      <c r="Q70" s="177"/>
    </row>
    <row r="71" spans="3:17" x14ac:dyDescent="0.25">
      <c r="C71" s="270"/>
      <c r="D71" s="270"/>
      <c r="E71" s="141"/>
      <c r="F71" s="270"/>
      <c r="G71" s="270"/>
      <c r="H71" s="270"/>
      <c r="L71" s="145"/>
      <c r="N71" s="145"/>
      <c r="O71" s="177" t="str">
        <f>IFERROR(INDEX(Rosters!$A$4:$A$239,MATCH(Lists!$N71,Rosters!$C$4:$C$239,0),1),"")</f>
        <v/>
      </c>
      <c r="P71" t="str">
        <f t="shared" ref="P71:P80" si="1">IF($Q71="","",$P70+1)</f>
        <v/>
      </c>
      <c r="Q71" s="177"/>
    </row>
    <row r="72" spans="3:17" x14ac:dyDescent="0.25">
      <c r="C72" s="270"/>
      <c r="D72" s="270"/>
      <c r="E72" s="141"/>
      <c r="F72" s="270"/>
      <c r="G72" s="270"/>
      <c r="H72" s="270"/>
      <c r="L72" s="145"/>
      <c r="N72" s="145"/>
      <c r="O72" s="177" t="str">
        <f>IFERROR(INDEX(Rosters!$A$4:$A$239,MATCH(Lists!$N72,Rosters!$C$4:$C$239,0),1),"")</f>
        <v/>
      </c>
      <c r="P72" t="str">
        <f t="shared" si="1"/>
        <v/>
      </c>
      <c r="Q72" s="177"/>
    </row>
    <row r="73" spans="3:17" x14ac:dyDescent="0.25">
      <c r="C73" s="270"/>
      <c r="D73" s="270"/>
      <c r="E73" s="141"/>
      <c r="F73" s="270"/>
      <c r="G73" s="270"/>
      <c r="H73" s="270"/>
      <c r="L73" s="145"/>
      <c r="N73" s="145"/>
      <c r="O73" s="177" t="str">
        <f>IFERROR(INDEX(Rosters!$A$4:$A$239,MATCH(Lists!$N73,Rosters!$C$4:$C$239,0),1),"")</f>
        <v/>
      </c>
      <c r="P73" t="str">
        <f t="shared" si="1"/>
        <v/>
      </c>
      <c r="Q73" s="177"/>
    </row>
    <row r="74" spans="3:17" x14ac:dyDescent="0.25">
      <c r="C74" s="270"/>
      <c r="D74" s="270"/>
      <c r="E74" s="141"/>
      <c r="F74" s="270"/>
      <c r="G74" s="270"/>
      <c r="H74" s="270"/>
      <c r="L74" s="145"/>
      <c r="N74" s="145"/>
      <c r="O74" s="177" t="str">
        <f>IFERROR(INDEX(Rosters!$A$4:$A$239,MATCH(Lists!$N74,Rosters!$C$4:$C$239,0),1),"")</f>
        <v/>
      </c>
      <c r="P74" t="str">
        <f t="shared" si="1"/>
        <v/>
      </c>
      <c r="Q74" s="177"/>
    </row>
    <row r="75" spans="3:17" x14ac:dyDescent="0.25">
      <c r="C75" s="270"/>
      <c r="D75" s="270"/>
      <c r="E75" s="141"/>
      <c r="F75" s="270"/>
      <c r="G75" s="270"/>
      <c r="H75" s="270"/>
      <c r="L75" s="145"/>
      <c r="N75" s="145"/>
      <c r="O75" s="177" t="str">
        <f>IFERROR(INDEX(Rosters!$A$4:$A$239,MATCH(Lists!$N75,Rosters!$C$4:$C$239,0),1),"")</f>
        <v/>
      </c>
      <c r="P75" t="str">
        <f t="shared" si="1"/>
        <v/>
      </c>
      <c r="Q75" s="177"/>
    </row>
    <row r="76" spans="3:17" x14ac:dyDescent="0.25">
      <c r="C76" s="270"/>
      <c r="D76" s="270"/>
      <c r="E76" s="141"/>
      <c r="F76" s="270"/>
      <c r="G76" s="270"/>
      <c r="H76" s="270"/>
      <c r="L76" s="145"/>
      <c r="N76" s="145"/>
      <c r="O76" s="177" t="str">
        <f>IFERROR(INDEX(Rosters!$A$4:$A$239,MATCH(Lists!$N76,Rosters!$C$4:$C$239,0),1),"")</f>
        <v/>
      </c>
      <c r="P76" t="str">
        <f t="shared" si="1"/>
        <v/>
      </c>
      <c r="Q76" s="177"/>
    </row>
    <row r="77" spans="3:17" x14ac:dyDescent="0.25">
      <c r="C77" s="270"/>
      <c r="D77" s="270"/>
      <c r="E77" s="141"/>
      <c r="F77" s="270"/>
      <c r="G77" s="270"/>
      <c r="H77" s="270"/>
      <c r="L77" s="145"/>
      <c r="N77" s="145"/>
      <c r="O77" s="177" t="str">
        <f>IFERROR(INDEX(Rosters!$A$4:$A$239,MATCH(Lists!$N77,Rosters!$C$4:$C$239,0),1),"")</f>
        <v/>
      </c>
      <c r="P77" t="str">
        <f t="shared" si="1"/>
        <v/>
      </c>
      <c r="Q77" s="177"/>
    </row>
    <row r="78" spans="3:17" x14ac:dyDescent="0.25">
      <c r="C78" s="270"/>
      <c r="D78" s="270"/>
      <c r="E78" s="141"/>
      <c r="F78" s="270"/>
      <c r="G78" s="270"/>
      <c r="H78" s="270"/>
      <c r="L78" s="145"/>
      <c r="N78" s="145"/>
      <c r="O78" s="177" t="str">
        <f>IFERROR(INDEX(Rosters!$A$4:$A$239,MATCH(Lists!$N78,Rosters!$C$4:$C$239,0),1),"")</f>
        <v/>
      </c>
      <c r="P78" t="str">
        <f t="shared" si="1"/>
        <v/>
      </c>
      <c r="Q78" s="177"/>
    </row>
    <row r="79" spans="3:17" x14ac:dyDescent="0.25">
      <c r="C79" s="270"/>
      <c r="D79" s="270"/>
      <c r="E79" s="141"/>
      <c r="F79" s="270"/>
      <c r="G79" s="270"/>
      <c r="H79" s="270"/>
      <c r="L79" s="145"/>
      <c r="N79" s="145"/>
      <c r="O79" s="177" t="str">
        <f>IFERROR(INDEX(Rosters!$A$4:$A$239,MATCH(Lists!$N79,Rosters!$C$4:$C$239,0),1),"")</f>
        <v/>
      </c>
      <c r="P79" t="str">
        <f t="shared" si="1"/>
        <v/>
      </c>
      <c r="Q79" s="177"/>
    </row>
    <row r="80" spans="3:17" x14ac:dyDescent="0.25">
      <c r="C80" s="270"/>
      <c r="D80" s="270"/>
      <c r="E80" s="141"/>
      <c r="F80" s="270"/>
      <c r="G80" s="270"/>
      <c r="H80" s="270"/>
      <c r="L80" s="145"/>
      <c r="N80" s="145"/>
      <c r="O80" s="177" t="str">
        <f>IFERROR(INDEX(Rosters!$A$4:$A$239,MATCH(Lists!$N80,Rosters!$C$4:$C$239,0),1),"")</f>
        <v/>
      </c>
      <c r="P80" t="str">
        <f t="shared" si="1"/>
        <v/>
      </c>
      <c r="Q80" s="177"/>
    </row>
  </sheetData>
  <sheetProtection selectLockedCells="1"/>
  <sortState ref="H5:H9">
    <sortCondition ref="H5"/>
  </sortState>
  <mergeCells count="9">
    <mergeCell ref="S1:T2"/>
    <mergeCell ref="J24:J27"/>
    <mergeCell ref="N1:O3"/>
    <mergeCell ref="Q1:Q3"/>
    <mergeCell ref="J12:J15"/>
    <mergeCell ref="J16:J19"/>
    <mergeCell ref="J20:J23"/>
    <mergeCell ref="J4:J7"/>
    <mergeCell ref="J8:J11"/>
  </mergeCells>
  <dataValidations count="1">
    <dataValidation type="whole" allowBlank="1" showInputMessage="1" showErrorMessage="1" sqref="E1" xr:uid="{00000000-0002-0000-0B00-000000000000}">
      <formula1>1</formula1>
      <formula2>99</formula2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1"/>
  </sheetPr>
  <dimension ref="A1:BI49"/>
  <sheetViews>
    <sheetView workbookViewId="0">
      <selection activeCell="H9" sqref="H9"/>
    </sheetView>
  </sheetViews>
  <sheetFormatPr defaultColWidth="9.140625" defaultRowHeight="15" x14ac:dyDescent="0.25"/>
  <cols>
    <col min="1" max="2" width="2.85546875" style="106" customWidth="1"/>
    <col min="3" max="3" width="7.85546875" style="106" customWidth="1"/>
    <col min="4" max="5" width="19.42578125" style="106" bestFit="1" customWidth="1"/>
    <col min="6" max="23" width="7.85546875" style="106" customWidth="1"/>
    <col min="24" max="25" width="2.85546875" style="106" customWidth="1"/>
    <col min="26" max="26" width="8.7109375" style="106" bestFit="1" customWidth="1"/>
    <col min="27" max="27" width="7.42578125" style="106" bestFit="1" customWidth="1"/>
    <col min="28" max="28" width="6" style="106" bestFit="1" customWidth="1"/>
    <col min="29" max="29" width="14.42578125" style="106" bestFit="1" customWidth="1"/>
    <col min="30" max="31" width="19.42578125" style="106" bestFit="1" customWidth="1"/>
    <col min="32" max="32" width="3.42578125" style="106" bestFit="1" customWidth="1"/>
    <col min="33" max="33" width="4.140625" style="106" bestFit="1" customWidth="1"/>
    <col min="34" max="35" width="4.28515625" style="106" bestFit="1" customWidth="1"/>
    <col min="36" max="36" width="3.85546875" style="106" bestFit="1" customWidth="1"/>
    <col min="37" max="37" width="4.140625" style="106" bestFit="1" customWidth="1"/>
    <col min="38" max="38" width="3.42578125" style="106" bestFit="1" customWidth="1"/>
    <col min="39" max="39" width="5.7109375" style="106" bestFit="1" customWidth="1"/>
    <col min="40" max="40" width="5.42578125" style="106" bestFit="1" customWidth="1"/>
    <col min="41" max="42" width="7.140625" style="108" customWidth="1"/>
    <col min="43" max="43" width="7.140625" style="106" bestFit="1" customWidth="1"/>
    <col min="44" max="44" width="9" style="106" bestFit="1" customWidth="1"/>
    <col min="45" max="45" width="7" style="106" bestFit="1" customWidth="1"/>
    <col min="46" max="46" width="7.140625" style="106" bestFit="1" customWidth="1"/>
    <col min="47" max="47" width="8.7109375" style="106" bestFit="1" customWidth="1"/>
    <col min="48" max="48" width="6.7109375" style="106" bestFit="1" customWidth="1"/>
    <col min="49" max="49" width="7.140625" style="106" bestFit="1" customWidth="1"/>
    <col min="50" max="16384" width="9.140625" style="106"/>
  </cols>
  <sheetData>
    <row r="1" spans="1:6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6"/>
      <c r="AP1" s="26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</row>
    <row r="2" spans="1:61" ht="15.75" thickBo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6"/>
      <c r="AP2" s="26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</row>
    <row r="3" spans="1:61" x14ac:dyDescent="0.25">
      <c r="A3" s="23"/>
      <c r="B3" s="23"/>
      <c r="C3" s="81" t="s">
        <v>94</v>
      </c>
      <c r="D3" s="82"/>
      <c r="E3" s="83" t="s">
        <v>90</v>
      </c>
      <c r="F3" s="84"/>
      <c r="G3" s="85" t="s">
        <v>91</v>
      </c>
      <c r="H3" s="86"/>
      <c r="I3" s="87"/>
      <c r="J3" s="88" t="s">
        <v>92</v>
      </c>
      <c r="K3" s="89"/>
      <c r="L3" s="89"/>
      <c r="M3" s="90" t="s">
        <v>93</v>
      </c>
      <c r="N3" s="91"/>
      <c r="O3" s="88" t="s">
        <v>68</v>
      </c>
      <c r="P3" s="92"/>
      <c r="Q3" s="36"/>
      <c r="R3" s="35"/>
      <c r="S3" s="37"/>
      <c r="T3" s="38"/>
      <c r="U3" s="39"/>
      <c r="V3" s="39"/>
      <c r="W3" s="40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6"/>
      <c r="AP3" s="26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</row>
    <row r="4" spans="1:61" s="109" customFormat="1" x14ac:dyDescent="0.25">
      <c r="A4" s="24"/>
      <c r="B4" s="192"/>
      <c r="C4" s="175" t="str">
        <f>Lists!$E$5</f>
        <v>Season 2</v>
      </c>
      <c r="D4" s="2"/>
      <c r="E4" s="246"/>
      <c r="F4" s="7"/>
      <c r="G4" s="247"/>
      <c r="H4" s="249"/>
      <c r="I4" s="8"/>
      <c r="J4" s="247"/>
      <c r="K4" s="250"/>
      <c r="L4" s="9"/>
      <c r="M4" s="162"/>
      <c r="N4" s="170"/>
      <c r="O4" s="248"/>
      <c r="P4" s="251"/>
      <c r="Q4" s="4"/>
      <c r="R4" s="3"/>
      <c r="S4" s="3"/>
      <c r="T4" s="5"/>
      <c r="U4" s="3"/>
      <c r="V4" s="3"/>
      <c r="W4" s="6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s="110" customFormat="1" ht="30" x14ac:dyDescent="0.25">
      <c r="A5" s="25"/>
      <c r="B5" s="25"/>
      <c r="C5" s="193" t="s">
        <v>69</v>
      </c>
      <c r="D5" s="18" t="s">
        <v>0</v>
      </c>
      <c r="E5" s="18" t="s">
        <v>70</v>
      </c>
      <c r="F5" s="18" t="s">
        <v>71</v>
      </c>
      <c r="G5" s="18" t="s">
        <v>72</v>
      </c>
      <c r="H5" s="18" t="s">
        <v>73</v>
      </c>
      <c r="I5" s="18" t="s">
        <v>74</v>
      </c>
      <c r="J5" s="18" t="s">
        <v>75</v>
      </c>
      <c r="K5" s="18" t="s">
        <v>76</v>
      </c>
      <c r="L5" s="18" t="s">
        <v>77</v>
      </c>
      <c r="M5" s="18" t="s">
        <v>78</v>
      </c>
      <c r="N5" s="18" t="s">
        <v>79</v>
      </c>
      <c r="O5" s="18" t="s">
        <v>80</v>
      </c>
      <c r="P5" s="18" t="s">
        <v>124</v>
      </c>
      <c r="Q5" s="19" t="s">
        <v>82</v>
      </c>
      <c r="R5" s="18" t="s">
        <v>125</v>
      </c>
      <c r="S5" s="18" t="s">
        <v>126</v>
      </c>
      <c r="T5" s="19" t="s">
        <v>85</v>
      </c>
      <c r="U5" s="18" t="s">
        <v>127</v>
      </c>
      <c r="V5" s="18" t="s">
        <v>128</v>
      </c>
      <c r="W5" s="41" t="s">
        <v>88</v>
      </c>
      <c r="X5" s="25"/>
      <c r="Y5" s="25"/>
      <c r="Z5" s="21" t="str">
        <f>$C$3</f>
        <v>Season:</v>
      </c>
      <c r="AA5" s="21" t="str">
        <f>$E$3</f>
        <v>Week:</v>
      </c>
      <c r="AB5" s="22" t="str">
        <f>$M$3</f>
        <v>Time:</v>
      </c>
      <c r="AC5" s="21" t="str">
        <f>$O$3</f>
        <v>Game Type:</v>
      </c>
      <c r="AD5" s="20" t="str">
        <f t="shared" ref="AD5:AW5" si="0">D5</f>
        <v>Players</v>
      </c>
      <c r="AE5" s="20" t="str">
        <f t="shared" si="0"/>
        <v>TEAM</v>
      </c>
      <c r="AF5" s="20" t="str">
        <f t="shared" si="0"/>
        <v>GP</v>
      </c>
      <c r="AG5" s="20" t="str">
        <f t="shared" si="0"/>
        <v>PTS</v>
      </c>
      <c r="AH5" s="20" t="str">
        <f t="shared" si="0"/>
        <v>REB</v>
      </c>
      <c r="AI5" s="20" t="str">
        <f t="shared" si="0"/>
        <v>AST</v>
      </c>
      <c r="AJ5" s="20" t="str">
        <f t="shared" si="0"/>
        <v>STL</v>
      </c>
      <c r="AK5" s="20" t="str">
        <f t="shared" si="0"/>
        <v>BLK</v>
      </c>
      <c r="AL5" s="20" t="str">
        <f t="shared" si="0"/>
        <v>TO</v>
      </c>
      <c r="AM5" s="20" t="str">
        <f t="shared" si="0"/>
        <v>OREB</v>
      </c>
      <c r="AN5" s="20" t="str">
        <f t="shared" si="0"/>
        <v>DREB</v>
      </c>
      <c r="AO5" s="21" t="str">
        <f t="shared" si="0"/>
        <v>3PT MADE</v>
      </c>
      <c r="AP5" s="21" t="str">
        <f t="shared" si="0"/>
        <v>3PT
ATT</v>
      </c>
      <c r="AQ5" s="20" t="str">
        <f t="shared" si="0"/>
        <v>3PT%</v>
      </c>
      <c r="AR5" s="20" t="str">
        <f t="shared" si="0"/>
        <v>FG
MADE</v>
      </c>
      <c r="AS5" s="20" t="str">
        <f t="shared" si="0"/>
        <v>FG
ATT</v>
      </c>
      <c r="AT5" s="20" t="str">
        <f t="shared" si="0"/>
        <v>FG%</v>
      </c>
      <c r="AU5" s="20" t="str">
        <f t="shared" si="0"/>
        <v>FT
MADE</v>
      </c>
      <c r="AV5" s="20" t="str">
        <f t="shared" si="0"/>
        <v>FT
ATT</v>
      </c>
      <c r="AW5" s="20" t="str">
        <f t="shared" si="0"/>
        <v>FT%</v>
      </c>
      <c r="AX5" s="27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</row>
    <row r="6" spans="1:61" ht="15" customHeight="1" x14ac:dyDescent="0.25">
      <c r="A6" s="23"/>
      <c r="B6" s="23"/>
      <c r="C6" s="42">
        <v>1</v>
      </c>
      <c r="D6" s="102"/>
      <c r="E6" s="75" t="str">
        <f>IFERROR(VLOOKUP(SingleGame!$D6,Rosters!$C$3:$L$190,INDEX(Lists!$P$5:$Q$80,MATCH(SingleGame!$C$4,Lists!$Q$5:$Q$80,FALSE),1),FALSE),"")</f>
        <v/>
      </c>
      <c r="F6" s="10" t="str">
        <f>IF(SingleGame!$D6="","",1)</f>
        <v/>
      </c>
      <c r="G6" s="164"/>
      <c r="H6" s="165"/>
      <c r="I6" s="165"/>
      <c r="J6" s="165"/>
      <c r="K6" s="165"/>
      <c r="L6" s="165"/>
      <c r="M6" s="165"/>
      <c r="N6" s="165"/>
      <c r="O6" s="165"/>
      <c r="P6" s="166"/>
      <c r="Q6" s="78" t="str">
        <f>IFERROR(SingleGame!$O6/SingleGame!$P$6:$P$22,"-")</f>
        <v>-</v>
      </c>
      <c r="R6" s="164"/>
      <c r="S6" s="166"/>
      <c r="T6" s="78" t="str">
        <f>IFERROR(SingleGame!$R6/SingleGame!$S$6:$S$22,"-")</f>
        <v>-</v>
      </c>
      <c r="U6" s="164"/>
      <c r="V6" s="166"/>
      <c r="W6" s="93" t="str">
        <f>IFERROR(SingleGame!$U6/SingleGame!$V$6:$V$22,"-")</f>
        <v>-</v>
      </c>
      <c r="X6" s="23"/>
      <c r="Y6" s="23"/>
      <c r="Z6" s="131" t="str">
        <f>IF($D6="","",$C$4)</f>
        <v/>
      </c>
      <c r="AA6" s="131" t="str">
        <f>IF($D6="","",$E$4)</f>
        <v/>
      </c>
      <c r="AB6" s="132" t="str">
        <f>IF($D6="","",$M$4)</f>
        <v/>
      </c>
      <c r="AC6" s="131" t="str">
        <f>IF($D6="","",$O$4)</f>
        <v/>
      </c>
      <c r="AD6" s="131" t="str">
        <f>IF($D6="","",D6)</f>
        <v/>
      </c>
      <c r="AE6" s="131" t="str">
        <f t="shared" ref="AE6:AQ21" si="1">IF($D6="","",E6)</f>
        <v/>
      </c>
      <c r="AF6" s="131" t="str">
        <f t="shared" si="1"/>
        <v/>
      </c>
      <c r="AG6" s="131" t="str">
        <f t="shared" si="1"/>
        <v/>
      </c>
      <c r="AH6" s="131" t="str">
        <f t="shared" si="1"/>
        <v/>
      </c>
      <c r="AI6" s="131" t="str">
        <f t="shared" si="1"/>
        <v/>
      </c>
      <c r="AJ6" s="131" t="str">
        <f t="shared" si="1"/>
        <v/>
      </c>
      <c r="AK6" s="131" t="str">
        <f t="shared" si="1"/>
        <v/>
      </c>
      <c r="AL6" s="131" t="str">
        <f t="shared" si="1"/>
        <v/>
      </c>
      <c r="AM6" s="131" t="str">
        <f t="shared" si="1"/>
        <v/>
      </c>
      <c r="AN6" s="131" t="str">
        <f t="shared" si="1"/>
        <v/>
      </c>
      <c r="AO6" s="131" t="str">
        <f t="shared" si="1"/>
        <v/>
      </c>
      <c r="AP6" s="131" t="str">
        <f t="shared" si="1"/>
        <v/>
      </c>
      <c r="AQ6" s="133" t="str">
        <f>IF($D6="","",Q6)</f>
        <v/>
      </c>
      <c r="AR6" s="131" t="str">
        <f>IF($D6="","",R6)</f>
        <v/>
      </c>
      <c r="AS6" s="131" t="str">
        <f t="shared" ref="AS6:AS23" si="2">IF($D6="","",S6)</f>
        <v/>
      </c>
      <c r="AT6" s="133" t="str">
        <f t="shared" ref="AT6:AT23" si="3">IF($D6="","",T6)</f>
        <v/>
      </c>
      <c r="AU6" s="131" t="str">
        <f>IF($D6="","",U6)</f>
        <v/>
      </c>
      <c r="AV6" s="131" t="str">
        <f t="shared" ref="AV6:AV23" si="4">IF($D6="","",V6)</f>
        <v/>
      </c>
      <c r="AW6" s="133" t="str">
        <f t="shared" ref="AW6:AW23" si="5">IF($D6="","",W6)</f>
        <v/>
      </c>
      <c r="AX6" s="27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</row>
    <row r="7" spans="1:61" ht="15" customHeight="1" x14ac:dyDescent="0.25">
      <c r="A7" s="23"/>
      <c r="B7" s="23"/>
      <c r="C7" s="43" t="str">
        <f t="shared" ref="C7:C20" si="6">IF($D7="","",$C6+1)</f>
        <v/>
      </c>
      <c r="D7" s="102"/>
      <c r="E7" s="76" t="str">
        <f>IFERROR(VLOOKUP(SingleGame!$D7,Rosters!$C$3:$L$190,INDEX(Lists!$P$5:$Q$80,MATCH(SingleGame!$C$4,Lists!$Q$5:$Q$80,FALSE),1),FALSE),"")</f>
        <v/>
      </c>
      <c r="F7" s="11" t="str">
        <f>IF(SingleGame!$D7="","",1)</f>
        <v/>
      </c>
      <c r="G7" s="164"/>
      <c r="H7" s="165"/>
      <c r="I7" s="165"/>
      <c r="J7" s="165"/>
      <c r="K7" s="165"/>
      <c r="L7" s="165"/>
      <c r="M7" s="165"/>
      <c r="N7" s="165"/>
      <c r="O7" s="165"/>
      <c r="P7" s="166"/>
      <c r="Q7" s="79" t="str">
        <f>IFERROR(SingleGame!$O7/SingleGame!$P$6:$P$22,"-")</f>
        <v>-</v>
      </c>
      <c r="R7" s="164"/>
      <c r="S7" s="166"/>
      <c r="T7" s="79" t="str">
        <f>IFERROR(SingleGame!$R7/SingleGame!$S$6:$S$22,"-")</f>
        <v>-</v>
      </c>
      <c r="U7" s="164"/>
      <c r="V7" s="166"/>
      <c r="W7" s="94" t="str">
        <f>IFERROR(SingleGame!$U7/SingleGame!$V$6:$V$22,"-")</f>
        <v>-</v>
      </c>
      <c r="X7" s="23"/>
      <c r="Y7" s="23"/>
      <c r="Z7" s="131" t="str">
        <f t="shared" ref="Z7:Z23" si="7">IF($D7="","",$C$4)</f>
        <v/>
      </c>
      <c r="AA7" s="131" t="str">
        <f t="shared" ref="AA7:AA23" si="8">IF($D7="","",$E$4)</f>
        <v/>
      </c>
      <c r="AB7" s="132" t="str">
        <f t="shared" ref="AB7:AB23" si="9">IF($D7="","",$M$4)</f>
        <v/>
      </c>
      <c r="AC7" s="131" t="str">
        <f t="shared" ref="AC7:AC23" si="10">IF($D7="","",$O$4)</f>
        <v/>
      </c>
      <c r="AD7" s="131" t="str">
        <f t="shared" ref="AD7:AD23" si="11">IF($D7="","",D7)</f>
        <v/>
      </c>
      <c r="AE7" s="131" t="str">
        <f t="shared" si="1"/>
        <v/>
      </c>
      <c r="AF7" s="131" t="str">
        <f t="shared" si="1"/>
        <v/>
      </c>
      <c r="AG7" s="131" t="str">
        <f t="shared" si="1"/>
        <v/>
      </c>
      <c r="AH7" s="131" t="str">
        <f t="shared" si="1"/>
        <v/>
      </c>
      <c r="AI7" s="131" t="str">
        <f t="shared" si="1"/>
        <v/>
      </c>
      <c r="AJ7" s="131" t="str">
        <f t="shared" si="1"/>
        <v/>
      </c>
      <c r="AK7" s="131" t="str">
        <f t="shared" si="1"/>
        <v/>
      </c>
      <c r="AL7" s="131" t="str">
        <f t="shared" si="1"/>
        <v/>
      </c>
      <c r="AM7" s="131" t="str">
        <f t="shared" si="1"/>
        <v/>
      </c>
      <c r="AN7" s="131" t="str">
        <f t="shared" si="1"/>
        <v/>
      </c>
      <c r="AO7" s="131" t="str">
        <f t="shared" si="1"/>
        <v/>
      </c>
      <c r="AP7" s="131" t="str">
        <f t="shared" si="1"/>
        <v/>
      </c>
      <c r="AQ7" s="133" t="str">
        <f t="shared" si="1"/>
        <v/>
      </c>
      <c r="AR7" s="131" t="str">
        <f t="shared" ref="AR7:AR23" si="12">IF($D7="","",R7)</f>
        <v/>
      </c>
      <c r="AS7" s="131" t="str">
        <f t="shared" si="2"/>
        <v/>
      </c>
      <c r="AT7" s="133" t="str">
        <f t="shared" si="3"/>
        <v/>
      </c>
      <c r="AU7" s="131" t="str">
        <f t="shared" ref="AU7:AU23" si="13">IF($D7="","",U7)</f>
        <v/>
      </c>
      <c r="AV7" s="131" t="str">
        <f t="shared" si="4"/>
        <v/>
      </c>
      <c r="AW7" s="133" t="str">
        <f t="shared" si="5"/>
        <v/>
      </c>
      <c r="AX7" s="27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</row>
    <row r="8" spans="1:61" ht="15" customHeight="1" x14ac:dyDescent="0.25">
      <c r="A8" s="23"/>
      <c r="B8" s="23"/>
      <c r="C8" s="44" t="str">
        <f t="shared" si="6"/>
        <v/>
      </c>
      <c r="D8" s="102"/>
      <c r="E8" s="77" t="str">
        <f>IFERROR(VLOOKUP(SingleGame!$D8,Rosters!$C$3:$L$190,INDEX(Lists!$P$5:$Q$80,MATCH(SingleGame!$C$4,Lists!$Q$5:$Q$80,FALSE),1),FALSE),"")</f>
        <v/>
      </c>
      <c r="F8" s="12" t="str">
        <f>IF(SingleGame!$D8="","",1)</f>
        <v/>
      </c>
      <c r="G8" s="164"/>
      <c r="H8" s="165"/>
      <c r="I8" s="165"/>
      <c r="J8" s="165"/>
      <c r="K8" s="165"/>
      <c r="L8" s="165"/>
      <c r="M8" s="165"/>
      <c r="N8" s="165"/>
      <c r="O8" s="165"/>
      <c r="P8" s="166"/>
      <c r="Q8" s="80" t="str">
        <f>IFERROR(SingleGame!$O8/SingleGame!$P$6:$P$22,"-")</f>
        <v>-</v>
      </c>
      <c r="R8" s="164"/>
      <c r="S8" s="166"/>
      <c r="T8" s="80" t="str">
        <f>IFERROR(SingleGame!$R8/SingleGame!$S$6:$S$22,"-")</f>
        <v>-</v>
      </c>
      <c r="U8" s="164"/>
      <c r="V8" s="166"/>
      <c r="W8" s="95" t="str">
        <f>IFERROR(SingleGame!$U8/SingleGame!$V$6:$V$22,"-")</f>
        <v>-</v>
      </c>
      <c r="X8" s="23"/>
      <c r="Y8" s="23"/>
      <c r="Z8" s="131" t="str">
        <f t="shared" si="7"/>
        <v/>
      </c>
      <c r="AA8" s="131" t="str">
        <f t="shared" si="8"/>
        <v/>
      </c>
      <c r="AB8" s="132" t="str">
        <f t="shared" si="9"/>
        <v/>
      </c>
      <c r="AC8" s="131" t="str">
        <f t="shared" si="10"/>
        <v/>
      </c>
      <c r="AD8" s="131" t="str">
        <f t="shared" si="11"/>
        <v/>
      </c>
      <c r="AE8" s="131" t="str">
        <f t="shared" si="1"/>
        <v/>
      </c>
      <c r="AF8" s="131" t="str">
        <f t="shared" si="1"/>
        <v/>
      </c>
      <c r="AG8" s="131" t="str">
        <f t="shared" si="1"/>
        <v/>
      </c>
      <c r="AH8" s="131" t="str">
        <f t="shared" si="1"/>
        <v/>
      </c>
      <c r="AI8" s="131" t="str">
        <f t="shared" si="1"/>
        <v/>
      </c>
      <c r="AJ8" s="131" t="str">
        <f t="shared" si="1"/>
        <v/>
      </c>
      <c r="AK8" s="131" t="str">
        <f t="shared" si="1"/>
        <v/>
      </c>
      <c r="AL8" s="131" t="str">
        <f t="shared" si="1"/>
        <v/>
      </c>
      <c r="AM8" s="131" t="str">
        <f t="shared" si="1"/>
        <v/>
      </c>
      <c r="AN8" s="131" t="str">
        <f t="shared" si="1"/>
        <v/>
      </c>
      <c r="AO8" s="131" t="str">
        <f t="shared" si="1"/>
        <v/>
      </c>
      <c r="AP8" s="131" t="str">
        <f t="shared" si="1"/>
        <v/>
      </c>
      <c r="AQ8" s="133" t="str">
        <f t="shared" si="1"/>
        <v/>
      </c>
      <c r="AR8" s="131" t="str">
        <f t="shared" si="12"/>
        <v/>
      </c>
      <c r="AS8" s="131" t="str">
        <f t="shared" si="2"/>
        <v/>
      </c>
      <c r="AT8" s="133" t="str">
        <f t="shared" si="3"/>
        <v/>
      </c>
      <c r="AU8" s="131" t="str">
        <f t="shared" si="13"/>
        <v/>
      </c>
      <c r="AV8" s="131" t="str">
        <f t="shared" si="4"/>
        <v/>
      </c>
      <c r="AW8" s="133" t="str">
        <f t="shared" si="5"/>
        <v/>
      </c>
      <c r="AX8" s="27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</row>
    <row r="9" spans="1:61" ht="15" customHeight="1" x14ac:dyDescent="0.25">
      <c r="A9" s="23"/>
      <c r="B9" s="23"/>
      <c r="C9" s="43" t="str">
        <f t="shared" si="6"/>
        <v/>
      </c>
      <c r="D9" s="102"/>
      <c r="E9" s="76" t="str">
        <f>IFERROR(VLOOKUP(SingleGame!$D9,Rosters!$C$3:$L$190,INDEX(Lists!$P$5:$Q$80,MATCH(SingleGame!$C$4,Lists!$Q$5:$Q$80,FALSE),1),FALSE),"")</f>
        <v/>
      </c>
      <c r="F9" s="11" t="str">
        <f>IF(SingleGame!$D9="","",1)</f>
        <v/>
      </c>
      <c r="G9" s="164"/>
      <c r="H9" s="165"/>
      <c r="I9" s="165"/>
      <c r="J9" s="165"/>
      <c r="K9" s="165"/>
      <c r="L9" s="165"/>
      <c r="M9" s="165"/>
      <c r="N9" s="165"/>
      <c r="O9" s="165"/>
      <c r="P9" s="166"/>
      <c r="Q9" s="79" t="str">
        <f>IFERROR(SingleGame!$O9/SingleGame!$P$6:$P$22,"-")</f>
        <v>-</v>
      </c>
      <c r="R9" s="164"/>
      <c r="S9" s="166"/>
      <c r="T9" s="79" t="str">
        <f>IFERROR(SingleGame!$R9/SingleGame!$S$6:$S$22,"-")</f>
        <v>-</v>
      </c>
      <c r="U9" s="164"/>
      <c r="V9" s="166"/>
      <c r="W9" s="94" t="str">
        <f>IFERROR(SingleGame!$U9/SingleGame!$V$6:$V$22,"-")</f>
        <v>-</v>
      </c>
      <c r="X9" s="23"/>
      <c r="Y9" s="23"/>
      <c r="Z9" s="131" t="str">
        <f t="shared" si="7"/>
        <v/>
      </c>
      <c r="AA9" s="131" t="str">
        <f t="shared" si="8"/>
        <v/>
      </c>
      <c r="AB9" s="132" t="str">
        <f t="shared" si="9"/>
        <v/>
      </c>
      <c r="AC9" s="131" t="str">
        <f t="shared" si="10"/>
        <v/>
      </c>
      <c r="AD9" s="131" t="str">
        <f t="shared" si="11"/>
        <v/>
      </c>
      <c r="AE9" s="131" t="str">
        <f t="shared" si="1"/>
        <v/>
      </c>
      <c r="AF9" s="131" t="str">
        <f t="shared" si="1"/>
        <v/>
      </c>
      <c r="AG9" s="131" t="str">
        <f t="shared" si="1"/>
        <v/>
      </c>
      <c r="AH9" s="131" t="str">
        <f t="shared" si="1"/>
        <v/>
      </c>
      <c r="AI9" s="131" t="str">
        <f t="shared" si="1"/>
        <v/>
      </c>
      <c r="AJ9" s="131" t="str">
        <f t="shared" si="1"/>
        <v/>
      </c>
      <c r="AK9" s="131" t="str">
        <f t="shared" si="1"/>
        <v/>
      </c>
      <c r="AL9" s="131" t="str">
        <f t="shared" si="1"/>
        <v/>
      </c>
      <c r="AM9" s="131" t="str">
        <f t="shared" si="1"/>
        <v/>
      </c>
      <c r="AN9" s="131" t="str">
        <f t="shared" si="1"/>
        <v/>
      </c>
      <c r="AO9" s="131" t="str">
        <f t="shared" si="1"/>
        <v/>
      </c>
      <c r="AP9" s="131" t="str">
        <f t="shared" si="1"/>
        <v/>
      </c>
      <c r="AQ9" s="133" t="str">
        <f t="shared" si="1"/>
        <v/>
      </c>
      <c r="AR9" s="131" t="str">
        <f t="shared" si="12"/>
        <v/>
      </c>
      <c r="AS9" s="131" t="str">
        <f t="shared" si="2"/>
        <v/>
      </c>
      <c r="AT9" s="133" t="str">
        <f t="shared" si="3"/>
        <v/>
      </c>
      <c r="AU9" s="131" t="str">
        <f t="shared" si="13"/>
        <v/>
      </c>
      <c r="AV9" s="131" t="str">
        <f t="shared" si="4"/>
        <v/>
      </c>
      <c r="AW9" s="133" t="str">
        <f t="shared" si="5"/>
        <v/>
      </c>
      <c r="AX9" s="27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</row>
    <row r="10" spans="1:61" ht="15" customHeight="1" x14ac:dyDescent="0.25">
      <c r="A10" s="23"/>
      <c r="B10" s="23"/>
      <c r="C10" s="44" t="str">
        <f t="shared" si="6"/>
        <v/>
      </c>
      <c r="D10" s="102"/>
      <c r="E10" s="77" t="str">
        <f>IFERROR(VLOOKUP(SingleGame!$D10,Rosters!$C$3:$L$190,INDEX(Lists!$P$5:$Q$80,MATCH(SingleGame!$C$4,Lists!$Q$5:$Q$80,FALSE),1),FALSE),"")</f>
        <v/>
      </c>
      <c r="F10" s="12" t="str">
        <f>IF(SingleGame!$D10="","",1)</f>
        <v/>
      </c>
      <c r="G10" s="164"/>
      <c r="H10" s="165"/>
      <c r="I10" s="165"/>
      <c r="J10" s="165"/>
      <c r="K10" s="165"/>
      <c r="L10" s="165"/>
      <c r="M10" s="165"/>
      <c r="N10" s="165"/>
      <c r="O10" s="165"/>
      <c r="P10" s="166"/>
      <c r="Q10" s="80" t="str">
        <f>IFERROR(SingleGame!$O10/SingleGame!$P$6:$P$22,"-")</f>
        <v>-</v>
      </c>
      <c r="R10" s="164"/>
      <c r="S10" s="166"/>
      <c r="T10" s="80" t="str">
        <f>IFERROR(SingleGame!$R10/SingleGame!$S$6:$S$22,"-")</f>
        <v>-</v>
      </c>
      <c r="U10" s="164"/>
      <c r="V10" s="166"/>
      <c r="W10" s="95" t="str">
        <f>IFERROR(SingleGame!$U10/SingleGame!$V$6:$V$22,"-")</f>
        <v>-</v>
      </c>
      <c r="X10" s="23"/>
      <c r="Y10" s="23"/>
      <c r="Z10" s="131" t="str">
        <f t="shared" si="7"/>
        <v/>
      </c>
      <c r="AA10" s="131" t="str">
        <f t="shared" si="8"/>
        <v/>
      </c>
      <c r="AB10" s="132" t="str">
        <f t="shared" si="9"/>
        <v/>
      </c>
      <c r="AC10" s="131" t="str">
        <f t="shared" si="10"/>
        <v/>
      </c>
      <c r="AD10" s="131" t="str">
        <f t="shared" si="11"/>
        <v/>
      </c>
      <c r="AE10" s="131" t="str">
        <f t="shared" si="1"/>
        <v/>
      </c>
      <c r="AF10" s="131" t="str">
        <f t="shared" si="1"/>
        <v/>
      </c>
      <c r="AG10" s="131" t="str">
        <f t="shared" si="1"/>
        <v/>
      </c>
      <c r="AH10" s="131" t="str">
        <f t="shared" si="1"/>
        <v/>
      </c>
      <c r="AI10" s="131" t="str">
        <f t="shared" si="1"/>
        <v/>
      </c>
      <c r="AJ10" s="131" t="str">
        <f t="shared" si="1"/>
        <v/>
      </c>
      <c r="AK10" s="131" t="str">
        <f t="shared" si="1"/>
        <v/>
      </c>
      <c r="AL10" s="131" t="str">
        <f t="shared" si="1"/>
        <v/>
      </c>
      <c r="AM10" s="131" t="str">
        <f t="shared" si="1"/>
        <v/>
      </c>
      <c r="AN10" s="131" t="str">
        <f t="shared" si="1"/>
        <v/>
      </c>
      <c r="AO10" s="131" t="str">
        <f t="shared" si="1"/>
        <v/>
      </c>
      <c r="AP10" s="131" t="str">
        <f t="shared" si="1"/>
        <v/>
      </c>
      <c r="AQ10" s="133" t="str">
        <f t="shared" si="1"/>
        <v/>
      </c>
      <c r="AR10" s="131" t="str">
        <f t="shared" si="12"/>
        <v/>
      </c>
      <c r="AS10" s="131" t="str">
        <f t="shared" si="2"/>
        <v/>
      </c>
      <c r="AT10" s="133" t="str">
        <f t="shared" si="3"/>
        <v/>
      </c>
      <c r="AU10" s="131" t="str">
        <f t="shared" si="13"/>
        <v/>
      </c>
      <c r="AV10" s="131" t="str">
        <f t="shared" si="4"/>
        <v/>
      </c>
      <c r="AW10" s="133" t="str">
        <f t="shared" si="5"/>
        <v/>
      </c>
      <c r="AX10" s="27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</row>
    <row r="11" spans="1:61" ht="15" customHeight="1" x14ac:dyDescent="0.25">
      <c r="A11" s="23"/>
      <c r="B11" s="23"/>
      <c r="C11" s="43" t="str">
        <f t="shared" si="6"/>
        <v/>
      </c>
      <c r="D11" s="102"/>
      <c r="E11" s="76" t="str">
        <f>IFERROR(VLOOKUP(SingleGame!$D11,Rosters!$C$3:$L$190,INDEX(Lists!$P$5:$Q$80,MATCH(SingleGame!$C$4,Lists!$Q$5:$Q$80,FALSE),1),FALSE),"")</f>
        <v/>
      </c>
      <c r="F11" s="11" t="str">
        <f>IF(SingleGame!$D11="","",1)</f>
        <v/>
      </c>
      <c r="G11" s="164"/>
      <c r="H11" s="165"/>
      <c r="I11" s="165"/>
      <c r="J11" s="165"/>
      <c r="K11" s="165"/>
      <c r="L11" s="165"/>
      <c r="M11" s="165"/>
      <c r="N11" s="165"/>
      <c r="O11" s="165"/>
      <c r="P11" s="166"/>
      <c r="Q11" s="79" t="str">
        <f>IFERROR(SingleGame!$O11/SingleGame!$P$6:$P$22,"-")</f>
        <v>-</v>
      </c>
      <c r="R11" s="164"/>
      <c r="S11" s="166"/>
      <c r="T11" s="79" t="str">
        <f>IFERROR(SingleGame!$R11/SingleGame!$S$6:$S$22,"-")</f>
        <v>-</v>
      </c>
      <c r="U11" s="164"/>
      <c r="V11" s="166"/>
      <c r="W11" s="94" t="str">
        <f>IFERROR(SingleGame!$U11/SingleGame!$V$6:$V$22,"-")</f>
        <v>-</v>
      </c>
      <c r="X11" s="23"/>
      <c r="Y11" s="23"/>
      <c r="Z11" s="131" t="str">
        <f t="shared" si="7"/>
        <v/>
      </c>
      <c r="AA11" s="131" t="str">
        <f t="shared" si="8"/>
        <v/>
      </c>
      <c r="AB11" s="132" t="str">
        <f t="shared" si="9"/>
        <v/>
      </c>
      <c r="AC11" s="131" t="str">
        <f t="shared" si="10"/>
        <v/>
      </c>
      <c r="AD11" s="131" t="str">
        <f t="shared" si="11"/>
        <v/>
      </c>
      <c r="AE11" s="131" t="str">
        <f t="shared" si="1"/>
        <v/>
      </c>
      <c r="AF11" s="131" t="str">
        <f t="shared" si="1"/>
        <v/>
      </c>
      <c r="AG11" s="131" t="str">
        <f t="shared" si="1"/>
        <v/>
      </c>
      <c r="AH11" s="131" t="str">
        <f t="shared" si="1"/>
        <v/>
      </c>
      <c r="AI11" s="131" t="str">
        <f t="shared" si="1"/>
        <v/>
      </c>
      <c r="AJ11" s="131" t="str">
        <f t="shared" si="1"/>
        <v/>
      </c>
      <c r="AK11" s="131" t="str">
        <f t="shared" si="1"/>
        <v/>
      </c>
      <c r="AL11" s="131" t="str">
        <f t="shared" si="1"/>
        <v/>
      </c>
      <c r="AM11" s="131" t="str">
        <f t="shared" si="1"/>
        <v/>
      </c>
      <c r="AN11" s="131" t="str">
        <f t="shared" si="1"/>
        <v/>
      </c>
      <c r="AO11" s="131" t="str">
        <f t="shared" si="1"/>
        <v/>
      </c>
      <c r="AP11" s="131" t="str">
        <f t="shared" si="1"/>
        <v/>
      </c>
      <c r="AQ11" s="133" t="str">
        <f t="shared" si="1"/>
        <v/>
      </c>
      <c r="AR11" s="131" t="str">
        <f t="shared" si="12"/>
        <v/>
      </c>
      <c r="AS11" s="131" t="str">
        <f t="shared" si="2"/>
        <v/>
      </c>
      <c r="AT11" s="133" t="str">
        <f t="shared" si="3"/>
        <v/>
      </c>
      <c r="AU11" s="131" t="str">
        <f t="shared" si="13"/>
        <v/>
      </c>
      <c r="AV11" s="131" t="str">
        <f t="shared" si="4"/>
        <v/>
      </c>
      <c r="AW11" s="133" t="str">
        <f t="shared" si="5"/>
        <v/>
      </c>
      <c r="AX11" s="27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</row>
    <row r="12" spans="1:61" ht="15" customHeight="1" x14ac:dyDescent="0.25">
      <c r="A12" s="23"/>
      <c r="B12" s="23"/>
      <c r="C12" s="44" t="str">
        <f t="shared" si="6"/>
        <v/>
      </c>
      <c r="D12" s="102"/>
      <c r="E12" s="77" t="str">
        <f>IFERROR(VLOOKUP(SingleGame!$D12,Rosters!$C$3:$L$190,INDEX(Lists!$P$5:$Q$80,MATCH(SingleGame!$C$4,Lists!$Q$5:$Q$80,FALSE),1),FALSE),"")</f>
        <v/>
      </c>
      <c r="F12" s="12" t="str">
        <f>IF(SingleGame!$D12="","",1)</f>
        <v/>
      </c>
      <c r="G12" s="164"/>
      <c r="H12" s="165"/>
      <c r="I12" s="165"/>
      <c r="J12" s="165"/>
      <c r="K12" s="165"/>
      <c r="L12" s="165"/>
      <c r="M12" s="165"/>
      <c r="N12" s="165"/>
      <c r="O12" s="165"/>
      <c r="P12" s="166"/>
      <c r="Q12" s="80" t="str">
        <f>IFERROR(SingleGame!$O12/SingleGame!$P$6:$P$22,"-")</f>
        <v>-</v>
      </c>
      <c r="R12" s="164"/>
      <c r="S12" s="166"/>
      <c r="T12" s="80" t="str">
        <f>IFERROR(SingleGame!$R12/SingleGame!$S$6:$S$22,"-")</f>
        <v>-</v>
      </c>
      <c r="U12" s="164"/>
      <c r="V12" s="166"/>
      <c r="W12" s="95" t="str">
        <f>IFERROR(SingleGame!$U12/SingleGame!$V$6:$V$22,"-")</f>
        <v>-</v>
      </c>
      <c r="X12" s="23"/>
      <c r="Y12" s="23"/>
      <c r="Z12" s="131" t="str">
        <f t="shared" si="7"/>
        <v/>
      </c>
      <c r="AA12" s="131" t="str">
        <f t="shared" si="8"/>
        <v/>
      </c>
      <c r="AB12" s="132" t="str">
        <f t="shared" si="9"/>
        <v/>
      </c>
      <c r="AC12" s="131" t="str">
        <f t="shared" si="10"/>
        <v/>
      </c>
      <c r="AD12" s="131" t="str">
        <f t="shared" si="11"/>
        <v/>
      </c>
      <c r="AE12" s="131" t="str">
        <f t="shared" si="1"/>
        <v/>
      </c>
      <c r="AF12" s="131" t="str">
        <f t="shared" si="1"/>
        <v/>
      </c>
      <c r="AG12" s="131" t="str">
        <f t="shared" si="1"/>
        <v/>
      </c>
      <c r="AH12" s="131" t="str">
        <f t="shared" si="1"/>
        <v/>
      </c>
      <c r="AI12" s="131" t="str">
        <f t="shared" si="1"/>
        <v/>
      </c>
      <c r="AJ12" s="131" t="str">
        <f t="shared" si="1"/>
        <v/>
      </c>
      <c r="AK12" s="131" t="str">
        <f t="shared" si="1"/>
        <v/>
      </c>
      <c r="AL12" s="131" t="str">
        <f t="shared" si="1"/>
        <v/>
      </c>
      <c r="AM12" s="131" t="str">
        <f t="shared" si="1"/>
        <v/>
      </c>
      <c r="AN12" s="131" t="str">
        <f t="shared" si="1"/>
        <v/>
      </c>
      <c r="AO12" s="131" t="str">
        <f t="shared" si="1"/>
        <v/>
      </c>
      <c r="AP12" s="131" t="str">
        <f t="shared" si="1"/>
        <v/>
      </c>
      <c r="AQ12" s="133" t="str">
        <f t="shared" si="1"/>
        <v/>
      </c>
      <c r="AR12" s="131" t="str">
        <f t="shared" si="12"/>
        <v/>
      </c>
      <c r="AS12" s="131" t="str">
        <f t="shared" si="2"/>
        <v/>
      </c>
      <c r="AT12" s="133" t="str">
        <f t="shared" si="3"/>
        <v/>
      </c>
      <c r="AU12" s="131" t="str">
        <f t="shared" si="13"/>
        <v/>
      </c>
      <c r="AV12" s="131" t="str">
        <f t="shared" si="4"/>
        <v/>
      </c>
      <c r="AW12" s="133" t="str">
        <f t="shared" si="5"/>
        <v/>
      </c>
      <c r="AX12" s="27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</row>
    <row r="13" spans="1:61" ht="15" customHeight="1" x14ac:dyDescent="0.25">
      <c r="A13" s="23"/>
      <c r="B13" s="23"/>
      <c r="C13" s="43" t="str">
        <f t="shared" si="6"/>
        <v/>
      </c>
      <c r="D13" s="102"/>
      <c r="E13" s="76" t="str">
        <f>IFERROR(VLOOKUP(SingleGame!$D13,Rosters!$C$3:$L$190,INDEX(Lists!$P$5:$Q$80,MATCH(SingleGame!$C$4,Lists!$Q$5:$Q$80,FALSE),1),FALSE),"")</f>
        <v/>
      </c>
      <c r="F13" s="11" t="str">
        <f>IF(SingleGame!$D13="","",1)</f>
        <v/>
      </c>
      <c r="G13" s="164"/>
      <c r="H13" s="165"/>
      <c r="I13" s="165"/>
      <c r="J13" s="165"/>
      <c r="K13" s="165"/>
      <c r="L13" s="165"/>
      <c r="M13" s="165"/>
      <c r="N13" s="165"/>
      <c r="O13" s="165"/>
      <c r="P13" s="166"/>
      <c r="Q13" s="79" t="str">
        <f>IFERROR(SingleGame!$O13/SingleGame!$P$6:$P$22,"-")</f>
        <v>-</v>
      </c>
      <c r="R13" s="164"/>
      <c r="S13" s="166"/>
      <c r="T13" s="79" t="str">
        <f>IFERROR(SingleGame!$R13/SingleGame!$S$6:$S$22,"-")</f>
        <v>-</v>
      </c>
      <c r="U13" s="164"/>
      <c r="V13" s="166"/>
      <c r="W13" s="94" t="str">
        <f>IFERROR(SingleGame!$U13/SingleGame!$V$6:$V$22,"-")</f>
        <v>-</v>
      </c>
      <c r="X13" s="23"/>
      <c r="Y13" s="23"/>
      <c r="Z13" s="131" t="str">
        <f t="shared" si="7"/>
        <v/>
      </c>
      <c r="AA13" s="131" t="str">
        <f t="shared" si="8"/>
        <v/>
      </c>
      <c r="AB13" s="132" t="str">
        <f t="shared" si="9"/>
        <v/>
      </c>
      <c r="AC13" s="131" t="str">
        <f t="shared" si="10"/>
        <v/>
      </c>
      <c r="AD13" s="131" t="str">
        <f t="shared" si="11"/>
        <v/>
      </c>
      <c r="AE13" s="131" t="str">
        <f t="shared" si="1"/>
        <v/>
      </c>
      <c r="AF13" s="131" t="str">
        <f t="shared" si="1"/>
        <v/>
      </c>
      <c r="AG13" s="131" t="str">
        <f t="shared" si="1"/>
        <v/>
      </c>
      <c r="AH13" s="131" t="str">
        <f t="shared" si="1"/>
        <v/>
      </c>
      <c r="AI13" s="131" t="str">
        <f t="shared" si="1"/>
        <v/>
      </c>
      <c r="AJ13" s="131" t="str">
        <f t="shared" si="1"/>
        <v/>
      </c>
      <c r="AK13" s="131" t="str">
        <f t="shared" si="1"/>
        <v/>
      </c>
      <c r="AL13" s="131" t="str">
        <f t="shared" si="1"/>
        <v/>
      </c>
      <c r="AM13" s="131" t="str">
        <f t="shared" si="1"/>
        <v/>
      </c>
      <c r="AN13" s="131" t="str">
        <f t="shared" si="1"/>
        <v/>
      </c>
      <c r="AO13" s="131" t="str">
        <f t="shared" si="1"/>
        <v/>
      </c>
      <c r="AP13" s="131" t="str">
        <f t="shared" si="1"/>
        <v/>
      </c>
      <c r="AQ13" s="133" t="str">
        <f t="shared" si="1"/>
        <v/>
      </c>
      <c r="AR13" s="131" t="str">
        <f t="shared" si="12"/>
        <v/>
      </c>
      <c r="AS13" s="131" t="str">
        <f t="shared" si="2"/>
        <v/>
      </c>
      <c r="AT13" s="133" t="str">
        <f t="shared" si="3"/>
        <v/>
      </c>
      <c r="AU13" s="131" t="str">
        <f t="shared" si="13"/>
        <v/>
      </c>
      <c r="AV13" s="131" t="str">
        <f t="shared" si="4"/>
        <v/>
      </c>
      <c r="AW13" s="133" t="str">
        <f t="shared" si="5"/>
        <v/>
      </c>
      <c r="AX13" s="27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</row>
    <row r="14" spans="1:61" ht="15" customHeight="1" x14ac:dyDescent="0.25">
      <c r="A14" s="23"/>
      <c r="B14" s="23"/>
      <c r="C14" s="44" t="str">
        <f t="shared" si="6"/>
        <v/>
      </c>
      <c r="D14" s="102"/>
      <c r="E14" s="77" t="str">
        <f>IFERROR(VLOOKUP(SingleGame!$D14,Rosters!$C$3:$L$190,INDEX(Lists!$P$5:$Q$80,MATCH(SingleGame!$C$4,Lists!$Q$5:$Q$80,FALSE),1),FALSE),"")</f>
        <v/>
      </c>
      <c r="F14" s="12" t="str">
        <f>IF(SingleGame!$D14="","",1)</f>
        <v/>
      </c>
      <c r="G14" s="164"/>
      <c r="H14" s="165"/>
      <c r="I14" s="165"/>
      <c r="J14" s="165"/>
      <c r="K14" s="165"/>
      <c r="L14" s="165"/>
      <c r="M14" s="165"/>
      <c r="N14" s="165"/>
      <c r="O14" s="165"/>
      <c r="P14" s="166"/>
      <c r="Q14" s="80" t="str">
        <f>IFERROR(SingleGame!$O14/SingleGame!$P$6:$P$22,"-")</f>
        <v>-</v>
      </c>
      <c r="R14" s="164"/>
      <c r="S14" s="166"/>
      <c r="T14" s="80" t="str">
        <f>IFERROR(SingleGame!$R14/SingleGame!$S$6:$S$22,"-")</f>
        <v>-</v>
      </c>
      <c r="U14" s="164"/>
      <c r="V14" s="166"/>
      <c r="W14" s="95" t="str">
        <f>IFERROR(SingleGame!$U14/SingleGame!$V$6:$V$22,"-")</f>
        <v>-</v>
      </c>
      <c r="X14" s="23"/>
      <c r="Y14" s="23"/>
      <c r="Z14" s="131" t="str">
        <f t="shared" si="7"/>
        <v/>
      </c>
      <c r="AA14" s="131" t="str">
        <f t="shared" si="8"/>
        <v/>
      </c>
      <c r="AB14" s="132" t="str">
        <f t="shared" si="9"/>
        <v/>
      </c>
      <c r="AC14" s="131" t="str">
        <f t="shared" si="10"/>
        <v/>
      </c>
      <c r="AD14" s="131" t="str">
        <f t="shared" si="11"/>
        <v/>
      </c>
      <c r="AE14" s="131" t="str">
        <f t="shared" si="1"/>
        <v/>
      </c>
      <c r="AF14" s="131" t="str">
        <f t="shared" si="1"/>
        <v/>
      </c>
      <c r="AG14" s="131" t="str">
        <f t="shared" si="1"/>
        <v/>
      </c>
      <c r="AH14" s="131" t="str">
        <f t="shared" si="1"/>
        <v/>
      </c>
      <c r="AI14" s="131" t="str">
        <f t="shared" si="1"/>
        <v/>
      </c>
      <c r="AJ14" s="131" t="str">
        <f t="shared" si="1"/>
        <v/>
      </c>
      <c r="AK14" s="131" t="str">
        <f t="shared" si="1"/>
        <v/>
      </c>
      <c r="AL14" s="131" t="str">
        <f t="shared" si="1"/>
        <v/>
      </c>
      <c r="AM14" s="131" t="str">
        <f t="shared" si="1"/>
        <v/>
      </c>
      <c r="AN14" s="131" t="str">
        <f t="shared" si="1"/>
        <v/>
      </c>
      <c r="AO14" s="131" t="str">
        <f t="shared" si="1"/>
        <v/>
      </c>
      <c r="AP14" s="131" t="str">
        <f t="shared" si="1"/>
        <v/>
      </c>
      <c r="AQ14" s="133" t="str">
        <f t="shared" si="1"/>
        <v/>
      </c>
      <c r="AR14" s="131" t="str">
        <f t="shared" si="12"/>
        <v/>
      </c>
      <c r="AS14" s="131" t="str">
        <f t="shared" si="2"/>
        <v/>
      </c>
      <c r="AT14" s="133" t="str">
        <f t="shared" si="3"/>
        <v/>
      </c>
      <c r="AU14" s="131" t="str">
        <f t="shared" si="13"/>
        <v/>
      </c>
      <c r="AV14" s="131" t="str">
        <f t="shared" si="4"/>
        <v/>
      </c>
      <c r="AW14" s="133" t="str">
        <f t="shared" si="5"/>
        <v/>
      </c>
      <c r="AX14" s="27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</row>
    <row r="15" spans="1:61" ht="15" customHeight="1" x14ac:dyDescent="0.25">
      <c r="A15" s="23"/>
      <c r="B15" s="23"/>
      <c r="C15" s="43" t="str">
        <f t="shared" si="6"/>
        <v/>
      </c>
      <c r="D15" s="102"/>
      <c r="E15" s="76" t="str">
        <f>IFERROR(VLOOKUP(SingleGame!$D15,Rosters!$C$3:$L$190,INDEX(Lists!$P$5:$Q$80,MATCH(SingleGame!$C$4,Lists!$Q$5:$Q$80,FALSE),1),FALSE),"")</f>
        <v/>
      </c>
      <c r="F15" s="11" t="str">
        <f>IF(SingleGame!$D15="","",1)</f>
        <v/>
      </c>
      <c r="G15" s="164"/>
      <c r="H15" s="165"/>
      <c r="I15" s="165"/>
      <c r="J15" s="165"/>
      <c r="K15" s="165"/>
      <c r="L15" s="165"/>
      <c r="M15" s="165"/>
      <c r="N15" s="165"/>
      <c r="O15" s="165"/>
      <c r="P15" s="166"/>
      <c r="Q15" s="79" t="str">
        <f>IFERROR(SingleGame!$O15/SingleGame!$P$6:$P$22,"-")</f>
        <v>-</v>
      </c>
      <c r="R15" s="164"/>
      <c r="S15" s="166"/>
      <c r="T15" s="79" t="str">
        <f>IFERROR(SingleGame!$R15/SingleGame!$S$6:$S$22,"-")</f>
        <v>-</v>
      </c>
      <c r="U15" s="164"/>
      <c r="V15" s="166"/>
      <c r="W15" s="94" t="str">
        <f>IFERROR(SingleGame!$U15/SingleGame!$V$6:$V$22,"-")</f>
        <v>-</v>
      </c>
      <c r="X15" s="23"/>
      <c r="Y15" s="23"/>
      <c r="Z15" s="131" t="str">
        <f t="shared" si="7"/>
        <v/>
      </c>
      <c r="AA15" s="131" t="str">
        <f t="shared" si="8"/>
        <v/>
      </c>
      <c r="AB15" s="132" t="str">
        <f t="shared" si="9"/>
        <v/>
      </c>
      <c r="AC15" s="131" t="str">
        <f t="shared" si="10"/>
        <v/>
      </c>
      <c r="AD15" s="131" t="str">
        <f t="shared" si="11"/>
        <v/>
      </c>
      <c r="AE15" s="131" t="str">
        <f t="shared" si="1"/>
        <v/>
      </c>
      <c r="AF15" s="131" t="str">
        <f t="shared" si="1"/>
        <v/>
      </c>
      <c r="AG15" s="131" t="str">
        <f t="shared" si="1"/>
        <v/>
      </c>
      <c r="AH15" s="131" t="str">
        <f t="shared" si="1"/>
        <v/>
      </c>
      <c r="AI15" s="131" t="str">
        <f t="shared" si="1"/>
        <v/>
      </c>
      <c r="AJ15" s="131" t="str">
        <f t="shared" si="1"/>
        <v/>
      </c>
      <c r="AK15" s="131" t="str">
        <f t="shared" si="1"/>
        <v/>
      </c>
      <c r="AL15" s="131" t="str">
        <f t="shared" si="1"/>
        <v/>
      </c>
      <c r="AM15" s="131" t="str">
        <f t="shared" si="1"/>
        <v/>
      </c>
      <c r="AN15" s="131" t="str">
        <f t="shared" si="1"/>
        <v/>
      </c>
      <c r="AO15" s="131" t="str">
        <f t="shared" si="1"/>
        <v/>
      </c>
      <c r="AP15" s="131" t="str">
        <f t="shared" si="1"/>
        <v/>
      </c>
      <c r="AQ15" s="133" t="str">
        <f t="shared" si="1"/>
        <v/>
      </c>
      <c r="AR15" s="131" t="str">
        <f t="shared" si="12"/>
        <v/>
      </c>
      <c r="AS15" s="131" t="str">
        <f t="shared" si="2"/>
        <v/>
      </c>
      <c r="AT15" s="133" t="str">
        <f t="shared" si="3"/>
        <v/>
      </c>
      <c r="AU15" s="131" t="str">
        <f t="shared" si="13"/>
        <v/>
      </c>
      <c r="AV15" s="131" t="str">
        <f t="shared" si="4"/>
        <v/>
      </c>
      <c r="AW15" s="133" t="str">
        <f t="shared" si="5"/>
        <v/>
      </c>
      <c r="AX15" s="27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</row>
    <row r="16" spans="1:61" ht="15" customHeight="1" x14ac:dyDescent="0.25">
      <c r="A16" s="23"/>
      <c r="B16" s="23"/>
      <c r="C16" s="44" t="str">
        <f t="shared" si="6"/>
        <v/>
      </c>
      <c r="D16" s="102"/>
      <c r="E16" s="77" t="str">
        <f>IFERROR(VLOOKUP(SingleGame!$D16,Rosters!$C$3:$L$190,INDEX(Lists!$P$5:$Q$80,MATCH(SingleGame!$C$4,Lists!$Q$5:$Q$80,FALSE),1),FALSE),"")</f>
        <v/>
      </c>
      <c r="F16" s="12" t="str">
        <f>IF(SingleGame!$D16="","",1)</f>
        <v/>
      </c>
      <c r="G16" s="164"/>
      <c r="H16" s="165"/>
      <c r="I16" s="165"/>
      <c r="J16" s="165"/>
      <c r="K16" s="165"/>
      <c r="L16" s="165"/>
      <c r="M16" s="165"/>
      <c r="N16" s="165"/>
      <c r="O16" s="165"/>
      <c r="P16" s="166"/>
      <c r="Q16" s="80" t="str">
        <f>IFERROR(SingleGame!$O16/SingleGame!$P$6:$P$22,"-")</f>
        <v>-</v>
      </c>
      <c r="R16" s="164"/>
      <c r="S16" s="166"/>
      <c r="T16" s="80" t="str">
        <f>IFERROR(SingleGame!$R16/SingleGame!$S$6:$S$22,"-")</f>
        <v>-</v>
      </c>
      <c r="U16" s="164"/>
      <c r="V16" s="166"/>
      <c r="W16" s="95" t="str">
        <f>IFERROR(SingleGame!$U16/SingleGame!$V$6:$V$22,"-")</f>
        <v>-</v>
      </c>
      <c r="X16" s="23"/>
      <c r="Y16" s="23"/>
      <c r="Z16" s="131" t="str">
        <f t="shared" si="7"/>
        <v/>
      </c>
      <c r="AA16" s="131" t="str">
        <f t="shared" si="8"/>
        <v/>
      </c>
      <c r="AB16" s="132" t="str">
        <f t="shared" si="9"/>
        <v/>
      </c>
      <c r="AC16" s="131" t="str">
        <f t="shared" si="10"/>
        <v/>
      </c>
      <c r="AD16" s="131" t="str">
        <f t="shared" si="11"/>
        <v/>
      </c>
      <c r="AE16" s="131" t="str">
        <f t="shared" si="1"/>
        <v/>
      </c>
      <c r="AF16" s="131" t="str">
        <f t="shared" si="1"/>
        <v/>
      </c>
      <c r="AG16" s="131" t="str">
        <f t="shared" si="1"/>
        <v/>
      </c>
      <c r="AH16" s="131" t="str">
        <f t="shared" si="1"/>
        <v/>
      </c>
      <c r="AI16" s="131" t="str">
        <f t="shared" si="1"/>
        <v/>
      </c>
      <c r="AJ16" s="131" t="str">
        <f t="shared" si="1"/>
        <v/>
      </c>
      <c r="AK16" s="131" t="str">
        <f t="shared" si="1"/>
        <v/>
      </c>
      <c r="AL16" s="131" t="str">
        <f t="shared" si="1"/>
        <v/>
      </c>
      <c r="AM16" s="131" t="str">
        <f t="shared" si="1"/>
        <v/>
      </c>
      <c r="AN16" s="131" t="str">
        <f t="shared" si="1"/>
        <v/>
      </c>
      <c r="AO16" s="131" t="str">
        <f t="shared" si="1"/>
        <v/>
      </c>
      <c r="AP16" s="131" t="str">
        <f t="shared" si="1"/>
        <v/>
      </c>
      <c r="AQ16" s="133" t="str">
        <f t="shared" si="1"/>
        <v/>
      </c>
      <c r="AR16" s="131" t="str">
        <f t="shared" si="12"/>
        <v/>
      </c>
      <c r="AS16" s="131" t="str">
        <f t="shared" si="2"/>
        <v/>
      </c>
      <c r="AT16" s="133" t="str">
        <f t="shared" si="3"/>
        <v/>
      </c>
      <c r="AU16" s="131" t="str">
        <f t="shared" si="13"/>
        <v/>
      </c>
      <c r="AV16" s="131" t="str">
        <f t="shared" si="4"/>
        <v/>
      </c>
      <c r="AW16" s="133" t="str">
        <f t="shared" si="5"/>
        <v/>
      </c>
      <c r="AX16" s="27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</row>
    <row r="17" spans="1:61" ht="15" customHeight="1" x14ac:dyDescent="0.25">
      <c r="A17" s="23"/>
      <c r="B17" s="23"/>
      <c r="C17" s="43" t="str">
        <f t="shared" si="6"/>
        <v/>
      </c>
      <c r="D17" s="102"/>
      <c r="E17" s="76" t="str">
        <f>IFERROR(VLOOKUP(SingleGame!$D17,Rosters!$C$3:$L$190,INDEX(Lists!$P$5:$Q$80,MATCH(SingleGame!$C$4,Lists!$Q$5:$Q$80,FALSE),1),FALSE),"")</f>
        <v/>
      </c>
      <c r="F17" s="11" t="str">
        <f>IF(SingleGame!$D17="","",1)</f>
        <v/>
      </c>
      <c r="G17" s="164"/>
      <c r="H17" s="165"/>
      <c r="I17" s="165"/>
      <c r="J17" s="165"/>
      <c r="K17" s="165"/>
      <c r="L17" s="165"/>
      <c r="M17" s="165"/>
      <c r="N17" s="165"/>
      <c r="O17" s="165"/>
      <c r="P17" s="166"/>
      <c r="Q17" s="79" t="str">
        <f>IFERROR(SingleGame!$O17/SingleGame!$P$6:$P$22,"-")</f>
        <v>-</v>
      </c>
      <c r="R17" s="164"/>
      <c r="S17" s="166"/>
      <c r="T17" s="79" t="str">
        <f>IFERROR(SingleGame!$R17/SingleGame!$S$6:$S$22,"-")</f>
        <v>-</v>
      </c>
      <c r="U17" s="164"/>
      <c r="V17" s="166"/>
      <c r="W17" s="94" t="str">
        <f>IFERROR(SingleGame!$U17/SingleGame!$V$6:$V$22,"-")</f>
        <v>-</v>
      </c>
      <c r="X17" s="23"/>
      <c r="Y17" s="23"/>
      <c r="Z17" s="131" t="str">
        <f t="shared" si="7"/>
        <v/>
      </c>
      <c r="AA17" s="131" t="str">
        <f t="shared" si="8"/>
        <v/>
      </c>
      <c r="AB17" s="132" t="str">
        <f t="shared" si="9"/>
        <v/>
      </c>
      <c r="AC17" s="131" t="str">
        <f t="shared" si="10"/>
        <v/>
      </c>
      <c r="AD17" s="131" t="str">
        <f t="shared" si="11"/>
        <v/>
      </c>
      <c r="AE17" s="131" t="str">
        <f t="shared" si="1"/>
        <v/>
      </c>
      <c r="AF17" s="131" t="str">
        <f t="shared" si="1"/>
        <v/>
      </c>
      <c r="AG17" s="131" t="str">
        <f t="shared" si="1"/>
        <v/>
      </c>
      <c r="AH17" s="131" t="str">
        <f t="shared" si="1"/>
        <v/>
      </c>
      <c r="AI17" s="131" t="str">
        <f t="shared" si="1"/>
        <v/>
      </c>
      <c r="AJ17" s="131" t="str">
        <f t="shared" si="1"/>
        <v/>
      </c>
      <c r="AK17" s="131" t="str">
        <f t="shared" si="1"/>
        <v/>
      </c>
      <c r="AL17" s="131" t="str">
        <f t="shared" si="1"/>
        <v/>
      </c>
      <c r="AM17" s="131" t="str">
        <f t="shared" si="1"/>
        <v/>
      </c>
      <c r="AN17" s="131" t="str">
        <f t="shared" si="1"/>
        <v/>
      </c>
      <c r="AO17" s="131" t="str">
        <f t="shared" si="1"/>
        <v/>
      </c>
      <c r="AP17" s="131" t="str">
        <f t="shared" si="1"/>
        <v/>
      </c>
      <c r="AQ17" s="133" t="str">
        <f t="shared" si="1"/>
        <v/>
      </c>
      <c r="AR17" s="131" t="str">
        <f t="shared" si="12"/>
        <v/>
      </c>
      <c r="AS17" s="131" t="str">
        <f t="shared" si="2"/>
        <v/>
      </c>
      <c r="AT17" s="133" t="str">
        <f t="shared" si="3"/>
        <v/>
      </c>
      <c r="AU17" s="131" t="str">
        <f t="shared" si="13"/>
        <v/>
      </c>
      <c r="AV17" s="131" t="str">
        <f t="shared" si="4"/>
        <v/>
      </c>
      <c r="AW17" s="133" t="str">
        <f t="shared" si="5"/>
        <v/>
      </c>
      <c r="AX17" s="27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</row>
    <row r="18" spans="1:61" ht="15" customHeight="1" x14ac:dyDescent="0.25">
      <c r="A18" s="23"/>
      <c r="B18" s="23"/>
      <c r="C18" s="44" t="str">
        <f t="shared" si="6"/>
        <v/>
      </c>
      <c r="D18" s="102"/>
      <c r="E18" s="77" t="str">
        <f>IFERROR(VLOOKUP(SingleGame!$D18,Rosters!$C$3:$L$190,INDEX(Lists!$P$5:$Q$80,MATCH(SingleGame!$C$4,Lists!$Q$5:$Q$80,FALSE),1),FALSE),"")</f>
        <v/>
      </c>
      <c r="F18" s="12" t="str">
        <f>IF(SingleGame!$D18="","",1)</f>
        <v/>
      </c>
      <c r="G18" s="164"/>
      <c r="H18" s="165"/>
      <c r="I18" s="165"/>
      <c r="J18" s="165"/>
      <c r="K18" s="165"/>
      <c r="L18" s="165"/>
      <c r="M18" s="165"/>
      <c r="N18" s="165"/>
      <c r="O18" s="165"/>
      <c r="P18" s="166"/>
      <c r="Q18" s="80" t="str">
        <f>IFERROR(SingleGame!$O18/SingleGame!$P$6:$P$22,"-")</f>
        <v>-</v>
      </c>
      <c r="R18" s="164"/>
      <c r="S18" s="166"/>
      <c r="T18" s="80" t="str">
        <f>IFERROR(SingleGame!$R18/SingleGame!$S$6:$S$22,"-")</f>
        <v>-</v>
      </c>
      <c r="U18" s="164"/>
      <c r="V18" s="166"/>
      <c r="W18" s="95" t="str">
        <f>IFERROR(SingleGame!$U18/SingleGame!$V$6:$V$22,"-")</f>
        <v>-</v>
      </c>
      <c r="X18" s="23"/>
      <c r="Y18" s="23"/>
      <c r="Z18" s="131" t="str">
        <f t="shared" si="7"/>
        <v/>
      </c>
      <c r="AA18" s="131" t="str">
        <f t="shared" si="8"/>
        <v/>
      </c>
      <c r="AB18" s="132" t="str">
        <f t="shared" si="9"/>
        <v/>
      </c>
      <c r="AC18" s="131" t="str">
        <f t="shared" si="10"/>
        <v/>
      </c>
      <c r="AD18" s="131" t="str">
        <f t="shared" si="11"/>
        <v/>
      </c>
      <c r="AE18" s="131" t="str">
        <f t="shared" si="1"/>
        <v/>
      </c>
      <c r="AF18" s="131" t="str">
        <f t="shared" si="1"/>
        <v/>
      </c>
      <c r="AG18" s="131" t="str">
        <f t="shared" si="1"/>
        <v/>
      </c>
      <c r="AH18" s="131" t="str">
        <f t="shared" si="1"/>
        <v/>
      </c>
      <c r="AI18" s="131" t="str">
        <f t="shared" si="1"/>
        <v/>
      </c>
      <c r="AJ18" s="131" t="str">
        <f t="shared" si="1"/>
        <v/>
      </c>
      <c r="AK18" s="131" t="str">
        <f t="shared" si="1"/>
        <v/>
      </c>
      <c r="AL18" s="131" t="str">
        <f t="shared" si="1"/>
        <v/>
      </c>
      <c r="AM18" s="131" t="str">
        <f t="shared" si="1"/>
        <v/>
      </c>
      <c r="AN18" s="131" t="str">
        <f t="shared" si="1"/>
        <v/>
      </c>
      <c r="AO18" s="131" t="str">
        <f t="shared" si="1"/>
        <v/>
      </c>
      <c r="AP18" s="131" t="str">
        <f t="shared" si="1"/>
        <v/>
      </c>
      <c r="AQ18" s="133" t="str">
        <f t="shared" si="1"/>
        <v/>
      </c>
      <c r="AR18" s="131" t="str">
        <f t="shared" si="12"/>
        <v/>
      </c>
      <c r="AS18" s="131" t="str">
        <f t="shared" si="2"/>
        <v/>
      </c>
      <c r="AT18" s="133" t="str">
        <f t="shared" si="3"/>
        <v/>
      </c>
      <c r="AU18" s="131" t="str">
        <f t="shared" si="13"/>
        <v/>
      </c>
      <c r="AV18" s="131" t="str">
        <f t="shared" si="4"/>
        <v/>
      </c>
      <c r="AW18" s="133" t="str">
        <f t="shared" si="5"/>
        <v/>
      </c>
      <c r="AX18" s="27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</row>
    <row r="19" spans="1:61" ht="15" customHeight="1" x14ac:dyDescent="0.25">
      <c r="A19" s="23"/>
      <c r="B19" s="23"/>
      <c r="C19" s="43" t="str">
        <f t="shared" si="6"/>
        <v/>
      </c>
      <c r="D19" s="102"/>
      <c r="E19" s="76" t="str">
        <f>IFERROR(VLOOKUP(SingleGame!$D19,Rosters!$C$3:$L$190,INDEX(Lists!$P$5:$Q$80,MATCH(SingleGame!$C$4,Lists!$Q$5:$Q$80,FALSE),1),FALSE),"")</f>
        <v/>
      </c>
      <c r="F19" s="11" t="str">
        <f>IF(SingleGame!$D19="","",1)</f>
        <v/>
      </c>
      <c r="G19" s="164"/>
      <c r="H19" s="165"/>
      <c r="I19" s="165"/>
      <c r="J19" s="165"/>
      <c r="K19" s="165"/>
      <c r="L19" s="165"/>
      <c r="M19" s="165"/>
      <c r="N19" s="165"/>
      <c r="O19" s="165"/>
      <c r="P19" s="166"/>
      <c r="Q19" s="79" t="str">
        <f>IFERROR(SingleGame!$O19/SingleGame!$P$6:$P$22,"-")</f>
        <v>-</v>
      </c>
      <c r="R19" s="164"/>
      <c r="S19" s="166"/>
      <c r="T19" s="79" t="str">
        <f>IFERROR(SingleGame!$R19/SingleGame!$S$6:$S$22,"-")</f>
        <v>-</v>
      </c>
      <c r="U19" s="164"/>
      <c r="V19" s="166"/>
      <c r="W19" s="94" t="str">
        <f>IFERROR(SingleGame!$U19/SingleGame!$V$6:$V$22,"-")</f>
        <v>-</v>
      </c>
      <c r="X19" s="23"/>
      <c r="Y19" s="23"/>
      <c r="Z19" s="131" t="str">
        <f t="shared" si="7"/>
        <v/>
      </c>
      <c r="AA19" s="131" t="str">
        <f t="shared" si="8"/>
        <v/>
      </c>
      <c r="AB19" s="132" t="str">
        <f t="shared" si="9"/>
        <v/>
      </c>
      <c r="AC19" s="131" t="str">
        <f t="shared" si="10"/>
        <v/>
      </c>
      <c r="AD19" s="131" t="str">
        <f t="shared" si="11"/>
        <v/>
      </c>
      <c r="AE19" s="131" t="str">
        <f t="shared" si="1"/>
        <v/>
      </c>
      <c r="AF19" s="131" t="str">
        <f t="shared" si="1"/>
        <v/>
      </c>
      <c r="AG19" s="131" t="str">
        <f t="shared" si="1"/>
        <v/>
      </c>
      <c r="AH19" s="131" t="str">
        <f t="shared" si="1"/>
        <v/>
      </c>
      <c r="AI19" s="131" t="str">
        <f t="shared" si="1"/>
        <v/>
      </c>
      <c r="AJ19" s="131" t="str">
        <f t="shared" si="1"/>
        <v/>
      </c>
      <c r="AK19" s="131" t="str">
        <f t="shared" si="1"/>
        <v/>
      </c>
      <c r="AL19" s="131" t="str">
        <f t="shared" si="1"/>
        <v/>
      </c>
      <c r="AM19" s="131" t="str">
        <f t="shared" si="1"/>
        <v/>
      </c>
      <c r="AN19" s="131" t="str">
        <f t="shared" si="1"/>
        <v/>
      </c>
      <c r="AO19" s="131" t="str">
        <f t="shared" si="1"/>
        <v/>
      </c>
      <c r="AP19" s="131" t="str">
        <f t="shared" si="1"/>
        <v/>
      </c>
      <c r="AQ19" s="133" t="str">
        <f t="shared" si="1"/>
        <v/>
      </c>
      <c r="AR19" s="131" t="str">
        <f t="shared" si="12"/>
        <v/>
      </c>
      <c r="AS19" s="131" t="str">
        <f t="shared" si="2"/>
        <v/>
      </c>
      <c r="AT19" s="133" t="str">
        <f t="shared" si="3"/>
        <v/>
      </c>
      <c r="AU19" s="131" t="str">
        <f t="shared" si="13"/>
        <v/>
      </c>
      <c r="AV19" s="131" t="str">
        <f t="shared" si="4"/>
        <v/>
      </c>
      <c r="AW19" s="133" t="str">
        <f t="shared" si="5"/>
        <v/>
      </c>
      <c r="AX19" s="27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</row>
    <row r="20" spans="1:61" ht="15" customHeight="1" thickBot="1" x14ac:dyDescent="0.3">
      <c r="A20" s="23"/>
      <c r="B20" s="23"/>
      <c r="C20" s="44" t="str">
        <f t="shared" si="6"/>
        <v/>
      </c>
      <c r="D20" s="103"/>
      <c r="E20" s="98" t="str">
        <f>IFERROR(VLOOKUP(SingleGame!$D20,Rosters!$C$3:$L$190,INDEX(Lists!$P$5:$Q$80,MATCH(SingleGame!$C$4,Lists!$Q$5:$Q$80,FALSE),1),FALSE),"")</f>
        <v/>
      </c>
      <c r="F20" s="99" t="str">
        <f>IF(SingleGame!$D20="","",1)</f>
        <v/>
      </c>
      <c r="G20" s="167"/>
      <c r="H20" s="168"/>
      <c r="I20" s="168"/>
      <c r="J20" s="168"/>
      <c r="K20" s="168"/>
      <c r="L20" s="168"/>
      <c r="M20" s="168"/>
      <c r="N20" s="168"/>
      <c r="O20" s="168"/>
      <c r="P20" s="169"/>
      <c r="Q20" s="100" t="str">
        <f>IFERROR(SingleGame!$O20/SingleGame!$P$6:$P$22,"-")</f>
        <v>-</v>
      </c>
      <c r="R20" s="167"/>
      <c r="S20" s="169"/>
      <c r="T20" s="100" t="str">
        <f>IFERROR(SingleGame!$R20/SingleGame!$S$6:$S$22,"-")</f>
        <v>-</v>
      </c>
      <c r="U20" s="167"/>
      <c r="V20" s="169"/>
      <c r="W20" s="101" t="str">
        <f>IFERROR(SingleGame!$U20/SingleGame!$V$6:$V$22,"-")</f>
        <v>-</v>
      </c>
      <c r="X20" s="23"/>
      <c r="Y20" s="23"/>
      <c r="Z20" s="131" t="str">
        <f t="shared" si="7"/>
        <v/>
      </c>
      <c r="AA20" s="131" t="str">
        <f t="shared" si="8"/>
        <v/>
      </c>
      <c r="AB20" s="132" t="str">
        <f t="shared" si="9"/>
        <v/>
      </c>
      <c r="AC20" s="131" t="str">
        <f t="shared" si="10"/>
        <v/>
      </c>
      <c r="AD20" s="131" t="str">
        <f t="shared" si="11"/>
        <v/>
      </c>
      <c r="AE20" s="131" t="str">
        <f t="shared" si="1"/>
        <v/>
      </c>
      <c r="AF20" s="131" t="str">
        <f t="shared" si="1"/>
        <v/>
      </c>
      <c r="AG20" s="131" t="str">
        <f t="shared" si="1"/>
        <v/>
      </c>
      <c r="AH20" s="131" t="str">
        <f t="shared" si="1"/>
        <v/>
      </c>
      <c r="AI20" s="131" t="str">
        <f t="shared" si="1"/>
        <v/>
      </c>
      <c r="AJ20" s="131" t="str">
        <f t="shared" si="1"/>
        <v/>
      </c>
      <c r="AK20" s="131" t="str">
        <f t="shared" si="1"/>
        <v/>
      </c>
      <c r="AL20" s="131" t="str">
        <f t="shared" si="1"/>
        <v/>
      </c>
      <c r="AM20" s="131" t="str">
        <f t="shared" si="1"/>
        <v/>
      </c>
      <c r="AN20" s="131" t="str">
        <f t="shared" si="1"/>
        <v/>
      </c>
      <c r="AO20" s="131" t="str">
        <f t="shared" si="1"/>
        <v/>
      </c>
      <c r="AP20" s="131" t="str">
        <f t="shared" si="1"/>
        <v/>
      </c>
      <c r="AQ20" s="133" t="str">
        <f t="shared" si="1"/>
        <v/>
      </c>
      <c r="AR20" s="131" t="str">
        <f t="shared" si="12"/>
        <v/>
      </c>
      <c r="AS20" s="131" t="str">
        <f t="shared" si="2"/>
        <v/>
      </c>
      <c r="AT20" s="133" t="str">
        <f t="shared" si="3"/>
        <v/>
      </c>
      <c r="AU20" s="131" t="str">
        <f t="shared" si="13"/>
        <v/>
      </c>
      <c r="AV20" s="131" t="str">
        <f t="shared" si="4"/>
        <v/>
      </c>
      <c r="AW20" s="133" t="str">
        <f t="shared" si="5"/>
        <v/>
      </c>
      <c r="AX20" s="27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</row>
    <row r="21" spans="1:61" ht="15.75" thickTop="1" x14ac:dyDescent="0.25">
      <c r="A21" s="23"/>
      <c r="B21" s="23"/>
      <c r="C21" s="47"/>
      <c r="D21" s="73" t="str">
        <f>IF($G4="","",$G4)</f>
        <v/>
      </c>
      <c r="E21" s="74" t="str">
        <f>IF($D21="","",IF($G$21&gt;$G$22,"W",IF($G$21&lt;$G$22,"L","T")))</f>
        <v/>
      </c>
      <c r="F21" s="74" t="str">
        <f>IF(SingleGame!$D21="","",1)</f>
        <v/>
      </c>
      <c r="G21" s="74">
        <f>SUMIFS(G$6:G$20,$E$6:$E$20,SingleGame!$D21)</f>
        <v>0</v>
      </c>
      <c r="H21" s="74">
        <f>SUMIFS(H$6:H$20,$E$6:$E$20,SingleGame!$D21)</f>
        <v>0</v>
      </c>
      <c r="I21" s="74">
        <f>SUMIFS(I$6:I$20,$E$6:$E$20,SingleGame!$D21)</f>
        <v>0</v>
      </c>
      <c r="J21" s="74">
        <f>SUMIFS(J$6:J$20,$E$6:$E$20,SingleGame!$D21)</f>
        <v>0</v>
      </c>
      <c r="K21" s="74">
        <f>SUMIFS(K$6:K$20,$E$6:$E$20,SingleGame!$D21)</f>
        <v>0</v>
      </c>
      <c r="L21" s="74">
        <f>SUMIFS(L$6:L$20,$E$6:$E$20,SingleGame!$D21)</f>
        <v>0</v>
      </c>
      <c r="M21" s="74">
        <f>SUMIFS(M$6:M$20,$E$6:$E$20,SingleGame!$D21)</f>
        <v>0</v>
      </c>
      <c r="N21" s="74">
        <f>SUMIFS(N$6:N$20,$E$6:$E$20,SingleGame!$D21)</f>
        <v>0</v>
      </c>
      <c r="O21" s="74">
        <f>SUMIFS(O$6:O$20,$E$6:$E$20,SingleGame!$D21)</f>
        <v>0</v>
      </c>
      <c r="P21" s="74">
        <f>SUMIFS(P$6:P$20,$E$6:$E$20,SingleGame!$D21)</f>
        <v>0</v>
      </c>
      <c r="Q21" s="96" t="str">
        <f>IFERROR(SingleGame!$O21/SingleGame!$P$6:$P$22,"-")</f>
        <v>-</v>
      </c>
      <c r="R21" s="74">
        <f>SUMIFS(R$6:R$20,$E$6:$E$20,SingleGame!$D21)</f>
        <v>0</v>
      </c>
      <c r="S21" s="74">
        <f>SUMIFS(S$6:S$20,$E$6:$E$20,SingleGame!$D21)</f>
        <v>0</v>
      </c>
      <c r="T21" s="96" t="str">
        <f>IFERROR(SingleGame!$R21/SingleGame!$S$6:$S$22,"-")</f>
        <v>-</v>
      </c>
      <c r="U21" s="74">
        <f>SUMIFS(U$6:U$20,$E$6:$E$20,SingleGame!$D21)</f>
        <v>0</v>
      </c>
      <c r="V21" s="74">
        <f>SUMIFS(V$6:V$20,$E$6:$E$20,SingleGame!$D21)</f>
        <v>0</v>
      </c>
      <c r="W21" s="97" t="str">
        <f>IFERROR(SingleGame!$U21/SingleGame!$V$6:$V$22,"-")</f>
        <v>-</v>
      </c>
      <c r="X21" s="23"/>
      <c r="Y21" s="23"/>
      <c r="Z21" s="134" t="str">
        <f t="shared" si="7"/>
        <v/>
      </c>
      <c r="AA21" s="134" t="str">
        <f t="shared" si="8"/>
        <v/>
      </c>
      <c r="AB21" s="135" t="str">
        <f t="shared" si="9"/>
        <v/>
      </c>
      <c r="AC21" s="134" t="str">
        <f t="shared" si="10"/>
        <v/>
      </c>
      <c r="AD21" s="134" t="str">
        <f t="shared" si="11"/>
        <v/>
      </c>
      <c r="AE21" s="134" t="str">
        <f t="shared" si="1"/>
        <v/>
      </c>
      <c r="AF21" s="134" t="str">
        <f t="shared" si="1"/>
        <v/>
      </c>
      <c r="AG21" s="134" t="str">
        <f t="shared" si="1"/>
        <v/>
      </c>
      <c r="AH21" s="134" t="str">
        <f t="shared" si="1"/>
        <v/>
      </c>
      <c r="AI21" s="134" t="str">
        <f t="shared" si="1"/>
        <v/>
      </c>
      <c r="AJ21" s="134" t="str">
        <f t="shared" si="1"/>
        <v/>
      </c>
      <c r="AK21" s="134" t="str">
        <f t="shared" si="1"/>
        <v/>
      </c>
      <c r="AL21" s="134" t="str">
        <f t="shared" si="1"/>
        <v/>
      </c>
      <c r="AM21" s="134" t="str">
        <f t="shared" si="1"/>
        <v/>
      </c>
      <c r="AN21" s="134" t="str">
        <f t="shared" si="1"/>
        <v/>
      </c>
      <c r="AO21" s="134" t="str">
        <f t="shared" si="1"/>
        <v/>
      </c>
      <c r="AP21" s="134" t="str">
        <f t="shared" si="1"/>
        <v/>
      </c>
      <c r="AQ21" s="136" t="str">
        <f t="shared" si="1"/>
        <v/>
      </c>
      <c r="AR21" s="134" t="str">
        <f t="shared" si="12"/>
        <v/>
      </c>
      <c r="AS21" s="134" t="str">
        <f t="shared" si="2"/>
        <v/>
      </c>
      <c r="AT21" s="136" t="str">
        <f t="shared" si="3"/>
        <v/>
      </c>
      <c r="AU21" s="134" t="str">
        <f t="shared" si="13"/>
        <v/>
      </c>
      <c r="AV21" s="134" t="str">
        <f t="shared" si="4"/>
        <v/>
      </c>
      <c r="AW21" s="136" t="str">
        <f t="shared" si="5"/>
        <v/>
      </c>
      <c r="AX21" s="27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</row>
    <row r="22" spans="1:61" ht="15.75" thickBot="1" x14ac:dyDescent="0.3">
      <c r="A22" s="23"/>
      <c r="B22" s="23"/>
      <c r="C22" s="44"/>
      <c r="D22" s="15" t="str">
        <f>IF($J4="","",$J4)</f>
        <v/>
      </c>
      <c r="E22" s="12" t="str">
        <f>IF($D21="","",IF($G$22&gt;$G$21,"W",IF($G$22&lt;$G$21,"L","T")))</f>
        <v/>
      </c>
      <c r="F22" s="10" t="str">
        <f>IF(SingleGame!$D22="","",1)</f>
        <v/>
      </c>
      <c r="G22" s="10">
        <f>SUMIFS(G$6:G$20,$E$6:$E$20,SingleGame!$D22)</f>
        <v>0</v>
      </c>
      <c r="H22" s="10">
        <f>SUMIFS(H$6:H$20,$E$6:$E$20,SingleGame!$D22)</f>
        <v>0</v>
      </c>
      <c r="I22" s="10">
        <f>SUMIFS(I$6:I$20,$E$6:$E$20,SingleGame!$D22)</f>
        <v>0</v>
      </c>
      <c r="J22" s="10">
        <f>SUMIFS(J$6:J$20,$E$6:$E$20,SingleGame!$D22)</f>
        <v>0</v>
      </c>
      <c r="K22" s="10">
        <f>SUMIFS(K$6:K$20,$E$6:$E$20,SingleGame!$D22)</f>
        <v>0</v>
      </c>
      <c r="L22" s="10">
        <f>SUMIFS(L$6:L$20,$E$6:$E$20,SingleGame!$D22)</f>
        <v>0</v>
      </c>
      <c r="M22" s="10">
        <f>SUMIFS(M$6:M$20,$E$6:$E$20,SingleGame!$D22)</f>
        <v>0</v>
      </c>
      <c r="N22" s="10">
        <f>SUMIFS(N$6:N$20,$E$6:$E$20,SingleGame!$D22)</f>
        <v>0</v>
      </c>
      <c r="O22" s="10">
        <f>SUMIFS(O$6:O$20,$E$6:$E$20,SingleGame!$D22)</f>
        <v>0</v>
      </c>
      <c r="P22" s="10">
        <f>SUMIFS(P$6:P$20,$E$6:$E$20,SingleGame!$D22)</f>
        <v>0</v>
      </c>
      <c r="Q22" s="16" t="str">
        <f>IFERROR(SingleGame!$O22/SingleGame!$P$6:$P$22,"-")</f>
        <v>-</v>
      </c>
      <c r="R22" s="10">
        <f>SUMIFS(R$6:R$20,$E$6:$E$20,SingleGame!$D22)</f>
        <v>0</v>
      </c>
      <c r="S22" s="10">
        <f>SUMIFS(S$6:S$20,$E$6:$E$20,SingleGame!$D22)</f>
        <v>0</v>
      </c>
      <c r="T22" s="16" t="str">
        <f>IFERROR(SingleGame!$R22/SingleGame!$S$6:$S$22,"-")</f>
        <v>-</v>
      </c>
      <c r="U22" s="10">
        <f>SUMIFS(U$6:U$20,$E$6:$E$20,SingleGame!$D22)</f>
        <v>0</v>
      </c>
      <c r="V22" s="10">
        <f>SUMIFS(V$6:V$20,$E$6:$E$20,SingleGame!$D22)</f>
        <v>0</v>
      </c>
      <c r="W22" s="48" t="str">
        <f>IFERROR(SingleGame!$U22/SingleGame!$V$6:$V$22,"-")</f>
        <v>-</v>
      </c>
      <c r="X22" s="23"/>
      <c r="Y22" s="23"/>
      <c r="Z22" s="134" t="str">
        <f t="shared" si="7"/>
        <v/>
      </c>
      <c r="AA22" s="134" t="str">
        <f t="shared" si="8"/>
        <v/>
      </c>
      <c r="AB22" s="135" t="str">
        <f t="shared" si="9"/>
        <v/>
      </c>
      <c r="AC22" s="134" t="str">
        <f t="shared" si="10"/>
        <v/>
      </c>
      <c r="AD22" s="134" t="str">
        <f t="shared" si="11"/>
        <v/>
      </c>
      <c r="AE22" s="134" t="str">
        <f t="shared" ref="AE22:AQ23" si="14">IF($D22="","",E22)</f>
        <v/>
      </c>
      <c r="AF22" s="134" t="str">
        <f t="shared" si="14"/>
        <v/>
      </c>
      <c r="AG22" s="134" t="str">
        <f t="shared" si="14"/>
        <v/>
      </c>
      <c r="AH22" s="134" t="str">
        <f t="shared" si="14"/>
        <v/>
      </c>
      <c r="AI22" s="134" t="str">
        <f t="shared" si="14"/>
        <v/>
      </c>
      <c r="AJ22" s="134" t="str">
        <f t="shared" si="14"/>
        <v/>
      </c>
      <c r="AK22" s="134" t="str">
        <f t="shared" si="14"/>
        <v/>
      </c>
      <c r="AL22" s="134" t="str">
        <f t="shared" si="14"/>
        <v/>
      </c>
      <c r="AM22" s="134" t="str">
        <f t="shared" si="14"/>
        <v/>
      </c>
      <c r="AN22" s="134" t="str">
        <f t="shared" si="14"/>
        <v/>
      </c>
      <c r="AO22" s="134" t="str">
        <f t="shared" si="14"/>
        <v/>
      </c>
      <c r="AP22" s="134" t="str">
        <f t="shared" si="14"/>
        <v/>
      </c>
      <c r="AQ22" s="136" t="str">
        <f t="shared" si="14"/>
        <v/>
      </c>
      <c r="AR22" s="134" t="str">
        <f t="shared" si="12"/>
        <v/>
      </c>
      <c r="AS22" s="134" t="str">
        <f t="shared" si="2"/>
        <v/>
      </c>
      <c r="AT22" s="136" t="str">
        <f t="shared" si="3"/>
        <v/>
      </c>
      <c r="AU22" s="134" t="str">
        <f t="shared" si="13"/>
        <v/>
      </c>
      <c r="AV22" s="134" t="str">
        <f t="shared" si="4"/>
        <v/>
      </c>
      <c r="AW22" s="136" t="str">
        <f t="shared" si="5"/>
        <v/>
      </c>
      <c r="AX22" s="27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</row>
    <row r="23" spans="1:61" ht="16.5" thickTop="1" thickBot="1" x14ac:dyDescent="0.3">
      <c r="A23" s="23"/>
      <c r="B23" s="23"/>
      <c r="C23" s="49"/>
      <c r="D23" s="50" t="s">
        <v>89</v>
      </c>
      <c r="E23" s="51"/>
      <c r="F23" s="51">
        <f>SUBTOTAL(104,SingleGame!$F$6:$F$22)</f>
        <v>0</v>
      </c>
      <c r="G23" s="51">
        <f>SUM(G$6:G$20)</f>
        <v>0</v>
      </c>
      <c r="H23" s="51">
        <f t="shared" ref="H23:P23" si="15">SUM(H$6:H$20)</f>
        <v>0</v>
      </c>
      <c r="I23" s="51">
        <f t="shared" si="15"/>
        <v>0</v>
      </c>
      <c r="J23" s="51">
        <f t="shared" si="15"/>
        <v>0</v>
      </c>
      <c r="K23" s="51">
        <f t="shared" si="15"/>
        <v>0</v>
      </c>
      <c r="L23" s="51">
        <f t="shared" si="15"/>
        <v>0</v>
      </c>
      <c r="M23" s="51">
        <f t="shared" si="15"/>
        <v>0</v>
      </c>
      <c r="N23" s="51">
        <f t="shared" si="15"/>
        <v>0</v>
      </c>
      <c r="O23" s="51">
        <f t="shared" si="15"/>
        <v>0</v>
      </c>
      <c r="P23" s="51">
        <f t="shared" si="15"/>
        <v>0</v>
      </c>
      <c r="Q23" s="52" t="str">
        <f>IFERROR(SingleGame!$O$23/SingleGame!$P$23,"-")</f>
        <v>-</v>
      </c>
      <c r="R23" s="51">
        <f>SUM(R$6:R$20)</f>
        <v>0</v>
      </c>
      <c r="S23" s="51">
        <f>SUM(S$6:S$20)</f>
        <v>0</v>
      </c>
      <c r="T23" s="52" t="str">
        <f>IFERROR(SingleGame!$R$23/SingleGame!$S$23,"-")</f>
        <v>-</v>
      </c>
      <c r="U23" s="51">
        <f>SUM(U$6:U$20)</f>
        <v>0</v>
      </c>
      <c r="V23" s="51">
        <f>SUM(V$6:V$20)</f>
        <v>0</v>
      </c>
      <c r="W23" s="53" t="str">
        <f>IFERROR(SingleGame!$U$23/SingleGame!$V$23,"-")</f>
        <v>-</v>
      </c>
      <c r="X23" s="23"/>
      <c r="Y23" s="23"/>
      <c r="Z23" s="134" t="str">
        <f t="shared" si="7"/>
        <v>Season 2</v>
      </c>
      <c r="AA23" s="134">
        <f t="shared" si="8"/>
        <v>0</v>
      </c>
      <c r="AB23" s="135">
        <f t="shared" si="9"/>
        <v>0</v>
      </c>
      <c r="AC23" s="134">
        <f t="shared" si="10"/>
        <v>0</v>
      </c>
      <c r="AD23" s="134" t="str">
        <f t="shared" si="11"/>
        <v>GAME TOTALS</v>
      </c>
      <c r="AE23" s="134"/>
      <c r="AF23" s="134">
        <f t="shared" si="14"/>
        <v>0</v>
      </c>
      <c r="AG23" s="134">
        <f t="shared" si="14"/>
        <v>0</v>
      </c>
      <c r="AH23" s="134">
        <f t="shared" si="14"/>
        <v>0</v>
      </c>
      <c r="AI23" s="134">
        <f t="shared" si="14"/>
        <v>0</v>
      </c>
      <c r="AJ23" s="134">
        <f t="shared" si="14"/>
        <v>0</v>
      </c>
      <c r="AK23" s="134">
        <f t="shared" si="14"/>
        <v>0</v>
      </c>
      <c r="AL23" s="134">
        <f t="shared" si="14"/>
        <v>0</v>
      </c>
      <c r="AM23" s="134">
        <f t="shared" si="14"/>
        <v>0</v>
      </c>
      <c r="AN23" s="134">
        <f t="shared" si="14"/>
        <v>0</v>
      </c>
      <c r="AO23" s="134">
        <f t="shared" si="14"/>
        <v>0</v>
      </c>
      <c r="AP23" s="134">
        <f t="shared" si="14"/>
        <v>0</v>
      </c>
      <c r="AQ23" s="136" t="str">
        <f t="shared" si="14"/>
        <v>-</v>
      </c>
      <c r="AR23" s="134">
        <f t="shared" si="12"/>
        <v>0</v>
      </c>
      <c r="AS23" s="134">
        <f t="shared" si="2"/>
        <v>0</v>
      </c>
      <c r="AT23" s="136" t="str">
        <f t="shared" si="3"/>
        <v>-</v>
      </c>
      <c r="AU23" s="134">
        <f t="shared" si="13"/>
        <v>0</v>
      </c>
      <c r="AV23" s="134">
        <f t="shared" si="4"/>
        <v>0</v>
      </c>
      <c r="AW23" s="136" t="str">
        <f t="shared" si="5"/>
        <v>-</v>
      </c>
      <c r="AX23" s="27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</row>
    <row r="24" spans="1:61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6"/>
      <c r="AP24" s="26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</row>
    <row r="25" spans="1:61" x14ac:dyDescent="0.25">
      <c r="A25" s="23"/>
      <c r="B25" s="23"/>
      <c r="C25" s="23"/>
      <c r="D25" s="28" t="str">
        <f>$C$3</f>
        <v>Season:</v>
      </c>
      <c r="E25" s="29" t="str">
        <f>IF($C$4="","",$C$4)</f>
        <v>Season 2</v>
      </c>
      <c r="F25" s="30"/>
      <c r="G25" s="30"/>
      <c r="H25" s="30"/>
      <c r="I25" s="30"/>
      <c r="J25" s="30"/>
      <c r="K25" s="30"/>
      <c r="L25" s="31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6"/>
      <c r="AP25" s="26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</row>
    <row r="26" spans="1:61" x14ac:dyDescent="0.25">
      <c r="A26" s="23"/>
      <c r="B26" s="23"/>
      <c r="C26" s="23"/>
      <c r="D26" s="28" t="str">
        <f>$E$3</f>
        <v>Week:</v>
      </c>
      <c r="E26" s="29" t="str">
        <f>IF($E$4="","",$E$4)</f>
        <v/>
      </c>
      <c r="F26" s="30"/>
      <c r="G26" s="30"/>
      <c r="H26" s="30"/>
      <c r="I26" s="30"/>
      <c r="J26" s="30"/>
      <c r="K26" s="30"/>
      <c r="L26" s="31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6"/>
      <c r="AP26" s="26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</row>
    <row r="27" spans="1:61" x14ac:dyDescent="0.25">
      <c r="A27" s="23"/>
      <c r="B27" s="23"/>
      <c r="C27" s="23"/>
      <c r="D27" s="28" t="str">
        <f>$G$3</f>
        <v>Away:</v>
      </c>
      <c r="E27" s="29" t="str">
        <f>IF($G$4="","",$G$4)</f>
        <v/>
      </c>
      <c r="F27" s="30"/>
      <c r="G27" s="30"/>
      <c r="H27" s="30"/>
      <c r="I27" s="30"/>
      <c r="J27" s="30"/>
      <c r="K27" s="30"/>
      <c r="L27" s="31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6"/>
      <c r="AP27" s="26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</row>
    <row r="28" spans="1:61" x14ac:dyDescent="0.25">
      <c r="A28" s="23"/>
      <c r="B28" s="23"/>
      <c r="C28" s="23"/>
      <c r="D28" s="28" t="str">
        <f>$J$3</f>
        <v>Home:</v>
      </c>
      <c r="E28" s="29" t="str">
        <f>IF($J$4="","",$J$4)</f>
        <v/>
      </c>
      <c r="F28" s="30"/>
      <c r="G28" s="30"/>
      <c r="H28" s="30"/>
      <c r="I28" s="30"/>
      <c r="J28" s="30"/>
      <c r="K28" s="30"/>
      <c r="L28" s="31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6"/>
      <c r="AP28" s="26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</row>
    <row r="29" spans="1:61" x14ac:dyDescent="0.25">
      <c r="A29" s="23"/>
      <c r="B29" s="23"/>
      <c r="C29" s="23"/>
      <c r="D29" s="32" t="str">
        <f>$M$3</f>
        <v>Time:</v>
      </c>
      <c r="E29" s="33" t="str">
        <f>IF($M$4="","",$M$4)</f>
        <v/>
      </c>
      <c r="F29" s="30"/>
      <c r="G29" s="30"/>
      <c r="H29" s="30"/>
      <c r="I29" s="30"/>
      <c r="J29" s="30"/>
      <c r="K29" s="30"/>
      <c r="L29" s="31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6"/>
      <c r="AP29" s="26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</row>
    <row r="30" spans="1:61" x14ac:dyDescent="0.25">
      <c r="A30" s="23"/>
      <c r="B30" s="23"/>
      <c r="C30" s="23"/>
      <c r="D30" s="28" t="str">
        <f>$O$3</f>
        <v>Game Type:</v>
      </c>
      <c r="E30" s="29" t="str">
        <f>IF($O$4="","",$O$4)</f>
        <v/>
      </c>
      <c r="F30" s="30"/>
      <c r="G30" s="30"/>
      <c r="H30" s="30"/>
      <c r="I30" s="30"/>
      <c r="J30" s="30"/>
      <c r="K30" s="30"/>
      <c r="L30" s="31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6"/>
      <c r="AP30" s="26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</row>
    <row r="31" spans="1:61" x14ac:dyDescent="0.25">
      <c r="A31" s="23"/>
      <c r="B31" s="23"/>
      <c r="C31" s="23"/>
      <c r="D31" s="34" t="s">
        <v>95</v>
      </c>
      <c r="E31" s="174" t="str">
        <f>IFERROR(IF(AND($G$4="",$J$4=""),"",E25&amp;" -- "&amp;E26&amp;" -- "&amp;" "&amp;E27&amp;" vs."&amp;" "&amp;E28&amp;" -- "&amp;E30&amp;" "&amp;"Game"),"")</f>
        <v/>
      </c>
      <c r="F31" s="30"/>
      <c r="G31" s="30"/>
      <c r="H31" s="30"/>
      <c r="I31" s="30"/>
      <c r="J31" s="30"/>
      <c r="K31" s="30"/>
      <c r="L31" s="31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6"/>
      <c r="AP31" s="26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</row>
    <row r="32" spans="1:6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6"/>
      <c r="AP32" s="26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6"/>
      <c r="AP33" s="26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6"/>
      <c r="AP34" s="26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6"/>
      <c r="AP35" s="26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6"/>
      <c r="AP36" s="26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</row>
    <row r="37" spans="1:61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6"/>
      <c r="AP37" s="26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6"/>
      <c r="AP38" s="26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</row>
    <row r="39" spans="1:61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6"/>
      <c r="AP39" s="26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</row>
    <row r="40" spans="1:61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6"/>
      <c r="AP40" s="26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</row>
    <row r="41" spans="1:6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6"/>
      <c r="AP41" s="26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</row>
    <row r="42" spans="1:6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6"/>
      <c r="AP42" s="26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</row>
    <row r="43" spans="1:61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6"/>
      <c r="AP43" s="26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</row>
    <row r="44" spans="1:61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6"/>
      <c r="AP44" s="26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</row>
    <row r="45" spans="1:61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6"/>
      <c r="AP45" s="26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</row>
    <row r="46" spans="1:61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6"/>
      <c r="AP46" s="26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</row>
    <row r="47" spans="1:61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6"/>
      <c r="AP47" s="26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</row>
    <row r="48" spans="1:61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6"/>
      <c r="AP48" s="26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</row>
    <row r="49" spans="1:61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6"/>
      <c r="AP49" s="26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</row>
  </sheetData>
  <sheetProtection algorithmName="SHA-512" hashValue="RrG61ZHs4IKKoWo4IggQR+FQka19sZpJQMFdSxTXhQ8f3U6p0uGaApkbheSSX1FiSNV7I+kbobEVHFdzFlYriw==" saltValue="I69+oxkbjP3tZwv2uiqZvQ==" spinCount="100000" sheet="1" objects="1" scenarios="1" selectLockedCells="1"/>
  <dataValidations count="5">
    <dataValidation type="list" allowBlank="1" showInputMessage="1" showErrorMessage="1" sqref="D6:D20" xr:uid="{00000000-0002-0000-0C00-000000000000}">
      <formula1>CurrentPlayers</formula1>
    </dataValidation>
    <dataValidation type="list" allowBlank="1" showInputMessage="1" showErrorMessage="1" sqref="E4" xr:uid="{00000000-0002-0000-0C00-000002000000}">
      <formula1>WeeksInSeason</formula1>
    </dataValidation>
    <dataValidation type="list" allowBlank="1" showInputMessage="1" showErrorMessage="1" sqref="M4" xr:uid="{00000000-0002-0000-0C00-000003000000}">
      <formula1>TimeSlots</formula1>
    </dataValidation>
    <dataValidation type="list" allowBlank="1" showInputMessage="1" showErrorMessage="1" errorTitle="Team Does Not Exist" error="This team does not exist. Please try again." sqref="G4 J4" xr:uid="{CF3FB19B-9450-4AD4-987A-63CDC887A118}">
      <formula1>CurrentTeams</formula1>
    </dataValidation>
    <dataValidation type="list" allowBlank="1" showInputMessage="1" showErrorMessage="1" sqref="O4" xr:uid="{C4CACF23-7EB1-43A8-8036-858DD23651E7}">
      <formula1>GameTypes</formula1>
    </dataValidation>
  </dataValidations>
  <pageMargins left="0.7" right="0.7" top="0.75" bottom="0.75" header="0.3" footer="0.3"/>
  <pageSetup orientation="portrait" verticalDpi="300" r:id="rId1"/>
  <ignoredErrors>
    <ignoredError sqref="C6:C20" calculatedColumn="1"/>
    <ignoredError sqref="Q21:Q23 T21:T23" 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>
    <tabColor rgb="FFFF0000"/>
  </sheetPr>
  <dimension ref="A1:CK407"/>
  <sheetViews>
    <sheetView workbookViewId="0">
      <pane ySplit="2" topLeftCell="A371" activePane="bottomLeft" state="frozen"/>
      <selection activeCell="D4" sqref="D4"/>
      <selection pane="bottomLeft" sqref="A1:X1"/>
    </sheetView>
  </sheetViews>
  <sheetFormatPr defaultColWidth="9.140625" defaultRowHeight="15" x14ac:dyDescent="0.25"/>
  <cols>
    <col min="1" max="1" width="8.7109375" style="106" bestFit="1" customWidth="1"/>
    <col min="2" max="2" width="7.42578125" style="106" bestFit="1" customWidth="1"/>
    <col min="3" max="3" width="6" style="106" bestFit="1" customWidth="1"/>
    <col min="4" max="4" width="14.42578125" style="106" bestFit="1" customWidth="1"/>
    <col min="5" max="5" width="19.42578125" style="106" bestFit="1" customWidth="1"/>
    <col min="6" max="6" width="19.42578125" style="106" customWidth="1"/>
    <col min="7" max="15" width="5.7109375" style="106" customWidth="1"/>
    <col min="16" max="17" width="6.42578125" style="106" customWidth="1"/>
    <col min="18" max="23" width="7.140625" style="106" customWidth="1"/>
    <col min="24" max="24" width="7.140625" style="106" bestFit="1" customWidth="1"/>
    <col min="25" max="25" width="1.42578125" style="106" customWidth="1"/>
    <col min="26" max="28" width="9.140625" style="106"/>
    <col min="29" max="29" width="14.42578125" style="106" bestFit="1" customWidth="1"/>
    <col min="30" max="30" width="19.42578125" style="106" bestFit="1" customWidth="1"/>
    <col min="31" max="40" width="5.7109375" style="106" customWidth="1"/>
    <col min="41" max="42" width="6.42578125" style="106" customWidth="1"/>
    <col min="43" max="49" width="7.140625" style="106" customWidth="1"/>
    <col min="50" max="50" width="1.42578125" style="106" customWidth="1"/>
    <col min="51" max="53" width="9.140625" style="106"/>
    <col min="54" max="54" width="14.42578125" style="106" bestFit="1" customWidth="1"/>
    <col min="55" max="55" width="13.7109375" style="106" bestFit="1" customWidth="1"/>
    <col min="56" max="65" width="5.7109375" style="106" customWidth="1"/>
    <col min="66" max="74" width="7.140625" style="106" customWidth="1"/>
    <col min="75" max="75" width="72.42578125" style="106" bestFit="1" customWidth="1"/>
    <col min="76" max="16384" width="9.140625" style="106"/>
  </cols>
  <sheetData>
    <row r="1" spans="1:89" x14ac:dyDescent="0.25">
      <c r="A1" s="464" t="s">
        <v>108</v>
      </c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  <c r="O1" s="465"/>
      <c r="P1" s="465"/>
      <c r="Q1" s="465"/>
      <c r="R1" s="465"/>
      <c r="S1" s="465"/>
      <c r="T1" s="465"/>
      <c r="U1" s="465"/>
      <c r="V1" s="465"/>
      <c r="W1" s="465"/>
      <c r="X1" s="466"/>
      <c r="Z1" s="464" t="s">
        <v>109</v>
      </c>
      <c r="AA1" s="465"/>
      <c r="AB1" s="465"/>
      <c r="AC1" s="465"/>
      <c r="AD1" s="465"/>
      <c r="AE1" s="465"/>
      <c r="AF1" s="465"/>
      <c r="AG1" s="465"/>
      <c r="AH1" s="465"/>
      <c r="AI1" s="465"/>
      <c r="AJ1" s="465"/>
      <c r="AK1" s="465"/>
      <c r="AL1" s="465"/>
      <c r="AM1" s="465"/>
      <c r="AN1" s="465"/>
      <c r="AO1" s="465"/>
      <c r="AP1" s="465"/>
      <c r="AQ1" s="465"/>
      <c r="AR1" s="465"/>
      <c r="AS1" s="465"/>
      <c r="AT1" s="465"/>
      <c r="AU1" s="465"/>
      <c r="AV1" s="465"/>
      <c r="AW1" s="466"/>
      <c r="AX1" s="137"/>
      <c r="AY1" s="464" t="s">
        <v>110</v>
      </c>
      <c r="AZ1" s="465"/>
      <c r="BA1" s="465"/>
      <c r="BB1" s="465"/>
      <c r="BC1" s="465"/>
      <c r="BD1" s="465"/>
      <c r="BE1" s="465"/>
      <c r="BF1" s="465"/>
      <c r="BG1" s="465"/>
      <c r="BH1" s="465"/>
      <c r="BI1" s="465"/>
      <c r="BJ1" s="465"/>
      <c r="BK1" s="465"/>
      <c r="BL1" s="465"/>
      <c r="BM1" s="465"/>
      <c r="BN1" s="465"/>
      <c r="BO1" s="465"/>
      <c r="BP1" s="465"/>
      <c r="BQ1" s="465"/>
      <c r="BR1" s="465"/>
      <c r="BS1" s="465"/>
      <c r="BT1" s="465"/>
      <c r="BU1" s="465"/>
      <c r="BV1" s="465"/>
      <c r="BW1" s="466"/>
    </row>
    <row r="2" spans="1:89" s="111" customFormat="1" ht="30" x14ac:dyDescent="0.25">
      <c r="A2" s="128" t="s">
        <v>94</v>
      </c>
      <c r="B2" s="128" t="s">
        <v>90</v>
      </c>
      <c r="C2" s="129" t="s">
        <v>93</v>
      </c>
      <c r="D2" s="128" t="s">
        <v>68</v>
      </c>
      <c r="E2" s="130" t="s">
        <v>0</v>
      </c>
      <c r="F2" s="130" t="s">
        <v>70</v>
      </c>
      <c r="G2" s="130" t="s">
        <v>71</v>
      </c>
      <c r="H2" s="130" t="s">
        <v>72</v>
      </c>
      <c r="I2" s="130" t="s">
        <v>73</v>
      </c>
      <c r="J2" s="130" t="s">
        <v>74</v>
      </c>
      <c r="K2" s="130" t="s">
        <v>75</v>
      </c>
      <c r="L2" s="130" t="s">
        <v>76</v>
      </c>
      <c r="M2" s="130" t="s">
        <v>77</v>
      </c>
      <c r="N2" s="130" t="s">
        <v>78</v>
      </c>
      <c r="O2" s="130" t="s">
        <v>79</v>
      </c>
      <c r="P2" s="128" t="s">
        <v>80</v>
      </c>
      <c r="Q2" s="128" t="s">
        <v>124</v>
      </c>
      <c r="R2" s="130" t="s">
        <v>82</v>
      </c>
      <c r="S2" s="128" t="s">
        <v>125</v>
      </c>
      <c r="T2" s="128" t="s">
        <v>126</v>
      </c>
      <c r="U2" s="130" t="s">
        <v>85</v>
      </c>
      <c r="V2" s="128" t="s">
        <v>127</v>
      </c>
      <c r="W2" s="128" t="s">
        <v>128</v>
      </c>
      <c r="X2" s="130" t="s">
        <v>88</v>
      </c>
      <c r="Z2" s="128" t="s">
        <v>94</v>
      </c>
      <c r="AA2" s="128" t="s">
        <v>90</v>
      </c>
      <c r="AB2" s="129" t="s">
        <v>93</v>
      </c>
      <c r="AC2" s="128" t="s">
        <v>68</v>
      </c>
      <c r="AD2" s="130" t="s">
        <v>0</v>
      </c>
      <c r="AE2" s="130" t="s">
        <v>70</v>
      </c>
      <c r="AF2" s="130" t="s">
        <v>71</v>
      </c>
      <c r="AG2" s="130" t="s">
        <v>72</v>
      </c>
      <c r="AH2" s="130" t="s">
        <v>73</v>
      </c>
      <c r="AI2" s="130" t="s">
        <v>74</v>
      </c>
      <c r="AJ2" s="130" t="s">
        <v>75</v>
      </c>
      <c r="AK2" s="130" t="s">
        <v>76</v>
      </c>
      <c r="AL2" s="130" t="s">
        <v>77</v>
      </c>
      <c r="AM2" s="130" t="s">
        <v>78</v>
      </c>
      <c r="AN2" s="130" t="s">
        <v>79</v>
      </c>
      <c r="AO2" s="128" t="s">
        <v>80</v>
      </c>
      <c r="AP2" s="128" t="s">
        <v>124</v>
      </c>
      <c r="AQ2" s="130" t="s">
        <v>82</v>
      </c>
      <c r="AR2" s="128" t="s">
        <v>125</v>
      </c>
      <c r="AS2" s="128" t="s">
        <v>126</v>
      </c>
      <c r="AT2" s="130" t="s">
        <v>85</v>
      </c>
      <c r="AU2" s="128" t="s">
        <v>127</v>
      </c>
      <c r="AV2" s="128" t="s">
        <v>128</v>
      </c>
      <c r="AW2" s="130" t="s">
        <v>88</v>
      </c>
      <c r="AX2" s="130"/>
      <c r="AY2" s="171" t="s">
        <v>94</v>
      </c>
      <c r="AZ2" s="171" t="s">
        <v>90</v>
      </c>
      <c r="BA2" s="172" t="s">
        <v>93</v>
      </c>
      <c r="BB2" s="171" t="s">
        <v>68</v>
      </c>
      <c r="BC2" s="173" t="s">
        <v>0</v>
      </c>
      <c r="BD2" s="173" t="s">
        <v>70</v>
      </c>
      <c r="BE2" s="173" t="s">
        <v>71</v>
      </c>
      <c r="BF2" s="173" t="s">
        <v>72</v>
      </c>
      <c r="BG2" s="173" t="s">
        <v>73</v>
      </c>
      <c r="BH2" s="173" t="s">
        <v>74</v>
      </c>
      <c r="BI2" s="173" t="s">
        <v>75</v>
      </c>
      <c r="BJ2" s="173" t="s">
        <v>76</v>
      </c>
      <c r="BK2" s="173" t="s">
        <v>77</v>
      </c>
      <c r="BL2" s="173" t="s">
        <v>78</v>
      </c>
      <c r="BM2" s="173" t="s">
        <v>79</v>
      </c>
      <c r="BN2" s="171" t="s">
        <v>80</v>
      </c>
      <c r="BO2" s="171" t="s">
        <v>124</v>
      </c>
      <c r="BP2" s="173" t="s">
        <v>82</v>
      </c>
      <c r="BQ2" s="171" t="s">
        <v>125</v>
      </c>
      <c r="BR2" s="171" t="s">
        <v>126</v>
      </c>
      <c r="BS2" s="173" t="s">
        <v>85</v>
      </c>
      <c r="BT2" s="171" t="s">
        <v>127</v>
      </c>
      <c r="BU2" s="171" t="s">
        <v>128</v>
      </c>
      <c r="BV2" s="173" t="s">
        <v>88</v>
      </c>
      <c r="BW2" s="171" t="s">
        <v>121</v>
      </c>
    </row>
    <row r="3" spans="1:89" x14ac:dyDescent="0.25">
      <c r="A3" s="131" t="s">
        <v>45</v>
      </c>
      <c r="B3" s="131" t="s">
        <v>56</v>
      </c>
      <c r="C3" s="132">
        <v>1830.7708333333333</v>
      </c>
      <c r="D3" s="131" t="s">
        <v>65</v>
      </c>
      <c r="E3" s="131" t="s">
        <v>2</v>
      </c>
      <c r="F3" s="131" t="s">
        <v>41</v>
      </c>
      <c r="G3" s="131">
        <v>1</v>
      </c>
      <c r="H3" s="131">
        <v>17</v>
      </c>
      <c r="I3" s="131">
        <v>6</v>
      </c>
      <c r="J3" s="131">
        <v>0</v>
      </c>
      <c r="K3" s="131">
        <v>1</v>
      </c>
      <c r="L3" s="131">
        <v>1</v>
      </c>
      <c r="M3" s="131">
        <v>0</v>
      </c>
      <c r="N3" s="131">
        <v>3</v>
      </c>
      <c r="O3" s="131">
        <v>3</v>
      </c>
      <c r="P3" s="131">
        <v>4</v>
      </c>
      <c r="Q3" s="131">
        <v>5</v>
      </c>
      <c r="R3" s="133">
        <v>0.8</v>
      </c>
      <c r="S3" s="131">
        <v>5</v>
      </c>
      <c r="T3" s="131">
        <v>9</v>
      </c>
      <c r="U3" s="133">
        <v>0.55555555555555558</v>
      </c>
      <c r="V3" s="131">
        <v>3</v>
      </c>
      <c r="W3" s="131">
        <v>6</v>
      </c>
      <c r="X3" s="133">
        <v>0.5</v>
      </c>
      <c r="Y3"/>
      <c r="Z3" s="134" t="s">
        <v>45</v>
      </c>
      <c r="AA3" s="134" t="s">
        <v>56</v>
      </c>
      <c r="AB3" s="135">
        <v>1830.7708333333333</v>
      </c>
      <c r="AC3" s="134" t="s">
        <v>65</v>
      </c>
      <c r="AD3" s="134" t="s">
        <v>41</v>
      </c>
      <c r="AE3" s="134" t="s">
        <v>174</v>
      </c>
      <c r="AF3" s="134">
        <v>1</v>
      </c>
      <c r="AG3" s="134">
        <v>55</v>
      </c>
      <c r="AH3" s="134">
        <v>32</v>
      </c>
      <c r="AI3" s="134">
        <v>10</v>
      </c>
      <c r="AJ3" s="134">
        <v>9</v>
      </c>
      <c r="AK3" s="134">
        <v>5</v>
      </c>
      <c r="AL3" s="134">
        <v>8</v>
      </c>
      <c r="AM3" s="134">
        <v>14</v>
      </c>
      <c r="AN3" s="134">
        <v>18</v>
      </c>
      <c r="AO3" s="134">
        <v>8</v>
      </c>
      <c r="AP3" s="134">
        <v>22</v>
      </c>
      <c r="AQ3" s="136">
        <v>0.36363636363636365</v>
      </c>
      <c r="AR3" s="134">
        <v>19</v>
      </c>
      <c r="AS3" s="134">
        <v>63</v>
      </c>
      <c r="AT3" s="136">
        <v>0.30158730158730157</v>
      </c>
      <c r="AU3" s="134">
        <v>10</v>
      </c>
      <c r="AV3" s="134">
        <v>15</v>
      </c>
      <c r="AW3" s="136">
        <v>0.66666666666666663</v>
      </c>
      <c r="AX3"/>
      <c r="AY3" s="134" t="s">
        <v>45</v>
      </c>
      <c r="AZ3" s="134" t="s">
        <v>56</v>
      </c>
      <c r="BA3" s="135">
        <v>1830.7708333333333</v>
      </c>
      <c r="BB3" s="134" t="s">
        <v>65</v>
      </c>
      <c r="BC3" s="134" t="s">
        <v>89</v>
      </c>
      <c r="BD3" s="134"/>
      <c r="BE3" s="134">
        <v>1</v>
      </c>
      <c r="BF3" s="134">
        <v>108</v>
      </c>
      <c r="BG3" s="134">
        <v>64</v>
      </c>
      <c r="BH3" s="134">
        <v>17</v>
      </c>
      <c r="BI3" s="134">
        <v>13</v>
      </c>
      <c r="BJ3" s="134">
        <v>11</v>
      </c>
      <c r="BK3" s="134">
        <v>20</v>
      </c>
      <c r="BL3" s="134">
        <v>20</v>
      </c>
      <c r="BM3" s="134">
        <v>44</v>
      </c>
      <c r="BN3" s="134">
        <v>15</v>
      </c>
      <c r="BO3" s="134">
        <v>41</v>
      </c>
      <c r="BP3" s="136">
        <v>0.36585365853658536</v>
      </c>
      <c r="BQ3" s="134">
        <v>41</v>
      </c>
      <c r="BR3" s="134">
        <v>110</v>
      </c>
      <c r="BS3" s="136">
        <v>0.37272727272727274</v>
      </c>
      <c r="BT3" s="134">
        <v>14</v>
      </c>
      <c r="BU3" s="134">
        <v>22</v>
      </c>
      <c r="BV3" s="136">
        <v>0.63636363636363635</v>
      </c>
      <c r="BW3" s="174" t="s">
        <v>158</v>
      </c>
      <c r="BX3"/>
      <c r="BY3"/>
      <c r="BZ3"/>
      <c r="CA3"/>
      <c r="CB3"/>
      <c r="CC3"/>
      <c r="CD3"/>
      <c r="CE3"/>
    </row>
    <row r="4" spans="1:89" x14ac:dyDescent="0.25">
      <c r="A4" s="131" t="s">
        <v>45</v>
      </c>
      <c r="B4" s="131" t="s">
        <v>56</v>
      </c>
      <c r="C4" s="132">
        <v>1830.7708333333333</v>
      </c>
      <c r="D4" s="131" t="s">
        <v>65</v>
      </c>
      <c r="E4" s="131" t="s">
        <v>25</v>
      </c>
      <c r="F4" s="131" t="s">
        <v>41</v>
      </c>
      <c r="G4" s="131">
        <v>1</v>
      </c>
      <c r="H4" s="131">
        <v>7</v>
      </c>
      <c r="I4" s="131">
        <v>6</v>
      </c>
      <c r="J4" s="131">
        <v>1</v>
      </c>
      <c r="K4" s="131">
        <v>2</v>
      </c>
      <c r="L4" s="131">
        <v>0</v>
      </c>
      <c r="M4" s="131">
        <v>0</v>
      </c>
      <c r="N4" s="131">
        <v>1</v>
      </c>
      <c r="O4" s="131">
        <v>5</v>
      </c>
      <c r="P4" s="131">
        <v>1</v>
      </c>
      <c r="Q4" s="131">
        <v>1</v>
      </c>
      <c r="R4" s="133">
        <v>1</v>
      </c>
      <c r="S4" s="131">
        <v>3</v>
      </c>
      <c r="T4" s="131">
        <v>7</v>
      </c>
      <c r="U4" s="133">
        <v>0.42857142857142855</v>
      </c>
      <c r="V4" s="131">
        <v>1</v>
      </c>
      <c r="W4" s="131">
        <v>1</v>
      </c>
      <c r="X4" s="133">
        <v>1</v>
      </c>
      <c r="Y4"/>
      <c r="Z4" s="134" t="s">
        <v>45</v>
      </c>
      <c r="AA4" s="134" t="s">
        <v>56</v>
      </c>
      <c r="AB4" s="135">
        <v>1830.7708333333333</v>
      </c>
      <c r="AC4" s="134" t="s">
        <v>65</v>
      </c>
      <c r="AD4" s="134" t="s">
        <v>119</v>
      </c>
      <c r="AE4" s="134" t="s">
        <v>175</v>
      </c>
      <c r="AF4" s="134">
        <v>1</v>
      </c>
      <c r="AG4" s="134">
        <v>53</v>
      </c>
      <c r="AH4" s="134">
        <v>32</v>
      </c>
      <c r="AI4" s="134">
        <v>7</v>
      </c>
      <c r="AJ4" s="134">
        <v>4</v>
      </c>
      <c r="AK4" s="134">
        <v>6</v>
      </c>
      <c r="AL4" s="134">
        <v>12</v>
      </c>
      <c r="AM4" s="134">
        <v>6</v>
      </c>
      <c r="AN4" s="134">
        <v>26</v>
      </c>
      <c r="AO4" s="134">
        <v>7</v>
      </c>
      <c r="AP4" s="134">
        <v>19</v>
      </c>
      <c r="AQ4" s="136">
        <v>0.36842105263157893</v>
      </c>
      <c r="AR4" s="134">
        <v>22</v>
      </c>
      <c r="AS4" s="134">
        <v>47</v>
      </c>
      <c r="AT4" s="136">
        <v>0.46808510638297873</v>
      </c>
      <c r="AU4" s="134">
        <v>4</v>
      </c>
      <c r="AV4" s="134">
        <v>7</v>
      </c>
      <c r="AW4" s="136">
        <v>0.5714285714285714</v>
      </c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</row>
    <row r="5" spans="1:89" x14ac:dyDescent="0.25">
      <c r="A5" s="131" t="s">
        <v>45</v>
      </c>
      <c r="B5" s="131" t="s">
        <v>56</v>
      </c>
      <c r="C5" s="132">
        <v>1830.7708333333333</v>
      </c>
      <c r="D5" s="131" t="s">
        <v>65</v>
      </c>
      <c r="E5" s="131" t="s">
        <v>28</v>
      </c>
      <c r="F5" s="131" t="s">
        <v>41</v>
      </c>
      <c r="G5" s="131">
        <v>1</v>
      </c>
      <c r="H5" s="131">
        <v>6</v>
      </c>
      <c r="I5" s="131">
        <v>2</v>
      </c>
      <c r="J5" s="131">
        <v>3</v>
      </c>
      <c r="K5" s="131">
        <v>0</v>
      </c>
      <c r="L5" s="131">
        <v>0</v>
      </c>
      <c r="M5" s="131">
        <v>0</v>
      </c>
      <c r="N5" s="131">
        <v>0</v>
      </c>
      <c r="O5" s="131">
        <v>2</v>
      </c>
      <c r="P5" s="131">
        <v>2</v>
      </c>
      <c r="Q5" s="131">
        <v>6</v>
      </c>
      <c r="R5" s="133">
        <v>0.33333333333333331</v>
      </c>
      <c r="S5" s="131">
        <v>2</v>
      </c>
      <c r="T5" s="131">
        <v>6</v>
      </c>
      <c r="U5" s="133">
        <v>0.33333333333333331</v>
      </c>
      <c r="V5" s="131">
        <v>0</v>
      </c>
      <c r="W5" s="131">
        <v>0</v>
      </c>
      <c r="X5" s="133" t="s">
        <v>120</v>
      </c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</row>
    <row r="6" spans="1:89" x14ac:dyDescent="0.25">
      <c r="A6" s="131" t="s">
        <v>45</v>
      </c>
      <c r="B6" s="131" t="s">
        <v>56</v>
      </c>
      <c r="C6" s="132">
        <v>1830.7708333333333</v>
      </c>
      <c r="D6" s="131" t="s">
        <v>65</v>
      </c>
      <c r="E6" s="131" t="s">
        <v>13</v>
      </c>
      <c r="F6" s="131" t="s">
        <v>41</v>
      </c>
      <c r="G6" s="131">
        <v>1</v>
      </c>
      <c r="H6" s="131">
        <v>10</v>
      </c>
      <c r="I6" s="131">
        <v>7</v>
      </c>
      <c r="J6" s="131">
        <v>2</v>
      </c>
      <c r="K6" s="131">
        <v>2</v>
      </c>
      <c r="L6" s="131">
        <v>0</v>
      </c>
      <c r="M6" s="131">
        <v>6</v>
      </c>
      <c r="N6" s="131">
        <v>3</v>
      </c>
      <c r="O6" s="131">
        <v>4</v>
      </c>
      <c r="P6" s="131">
        <v>0</v>
      </c>
      <c r="Q6" s="131">
        <v>3</v>
      </c>
      <c r="R6" s="133">
        <v>0</v>
      </c>
      <c r="S6" s="131">
        <v>5</v>
      </c>
      <c r="T6" s="131">
        <v>21</v>
      </c>
      <c r="U6" s="133">
        <v>0.23809523809523808</v>
      </c>
      <c r="V6" s="131">
        <v>0</v>
      </c>
      <c r="W6" s="131">
        <v>0</v>
      </c>
      <c r="X6" s="133" t="s">
        <v>120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</row>
    <row r="7" spans="1:89" x14ac:dyDescent="0.25">
      <c r="A7" s="131" t="s">
        <v>45</v>
      </c>
      <c r="B7" s="131" t="s">
        <v>56</v>
      </c>
      <c r="C7" s="132">
        <v>1830.7708333333333</v>
      </c>
      <c r="D7" s="131" t="s">
        <v>65</v>
      </c>
      <c r="E7" s="131" t="s">
        <v>32</v>
      </c>
      <c r="F7" s="131" t="s">
        <v>41</v>
      </c>
      <c r="G7" s="131">
        <v>1</v>
      </c>
      <c r="H7" s="131">
        <v>15</v>
      </c>
      <c r="I7" s="131">
        <v>10</v>
      </c>
      <c r="J7" s="131">
        <v>4</v>
      </c>
      <c r="K7" s="131">
        <v>4</v>
      </c>
      <c r="L7" s="131">
        <v>4</v>
      </c>
      <c r="M7" s="131">
        <v>1</v>
      </c>
      <c r="N7" s="131">
        <v>7</v>
      </c>
      <c r="O7" s="131">
        <v>3</v>
      </c>
      <c r="P7" s="131">
        <v>1</v>
      </c>
      <c r="Q7" s="131">
        <v>5</v>
      </c>
      <c r="R7" s="133">
        <v>0.2</v>
      </c>
      <c r="S7" s="131">
        <v>4</v>
      </c>
      <c r="T7" s="131">
        <v>17</v>
      </c>
      <c r="U7" s="133">
        <v>0.23529411764705882</v>
      </c>
      <c r="V7" s="131">
        <v>6</v>
      </c>
      <c r="W7" s="131">
        <v>8</v>
      </c>
      <c r="X7" s="133">
        <v>0.75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</row>
    <row r="8" spans="1:89" x14ac:dyDescent="0.25">
      <c r="A8" s="131" t="s">
        <v>45</v>
      </c>
      <c r="B8" s="131" t="s">
        <v>56</v>
      </c>
      <c r="C8" s="132">
        <v>1830.7708333333333</v>
      </c>
      <c r="D8" s="131" t="s">
        <v>65</v>
      </c>
      <c r="E8" s="131" t="s">
        <v>30</v>
      </c>
      <c r="F8" s="131" t="s">
        <v>41</v>
      </c>
      <c r="G8" s="131">
        <v>1</v>
      </c>
      <c r="H8" s="131">
        <v>0</v>
      </c>
      <c r="I8" s="131">
        <v>1</v>
      </c>
      <c r="J8" s="131">
        <v>0</v>
      </c>
      <c r="K8" s="131">
        <v>0</v>
      </c>
      <c r="L8" s="131">
        <v>0</v>
      </c>
      <c r="M8" s="131">
        <v>1</v>
      </c>
      <c r="N8" s="131">
        <v>0</v>
      </c>
      <c r="O8" s="131">
        <v>1</v>
      </c>
      <c r="P8" s="131">
        <v>0</v>
      </c>
      <c r="Q8" s="131">
        <v>2</v>
      </c>
      <c r="R8" s="133">
        <v>0</v>
      </c>
      <c r="S8" s="131">
        <v>0</v>
      </c>
      <c r="T8" s="131">
        <v>3</v>
      </c>
      <c r="U8" s="133">
        <v>0</v>
      </c>
      <c r="V8" s="131">
        <v>0</v>
      </c>
      <c r="W8" s="131">
        <v>0</v>
      </c>
      <c r="X8" s="133" t="s">
        <v>120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</row>
    <row r="9" spans="1:89" x14ac:dyDescent="0.25">
      <c r="A9" s="131" t="s">
        <v>45</v>
      </c>
      <c r="B9" s="131" t="s">
        <v>56</v>
      </c>
      <c r="C9" s="132">
        <v>1830.7708333333333</v>
      </c>
      <c r="D9" s="131" t="s">
        <v>65</v>
      </c>
      <c r="E9" s="131" t="s">
        <v>1</v>
      </c>
      <c r="F9" s="131" t="s">
        <v>119</v>
      </c>
      <c r="G9" s="131">
        <v>1</v>
      </c>
      <c r="H9" s="131">
        <v>23</v>
      </c>
      <c r="I9" s="131">
        <v>12</v>
      </c>
      <c r="J9" s="131">
        <v>6</v>
      </c>
      <c r="K9" s="131">
        <v>2</v>
      </c>
      <c r="L9" s="131">
        <v>1</v>
      </c>
      <c r="M9" s="131">
        <v>5</v>
      </c>
      <c r="N9" s="131">
        <v>1</v>
      </c>
      <c r="O9" s="131">
        <v>11</v>
      </c>
      <c r="P9" s="131">
        <v>3</v>
      </c>
      <c r="Q9" s="131">
        <v>8</v>
      </c>
      <c r="R9" s="133">
        <v>0.375</v>
      </c>
      <c r="S9" s="131">
        <v>8</v>
      </c>
      <c r="T9" s="131">
        <v>19</v>
      </c>
      <c r="U9" s="133">
        <v>0.42105263157894735</v>
      </c>
      <c r="V9" s="131">
        <v>4</v>
      </c>
      <c r="W9" s="131">
        <v>5</v>
      </c>
      <c r="X9" s="133">
        <v>0.8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</row>
    <row r="10" spans="1:89" x14ac:dyDescent="0.25">
      <c r="A10" s="131" t="s">
        <v>45</v>
      </c>
      <c r="B10" s="131" t="s">
        <v>56</v>
      </c>
      <c r="C10" s="132">
        <v>1830.7708333333333</v>
      </c>
      <c r="D10" s="131" t="s">
        <v>65</v>
      </c>
      <c r="E10" s="131" t="s">
        <v>9</v>
      </c>
      <c r="F10" s="131" t="s">
        <v>119</v>
      </c>
      <c r="G10" s="131">
        <v>1</v>
      </c>
      <c r="H10" s="131">
        <v>17</v>
      </c>
      <c r="I10" s="131">
        <v>4</v>
      </c>
      <c r="J10" s="131">
        <v>0</v>
      </c>
      <c r="K10" s="131">
        <v>1</v>
      </c>
      <c r="L10" s="131">
        <v>3</v>
      </c>
      <c r="M10" s="131">
        <v>0</v>
      </c>
      <c r="N10" s="131">
        <v>1</v>
      </c>
      <c r="O10" s="131">
        <v>3</v>
      </c>
      <c r="P10" s="131">
        <v>3</v>
      </c>
      <c r="Q10" s="131">
        <v>7</v>
      </c>
      <c r="R10" s="133">
        <v>0.42857142857142855</v>
      </c>
      <c r="S10" s="131">
        <v>7</v>
      </c>
      <c r="T10" s="131">
        <v>15</v>
      </c>
      <c r="U10" s="133">
        <v>0.46666666666666667</v>
      </c>
      <c r="V10" s="131">
        <v>0</v>
      </c>
      <c r="W10" s="131">
        <v>2</v>
      </c>
      <c r="X10" s="133"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</row>
    <row r="11" spans="1:89" x14ac:dyDescent="0.25">
      <c r="A11" s="131" t="s">
        <v>45</v>
      </c>
      <c r="B11" s="131" t="s">
        <v>56</v>
      </c>
      <c r="C11" s="132">
        <v>1830.7708333333333</v>
      </c>
      <c r="D11" s="131" t="s">
        <v>65</v>
      </c>
      <c r="E11" s="131" t="s">
        <v>100</v>
      </c>
      <c r="F11" s="131" t="s">
        <v>119</v>
      </c>
      <c r="G11" s="131">
        <v>1</v>
      </c>
      <c r="H11" s="131">
        <v>5</v>
      </c>
      <c r="I11" s="131">
        <v>4</v>
      </c>
      <c r="J11" s="131">
        <v>0</v>
      </c>
      <c r="K11" s="131">
        <v>1</v>
      </c>
      <c r="L11" s="131">
        <v>1</v>
      </c>
      <c r="M11" s="131">
        <v>2</v>
      </c>
      <c r="N11" s="131">
        <v>0</v>
      </c>
      <c r="O11" s="131">
        <v>4</v>
      </c>
      <c r="P11" s="131">
        <v>1</v>
      </c>
      <c r="Q11" s="131">
        <v>1</v>
      </c>
      <c r="R11" s="133">
        <v>1</v>
      </c>
      <c r="S11" s="131">
        <v>2</v>
      </c>
      <c r="T11" s="131">
        <v>3</v>
      </c>
      <c r="U11" s="133">
        <v>0.66666666666666663</v>
      </c>
      <c r="V11" s="131">
        <v>0</v>
      </c>
      <c r="W11" s="131">
        <v>0</v>
      </c>
      <c r="X11" s="133" t="s">
        <v>120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</row>
    <row r="12" spans="1:89" x14ac:dyDescent="0.25">
      <c r="A12" s="131" t="s">
        <v>45</v>
      </c>
      <c r="B12" s="131" t="s">
        <v>56</v>
      </c>
      <c r="C12" s="132">
        <v>1830.7708333333333</v>
      </c>
      <c r="D12" s="131" t="s">
        <v>65</v>
      </c>
      <c r="E12" s="131" t="s">
        <v>24</v>
      </c>
      <c r="F12" s="131" t="s">
        <v>119</v>
      </c>
      <c r="G12" s="131">
        <v>1</v>
      </c>
      <c r="H12" s="131">
        <v>4</v>
      </c>
      <c r="I12" s="131">
        <v>6</v>
      </c>
      <c r="J12" s="131">
        <v>1</v>
      </c>
      <c r="K12" s="131">
        <v>0</v>
      </c>
      <c r="L12" s="131">
        <v>0</v>
      </c>
      <c r="M12" s="131">
        <v>4</v>
      </c>
      <c r="N12" s="131">
        <v>2</v>
      </c>
      <c r="O12" s="131">
        <v>4</v>
      </c>
      <c r="P12" s="131">
        <v>0</v>
      </c>
      <c r="Q12" s="131">
        <v>0</v>
      </c>
      <c r="R12" s="133" t="s">
        <v>120</v>
      </c>
      <c r="S12" s="131">
        <v>3</v>
      </c>
      <c r="T12" s="131">
        <v>5</v>
      </c>
      <c r="U12" s="133">
        <v>0.6</v>
      </c>
      <c r="V12" s="131">
        <v>0</v>
      </c>
      <c r="W12" s="131">
        <v>0</v>
      </c>
      <c r="X12" s="133" t="s">
        <v>120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</row>
    <row r="13" spans="1:89" x14ac:dyDescent="0.25">
      <c r="A13" s="131" t="s">
        <v>45</v>
      </c>
      <c r="B13" s="131" t="s">
        <v>56</v>
      </c>
      <c r="C13" s="132">
        <v>1830.7708333333333</v>
      </c>
      <c r="D13" s="131" t="s">
        <v>65</v>
      </c>
      <c r="E13" s="131" t="s">
        <v>36</v>
      </c>
      <c r="F13" s="131" t="s">
        <v>119</v>
      </c>
      <c r="G13" s="131">
        <v>1</v>
      </c>
      <c r="H13" s="131">
        <v>4</v>
      </c>
      <c r="I13" s="131">
        <v>4</v>
      </c>
      <c r="J13" s="131">
        <v>0</v>
      </c>
      <c r="K13" s="131">
        <v>0</v>
      </c>
      <c r="L13" s="131">
        <v>1</v>
      </c>
      <c r="M13" s="131">
        <v>1</v>
      </c>
      <c r="N13" s="131">
        <v>2</v>
      </c>
      <c r="O13" s="131">
        <v>2</v>
      </c>
      <c r="P13" s="131">
        <v>0</v>
      </c>
      <c r="Q13" s="131">
        <v>3</v>
      </c>
      <c r="R13" s="133">
        <v>0</v>
      </c>
      <c r="S13" s="131">
        <v>2</v>
      </c>
      <c r="T13" s="131">
        <v>5</v>
      </c>
      <c r="U13" s="133">
        <v>0.4</v>
      </c>
      <c r="V13" s="131">
        <v>0</v>
      </c>
      <c r="W13" s="131">
        <v>0</v>
      </c>
      <c r="X13" s="133" t="s">
        <v>120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</row>
    <row r="14" spans="1:89" x14ac:dyDescent="0.25">
      <c r="A14" s="131" t="s">
        <v>45</v>
      </c>
      <c r="B14" s="131" t="s">
        <v>56</v>
      </c>
      <c r="C14" s="132">
        <v>1830.7708333333333</v>
      </c>
      <c r="D14" s="131" t="s">
        <v>65</v>
      </c>
      <c r="E14" s="131" t="s">
        <v>18</v>
      </c>
      <c r="F14" s="131" t="s">
        <v>119</v>
      </c>
      <c r="G14" s="131">
        <v>1</v>
      </c>
      <c r="H14" s="131">
        <v>0</v>
      </c>
      <c r="I14" s="131">
        <v>2</v>
      </c>
      <c r="J14" s="131">
        <v>0</v>
      </c>
      <c r="K14" s="131">
        <v>0</v>
      </c>
      <c r="L14" s="131">
        <v>0</v>
      </c>
      <c r="M14" s="131">
        <v>0</v>
      </c>
      <c r="N14" s="131">
        <v>0</v>
      </c>
      <c r="O14" s="131">
        <v>2</v>
      </c>
      <c r="P14" s="131">
        <v>0</v>
      </c>
      <c r="Q14" s="131">
        <v>0</v>
      </c>
      <c r="R14" s="133" t="s">
        <v>120</v>
      </c>
      <c r="S14" s="131">
        <v>0</v>
      </c>
      <c r="T14" s="131">
        <v>0</v>
      </c>
      <c r="U14" s="133" t="s">
        <v>120</v>
      </c>
      <c r="V14" s="131">
        <v>0</v>
      </c>
      <c r="W14" s="131">
        <v>0</v>
      </c>
      <c r="X14" s="133" t="s">
        <v>120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</row>
    <row r="15" spans="1:89" x14ac:dyDescent="0.25">
      <c r="A15" s="131" t="s">
        <v>157</v>
      </c>
      <c r="B15" s="131" t="s">
        <v>157</v>
      </c>
      <c r="C15" s="132" t="s">
        <v>157</v>
      </c>
      <c r="D15" s="131" t="s">
        <v>157</v>
      </c>
      <c r="E15" s="131" t="s">
        <v>157</v>
      </c>
      <c r="F15" s="131" t="s">
        <v>157</v>
      </c>
      <c r="G15" s="131" t="s">
        <v>157</v>
      </c>
      <c r="H15" s="131" t="s">
        <v>157</v>
      </c>
      <c r="I15" s="131" t="s">
        <v>157</v>
      </c>
      <c r="J15" s="131" t="s">
        <v>157</v>
      </c>
      <c r="K15" s="131" t="s">
        <v>157</v>
      </c>
      <c r="L15" s="131" t="s">
        <v>157</v>
      </c>
      <c r="M15" s="131" t="s">
        <v>157</v>
      </c>
      <c r="N15" s="131" t="s">
        <v>157</v>
      </c>
      <c r="O15" s="131" t="s">
        <v>157</v>
      </c>
      <c r="P15" s="131" t="s">
        <v>157</v>
      </c>
      <c r="Q15" s="131" t="s">
        <v>157</v>
      </c>
      <c r="R15" s="133" t="s">
        <v>157</v>
      </c>
      <c r="S15" s="131" t="s">
        <v>157</v>
      </c>
      <c r="T15" s="131" t="s">
        <v>157</v>
      </c>
      <c r="U15" s="133" t="s">
        <v>157</v>
      </c>
      <c r="V15" s="131" t="s">
        <v>157</v>
      </c>
      <c r="W15" s="131" t="s">
        <v>157</v>
      </c>
      <c r="X15" s="133" t="s">
        <v>157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x14ac:dyDescent="0.25">
      <c r="A16" s="131" t="s">
        <v>157</v>
      </c>
      <c r="B16" s="131" t="s">
        <v>157</v>
      </c>
      <c r="C16" s="132" t="s">
        <v>157</v>
      </c>
      <c r="D16" s="131" t="s">
        <v>157</v>
      </c>
      <c r="E16" s="131" t="s">
        <v>157</v>
      </c>
      <c r="F16" s="131" t="s">
        <v>157</v>
      </c>
      <c r="G16" s="131" t="s">
        <v>157</v>
      </c>
      <c r="H16" s="131" t="s">
        <v>157</v>
      </c>
      <c r="I16" s="131" t="s">
        <v>157</v>
      </c>
      <c r="J16" s="131" t="s">
        <v>157</v>
      </c>
      <c r="K16" s="131" t="s">
        <v>157</v>
      </c>
      <c r="L16" s="131" t="s">
        <v>157</v>
      </c>
      <c r="M16" s="131" t="s">
        <v>157</v>
      </c>
      <c r="N16" s="131" t="s">
        <v>157</v>
      </c>
      <c r="O16" s="131" t="s">
        <v>157</v>
      </c>
      <c r="P16" s="131" t="s">
        <v>157</v>
      </c>
      <c r="Q16" s="131" t="s">
        <v>157</v>
      </c>
      <c r="R16" s="133" t="s">
        <v>157</v>
      </c>
      <c r="S16" s="131" t="s">
        <v>157</v>
      </c>
      <c r="T16" s="131" t="s">
        <v>157</v>
      </c>
      <c r="U16" s="133" t="s">
        <v>157</v>
      </c>
      <c r="V16" s="131" t="s">
        <v>157</v>
      </c>
      <c r="W16" s="131" t="s">
        <v>157</v>
      </c>
      <c r="X16" s="133" t="s">
        <v>157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</row>
    <row r="17" spans="1:89" x14ac:dyDescent="0.25">
      <c r="A17" s="131" t="s">
        <v>157</v>
      </c>
      <c r="B17" s="131" t="s">
        <v>157</v>
      </c>
      <c r="C17" s="132" t="s">
        <v>157</v>
      </c>
      <c r="D17" s="131" t="s">
        <v>157</v>
      </c>
      <c r="E17" s="131" t="s">
        <v>157</v>
      </c>
      <c r="F17" s="131" t="s">
        <v>157</v>
      </c>
      <c r="G17" s="131" t="s">
        <v>157</v>
      </c>
      <c r="H17" s="131" t="s">
        <v>157</v>
      </c>
      <c r="I17" s="131" t="s">
        <v>157</v>
      </c>
      <c r="J17" s="131" t="s">
        <v>157</v>
      </c>
      <c r="K17" s="131" t="s">
        <v>157</v>
      </c>
      <c r="L17" s="131" t="s">
        <v>157</v>
      </c>
      <c r="M17" s="131" t="s">
        <v>157</v>
      </c>
      <c r="N17" s="131" t="s">
        <v>157</v>
      </c>
      <c r="O17" s="131" t="s">
        <v>157</v>
      </c>
      <c r="P17" s="131" t="s">
        <v>157</v>
      </c>
      <c r="Q17" s="131" t="s">
        <v>157</v>
      </c>
      <c r="R17" s="133" t="s">
        <v>157</v>
      </c>
      <c r="S17" s="131" t="s">
        <v>157</v>
      </c>
      <c r="T17" s="131" t="s">
        <v>157</v>
      </c>
      <c r="U17" s="133" t="s">
        <v>157</v>
      </c>
      <c r="V17" s="131" t="s">
        <v>157</v>
      </c>
      <c r="W17" s="131" t="s">
        <v>157</v>
      </c>
      <c r="X17" s="133" t="s">
        <v>157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</row>
    <row r="18" spans="1:89" x14ac:dyDescent="0.25">
      <c r="A18" s="131" t="s">
        <v>45</v>
      </c>
      <c r="B18" s="131" t="s">
        <v>56</v>
      </c>
      <c r="C18" s="132">
        <v>1830.8125</v>
      </c>
      <c r="D18" s="131" t="s">
        <v>65</v>
      </c>
      <c r="E18" s="131" t="s">
        <v>1</v>
      </c>
      <c r="F18" s="131" t="s">
        <v>119</v>
      </c>
      <c r="G18" s="131">
        <v>1</v>
      </c>
      <c r="H18" s="131">
        <v>21</v>
      </c>
      <c r="I18" s="131">
        <v>9</v>
      </c>
      <c r="J18" s="131">
        <v>2</v>
      </c>
      <c r="K18" s="131">
        <v>0</v>
      </c>
      <c r="L18" s="131">
        <v>1</v>
      </c>
      <c r="M18" s="131">
        <v>7</v>
      </c>
      <c r="N18" s="131">
        <v>2</v>
      </c>
      <c r="O18" s="131">
        <v>7</v>
      </c>
      <c r="P18" s="131">
        <v>4</v>
      </c>
      <c r="Q18" s="131">
        <v>11</v>
      </c>
      <c r="R18" s="133">
        <v>0.36363636363636365</v>
      </c>
      <c r="S18" s="131">
        <v>8</v>
      </c>
      <c r="T18" s="131">
        <v>23</v>
      </c>
      <c r="U18" s="133">
        <v>0.34782608695652173</v>
      </c>
      <c r="V18" s="131">
        <v>0</v>
      </c>
      <c r="W18" s="131">
        <v>0</v>
      </c>
      <c r="X18" s="133" t="s">
        <v>120</v>
      </c>
      <c r="Y18"/>
      <c r="Z18" s="134" t="s">
        <v>45</v>
      </c>
      <c r="AA18" s="134" t="s">
        <v>56</v>
      </c>
      <c r="AB18" s="135">
        <v>1830.8125</v>
      </c>
      <c r="AC18" s="134" t="s">
        <v>65</v>
      </c>
      <c r="AD18" s="134" t="s">
        <v>119</v>
      </c>
      <c r="AE18" s="134" t="s">
        <v>175</v>
      </c>
      <c r="AF18" s="134">
        <v>1</v>
      </c>
      <c r="AG18" s="134">
        <v>53</v>
      </c>
      <c r="AH18" s="134">
        <v>25</v>
      </c>
      <c r="AI18" s="134">
        <v>6</v>
      </c>
      <c r="AJ18" s="134">
        <v>1</v>
      </c>
      <c r="AK18" s="134">
        <v>1</v>
      </c>
      <c r="AL18" s="134">
        <v>17</v>
      </c>
      <c r="AM18" s="134">
        <v>4</v>
      </c>
      <c r="AN18" s="134">
        <v>21</v>
      </c>
      <c r="AO18" s="134">
        <v>10</v>
      </c>
      <c r="AP18" s="134">
        <v>25</v>
      </c>
      <c r="AQ18" s="136">
        <v>0.4</v>
      </c>
      <c r="AR18" s="134">
        <v>21</v>
      </c>
      <c r="AS18" s="134">
        <v>54</v>
      </c>
      <c r="AT18" s="136">
        <v>0.3888888888888889</v>
      </c>
      <c r="AU18" s="134">
        <v>0</v>
      </c>
      <c r="AV18" s="134">
        <v>0</v>
      </c>
      <c r="AW18" s="136" t="s">
        <v>120</v>
      </c>
      <c r="AX18"/>
      <c r="AY18" s="134" t="s">
        <v>45</v>
      </c>
      <c r="AZ18" s="134" t="s">
        <v>56</v>
      </c>
      <c r="BA18" s="135">
        <v>1830.8125</v>
      </c>
      <c r="BB18" s="134" t="s">
        <v>65</v>
      </c>
      <c r="BC18" s="134" t="s">
        <v>89</v>
      </c>
      <c r="BD18" s="134"/>
      <c r="BE18" s="134">
        <v>1</v>
      </c>
      <c r="BF18" s="134">
        <v>117</v>
      </c>
      <c r="BG18" s="134">
        <v>58</v>
      </c>
      <c r="BH18" s="134">
        <v>14</v>
      </c>
      <c r="BI18" s="134">
        <v>13</v>
      </c>
      <c r="BJ18" s="134">
        <v>3</v>
      </c>
      <c r="BK18" s="134">
        <v>23</v>
      </c>
      <c r="BL18" s="134">
        <v>18</v>
      </c>
      <c r="BM18" s="134">
        <v>40</v>
      </c>
      <c r="BN18" s="134">
        <v>15</v>
      </c>
      <c r="BO18" s="134">
        <v>41</v>
      </c>
      <c r="BP18" s="136">
        <v>0.36585365853658536</v>
      </c>
      <c r="BQ18" s="134">
        <v>41</v>
      </c>
      <c r="BR18" s="134">
        <v>102</v>
      </c>
      <c r="BS18" s="136">
        <v>0.40196078431372551</v>
      </c>
      <c r="BT18" s="134">
        <v>11</v>
      </c>
      <c r="BU18" s="134">
        <v>17</v>
      </c>
      <c r="BV18" s="136">
        <v>0.6470588235294118</v>
      </c>
      <c r="BW18" s="174" t="s">
        <v>159</v>
      </c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</row>
    <row r="19" spans="1:89" x14ac:dyDescent="0.25">
      <c r="A19" s="131" t="s">
        <v>45</v>
      </c>
      <c r="B19" s="131" t="s">
        <v>56</v>
      </c>
      <c r="C19" s="132">
        <v>1830.8125</v>
      </c>
      <c r="D19" s="131" t="s">
        <v>65</v>
      </c>
      <c r="E19" s="131" t="s">
        <v>9</v>
      </c>
      <c r="F19" s="131" t="s">
        <v>119</v>
      </c>
      <c r="G19" s="131">
        <v>1</v>
      </c>
      <c r="H19" s="131">
        <v>15</v>
      </c>
      <c r="I19" s="131">
        <v>5</v>
      </c>
      <c r="J19" s="131">
        <v>1</v>
      </c>
      <c r="K19" s="131">
        <v>0</v>
      </c>
      <c r="L19" s="131">
        <v>0</v>
      </c>
      <c r="M19" s="131">
        <v>4</v>
      </c>
      <c r="N19" s="131">
        <v>0</v>
      </c>
      <c r="O19" s="131">
        <v>5</v>
      </c>
      <c r="P19" s="131">
        <v>3</v>
      </c>
      <c r="Q19" s="131">
        <v>6</v>
      </c>
      <c r="R19" s="133">
        <v>0.5</v>
      </c>
      <c r="S19" s="131">
        <v>6</v>
      </c>
      <c r="T19" s="131">
        <v>12</v>
      </c>
      <c r="U19" s="133">
        <v>0.5</v>
      </c>
      <c r="V19" s="131">
        <v>0</v>
      </c>
      <c r="W19" s="131">
        <v>0</v>
      </c>
      <c r="X19" s="133" t="s">
        <v>120</v>
      </c>
      <c r="Y19"/>
      <c r="Z19" s="134" t="s">
        <v>45</v>
      </c>
      <c r="AA19" s="134" t="s">
        <v>56</v>
      </c>
      <c r="AB19" s="135">
        <v>1830.8125</v>
      </c>
      <c r="AC19" s="134" t="s">
        <v>65</v>
      </c>
      <c r="AD19" s="134" t="s">
        <v>38</v>
      </c>
      <c r="AE19" s="134" t="s">
        <v>174</v>
      </c>
      <c r="AF19" s="134">
        <v>1</v>
      </c>
      <c r="AG19" s="134">
        <v>64</v>
      </c>
      <c r="AH19" s="134">
        <v>33</v>
      </c>
      <c r="AI19" s="134">
        <v>8</v>
      </c>
      <c r="AJ19" s="134">
        <v>12</v>
      </c>
      <c r="AK19" s="134">
        <v>2</v>
      </c>
      <c r="AL19" s="134">
        <v>6</v>
      </c>
      <c r="AM19" s="134">
        <v>14</v>
      </c>
      <c r="AN19" s="134">
        <v>19</v>
      </c>
      <c r="AO19" s="134">
        <v>5</v>
      </c>
      <c r="AP19" s="134">
        <v>16</v>
      </c>
      <c r="AQ19" s="136">
        <v>0.3125</v>
      </c>
      <c r="AR19" s="134">
        <v>20</v>
      </c>
      <c r="AS19" s="134">
        <v>48</v>
      </c>
      <c r="AT19" s="136">
        <v>0.41666666666666669</v>
      </c>
      <c r="AU19" s="134">
        <v>11</v>
      </c>
      <c r="AV19" s="134">
        <v>17</v>
      </c>
      <c r="AW19" s="136">
        <v>0.6470588235294118</v>
      </c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</row>
    <row r="20" spans="1:89" x14ac:dyDescent="0.25">
      <c r="A20" s="131" t="s">
        <v>45</v>
      </c>
      <c r="B20" s="131" t="s">
        <v>56</v>
      </c>
      <c r="C20" s="132">
        <v>1830.8125</v>
      </c>
      <c r="D20" s="131" t="s">
        <v>65</v>
      </c>
      <c r="E20" s="131" t="s">
        <v>100</v>
      </c>
      <c r="F20" s="131" t="s">
        <v>119</v>
      </c>
      <c r="G20" s="131">
        <v>1</v>
      </c>
      <c r="H20" s="131">
        <v>0</v>
      </c>
      <c r="I20" s="131">
        <v>2</v>
      </c>
      <c r="J20" s="131">
        <v>0</v>
      </c>
      <c r="K20" s="131">
        <v>1</v>
      </c>
      <c r="L20" s="131">
        <v>0</v>
      </c>
      <c r="M20" s="131">
        <v>3</v>
      </c>
      <c r="N20" s="131">
        <v>2</v>
      </c>
      <c r="O20" s="131">
        <v>0</v>
      </c>
      <c r="P20" s="131">
        <v>0</v>
      </c>
      <c r="Q20" s="131">
        <v>0</v>
      </c>
      <c r="R20" s="133" t="s">
        <v>120</v>
      </c>
      <c r="S20" s="131">
        <v>0</v>
      </c>
      <c r="T20" s="131">
        <v>1</v>
      </c>
      <c r="U20" s="133">
        <v>0</v>
      </c>
      <c r="V20" s="131">
        <v>0</v>
      </c>
      <c r="W20" s="131">
        <v>0</v>
      </c>
      <c r="X20" s="133" t="s">
        <v>120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</row>
    <row r="21" spans="1:89" x14ac:dyDescent="0.25">
      <c r="A21" s="131" t="s">
        <v>45</v>
      </c>
      <c r="B21" s="131" t="s">
        <v>56</v>
      </c>
      <c r="C21" s="132">
        <v>1830.8125</v>
      </c>
      <c r="D21" s="131" t="s">
        <v>65</v>
      </c>
      <c r="E21" s="131" t="s">
        <v>24</v>
      </c>
      <c r="F21" s="131" t="s">
        <v>119</v>
      </c>
      <c r="G21" s="131">
        <v>1</v>
      </c>
      <c r="H21" s="131">
        <v>4</v>
      </c>
      <c r="I21" s="131">
        <v>4</v>
      </c>
      <c r="J21" s="131">
        <v>2</v>
      </c>
      <c r="K21" s="131">
        <v>0</v>
      </c>
      <c r="L21" s="131">
        <v>0</v>
      </c>
      <c r="M21" s="131">
        <v>0</v>
      </c>
      <c r="N21" s="131">
        <v>0</v>
      </c>
      <c r="O21" s="131">
        <v>4</v>
      </c>
      <c r="P21" s="131">
        <v>0</v>
      </c>
      <c r="Q21" s="131">
        <v>0</v>
      </c>
      <c r="R21" s="133" t="s">
        <v>120</v>
      </c>
      <c r="S21" s="131">
        <v>2</v>
      </c>
      <c r="T21" s="131">
        <v>6</v>
      </c>
      <c r="U21" s="133">
        <v>0.33333333333333331</v>
      </c>
      <c r="V21" s="131">
        <v>0</v>
      </c>
      <c r="W21" s="131">
        <v>0</v>
      </c>
      <c r="X21" s="133" t="s">
        <v>120</v>
      </c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</row>
    <row r="22" spans="1:89" x14ac:dyDescent="0.25">
      <c r="A22" s="131" t="s">
        <v>45</v>
      </c>
      <c r="B22" s="131" t="s">
        <v>56</v>
      </c>
      <c r="C22" s="132">
        <v>1830.8125</v>
      </c>
      <c r="D22" s="131" t="s">
        <v>65</v>
      </c>
      <c r="E22" s="131" t="s">
        <v>36</v>
      </c>
      <c r="F22" s="131" t="s">
        <v>119</v>
      </c>
      <c r="G22" s="131">
        <v>1</v>
      </c>
      <c r="H22" s="131">
        <v>9</v>
      </c>
      <c r="I22" s="131">
        <v>2</v>
      </c>
      <c r="J22" s="131">
        <v>1</v>
      </c>
      <c r="K22" s="131">
        <v>0</v>
      </c>
      <c r="L22" s="131">
        <v>0</v>
      </c>
      <c r="M22" s="131">
        <v>2</v>
      </c>
      <c r="N22" s="131">
        <v>0</v>
      </c>
      <c r="O22" s="131">
        <v>2</v>
      </c>
      <c r="P22" s="131">
        <v>3</v>
      </c>
      <c r="Q22" s="131">
        <v>7</v>
      </c>
      <c r="R22" s="133">
        <v>0.42857142857142855</v>
      </c>
      <c r="S22" s="131">
        <v>3</v>
      </c>
      <c r="T22" s="131">
        <v>8</v>
      </c>
      <c r="U22" s="133">
        <v>0.375</v>
      </c>
      <c r="V22" s="131">
        <v>0</v>
      </c>
      <c r="W22" s="131">
        <v>0</v>
      </c>
      <c r="X22" s="133" t="s">
        <v>120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</row>
    <row r="23" spans="1:89" x14ac:dyDescent="0.25">
      <c r="A23" s="131" t="s">
        <v>45</v>
      </c>
      <c r="B23" s="131" t="s">
        <v>56</v>
      </c>
      <c r="C23" s="132">
        <v>1830.8125</v>
      </c>
      <c r="D23" s="131" t="s">
        <v>65</v>
      </c>
      <c r="E23" s="131" t="s">
        <v>18</v>
      </c>
      <c r="F23" s="131" t="s">
        <v>119</v>
      </c>
      <c r="G23" s="131">
        <v>1</v>
      </c>
      <c r="H23" s="131">
        <v>4</v>
      </c>
      <c r="I23" s="131">
        <v>3</v>
      </c>
      <c r="J23" s="131">
        <v>0</v>
      </c>
      <c r="K23" s="131">
        <v>0</v>
      </c>
      <c r="L23" s="131">
        <v>0</v>
      </c>
      <c r="M23" s="131">
        <v>1</v>
      </c>
      <c r="N23" s="131">
        <v>0</v>
      </c>
      <c r="O23" s="131">
        <v>3</v>
      </c>
      <c r="P23" s="131">
        <v>0</v>
      </c>
      <c r="Q23" s="131">
        <v>1</v>
      </c>
      <c r="R23" s="133">
        <v>0</v>
      </c>
      <c r="S23" s="131">
        <v>2</v>
      </c>
      <c r="T23" s="131">
        <v>4</v>
      </c>
      <c r="U23" s="133">
        <v>0.5</v>
      </c>
      <c r="V23" s="131">
        <v>0</v>
      </c>
      <c r="W23" s="131">
        <v>0</v>
      </c>
      <c r="X23" s="133" t="s">
        <v>120</v>
      </c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</row>
    <row r="24" spans="1:89" x14ac:dyDescent="0.25">
      <c r="A24" s="131" t="s">
        <v>45</v>
      </c>
      <c r="B24" s="131" t="s">
        <v>56</v>
      </c>
      <c r="C24" s="132">
        <v>1830.8125</v>
      </c>
      <c r="D24" s="131" t="s">
        <v>65</v>
      </c>
      <c r="E24" s="131" t="s">
        <v>19</v>
      </c>
      <c r="F24" s="131" t="s">
        <v>38</v>
      </c>
      <c r="G24" s="131">
        <v>1</v>
      </c>
      <c r="H24" s="131">
        <v>18</v>
      </c>
      <c r="I24" s="131">
        <v>11</v>
      </c>
      <c r="J24" s="131">
        <v>8</v>
      </c>
      <c r="K24" s="131">
        <v>8</v>
      </c>
      <c r="L24" s="131">
        <v>1</v>
      </c>
      <c r="M24" s="131">
        <v>2</v>
      </c>
      <c r="N24" s="131">
        <v>3</v>
      </c>
      <c r="O24" s="131">
        <v>8</v>
      </c>
      <c r="P24" s="131">
        <v>1</v>
      </c>
      <c r="Q24" s="131">
        <v>5</v>
      </c>
      <c r="R24" s="133">
        <v>0.2</v>
      </c>
      <c r="S24" s="131">
        <v>6</v>
      </c>
      <c r="T24" s="131">
        <v>15</v>
      </c>
      <c r="U24" s="133">
        <v>0.4</v>
      </c>
      <c r="V24" s="131">
        <v>5</v>
      </c>
      <c r="W24" s="131">
        <v>6</v>
      </c>
      <c r="X24" s="133">
        <v>0.83333333333333337</v>
      </c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</row>
    <row r="25" spans="1:89" x14ac:dyDescent="0.25">
      <c r="A25" s="131" t="s">
        <v>45</v>
      </c>
      <c r="B25" s="131" t="s">
        <v>56</v>
      </c>
      <c r="C25" s="132">
        <v>1830.8125</v>
      </c>
      <c r="D25" s="131" t="s">
        <v>65</v>
      </c>
      <c r="E25" s="131" t="s">
        <v>15</v>
      </c>
      <c r="F25" s="131" t="s">
        <v>38</v>
      </c>
      <c r="G25" s="131">
        <v>1</v>
      </c>
      <c r="H25" s="131">
        <v>11</v>
      </c>
      <c r="I25" s="131">
        <v>2</v>
      </c>
      <c r="J25" s="131">
        <v>0</v>
      </c>
      <c r="K25" s="131">
        <v>3</v>
      </c>
      <c r="L25" s="131">
        <v>0</v>
      </c>
      <c r="M25" s="131">
        <v>0</v>
      </c>
      <c r="N25" s="131">
        <v>2</v>
      </c>
      <c r="O25" s="131">
        <v>0</v>
      </c>
      <c r="P25" s="131">
        <v>1</v>
      </c>
      <c r="Q25" s="131">
        <v>2</v>
      </c>
      <c r="R25" s="133">
        <v>0.5</v>
      </c>
      <c r="S25" s="131">
        <v>4</v>
      </c>
      <c r="T25" s="131">
        <v>12</v>
      </c>
      <c r="U25" s="133">
        <v>0.33333333333333331</v>
      </c>
      <c r="V25" s="131">
        <v>0</v>
      </c>
      <c r="W25" s="131">
        <v>0</v>
      </c>
      <c r="X25" s="133" t="s">
        <v>120</v>
      </c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</row>
    <row r="26" spans="1:89" x14ac:dyDescent="0.25">
      <c r="A26" s="131" t="s">
        <v>45</v>
      </c>
      <c r="B26" s="131" t="s">
        <v>56</v>
      </c>
      <c r="C26" s="132">
        <v>1830.8125</v>
      </c>
      <c r="D26" s="131" t="s">
        <v>65</v>
      </c>
      <c r="E26" s="131" t="s">
        <v>31</v>
      </c>
      <c r="F26" s="131" t="s">
        <v>38</v>
      </c>
      <c r="G26" s="131">
        <v>1</v>
      </c>
      <c r="H26" s="131">
        <v>24</v>
      </c>
      <c r="I26" s="131">
        <v>5</v>
      </c>
      <c r="J26" s="131">
        <v>0</v>
      </c>
      <c r="K26" s="131">
        <v>0</v>
      </c>
      <c r="L26" s="131">
        <v>1</v>
      </c>
      <c r="M26" s="131">
        <v>4</v>
      </c>
      <c r="N26" s="131">
        <v>2</v>
      </c>
      <c r="O26" s="131">
        <v>3</v>
      </c>
      <c r="P26" s="131">
        <v>3</v>
      </c>
      <c r="Q26" s="131">
        <v>7</v>
      </c>
      <c r="R26" s="133">
        <v>0.42857142857142855</v>
      </c>
      <c r="S26" s="131">
        <v>5</v>
      </c>
      <c r="T26" s="131">
        <v>11</v>
      </c>
      <c r="U26" s="133">
        <v>0.45454545454545453</v>
      </c>
      <c r="V26" s="131">
        <v>5</v>
      </c>
      <c r="W26" s="131">
        <v>9</v>
      </c>
      <c r="X26" s="133">
        <v>0.55555555555555558</v>
      </c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</row>
    <row r="27" spans="1:89" x14ac:dyDescent="0.25">
      <c r="A27" s="131" t="s">
        <v>45</v>
      </c>
      <c r="B27" s="131" t="s">
        <v>56</v>
      </c>
      <c r="C27" s="132">
        <v>1830.8125</v>
      </c>
      <c r="D27" s="131" t="s">
        <v>65</v>
      </c>
      <c r="E27" s="131" t="s">
        <v>99</v>
      </c>
      <c r="F27" s="131" t="s">
        <v>38</v>
      </c>
      <c r="G27" s="131">
        <v>1</v>
      </c>
      <c r="H27" s="131">
        <v>9</v>
      </c>
      <c r="I27" s="131">
        <v>6</v>
      </c>
      <c r="J27" s="131">
        <v>0</v>
      </c>
      <c r="K27" s="131">
        <v>0</v>
      </c>
      <c r="L27" s="131">
        <v>0</v>
      </c>
      <c r="M27" s="131">
        <v>0</v>
      </c>
      <c r="N27" s="131">
        <v>4</v>
      </c>
      <c r="O27" s="131">
        <v>2</v>
      </c>
      <c r="P27" s="131">
        <v>0</v>
      </c>
      <c r="Q27" s="131">
        <v>0</v>
      </c>
      <c r="R27" s="133" t="s">
        <v>120</v>
      </c>
      <c r="S27" s="131">
        <v>4</v>
      </c>
      <c r="T27" s="131">
        <v>7</v>
      </c>
      <c r="U27" s="133">
        <v>0.5714285714285714</v>
      </c>
      <c r="V27" s="131">
        <v>1</v>
      </c>
      <c r="W27" s="131">
        <v>2</v>
      </c>
      <c r="X27" s="133">
        <v>0.5</v>
      </c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</row>
    <row r="28" spans="1:89" x14ac:dyDescent="0.25">
      <c r="A28" s="131" t="s">
        <v>45</v>
      </c>
      <c r="B28" s="131" t="s">
        <v>56</v>
      </c>
      <c r="C28" s="132">
        <v>1830.8125</v>
      </c>
      <c r="D28" s="131" t="s">
        <v>65</v>
      </c>
      <c r="E28" s="131" t="s">
        <v>101</v>
      </c>
      <c r="F28" s="131" t="s">
        <v>38</v>
      </c>
      <c r="G28" s="131">
        <v>1</v>
      </c>
      <c r="H28" s="131">
        <v>0</v>
      </c>
      <c r="I28" s="131">
        <v>4</v>
      </c>
      <c r="J28" s="131">
        <v>0</v>
      </c>
      <c r="K28" s="131">
        <v>1</v>
      </c>
      <c r="L28" s="131">
        <v>0</v>
      </c>
      <c r="M28" s="131">
        <v>0</v>
      </c>
      <c r="N28" s="131">
        <v>0</v>
      </c>
      <c r="O28" s="131">
        <v>4</v>
      </c>
      <c r="P28" s="131">
        <v>0</v>
      </c>
      <c r="Q28" s="131">
        <v>1</v>
      </c>
      <c r="R28" s="133">
        <v>0</v>
      </c>
      <c r="S28" s="131">
        <v>0</v>
      </c>
      <c r="T28" s="131">
        <v>1</v>
      </c>
      <c r="U28" s="133">
        <v>0</v>
      </c>
      <c r="V28" s="131">
        <v>0</v>
      </c>
      <c r="W28" s="131">
        <v>0</v>
      </c>
      <c r="X28" s="133" t="s">
        <v>120</v>
      </c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</row>
    <row r="29" spans="1:89" x14ac:dyDescent="0.25">
      <c r="A29" s="131" t="s">
        <v>45</v>
      </c>
      <c r="B29" s="131" t="s">
        <v>56</v>
      </c>
      <c r="C29" s="132">
        <v>1830.8125</v>
      </c>
      <c r="D29" s="131" t="s">
        <v>65</v>
      </c>
      <c r="E29" s="131" t="s">
        <v>12</v>
      </c>
      <c r="F29" s="131" t="s">
        <v>38</v>
      </c>
      <c r="G29" s="131">
        <v>1</v>
      </c>
      <c r="H29" s="131">
        <v>0</v>
      </c>
      <c r="I29" s="131">
        <v>2</v>
      </c>
      <c r="J29" s="131">
        <v>0</v>
      </c>
      <c r="K29" s="131">
        <v>0</v>
      </c>
      <c r="L29" s="131">
        <v>0</v>
      </c>
      <c r="M29" s="131">
        <v>0</v>
      </c>
      <c r="N29" s="131">
        <v>2</v>
      </c>
      <c r="O29" s="131">
        <v>0</v>
      </c>
      <c r="P29" s="131">
        <v>0</v>
      </c>
      <c r="Q29" s="131">
        <v>0</v>
      </c>
      <c r="R29" s="133" t="s">
        <v>120</v>
      </c>
      <c r="S29" s="131">
        <v>0</v>
      </c>
      <c r="T29" s="131">
        <v>0</v>
      </c>
      <c r="U29" s="133" t="s">
        <v>120</v>
      </c>
      <c r="V29" s="131">
        <v>0</v>
      </c>
      <c r="W29" s="131">
        <v>0</v>
      </c>
      <c r="X29" s="133" t="s">
        <v>120</v>
      </c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89" x14ac:dyDescent="0.25">
      <c r="A30" s="131" t="s">
        <v>45</v>
      </c>
      <c r="B30" s="131" t="s">
        <v>56</v>
      </c>
      <c r="C30" s="132">
        <v>1830.8125</v>
      </c>
      <c r="D30" s="131" t="s">
        <v>65</v>
      </c>
      <c r="E30" s="131" t="s">
        <v>102</v>
      </c>
      <c r="F30" s="131" t="s">
        <v>38</v>
      </c>
      <c r="G30" s="131">
        <v>1</v>
      </c>
      <c r="H30" s="131">
        <v>2</v>
      </c>
      <c r="I30" s="131">
        <v>3</v>
      </c>
      <c r="J30" s="131">
        <v>0</v>
      </c>
      <c r="K30" s="131">
        <v>0</v>
      </c>
      <c r="L30" s="131">
        <v>0</v>
      </c>
      <c r="M30" s="131">
        <v>0</v>
      </c>
      <c r="N30" s="131">
        <v>1</v>
      </c>
      <c r="O30" s="131">
        <v>2</v>
      </c>
      <c r="P30" s="131">
        <v>0</v>
      </c>
      <c r="Q30" s="131">
        <v>1</v>
      </c>
      <c r="R30" s="133">
        <v>0</v>
      </c>
      <c r="S30" s="131">
        <v>1</v>
      </c>
      <c r="T30" s="131">
        <v>2</v>
      </c>
      <c r="U30" s="133">
        <v>0.5</v>
      </c>
      <c r="V30" s="131">
        <v>0</v>
      </c>
      <c r="W30" s="131">
        <v>0</v>
      </c>
      <c r="X30" s="133" t="s">
        <v>120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89" x14ac:dyDescent="0.25">
      <c r="A31" s="131" t="s">
        <v>157</v>
      </c>
      <c r="B31" s="131" t="s">
        <v>157</v>
      </c>
      <c r="C31" s="132" t="s">
        <v>157</v>
      </c>
      <c r="D31" s="131" t="s">
        <v>157</v>
      </c>
      <c r="E31" s="131" t="s">
        <v>157</v>
      </c>
      <c r="F31" s="131" t="s">
        <v>157</v>
      </c>
      <c r="G31" s="131" t="s">
        <v>157</v>
      </c>
      <c r="H31" s="131" t="s">
        <v>157</v>
      </c>
      <c r="I31" s="131" t="s">
        <v>157</v>
      </c>
      <c r="J31" s="131" t="s">
        <v>157</v>
      </c>
      <c r="K31" s="131" t="s">
        <v>157</v>
      </c>
      <c r="L31" s="131" t="s">
        <v>157</v>
      </c>
      <c r="M31" s="131" t="s">
        <v>157</v>
      </c>
      <c r="N31" s="131" t="s">
        <v>157</v>
      </c>
      <c r="O31" s="131" t="s">
        <v>157</v>
      </c>
      <c r="P31" s="131" t="s">
        <v>157</v>
      </c>
      <c r="Q31" s="131" t="s">
        <v>157</v>
      </c>
      <c r="R31" s="133" t="s">
        <v>157</v>
      </c>
      <c r="S31" s="131" t="s">
        <v>157</v>
      </c>
      <c r="T31" s="131" t="s">
        <v>157</v>
      </c>
      <c r="U31" s="133" t="s">
        <v>157</v>
      </c>
      <c r="V31" s="131" t="s">
        <v>157</v>
      </c>
      <c r="W31" s="131" t="s">
        <v>157</v>
      </c>
      <c r="X31" s="133" t="s">
        <v>157</v>
      </c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89" x14ac:dyDescent="0.25">
      <c r="A32" s="131" t="s">
        <v>157</v>
      </c>
      <c r="B32" s="131" t="s">
        <v>157</v>
      </c>
      <c r="C32" s="132" t="s">
        <v>157</v>
      </c>
      <c r="D32" s="131" t="s">
        <v>157</v>
      </c>
      <c r="E32" s="131" t="s">
        <v>157</v>
      </c>
      <c r="F32" s="131" t="s">
        <v>157</v>
      </c>
      <c r="G32" s="131" t="s">
        <v>157</v>
      </c>
      <c r="H32" s="131" t="s">
        <v>157</v>
      </c>
      <c r="I32" s="131" t="s">
        <v>157</v>
      </c>
      <c r="J32" s="131" t="s">
        <v>157</v>
      </c>
      <c r="K32" s="131" t="s">
        <v>157</v>
      </c>
      <c r="L32" s="131" t="s">
        <v>157</v>
      </c>
      <c r="M32" s="131" t="s">
        <v>157</v>
      </c>
      <c r="N32" s="131" t="s">
        <v>157</v>
      </c>
      <c r="O32" s="131" t="s">
        <v>157</v>
      </c>
      <c r="P32" s="131" t="s">
        <v>157</v>
      </c>
      <c r="Q32" s="131" t="s">
        <v>157</v>
      </c>
      <c r="R32" s="133" t="s">
        <v>157</v>
      </c>
      <c r="S32" s="131" t="s">
        <v>157</v>
      </c>
      <c r="T32" s="131" t="s">
        <v>157</v>
      </c>
      <c r="U32" s="133" t="s">
        <v>157</v>
      </c>
      <c r="V32" s="131" t="s">
        <v>157</v>
      </c>
      <c r="W32" s="131" t="s">
        <v>157</v>
      </c>
      <c r="X32" s="133" t="s">
        <v>157</v>
      </c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x14ac:dyDescent="0.25">
      <c r="A33" s="131" t="s">
        <v>45</v>
      </c>
      <c r="B33" s="131" t="s">
        <v>56</v>
      </c>
      <c r="C33" s="132">
        <v>1830.8541666666699</v>
      </c>
      <c r="D33" s="131" t="s">
        <v>65</v>
      </c>
      <c r="E33" s="131" t="s">
        <v>7</v>
      </c>
      <c r="F33" s="131" t="s">
        <v>40</v>
      </c>
      <c r="G33" s="131">
        <v>1</v>
      </c>
      <c r="H33" s="131">
        <v>11</v>
      </c>
      <c r="I33" s="131">
        <v>5</v>
      </c>
      <c r="J33" s="131">
        <v>1</v>
      </c>
      <c r="K33" s="131">
        <v>3</v>
      </c>
      <c r="L33" s="131">
        <v>1</v>
      </c>
      <c r="M33" s="131">
        <v>2</v>
      </c>
      <c r="N33" s="131">
        <v>4</v>
      </c>
      <c r="O33" s="131">
        <v>1</v>
      </c>
      <c r="P33" s="131">
        <v>0</v>
      </c>
      <c r="Q33" s="131">
        <v>2</v>
      </c>
      <c r="R33" s="133">
        <v>0</v>
      </c>
      <c r="S33" s="131">
        <v>5</v>
      </c>
      <c r="T33" s="131">
        <v>12</v>
      </c>
      <c r="U33" s="133">
        <v>0.41666666666666669</v>
      </c>
      <c r="V33" s="131">
        <v>1</v>
      </c>
      <c r="W33" s="131">
        <v>4</v>
      </c>
      <c r="X33" s="133">
        <v>0.25</v>
      </c>
      <c r="Y33"/>
      <c r="Z33" s="134" t="s">
        <v>45</v>
      </c>
      <c r="AA33" s="134" t="s">
        <v>56</v>
      </c>
      <c r="AB33" s="135">
        <v>1830.8541666666699</v>
      </c>
      <c r="AC33" s="134" t="s">
        <v>65</v>
      </c>
      <c r="AD33" s="134" t="s">
        <v>40</v>
      </c>
      <c r="AE33" s="134" t="s">
        <v>174</v>
      </c>
      <c r="AF33" s="134">
        <v>1</v>
      </c>
      <c r="AG33" s="134">
        <v>50</v>
      </c>
      <c r="AH33" s="134">
        <v>36</v>
      </c>
      <c r="AI33" s="134">
        <v>5</v>
      </c>
      <c r="AJ33" s="134">
        <v>9</v>
      </c>
      <c r="AK33" s="134">
        <v>4</v>
      </c>
      <c r="AL33" s="134">
        <v>12</v>
      </c>
      <c r="AM33" s="134">
        <v>12</v>
      </c>
      <c r="AN33" s="134">
        <v>24</v>
      </c>
      <c r="AO33" s="134">
        <v>3</v>
      </c>
      <c r="AP33" s="134">
        <v>23</v>
      </c>
      <c r="AQ33" s="136">
        <v>0.13043478260869565</v>
      </c>
      <c r="AR33" s="134">
        <v>20</v>
      </c>
      <c r="AS33" s="134">
        <v>59</v>
      </c>
      <c r="AT33" s="136">
        <v>0.33898305084745761</v>
      </c>
      <c r="AU33" s="134">
        <v>5</v>
      </c>
      <c r="AV33" s="134">
        <v>8</v>
      </c>
      <c r="AW33" s="136">
        <v>0.625</v>
      </c>
      <c r="AX33"/>
      <c r="AY33" s="134" t="s">
        <v>45</v>
      </c>
      <c r="AZ33" s="134" t="s">
        <v>56</v>
      </c>
      <c r="BA33" s="135">
        <v>1830.8541666666699</v>
      </c>
      <c r="BB33" s="134" t="s">
        <v>65</v>
      </c>
      <c r="BC33" s="134" t="s">
        <v>89</v>
      </c>
      <c r="BD33" s="134"/>
      <c r="BE33" s="134">
        <v>1</v>
      </c>
      <c r="BF33" s="134">
        <v>98</v>
      </c>
      <c r="BG33" s="134">
        <v>59</v>
      </c>
      <c r="BH33" s="134">
        <v>8</v>
      </c>
      <c r="BI33" s="134">
        <v>17</v>
      </c>
      <c r="BJ33" s="134">
        <v>10</v>
      </c>
      <c r="BK33" s="134">
        <v>22</v>
      </c>
      <c r="BL33" s="134">
        <v>20</v>
      </c>
      <c r="BM33" s="134">
        <v>39</v>
      </c>
      <c r="BN33" s="134">
        <v>9</v>
      </c>
      <c r="BO33" s="134">
        <v>45</v>
      </c>
      <c r="BP33" s="136">
        <v>0.2</v>
      </c>
      <c r="BQ33" s="134">
        <v>38</v>
      </c>
      <c r="BR33" s="134">
        <v>114</v>
      </c>
      <c r="BS33" s="136">
        <v>0.33333333333333331</v>
      </c>
      <c r="BT33" s="134">
        <v>11</v>
      </c>
      <c r="BU33" s="134">
        <v>16</v>
      </c>
      <c r="BV33" s="136">
        <v>0.6875</v>
      </c>
      <c r="BW33" s="174" t="s">
        <v>160</v>
      </c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x14ac:dyDescent="0.25">
      <c r="A34" s="131" t="s">
        <v>45</v>
      </c>
      <c r="B34" s="131" t="s">
        <v>56</v>
      </c>
      <c r="C34" s="132">
        <v>1830.8541666666699</v>
      </c>
      <c r="D34" s="131" t="s">
        <v>65</v>
      </c>
      <c r="E34" s="131" t="s">
        <v>27</v>
      </c>
      <c r="F34" s="131" t="s">
        <v>40</v>
      </c>
      <c r="G34" s="131">
        <v>1</v>
      </c>
      <c r="H34" s="131">
        <v>13</v>
      </c>
      <c r="I34" s="131">
        <v>5</v>
      </c>
      <c r="J34" s="131">
        <v>1</v>
      </c>
      <c r="K34" s="131">
        <v>2</v>
      </c>
      <c r="L34" s="131">
        <v>0</v>
      </c>
      <c r="M34" s="131">
        <v>2</v>
      </c>
      <c r="N34" s="131">
        <v>2</v>
      </c>
      <c r="O34" s="131">
        <v>3</v>
      </c>
      <c r="P34" s="131">
        <v>1</v>
      </c>
      <c r="Q34" s="131">
        <v>5</v>
      </c>
      <c r="R34" s="133">
        <v>0.2</v>
      </c>
      <c r="S34" s="131">
        <v>5</v>
      </c>
      <c r="T34" s="131">
        <v>17</v>
      </c>
      <c r="U34" s="133">
        <v>0.29411764705882354</v>
      </c>
      <c r="V34" s="131">
        <v>2</v>
      </c>
      <c r="W34" s="131">
        <v>2</v>
      </c>
      <c r="X34" s="133">
        <v>1</v>
      </c>
      <c r="Y34"/>
      <c r="Z34" s="134" t="s">
        <v>45</v>
      </c>
      <c r="AA34" s="134" t="s">
        <v>56</v>
      </c>
      <c r="AB34" s="135">
        <v>1830.8541666666699</v>
      </c>
      <c r="AC34" s="134" t="s">
        <v>65</v>
      </c>
      <c r="AD34" s="134" t="s">
        <v>38</v>
      </c>
      <c r="AE34" s="134" t="s">
        <v>175</v>
      </c>
      <c r="AF34" s="134">
        <v>1</v>
      </c>
      <c r="AG34" s="134">
        <v>48</v>
      </c>
      <c r="AH34" s="134">
        <v>23</v>
      </c>
      <c r="AI34" s="134">
        <v>3</v>
      </c>
      <c r="AJ34" s="134">
        <v>8</v>
      </c>
      <c r="AK34" s="134">
        <v>6</v>
      </c>
      <c r="AL34" s="134">
        <v>10</v>
      </c>
      <c r="AM34" s="134">
        <v>8</v>
      </c>
      <c r="AN34" s="134">
        <v>15</v>
      </c>
      <c r="AO34" s="134">
        <v>6</v>
      </c>
      <c r="AP34" s="134">
        <v>22</v>
      </c>
      <c r="AQ34" s="136">
        <v>0.27272727272727271</v>
      </c>
      <c r="AR34" s="134">
        <v>18</v>
      </c>
      <c r="AS34" s="134">
        <v>55</v>
      </c>
      <c r="AT34" s="136">
        <v>0.32727272727272727</v>
      </c>
      <c r="AU34" s="134">
        <v>6</v>
      </c>
      <c r="AV34" s="134">
        <v>8</v>
      </c>
      <c r="AW34" s="136">
        <v>0.75</v>
      </c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x14ac:dyDescent="0.25">
      <c r="A35" s="131" t="s">
        <v>45</v>
      </c>
      <c r="B35" s="131" t="s">
        <v>56</v>
      </c>
      <c r="C35" s="132">
        <v>1830.8541666666699</v>
      </c>
      <c r="D35" s="131" t="s">
        <v>65</v>
      </c>
      <c r="E35" s="131" t="s">
        <v>16</v>
      </c>
      <c r="F35" s="131" t="s">
        <v>40</v>
      </c>
      <c r="G35" s="131">
        <v>1</v>
      </c>
      <c r="H35" s="131">
        <v>14</v>
      </c>
      <c r="I35" s="131">
        <v>7</v>
      </c>
      <c r="J35" s="131">
        <v>0</v>
      </c>
      <c r="K35" s="131">
        <v>0</v>
      </c>
      <c r="L35" s="131">
        <v>2</v>
      </c>
      <c r="M35" s="131">
        <v>3</v>
      </c>
      <c r="N35" s="131">
        <v>3</v>
      </c>
      <c r="O35" s="131">
        <v>4</v>
      </c>
      <c r="P35" s="131">
        <v>1</v>
      </c>
      <c r="Q35" s="131">
        <v>5</v>
      </c>
      <c r="R35" s="133">
        <v>0.2</v>
      </c>
      <c r="S35" s="131">
        <v>5</v>
      </c>
      <c r="T35" s="131">
        <v>12</v>
      </c>
      <c r="U35" s="133">
        <v>0.41666666666666669</v>
      </c>
      <c r="V35" s="131">
        <v>1</v>
      </c>
      <c r="W35" s="131">
        <v>1</v>
      </c>
      <c r="X35" s="133">
        <v>1</v>
      </c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x14ac:dyDescent="0.25">
      <c r="A36" s="131" t="s">
        <v>45</v>
      </c>
      <c r="B36" s="131" t="s">
        <v>56</v>
      </c>
      <c r="C36" s="132">
        <v>1830.8541666666699</v>
      </c>
      <c r="D36" s="131" t="s">
        <v>65</v>
      </c>
      <c r="E36" s="131" t="s">
        <v>4</v>
      </c>
      <c r="F36" s="131" t="s">
        <v>40</v>
      </c>
      <c r="G36" s="131">
        <v>1</v>
      </c>
      <c r="H36" s="131">
        <v>7</v>
      </c>
      <c r="I36" s="131">
        <v>8</v>
      </c>
      <c r="J36" s="131">
        <v>3</v>
      </c>
      <c r="K36" s="131">
        <v>2</v>
      </c>
      <c r="L36" s="131">
        <v>0</v>
      </c>
      <c r="M36" s="131">
        <v>3</v>
      </c>
      <c r="N36" s="131">
        <v>0</v>
      </c>
      <c r="O36" s="131">
        <v>8</v>
      </c>
      <c r="P36" s="131">
        <v>1</v>
      </c>
      <c r="Q36" s="131">
        <v>5</v>
      </c>
      <c r="R36" s="133">
        <v>0.2</v>
      </c>
      <c r="S36" s="131">
        <v>3</v>
      </c>
      <c r="T36" s="131">
        <v>8</v>
      </c>
      <c r="U36" s="133">
        <v>0.375</v>
      </c>
      <c r="V36" s="131">
        <v>0</v>
      </c>
      <c r="W36" s="131">
        <v>0</v>
      </c>
      <c r="X36" s="133" t="s">
        <v>120</v>
      </c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x14ac:dyDescent="0.25">
      <c r="A37" s="131" t="s">
        <v>45</v>
      </c>
      <c r="B37" s="131" t="s">
        <v>56</v>
      </c>
      <c r="C37" s="132">
        <v>1830.8541666666699</v>
      </c>
      <c r="D37" s="131" t="s">
        <v>65</v>
      </c>
      <c r="E37" s="131" t="s">
        <v>11</v>
      </c>
      <c r="F37" s="131" t="s">
        <v>40</v>
      </c>
      <c r="G37" s="131">
        <v>1</v>
      </c>
      <c r="H37" s="131">
        <v>0</v>
      </c>
      <c r="I37" s="131">
        <v>5</v>
      </c>
      <c r="J37" s="131">
        <v>0</v>
      </c>
      <c r="K37" s="131">
        <v>1</v>
      </c>
      <c r="L37" s="131">
        <v>1</v>
      </c>
      <c r="M37" s="131">
        <v>2</v>
      </c>
      <c r="N37" s="131">
        <v>2</v>
      </c>
      <c r="O37" s="131">
        <v>3</v>
      </c>
      <c r="P37" s="131">
        <v>0</v>
      </c>
      <c r="Q37" s="131">
        <v>4</v>
      </c>
      <c r="R37" s="133">
        <v>0</v>
      </c>
      <c r="S37" s="131">
        <v>0</v>
      </c>
      <c r="T37" s="131">
        <v>5</v>
      </c>
      <c r="U37" s="133">
        <v>0</v>
      </c>
      <c r="V37" s="131">
        <v>0</v>
      </c>
      <c r="W37" s="131">
        <v>0</v>
      </c>
      <c r="X37" s="133" t="s">
        <v>120</v>
      </c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x14ac:dyDescent="0.25">
      <c r="A38" s="131" t="s">
        <v>45</v>
      </c>
      <c r="B38" s="131" t="s">
        <v>56</v>
      </c>
      <c r="C38" s="132">
        <v>1830.8541666666699</v>
      </c>
      <c r="D38" s="131" t="s">
        <v>65</v>
      </c>
      <c r="E38" s="131" t="s">
        <v>35</v>
      </c>
      <c r="F38" s="131" t="s">
        <v>40</v>
      </c>
      <c r="G38" s="131">
        <v>1</v>
      </c>
      <c r="H38" s="131">
        <v>5</v>
      </c>
      <c r="I38" s="131">
        <v>6</v>
      </c>
      <c r="J38" s="131">
        <v>0</v>
      </c>
      <c r="K38" s="131">
        <v>1</v>
      </c>
      <c r="L38" s="131">
        <v>0</v>
      </c>
      <c r="M38" s="131">
        <v>0</v>
      </c>
      <c r="N38" s="131">
        <v>1</v>
      </c>
      <c r="O38" s="131">
        <v>5</v>
      </c>
      <c r="P38" s="131">
        <v>0</v>
      </c>
      <c r="Q38" s="131">
        <v>2</v>
      </c>
      <c r="R38" s="133">
        <v>0</v>
      </c>
      <c r="S38" s="131">
        <v>2</v>
      </c>
      <c r="T38" s="131">
        <v>5</v>
      </c>
      <c r="U38" s="133">
        <v>0.4</v>
      </c>
      <c r="V38" s="131">
        <v>1</v>
      </c>
      <c r="W38" s="131">
        <v>1</v>
      </c>
      <c r="X38" s="133">
        <v>1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x14ac:dyDescent="0.25">
      <c r="A39" s="131" t="s">
        <v>45</v>
      </c>
      <c r="B39" s="131" t="s">
        <v>56</v>
      </c>
      <c r="C39" s="132">
        <v>1830.8541666666699</v>
      </c>
      <c r="D39" s="131" t="s">
        <v>65</v>
      </c>
      <c r="E39" s="131" t="s">
        <v>19</v>
      </c>
      <c r="F39" s="131" t="s">
        <v>38</v>
      </c>
      <c r="G39" s="131">
        <v>1</v>
      </c>
      <c r="H39" s="131">
        <v>10</v>
      </c>
      <c r="I39" s="131">
        <v>2</v>
      </c>
      <c r="J39" s="131">
        <v>1</v>
      </c>
      <c r="K39" s="131">
        <v>5</v>
      </c>
      <c r="L39" s="131">
        <v>3</v>
      </c>
      <c r="M39" s="131">
        <v>3</v>
      </c>
      <c r="N39" s="131">
        <v>1</v>
      </c>
      <c r="O39" s="131">
        <v>1</v>
      </c>
      <c r="P39" s="131">
        <v>0</v>
      </c>
      <c r="Q39" s="131">
        <v>2</v>
      </c>
      <c r="R39" s="133">
        <v>0</v>
      </c>
      <c r="S39" s="131">
        <v>5</v>
      </c>
      <c r="T39" s="131">
        <v>12</v>
      </c>
      <c r="U39" s="133">
        <v>0.41666666666666669</v>
      </c>
      <c r="V39" s="131">
        <v>0</v>
      </c>
      <c r="W39" s="131">
        <v>0</v>
      </c>
      <c r="X39" s="133" t="s">
        <v>120</v>
      </c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x14ac:dyDescent="0.25">
      <c r="A40" s="131" t="s">
        <v>45</v>
      </c>
      <c r="B40" s="131" t="s">
        <v>56</v>
      </c>
      <c r="C40" s="132">
        <v>1830.8541666666699</v>
      </c>
      <c r="D40" s="131" t="s">
        <v>65</v>
      </c>
      <c r="E40" s="131" t="s">
        <v>15</v>
      </c>
      <c r="F40" s="131" t="s">
        <v>38</v>
      </c>
      <c r="G40" s="131">
        <v>1</v>
      </c>
      <c r="H40" s="131">
        <v>13</v>
      </c>
      <c r="I40" s="131">
        <v>6</v>
      </c>
      <c r="J40" s="131">
        <v>0</v>
      </c>
      <c r="K40" s="131">
        <v>1</v>
      </c>
      <c r="L40" s="131">
        <v>1</v>
      </c>
      <c r="M40" s="131">
        <v>1</v>
      </c>
      <c r="N40" s="131">
        <v>2</v>
      </c>
      <c r="O40" s="131">
        <v>4</v>
      </c>
      <c r="P40" s="131">
        <v>3</v>
      </c>
      <c r="Q40" s="131">
        <v>7</v>
      </c>
      <c r="R40" s="133">
        <v>0.42857142857142855</v>
      </c>
      <c r="S40" s="131">
        <v>4</v>
      </c>
      <c r="T40" s="131">
        <v>11</v>
      </c>
      <c r="U40" s="133">
        <v>0.36363636363636365</v>
      </c>
      <c r="V40" s="131">
        <v>2</v>
      </c>
      <c r="W40" s="131">
        <v>2</v>
      </c>
      <c r="X40" s="133">
        <v>1</v>
      </c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x14ac:dyDescent="0.25">
      <c r="A41" s="131" t="s">
        <v>45</v>
      </c>
      <c r="B41" s="131" t="s">
        <v>56</v>
      </c>
      <c r="C41" s="132">
        <v>1830.8541666666699</v>
      </c>
      <c r="D41" s="131" t="s">
        <v>65</v>
      </c>
      <c r="E41" s="131" t="s">
        <v>31</v>
      </c>
      <c r="F41" s="131" t="s">
        <v>38</v>
      </c>
      <c r="G41" s="131">
        <v>1</v>
      </c>
      <c r="H41" s="131">
        <v>17</v>
      </c>
      <c r="I41" s="131">
        <v>4</v>
      </c>
      <c r="J41" s="131">
        <v>1</v>
      </c>
      <c r="K41" s="131">
        <v>1</v>
      </c>
      <c r="L41" s="131">
        <v>1</v>
      </c>
      <c r="M41" s="131">
        <v>3</v>
      </c>
      <c r="N41" s="131">
        <v>3</v>
      </c>
      <c r="O41" s="131">
        <v>1</v>
      </c>
      <c r="P41" s="131">
        <v>3</v>
      </c>
      <c r="Q41" s="131">
        <v>13</v>
      </c>
      <c r="R41" s="133">
        <v>0.23076923076923078</v>
      </c>
      <c r="S41" s="131">
        <v>5</v>
      </c>
      <c r="T41" s="131">
        <v>18</v>
      </c>
      <c r="U41" s="133">
        <v>0.27777777777777779</v>
      </c>
      <c r="V41" s="131">
        <v>4</v>
      </c>
      <c r="W41" s="131">
        <v>6</v>
      </c>
      <c r="X41" s="133">
        <v>0.66666666666666663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x14ac:dyDescent="0.25">
      <c r="A42" s="131" t="s">
        <v>45</v>
      </c>
      <c r="B42" s="131" t="s">
        <v>56</v>
      </c>
      <c r="C42" s="132">
        <v>1830.8541666666699</v>
      </c>
      <c r="D42" s="131" t="s">
        <v>65</v>
      </c>
      <c r="E42" s="131" t="s">
        <v>99</v>
      </c>
      <c r="F42" s="131" t="s">
        <v>38</v>
      </c>
      <c r="G42" s="131">
        <v>1</v>
      </c>
      <c r="H42" s="131">
        <v>4</v>
      </c>
      <c r="I42" s="131">
        <v>2</v>
      </c>
      <c r="J42" s="131">
        <v>0</v>
      </c>
      <c r="K42" s="131">
        <v>1</v>
      </c>
      <c r="L42" s="131">
        <v>0</v>
      </c>
      <c r="M42" s="131">
        <v>2</v>
      </c>
      <c r="N42" s="131">
        <v>0</v>
      </c>
      <c r="O42" s="131">
        <v>2</v>
      </c>
      <c r="P42" s="131">
        <v>0</v>
      </c>
      <c r="Q42" s="131">
        <v>0</v>
      </c>
      <c r="R42" s="133" t="s">
        <v>120</v>
      </c>
      <c r="S42" s="131">
        <v>2</v>
      </c>
      <c r="T42" s="131">
        <v>7</v>
      </c>
      <c r="U42" s="133">
        <v>0.2857142857142857</v>
      </c>
      <c r="V42" s="131">
        <v>0</v>
      </c>
      <c r="W42" s="131">
        <v>0</v>
      </c>
      <c r="X42" s="133" t="s">
        <v>120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x14ac:dyDescent="0.25">
      <c r="A43" s="131" t="s">
        <v>45</v>
      </c>
      <c r="B43" s="131" t="s">
        <v>56</v>
      </c>
      <c r="C43" s="132">
        <v>1830.8541666666699</v>
      </c>
      <c r="D43" s="131" t="s">
        <v>65</v>
      </c>
      <c r="E43" s="131" t="s">
        <v>101</v>
      </c>
      <c r="F43" s="131" t="s">
        <v>38</v>
      </c>
      <c r="G43" s="131">
        <v>1</v>
      </c>
      <c r="H43" s="131">
        <v>2</v>
      </c>
      <c r="I43" s="131">
        <v>1</v>
      </c>
      <c r="J43" s="131">
        <v>0</v>
      </c>
      <c r="K43" s="131">
        <v>0</v>
      </c>
      <c r="L43" s="131">
        <v>1</v>
      </c>
      <c r="M43" s="131">
        <v>0</v>
      </c>
      <c r="N43" s="131">
        <v>0</v>
      </c>
      <c r="O43" s="131">
        <v>1</v>
      </c>
      <c r="P43" s="131">
        <v>0</v>
      </c>
      <c r="Q43" s="131">
        <v>0</v>
      </c>
      <c r="R43" s="133" t="s">
        <v>120</v>
      </c>
      <c r="S43" s="131">
        <v>1</v>
      </c>
      <c r="T43" s="131">
        <v>3</v>
      </c>
      <c r="U43" s="133">
        <v>0.33333333333333331</v>
      </c>
      <c r="V43" s="131">
        <v>0</v>
      </c>
      <c r="W43" s="131">
        <v>0</v>
      </c>
      <c r="X43" s="133" t="s">
        <v>120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x14ac:dyDescent="0.25">
      <c r="A44" s="131" t="s">
        <v>45</v>
      </c>
      <c r="B44" s="131" t="s">
        <v>56</v>
      </c>
      <c r="C44" s="132">
        <v>1830.8541666666699</v>
      </c>
      <c r="D44" s="131" t="s">
        <v>65</v>
      </c>
      <c r="E44" s="131" t="s">
        <v>12</v>
      </c>
      <c r="F44" s="131" t="s">
        <v>38</v>
      </c>
      <c r="G44" s="131">
        <v>1</v>
      </c>
      <c r="H44" s="131">
        <v>2</v>
      </c>
      <c r="I44" s="131">
        <v>2</v>
      </c>
      <c r="J44" s="131">
        <v>0</v>
      </c>
      <c r="K44" s="131">
        <v>0</v>
      </c>
      <c r="L44" s="131">
        <v>0</v>
      </c>
      <c r="M44" s="131">
        <v>0</v>
      </c>
      <c r="N44" s="131">
        <v>1</v>
      </c>
      <c r="O44" s="131">
        <v>1</v>
      </c>
      <c r="P44" s="131">
        <v>0</v>
      </c>
      <c r="Q44" s="131">
        <v>0</v>
      </c>
      <c r="R44" s="133" t="s">
        <v>120</v>
      </c>
      <c r="S44" s="131">
        <v>1</v>
      </c>
      <c r="T44" s="131">
        <v>3</v>
      </c>
      <c r="U44" s="133">
        <v>0.33333333333333331</v>
      </c>
      <c r="V44" s="131">
        <v>0</v>
      </c>
      <c r="W44" s="131">
        <v>0</v>
      </c>
      <c r="X44" s="133" t="s">
        <v>120</v>
      </c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x14ac:dyDescent="0.25">
      <c r="A45" s="131" t="s">
        <v>45</v>
      </c>
      <c r="B45" s="131" t="s">
        <v>56</v>
      </c>
      <c r="C45" s="132">
        <v>1830.8541666666699</v>
      </c>
      <c r="D45" s="131" t="s">
        <v>65</v>
      </c>
      <c r="E45" s="131" t="s">
        <v>102</v>
      </c>
      <c r="F45" s="131" t="s">
        <v>38</v>
      </c>
      <c r="G45" s="131">
        <v>1</v>
      </c>
      <c r="H45" s="131">
        <v>0</v>
      </c>
      <c r="I45" s="131">
        <v>6</v>
      </c>
      <c r="J45" s="131">
        <v>1</v>
      </c>
      <c r="K45" s="131">
        <v>0</v>
      </c>
      <c r="L45" s="131">
        <v>0</v>
      </c>
      <c r="M45" s="131">
        <v>1</v>
      </c>
      <c r="N45" s="131">
        <v>1</v>
      </c>
      <c r="O45" s="131">
        <v>5</v>
      </c>
      <c r="P45" s="131">
        <v>0</v>
      </c>
      <c r="Q45" s="131">
        <v>0</v>
      </c>
      <c r="R45" s="133" t="s">
        <v>120</v>
      </c>
      <c r="S45" s="131">
        <v>0</v>
      </c>
      <c r="T45" s="131">
        <v>1</v>
      </c>
      <c r="U45" s="133">
        <v>0</v>
      </c>
      <c r="V45" s="131">
        <v>0</v>
      </c>
      <c r="W45" s="131">
        <v>0</v>
      </c>
      <c r="X45" s="133" t="s">
        <v>120</v>
      </c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x14ac:dyDescent="0.25">
      <c r="A46" s="131" t="s">
        <v>157</v>
      </c>
      <c r="B46" s="131" t="s">
        <v>157</v>
      </c>
      <c r="C46" s="132" t="s">
        <v>157</v>
      </c>
      <c r="D46" s="131" t="s">
        <v>157</v>
      </c>
      <c r="E46" s="131" t="s">
        <v>157</v>
      </c>
      <c r="F46" s="131" t="s">
        <v>157</v>
      </c>
      <c r="G46" s="131" t="s">
        <v>157</v>
      </c>
      <c r="H46" s="131" t="s">
        <v>157</v>
      </c>
      <c r="I46" s="131" t="s">
        <v>157</v>
      </c>
      <c r="J46" s="131" t="s">
        <v>157</v>
      </c>
      <c r="K46" s="131" t="s">
        <v>157</v>
      </c>
      <c r="L46" s="131" t="s">
        <v>157</v>
      </c>
      <c r="M46" s="131" t="s">
        <v>157</v>
      </c>
      <c r="N46" s="131" t="s">
        <v>157</v>
      </c>
      <c r="O46" s="131" t="s">
        <v>157</v>
      </c>
      <c r="P46" s="131" t="s">
        <v>157</v>
      </c>
      <c r="Q46" s="131" t="s">
        <v>157</v>
      </c>
      <c r="R46" s="133" t="s">
        <v>157</v>
      </c>
      <c r="S46" s="131" t="s">
        <v>157</v>
      </c>
      <c r="T46" s="131" t="s">
        <v>157</v>
      </c>
      <c r="U46" s="133" t="s">
        <v>157</v>
      </c>
      <c r="V46" s="131" t="s">
        <v>157</v>
      </c>
      <c r="W46" s="131" t="s">
        <v>157</v>
      </c>
      <c r="X46" s="133" t="s">
        <v>157</v>
      </c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x14ac:dyDescent="0.25">
      <c r="A47" s="131" t="s">
        <v>157</v>
      </c>
      <c r="B47" s="131" t="s">
        <v>157</v>
      </c>
      <c r="C47" s="132" t="s">
        <v>157</v>
      </c>
      <c r="D47" s="131" t="s">
        <v>157</v>
      </c>
      <c r="E47" s="131" t="s">
        <v>157</v>
      </c>
      <c r="F47" s="131" t="s">
        <v>157</v>
      </c>
      <c r="G47" s="131" t="s">
        <v>157</v>
      </c>
      <c r="H47" s="131" t="s">
        <v>157</v>
      </c>
      <c r="I47" s="131" t="s">
        <v>157</v>
      </c>
      <c r="J47" s="131" t="s">
        <v>157</v>
      </c>
      <c r="K47" s="131" t="s">
        <v>157</v>
      </c>
      <c r="L47" s="131" t="s">
        <v>157</v>
      </c>
      <c r="M47" s="131" t="s">
        <v>157</v>
      </c>
      <c r="N47" s="131" t="s">
        <v>157</v>
      </c>
      <c r="O47" s="131" t="s">
        <v>157</v>
      </c>
      <c r="P47" s="131" t="s">
        <v>157</v>
      </c>
      <c r="Q47" s="131" t="s">
        <v>157</v>
      </c>
      <c r="R47" s="133" t="s">
        <v>157</v>
      </c>
      <c r="S47" s="131" t="s">
        <v>157</v>
      </c>
      <c r="T47" s="131" t="s">
        <v>157</v>
      </c>
      <c r="U47" s="133" t="s">
        <v>157</v>
      </c>
      <c r="V47" s="131" t="s">
        <v>157</v>
      </c>
      <c r="W47" s="131" t="s">
        <v>157</v>
      </c>
      <c r="X47" s="133" t="s">
        <v>157</v>
      </c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x14ac:dyDescent="0.25">
      <c r="A48" s="131" t="s">
        <v>45</v>
      </c>
      <c r="B48" s="131" t="s">
        <v>57</v>
      </c>
      <c r="C48" s="132">
        <v>1830.7708333333333</v>
      </c>
      <c r="D48" s="131" t="s">
        <v>65</v>
      </c>
      <c r="E48" s="131" t="s">
        <v>25</v>
      </c>
      <c r="F48" s="131" t="s">
        <v>41</v>
      </c>
      <c r="G48" s="131">
        <v>1</v>
      </c>
      <c r="H48" s="131">
        <v>11</v>
      </c>
      <c r="I48" s="131">
        <v>4</v>
      </c>
      <c r="J48" s="131">
        <v>3</v>
      </c>
      <c r="K48" s="131">
        <v>5</v>
      </c>
      <c r="L48" s="131">
        <v>0</v>
      </c>
      <c r="M48" s="131">
        <v>0</v>
      </c>
      <c r="N48" s="131">
        <v>0</v>
      </c>
      <c r="O48" s="131">
        <v>4</v>
      </c>
      <c r="P48" s="131">
        <v>3</v>
      </c>
      <c r="Q48" s="131">
        <v>4</v>
      </c>
      <c r="R48" s="133">
        <v>0.75</v>
      </c>
      <c r="S48" s="131">
        <v>4</v>
      </c>
      <c r="T48" s="131">
        <v>9</v>
      </c>
      <c r="U48" s="133">
        <v>0.44444444444444442</v>
      </c>
      <c r="V48" s="131">
        <v>0</v>
      </c>
      <c r="W48" s="131">
        <v>2</v>
      </c>
      <c r="X48" s="133">
        <v>0</v>
      </c>
      <c r="Y48"/>
      <c r="Z48" s="134" t="s">
        <v>45</v>
      </c>
      <c r="AA48" s="134" t="s">
        <v>57</v>
      </c>
      <c r="AB48" s="135">
        <v>1830.7708333333333</v>
      </c>
      <c r="AC48" s="134" t="s">
        <v>65</v>
      </c>
      <c r="AD48" s="134" t="s">
        <v>41</v>
      </c>
      <c r="AE48" s="134" t="s">
        <v>174</v>
      </c>
      <c r="AF48" s="134">
        <v>1</v>
      </c>
      <c r="AG48" s="134">
        <v>54</v>
      </c>
      <c r="AH48" s="134">
        <v>17</v>
      </c>
      <c r="AI48" s="134">
        <v>8</v>
      </c>
      <c r="AJ48" s="134">
        <v>10</v>
      </c>
      <c r="AK48" s="134">
        <v>1</v>
      </c>
      <c r="AL48" s="134">
        <v>8</v>
      </c>
      <c r="AM48" s="134">
        <v>1</v>
      </c>
      <c r="AN48" s="134">
        <v>16</v>
      </c>
      <c r="AO48" s="134">
        <v>9</v>
      </c>
      <c r="AP48" s="134">
        <v>19</v>
      </c>
      <c r="AQ48" s="136">
        <v>0.47368421052631576</v>
      </c>
      <c r="AR48" s="134">
        <v>19</v>
      </c>
      <c r="AS48" s="134">
        <v>44</v>
      </c>
      <c r="AT48" s="136">
        <v>0.43181818181818182</v>
      </c>
      <c r="AU48" s="134">
        <v>7</v>
      </c>
      <c r="AV48" s="134">
        <v>11</v>
      </c>
      <c r="AW48" s="136">
        <v>0.63636363636363635</v>
      </c>
      <c r="AX48"/>
      <c r="AY48" s="134" t="s">
        <v>45</v>
      </c>
      <c r="AZ48" s="134" t="s">
        <v>57</v>
      </c>
      <c r="BA48" s="135">
        <v>1830.7708333333333</v>
      </c>
      <c r="BB48" s="134" t="s">
        <v>65</v>
      </c>
      <c r="BC48" s="134" t="s">
        <v>89</v>
      </c>
      <c r="BD48" s="134"/>
      <c r="BE48" s="134">
        <v>1</v>
      </c>
      <c r="BF48" s="134">
        <v>106</v>
      </c>
      <c r="BG48" s="134">
        <v>54</v>
      </c>
      <c r="BH48" s="134">
        <v>14</v>
      </c>
      <c r="BI48" s="134">
        <v>14</v>
      </c>
      <c r="BJ48" s="134">
        <v>3</v>
      </c>
      <c r="BK48" s="134">
        <v>19</v>
      </c>
      <c r="BL48" s="134">
        <v>15</v>
      </c>
      <c r="BM48" s="134">
        <v>39</v>
      </c>
      <c r="BN48" s="134">
        <v>11</v>
      </c>
      <c r="BO48" s="134">
        <v>35</v>
      </c>
      <c r="BP48" s="136">
        <v>0.31428571428571428</v>
      </c>
      <c r="BQ48" s="134">
        <v>38</v>
      </c>
      <c r="BR48" s="134">
        <v>94</v>
      </c>
      <c r="BS48" s="136">
        <v>0.40425531914893614</v>
      </c>
      <c r="BT48" s="134">
        <v>19</v>
      </c>
      <c r="BU48" s="134">
        <v>30</v>
      </c>
      <c r="BV48" s="136">
        <v>0.6333333333333333</v>
      </c>
      <c r="BW48" s="174" t="s">
        <v>162</v>
      </c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x14ac:dyDescent="0.25">
      <c r="A49" s="131" t="s">
        <v>45</v>
      </c>
      <c r="B49" s="131" t="s">
        <v>57</v>
      </c>
      <c r="C49" s="132">
        <v>1830.7708333333333</v>
      </c>
      <c r="D49" s="131" t="s">
        <v>65</v>
      </c>
      <c r="E49" s="131" t="s">
        <v>28</v>
      </c>
      <c r="F49" s="131" t="s">
        <v>41</v>
      </c>
      <c r="G49" s="131">
        <v>1</v>
      </c>
      <c r="H49" s="131">
        <v>9</v>
      </c>
      <c r="I49" s="131">
        <v>2</v>
      </c>
      <c r="J49" s="131">
        <v>1</v>
      </c>
      <c r="K49" s="131">
        <v>3</v>
      </c>
      <c r="L49" s="131">
        <v>0</v>
      </c>
      <c r="M49" s="131">
        <v>0</v>
      </c>
      <c r="N49" s="131">
        <v>0</v>
      </c>
      <c r="O49" s="131">
        <v>2</v>
      </c>
      <c r="P49" s="131">
        <v>3</v>
      </c>
      <c r="Q49" s="131">
        <v>5</v>
      </c>
      <c r="R49" s="133">
        <v>0.6</v>
      </c>
      <c r="S49" s="131">
        <v>3</v>
      </c>
      <c r="T49" s="131">
        <v>5</v>
      </c>
      <c r="U49" s="133">
        <v>0.6</v>
      </c>
      <c r="V49" s="131">
        <v>0</v>
      </c>
      <c r="W49" s="131">
        <v>0</v>
      </c>
      <c r="X49" s="133" t="s">
        <v>120</v>
      </c>
      <c r="Y49"/>
      <c r="Z49" s="134" t="s">
        <v>45</v>
      </c>
      <c r="AA49" s="134" t="s">
        <v>57</v>
      </c>
      <c r="AB49" s="135">
        <v>1830.7708333333333</v>
      </c>
      <c r="AC49" s="134" t="s">
        <v>65</v>
      </c>
      <c r="AD49" s="134" t="s">
        <v>38</v>
      </c>
      <c r="AE49" s="134" t="s">
        <v>175</v>
      </c>
      <c r="AF49" s="134">
        <v>1</v>
      </c>
      <c r="AG49" s="134">
        <v>52</v>
      </c>
      <c r="AH49" s="134">
        <v>37</v>
      </c>
      <c r="AI49" s="134">
        <v>6</v>
      </c>
      <c r="AJ49" s="134">
        <v>4</v>
      </c>
      <c r="AK49" s="134">
        <v>2</v>
      </c>
      <c r="AL49" s="134">
        <v>11</v>
      </c>
      <c r="AM49" s="134">
        <v>14</v>
      </c>
      <c r="AN49" s="134">
        <v>23</v>
      </c>
      <c r="AO49" s="134">
        <v>2</v>
      </c>
      <c r="AP49" s="134">
        <v>16</v>
      </c>
      <c r="AQ49" s="136">
        <v>0.125</v>
      </c>
      <c r="AR49" s="134">
        <v>19</v>
      </c>
      <c r="AS49" s="134">
        <v>50</v>
      </c>
      <c r="AT49" s="136">
        <v>0.38</v>
      </c>
      <c r="AU49" s="134">
        <v>12</v>
      </c>
      <c r="AV49" s="134">
        <v>19</v>
      </c>
      <c r="AW49" s="136">
        <v>0.63157894736842102</v>
      </c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x14ac:dyDescent="0.25">
      <c r="A50" s="131" t="s">
        <v>45</v>
      </c>
      <c r="B50" s="131" t="s">
        <v>57</v>
      </c>
      <c r="C50" s="132">
        <v>1830.7708333333333</v>
      </c>
      <c r="D50" s="131" t="s">
        <v>65</v>
      </c>
      <c r="E50" s="131" t="s">
        <v>13</v>
      </c>
      <c r="F50" s="131" t="s">
        <v>41</v>
      </c>
      <c r="G50" s="131">
        <v>1</v>
      </c>
      <c r="H50" s="131">
        <v>20</v>
      </c>
      <c r="I50" s="131">
        <v>5</v>
      </c>
      <c r="J50" s="131">
        <v>3</v>
      </c>
      <c r="K50" s="131">
        <v>0</v>
      </c>
      <c r="L50" s="131">
        <v>0</v>
      </c>
      <c r="M50" s="131">
        <v>4</v>
      </c>
      <c r="N50" s="131">
        <v>1</v>
      </c>
      <c r="O50" s="131">
        <v>4</v>
      </c>
      <c r="P50" s="131">
        <v>2</v>
      </c>
      <c r="Q50" s="131">
        <v>2</v>
      </c>
      <c r="R50" s="133">
        <v>1</v>
      </c>
      <c r="S50" s="131">
        <v>7</v>
      </c>
      <c r="T50" s="131">
        <v>15</v>
      </c>
      <c r="U50" s="133">
        <v>0.46666666666666667</v>
      </c>
      <c r="V50" s="131">
        <v>4</v>
      </c>
      <c r="W50" s="131">
        <v>4</v>
      </c>
      <c r="X50" s="133">
        <v>1</v>
      </c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x14ac:dyDescent="0.25">
      <c r="A51" s="131" t="s">
        <v>45</v>
      </c>
      <c r="B51" s="131" t="s">
        <v>57</v>
      </c>
      <c r="C51" s="132">
        <v>1830.7708333333333</v>
      </c>
      <c r="D51" s="131" t="s">
        <v>65</v>
      </c>
      <c r="E51" s="131" t="s">
        <v>32</v>
      </c>
      <c r="F51" s="131" t="s">
        <v>41</v>
      </c>
      <c r="G51" s="131">
        <v>1</v>
      </c>
      <c r="H51" s="131">
        <v>10</v>
      </c>
      <c r="I51" s="131">
        <v>3</v>
      </c>
      <c r="J51" s="131">
        <v>0</v>
      </c>
      <c r="K51" s="131">
        <v>2</v>
      </c>
      <c r="L51" s="131">
        <v>1</v>
      </c>
      <c r="M51" s="131">
        <v>3</v>
      </c>
      <c r="N51" s="131">
        <v>0</v>
      </c>
      <c r="O51" s="131">
        <v>3</v>
      </c>
      <c r="P51" s="131">
        <v>1</v>
      </c>
      <c r="Q51" s="131">
        <v>5</v>
      </c>
      <c r="R51" s="133">
        <v>0.2</v>
      </c>
      <c r="S51" s="131">
        <v>3</v>
      </c>
      <c r="T51" s="131">
        <v>11</v>
      </c>
      <c r="U51" s="133">
        <v>0.27272727272727271</v>
      </c>
      <c r="V51" s="131">
        <v>3</v>
      </c>
      <c r="W51" s="131">
        <v>3</v>
      </c>
      <c r="X51" s="133">
        <v>1</v>
      </c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x14ac:dyDescent="0.25">
      <c r="A52" s="131" t="s">
        <v>45</v>
      </c>
      <c r="B52" s="131" t="s">
        <v>57</v>
      </c>
      <c r="C52" s="132">
        <v>1830.7708333333333</v>
      </c>
      <c r="D52" s="131" t="s">
        <v>65</v>
      </c>
      <c r="E52" s="131" t="s">
        <v>30</v>
      </c>
      <c r="F52" s="131" t="s">
        <v>41</v>
      </c>
      <c r="G52" s="131">
        <v>1</v>
      </c>
      <c r="H52" s="131">
        <v>4</v>
      </c>
      <c r="I52" s="131">
        <v>3</v>
      </c>
      <c r="J52" s="131">
        <v>1</v>
      </c>
      <c r="K52" s="131">
        <v>0</v>
      </c>
      <c r="L52" s="131">
        <v>0</v>
      </c>
      <c r="M52" s="131">
        <v>1</v>
      </c>
      <c r="N52" s="131">
        <v>0</v>
      </c>
      <c r="O52" s="131">
        <v>3</v>
      </c>
      <c r="P52" s="131">
        <v>0</v>
      </c>
      <c r="Q52" s="131">
        <v>3</v>
      </c>
      <c r="R52" s="133">
        <v>0</v>
      </c>
      <c r="S52" s="131">
        <v>2</v>
      </c>
      <c r="T52" s="131">
        <v>4</v>
      </c>
      <c r="U52" s="133">
        <v>0.5</v>
      </c>
      <c r="V52" s="131">
        <v>0</v>
      </c>
      <c r="W52" s="131">
        <v>2</v>
      </c>
      <c r="X52" s="133">
        <v>0</v>
      </c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x14ac:dyDescent="0.25">
      <c r="A53" s="131" t="s">
        <v>45</v>
      </c>
      <c r="B53" s="131" t="s">
        <v>57</v>
      </c>
      <c r="C53" s="132">
        <v>1830.7708333333333</v>
      </c>
      <c r="D53" s="131" t="s">
        <v>65</v>
      </c>
      <c r="E53" s="131" t="s">
        <v>99</v>
      </c>
      <c r="F53" s="131" t="s">
        <v>38</v>
      </c>
      <c r="G53" s="131">
        <v>1</v>
      </c>
      <c r="H53" s="131">
        <v>13</v>
      </c>
      <c r="I53" s="131">
        <v>9</v>
      </c>
      <c r="J53" s="131">
        <v>0</v>
      </c>
      <c r="K53" s="131">
        <v>1</v>
      </c>
      <c r="L53" s="131">
        <v>0</v>
      </c>
      <c r="M53" s="131">
        <v>0</v>
      </c>
      <c r="N53" s="131">
        <v>6</v>
      </c>
      <c r="O53" s="131">
        <v>3</v>
      </c>
      <c r="P53" s="131">
        <v>0</v>
      </c>
      <c r="Q53" s="131">
        <v>0</v>
      </c>
      <c r="R53" s="133" t="s">
        <v>120</v>
      </c>
      <c r="S53" s="131">
        <v>6</v>
      </c>
      <c r="T53" s="131">
        <v>9</v>
      </c>
      <c r="U53" s="133">
        <v>0.66666666666666663</v>
      </c>
      <c r="V53" s="131">
        <v>1</v>
      </c>
      <c r="W53" s="131">
        <v>3</v>
      </c>
      <c r="X53" s="133">
        <v>0.33333333333333331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x14ac:dyDescent="0.25">
      <c r="A54" s="131" t="s">
        <v>45</v>
      </c>
      <c r="B54" s="131" t="s">
        <v>57</v>
      </c>
      <c r="C54" s="132">
        <v>1830.7708333333333</v>
      </c>
      <c r="D54" s="131" t="s">
        <v>65</v>
      </c>
      <c r="E54" s="131" t="s">
        <v>31</v>
      </c>
      <c r="F54" s="131" t="s">
        <v>38</v>
      </c>
      <c r="G54" s="131">
        <v>1</v>
      </c>
      <c r="H54" s="131">
        <v>10</v>
      </c>
      <c r="I54" s="131">
        <v>3</v>
      </c>
      <c r="J54" s="131">
        <v>1</v>
      </c>
      <c r="K54" s="131">
        <v>1</v>
      </c>
      <c r="L54" s="131">
        <v>0</v>
      </c>
      <c r="M54" s="131">
        <v>4</v>
      </c>
      <c r="N54" s="131">
        <v>0</v>
      </c>
      <c r="O54" s="131">
        <v>3</v>
      </c>
      <c r="P54" s="131">
        <v>1</v>
      </c>
      <c r="Q54" s="131">
        <v>6</v>
      </c>
      <c r="R54" s="133">
        <v>0.16666666666666666</v>
      </c>
      <c r="S54" s="131">
        <v>2</v>
      </c>
      <c r="T54" s="131">
        <v>11</v>
      </c>
      <c r="U54" s="133">
        <v>0.18181818181818182</v>
      </c>
      <c r="V54" s="131">
        <v>5</v>
      </c>
      <c r="W54" s="131">
        <v>7</v>
      </c>
      <c r="X54" s="133">
        <v>0.7142857142857143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</row>
    <row r="55" spans="1:89" x14ac:dyDescent="0.25">
      <c r="A55" s="131" t="s">
        <v>45</v>
      </c>
      <c r="B55" s="131" t="s">
        <v>57</v>
      </c>
      <c r="C55" s="132">
        <v>1830.7708333333333</v>
      </c>
      <c r="D55" s="131" t="s">
        <v>65</v>
      </c>
      <c r="E55" s="131" t="s">
        <v>19</v>
      </c>
      <c r="F55" s="131" t="s">
        <v>38</v>
      </c>
      <c r="G55" s="131">
        <v>1</v>
      </c>
      <c r="H55" s="131">
        <v>20</v>
      </c>
      <c r="I55" s="131">
        <v>10</v>
      </c>
      <c r="J55" s="131">
        <v>3</v>
      </c>
      <c r="K55" s="131">
        <v>0</v>
      </c>
      <c r="L55" s="131">
        <v>2</v>
      </c>
      <c r="M55" s="131">
        <v>3</v>
      </c>
      <c r="N55" s="131">
        <v>3</v>
      </c>
      <c r="O55" s="131">
        <v>7</v>
      </c>
      <c r="P55" s="131">
        <v>0</v>
      </c>
      <c r="Q55" s="131">
        <v>3</v>
      </c>
      <c r="R55" s="133">
        <v>0</v>
      </c>
      <c r="S55" s="131">
        <v>8</v>
      </c>
      <c r="T55" s="131">
        <v>14</v>
      </c>
      <c r="U55" s="133">
        <v>0.5714285714285714</v>
      </c>
      <c r="V55" s="131">
        <v>4</v>
      </c>
      <c r="W55" s="131">
        <v>5</v>
      </c>
      <c r="X55" s="133">
        <v>0.8</v>
      </c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</row>
    <row r="56" spans="1:89" x14ac:dyDescent="0.25">
      <c r="A56" s="131" t="s">
        <v>45</v>
      </c>
      <c r="B56" s="131" t="s">
        <v>57</v>
      </c>
      <c r="C56" s="132">
        <v>1830.7708333333333</v>
      </c>
      <c r="D56" s="131" t="s">
        <v>65</v>
      </c>
      <c r="E56" s="131" t="s">
        <v>101</v>
      </c>
      <c r="F56" s="131" t="s">
        <v>38</v>
      </c>
      <c r="G56" s="131">
        <v>1</v>
      </c>
      <c r="H56" s="131">
        <v>1</v>
      </c>
      <c r="I56" s="131">
        <v>4</v>
      </c>
      <c r="J56" s="131">
        <v>0</v>
      </c>
      <c r="K56" s="131">
        <v>1</v>
      </c>
      <c r="L56" s="131">
        <v>0</v>
      </c>
      <c r="M56" s="131">
        <v>1</v>
      </c>
      <c r="N56" s="131">
        <v>0</v>
      </c>
      <c r="O56" s="131">
        <v>4</v>
      </c>
      <c r="P56" s="131">
        <v>0</v>
      </c>
      <c r="Q56" s="131">
        <v>0</v>
      </c>
      <c r="R56" s="133" t="s">
        <v>120</v>
      </c>
      <c r="S56" s="131">
        <v>0</v>
      </c>
      <c r="T56" s="131">
        <v>1</v>
      </c>
      <c r="U56" s="133">
        <v>0</v>
      </c>
      <c r="V56" s="131">
        <v>1</v>
      </c>
      <c r="W56" s="131">
        <v>2</v>
      </c>
      <c r="X56" s="133">
        <v>0.5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</row>
    <row r="57" spans="1:89" x14ac:dyDescent="0.25">
      <c r="A57" s="131" t="s">
        <v>45</v>
      </c>
      <c r="B57" s="131" t="s">
        <v>57</v>
      </c>
      <c r="C57" s="132">
        <v>1830.7708333333333</v>
      </c>
      <c r="D57" s="131" t="s">
        <v>65</v>
      </c>
      <c r="E57" s="131" t="s">
        <v>102</v>
      </c>
      <c r="F57" s="131" t="s">
        <v>38</v>
      </c>
      <c r="G57" s="131">
        <v>1</v>
      </c>
      <c r="H57" s="131">
        <v>0</v>
      </c>
      <c r="I57" s="131">
        <v>5</v>
      </c>
      <c r="J57" s="131">
        <v>0</v>
      </c>
      <c r="K57" s="131">
        <v>0</v>
      </c>
      <c r="L57" s="131">
        <v>0</v>
      </c>
      <c r="M57" s="131">
        <v>0</v>
      </c>
      <c r="N57" s="131">
        <v>1</v>
      </c>
      <c r="O57" s="131">
        <v>4</v>
      </c>
      <c r="P57" s="131">
        <v>0</v>
      </c>
      <c r="Q57" s="131">
        <v>1</v>
      </c>
      <c r="R57" s="133">
        <v>0</v>
      </c>
      <c r="S57" s="131">
        <v>0</v>
      </c>
      <c r="T57" s="131">
        <v>1</v>
      </c>
      <c r="U57" s="133">
        <v>0</v>
      </c>
      <c r="V57" s="131">
        <v>0</v>
      </c>
      <c r="W57" s="131">
        <v>0</v>
      </c>
      <c r="X57" s="133" t="s">
        <v>120</v>
      </c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</row>
    <row r="58" spans="1:89" x14ac:dyDescent="0.25">
      <c r="A58" s="131" t="s">
        <v>45</v>
      </c>
      <c r="B58" s="131" t="s">
        <v>57</v>
      </c>
      <c r="C58" s="132">
        <v>1830.7708333333333</v>
      </c>
      <c r="D58" s="131" t="s">
        <v>65</v>
      </c>
      <c r="E58" s="131" t="s">
        <v>15</v>
      </c>
      <c r="F58" s="131" t="s">
        <v>38</v>
      </c>
      <c r="G58" s="131">
        <v>1</v>
      </c>
      <c r="H58" s="131">
        <v>8</v>
      </c>
      <c r="I58" s="131">
        <v>2</v>
      </c>
      <c r="J58" s="131">
        <v>1</v>
      </c>
      <c r="K58" s="131">
        <v>1</v>
      </c>
      <c r="L58" s="131">
        <v>0</v>
      </c>
      <c r="M58" s="131">
        <v>2</v>
      </c>
      <c r="N58" s="131">
        <v>1</v>
      </c>
      <c r="O58" s="131">
        <v>1</v>
      </c>
      <c r="P58" s="131">
        <v>1</v>
      </c>
      <c r="Q58" s="131">
        <v>6</v>
      </c>
      <c r="R58" s="133">
        <v>0.16666666666666666</v>
      </c>
      <c r="S58" s="131">
        <v>3</v>
      </c>
      <c r="T58" s="131">
        <v>14</v>
      </c>
      <c r="U58" s="133">
        <v>0.21428571428571427</v>
      </c>
      <c r="V58" s="131">
        <v>1</v>
      </c>
      <c r="W58" s="131">
        <v>2</v>
      </c>
      <c r="X58" s="133">
        <v>0.5</v>
      </c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</row>
    <row r="59" spans="1:89" x14ac:dyDescent="0.25">
      <c r="A59" s="131" t="s">
        <v>45</v>
      </c>
      <c r="B59" s="131" t="s">
        <v>57</v>
      </c>
      <c r="C59" s="132">
        <v>1830.7708333333333</v>
      </c>
      <c r="D59" s="131" t="s">
        <v>65</v>
      </c>
      <c r="E59" s="131" t="s">
        <v>12</v>
      </c>
      <c r="F59" s="131" t="s">
        <v>38</v>
      </c>
      <c r="G59" s="131">
        <v>1</v>
      </c>
      <c r="H59" s="131">
        <v>0</v>
      </c>
      <c r="I59" s="131">
        <v>4</v>
      </c>
      <c r="J59" s="131">
        <v>1</v>
      </c>
      <c r="K59" s="131">
        <v>0</v>
      </c>
      <c r="L59" s="131">
        <v>0</v>
      </c>
      <c r="M59" s="131">
        <v>1</v>
      </c>
      <c r="N59" s="131">
        <v>3</v>
      </c>
      <c r="O59" s="131">
        <v>1</v>
      </c>
      <c r="P59" s="131">
        <v>0</v>
      </c>
      <c r="Q59" s="131">
        <v>0</v>
      </c>
      <c r="R59" s="133" t="s">
        <v>120</v>
      </c>
      <c r="S59" s="131">
        <v>0</v>
      </c>
      <c r="T59" s="131">
        <v>0</v>
      </c>
      <c r="U59" s="133" t="s">
        <v>120</v>
      </c>
      <c r="V59" s="131">
        <v>0</v>
      </c>
      <c r="W59" s="131">
        <v>0</v>
      </c>
      <c r="X59" s="133" t="s">
        <v>120</v>
      </c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1:89" x14ac:dyDescent="0.25">
      <c r="A60" s="131" t="s">
        <v>157</v>
      </c>
      <c r="B60" s="131" t="s">
        <v>157</v>
      </c>
      <c r="C60" s="132" t="s">
        <v>157</v>
      </c>
      <c r="D60" s="131" t="s">
        <v>157</v>
      </c>
      <c r="E60" s="131" t="s">
        <v>157</v>
      </c>
      <c r="F60" s="131" t="s">
        <v>157</v>
      </c>
      <c r="G60" s="131" t="s">
        <v>157</v>
      </c>
      <c r="H60" s="131" t="s">
        <v>157</v>
      </c>
      <c r="I60" s="131" t="s">
        <v>157</v>
      </c>
      <c r="J60" s="131" t="s">
        <v>157</v>
      </c>
      <c r="K60" s="131" t="s">
        <v>157</v>
      </c>
      <c r="L60" s="131" t="s">
        <v>157</v>
      </c>
      <c r="M60" s="131" t="s">
        <v>157</v>
      </c>
      <c r="N60" s="131" t="s">
        <v>157</v>
      </c>
      <c r="O60" s="131" t="s">
        <v>157</v>
      </c>
      <c r="P60" s="131" t="s">
        <v>157</v>
      </c>
      <c r="Q60" s="131" t="s">
        <v>157</v>
      </c>
      <c r="R60" s="133" t="s">
        <v>157</v>
      </c>
      <c r="S60" s="131" t="s">
        <v>157</v>
      </c>
      <c r="T60" s="131" t="s">
        <v>157</v>
      </c>
      <c r="U60" s="133" t="s">
        <v>157</v>
      </c>
      <c r="V60" s="131" t="s">
        <v>157</v>
      </c>
      <c r="W60" s="131" t="s">
        <v>157</v>
      </c>
      <c r="X60" s="133" t="s">
        <v>157</v>
      </c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1:89" x14ac:dyDescent="0.25">
      <c r="A61" s="131" t="s">
        <v>157</v>
      </c>
      <c r="B61" s="131" t="s">
        <v>157</v>
      </c>
      <c r="C61" s="132" t="s">
        <v>157</v>
      </c>
      <c r="D61" s="131" t="s">
        <v>157</v>
      </c>
      <c r="E61" s="131" t="s">
        <v>157</v>
      </c>
      <c r="F61" s="131" t="s">
        <v>157</v>
      </c>
      <c r="G61" s="131" t="s">
        <v>157</v>
      </c>
      <c r="H61" s="131" t="s">
        <v>157</v>
      </c>
      <c r="I61" s="131" t="s">
        <v>157</v>
      </c>
      <c r="J61" s="131" t="s">
        <v>157</v>
      </c>
      <c r="K61" s="131" t="s">
        <v>157</v>
      </c>
      <c r="L61" s="131" t="s">
        <v>157</v>
      </c>
      <c r="M61" s="131" t="s">
        <v>157</v>
      </c>
      <c r="N61" s="131" t="s">
        <v>157</v>
      </c>
      <c r="O61" s="131" t="s">
        <v>157</v>
      </c>
      <c r="P61" s="131" t="s">
        <v>157</v>
      </c>
      <c r="Q61" s="131" t="s">
        <v>157</v>
      </c>
      <c r="R61" s="133" t="s">
        <v>157</v>
      </c>
      <c r="S61" s="131" t="s">
        <v>157</v>
      </c>
      <c r="T61" s="131" t="s">
        <v>157</v>
      </c>
      <c r="U61" s="133" t="s">
        <v>157</v>
      </c>
      <c r="V61" s="131" t="s">
        <v>157</v>
      </c>
      <c r="W61" s="131" t="s">
        <v>157</v>
      </c>
      <c r="X61" s="133" t="s">
        <v>157</v>
      </c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1:89" x14ac:dyDescent="0.25">
      <c r="A62" s="131" t="s">
        <v>157</v>
      </c>
      <c r="B62" s="131" t="s">
        <v>157</v>
      </c>
      <c r="C62" s="132" t="s">
        <v>157</v>
      </c>
      <c r="D62" s="131" t="s">
        <v>157</v>
      </c>
      <c r="E62" s="131" t="s">
        <v>157</v>
      </c>
      <c r="F62" s="131" t="s">
        <v>157</v>
      </c>
      <c r="G62" s="131" t="s">
        <v>157</v>
      </c>
      <c r="H62" s="131" t="s">
        <v>157</v>
      </c>
      <c r="I62" s="131" t="s">
        <v>157</v>
      </c>
      <c r="J62" s="131" t="s">
        <v>157</v>
      </c>
      <c r="K62" s="131" t="s">
        <v>157</v>
      </c>
      <c r="L62" s="131" t="s">
        <v>157</v>
      </c>
      <c r="M62" s="131" t="s">
        <v>157</v>
      </c>
      <c r="N62" s="131" t="s">
        <v>157</v>
      </c>
      <c r="O62" s="131" t="s">
        <v>157</v>
      </c>
      <c r="P62" s="131" t="s">
        <v>157</v>
      </c>
      <c r="Q62" s="131" t="s">
        <v>157</v>
      </c>
      <c r="R62" s="133" t="s">
        <v>157</v>
      </c>
      <c r="S62" s="131" t="s">
        <v>157</v>
      </c>
      <c r="T62" s="131" t="s">
        <v>157</v>
      </c>
      <c r="U62" s="133" t="s">
        <v>157</v>
      </c>
      <c r="V62" s="131" t="s">
        <v>157</v>
      </c>
      <c r="W62" s="131" t="s">
        <v>157</v>
      </c>
      <c r="X62" s="133" t="s">
        <v>157</v>
      </c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1:89" x14ac:dyDescent="0.25">
      <c r="A63" s="131" t="s">
        <v>45</v>
      </c>
      <c r="B63" s="131" t="s">
        <v>57</v>
      </c>
      <c r="C63" s="132">
        <v>1830.8125</v>
      </c>
      <c r="D63" s="131" t="s">
        <v>65</v>
      </c>
      <c r="E63" s="131" t="s">
        <v>2</v>
      </c>
      <c r="F63" s="131" t="s">
        <v>41</v>
      </c>
      <c r="G63" s="131">
        <v>1</v>
      </c>
      <c r="H63" s="131">
        <v>24</v>
      </c>
      <c r="I63" s="131">
        <v>6</v>
      </c>
      <c r="J63" s="131">
        <v>1</v>
      </c>
      <c r="K63" s="131">
        <v>2</v>
      </c>
      <c r="L63" s="131">
        <v>0</v>
      </c>
      <c r="M63" s="131">
        <v>5</v>
      </c>
      <c r="N63" s="131">
        <v>2</v>
      </c>
      <c r="O63" s="131">
        <v>4</v>
      </c>
      <c r="P63" s="131">
        <v>3</v>
      </c>
      <c r="Q63" s="131">
        <v>7</v>
      </c>
      <c r="R63" s="133">
        <v>0.42857142857142855</v>
      </c>
      <c r="S63" s="131">
        <v>10</v>
      </c>
      <c r="T63" s="131">
        <v>16</v>
      </c>
      <c r="U63" s="133">
        <v>0.625</v>
      </c>
      <c r="V63" s="131">
        <v>1</v>
      </c>
      <c r="W63" s="131">
        <v>2</v>
      </c>
      <c r="X63" s="133">
        <v>0.5</v>
      </c>
      <c r="Y63"/>
      <c r="Z63" s="134" t="s">
        <v>45</v>
      </c>
      <c r="AA63" s="134" t="s">
        <v>57</v>
      </c>
      <c r="AB63" s="135">
        <v>1830.8125</v>
      </c>
      <c r="AC63" s="134" t="s">
        <v>65</v>
      </c>
      <c r="AD63" s="134" t="s">
        <v>41</v>
      </c>
      <c r="AE63" s="134" t="s">
        <v>174</v>
      </c>
      <c r="AF63" s="134">
        <v>1</v>
      </c>
      <c r="AG63" s="134">
        <v>50</v>
      </c>
      <c r="AH63" s="134">
        <v>30</v>
      </c>
      <c r="AI63" s="134">
        <v>7</v>
      </c>
      <c r="AJ63" s="134">
        <v>6</v>
      </c>
      <c r="AK63" s="134">
        <v>1</v>
      </c>
      <c r="AL63" s="134">
        <v>7</v>
      </c>
      <c r="AM63" s="134">
        <v>6</v>
      </c>
      <c r="AN63" s="134">
        <v>23</v>
      </c>
      <c r="AO63" s="134">
        <v>9</v>
      </c>
      <c r="AP63" s="134">
        <v>23</v>
      </c>
      <c r="AQ63" s="136">
        <v>0.39130434782608697</v>
      </c>
      <c r="AR63" s="134">
        <v>20</v>
      </c>
      <c r="AS63" s="134">
        <v>50</v>
      </c>
      <c r="AT63" s="136">
        <v>0.4</v>
      </c>
      <c r="AU63" s="134">
        <v>1</v>
      </c>
      <c r="AV63" s="134">
        <v>6</v>
      </c>
      <c r="AW63" s="136">
        <v>0.16666666666666666</v>
      </c>
      <c r="AX63"/>
      <c r="AY63" s="134" t="s">
        <v>45</v>
      </c>
      <c r="AZ63" s="134" t="s">
        <v>57</v>
      </c>
      <c r="BA63" s="135">
        <v>1830.8125</v>
      </c>
      <c r="BB63" s="134" t="s">
        <v>65</v>
      </c>
      <c r="BC63" s="134" t="s">
        <v>89</v>
      </c>
      <c r="BD63" s="134"/>
      <c r="BE63" s="134">
        <v>1</v>
      </c>
      <c r="BF63" s="134">
        <v>93</v>
      </c>
      <c r="BG63" s="134">
        <v>64</v>
      </c>
      <c r="BH63" s="134">
        <v>12</v>
      </c>
      <c r="BI63" s="134">
        <v>10</v>
      </c>
      <c r="BJ63" s="134">
        <v>3</v>
      </c>
      <c r="BK63" s="134">
        <v>17</v>
      </c>
      <c r="BL63" s="134">
        <v>16</v>
      </c>
      <c r="BM63" s="134">
        <v>47</v>
      </c>
      <c r="BN63" s="134">
        <v>17</v>
      </c>
      <c r="BO63" s="134">
        <v>49</v>
      </c>
      <c r="BP63" s="136">
        <v>0.34693877551020408</v>
      </c>
      <c r="BQ63" s="134">
        <v>36</v>
      </c>
      <c r="BR63" s="134">
        <v>102</v>
      </c>
      <c r="BS63" s="136">
        <v>0.35294117647058826</v>
      </c>
      <c r="BT63" s="134">
        <v>4</v>
      </c>
      <c r="BU63" s="134">
        <v>10</v>
      </c>
      <c r="BV63" s="136">
        <v>0.4</v>
      </c>
      <c r="BW63" s="174" t="s">
        <v>163</v>
      </c>
      <c r="BX63"/>
      <c r="BY63"/>
      <c r="BZ63"/>
      <c r="CA63"/>
      <c r="CB63"/>
    </row>
    <row r="64" spans="1:89" x14ac:dyDescent="0.25">
      <c r="A64" s="131" t="s">
        <v>45</v>
      </c>
      <c r="B64" s="131" t="s">
        <v>57</v>
      </c>
      <c r="C64" s="132">
        <v>1830.8125</v>
      </c>
      <c r="D64" s="131" t="s">
        <v>65</v>
      </c>
      <c r="E64" s="131" t="s">
        <v>25</v>
      </c>
      <c r="F64" s="131" t="s">
        <v>41</v>
      </c>
      <c r="G64" s="131">
        <v>1</v>
      </c>
      <c r="H64" s="131">
        <v>8</v>
      </c>
      <c r="I64" s="131">
        <v>6</v>
      </c>
      <c r="J64" s="131">
        <v>2</v>
      </c>
      <c r="K64" s="131">
        <v>1</v>
      </c>
      <c r="L64" s="131">
        <v>0</v>
      </c>
      <c r="M64" s="131">
        <v>0</v>
      </c>
      <c r="N64" s="131">
        <v>0</v>
      </c>
      <c r="O64" s="131">
        <v>5</v>
      </c>
      <c r="P64" s="131">
        <v>2</v>
      </c>
      <c r="Q64" s="131">
        <v>3</v>
      </c>
      <c r="R64" s="133">
        <v>0.66666666666666663</v>
      </c>
      <c r="S64" s="131">
        <v>3</v>
      </c>
      <c r="T64" s="131">
        <v>5</v>
      </c>
      <c r="U64" s="133">
        <v>0.6</v>
      </c>
      <c r="V64" s="131">
        <v>0</v>
      </c>
      <c r="W64" s="131">
        <v>2</v>
      </c>
      <c r="X64" s="133">
        <v>0</v>
      </c>
      <c r="Y64"/>
      <c r="Z64" s="134" t="s">
        <v>45</v>
      </c>
      <c r="AA64" s="134" t="s">
        <v>57</v>
      </c>
      <c r="AB64" s="135">
        <v>1830.8125</v>
      </c>
      <c r="AC64" s="134" t="s">
        <v>65</v>
      </c>
      <c r="AD64" s="134" t="s">
        <v>40</v>
      </c>
      <c r="AE64" s="134" t="s">
        <v>175</v>
      </c>
      <c r="AF64" s="134">
        <v>1</v>
      </c>
      <c r="AG64" s="134">
        <v>43</v>
      </c>
      <c r="AH64" s="134">
        <v>34</v>
      </c>
      <c r="AI64" s="134">
        <v>5</v>
      </c>
      <c r="AJ64" s="134">
        <v>4</v>
      </c>
      <c r="AK64" s="134">
        <v>2</v>
      </c>
      <c r="AL64" s="134">
        <v>10</v>
      </c>
      <c r="AM64" s="134">
        <v>10</v>
      </c>
      <c r="AN64" s="134">
        <v>24</v>
      </c>
      <c r="AO64" s="134">
        <v>8</v>
      </c>
      <c r="AP64" s="134">
        <v>26</v>
      </c>
      <c r="AQ64" s="136">
        <v>0.30769230769230771</v>
      </c>
      <c r="AR64" s="134">
        <v>16</v>
      </c>
      <c r="AS64" s="134">
        <v>52</v>
      </c>
      <c r="AT64" s="136">
        <v>0.30769230769230771</v>
      </c>
      <c r="AU64" s="134">
        <v>3</v>
      </c>
      <c r="AV64" s="134">
        <v>4</v>
      </c>
      <c r="AW64" s="136">
        <v>0.75</v>
      </c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1:80" x14ac:dyDescent="0.25">
      <c r="A65" s="131" t="s">
        <v>45</v>
      </c>
      <c r="B65" s="131" t="s">
        <v>57</v>
      </c>
      <c r="C65" s="132">
        <v>1830.8125</v>
      </c>
      <c r="D65" s="131" t="s">
        <v>65</v>
      </c>
      <c r="E65" s="131" t="s">
        <v>28</v>
      </c>
      <c r="F65" s="131" t="s">
        <v>41</v>
      </c>
      <c r="G65" s="131">
        <v>1</v>
      </c>
      <c r="H65" s="131">
        <v>6</v>
      </c>
      <c r="I65" s="131">
        <v>5</v>
      </c>
      <c r="J65" s="131">
        <v>0</v>
      </c>
      <c r="K65" s="131">
        <v>0</v>
      </c>
      <c r="L65" s="131">
        <v>0</v>
      </c>
      <c r="M65" s="131">
        <v>0</v>
      </c>
      <c r="N65" s="131">
        <v>0</v>
      </c>
      <c r="O65" s="131">
        <v>5</v>
      </c>
      <c r="P65" s="131">
        <v>2</v>
      </c>
      <c r="Q65" s="131">
        <v>6</v>
      </c>
      <c r="R65" s="133">
        <v>0.33333333333333331</v>
      </c>
      <c r="S65" s="131">
        <v>2</v>
      </c>
      <c r="T65" s="131">
        <v>6</v>
      </c>
      <c r="U65" s="133">
        <v>0.33333333333333331</v>
      </c>
      <c r="V65" s="131">
        <v>0</v>
      </c>
      <c r="W65" s="131">
        <v>0</v>
      </c>
      <c r="X65" s="133" t="s">
        <v>120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1:80" x14ac:dyDescent="0.25">
      <c r="A66" s="131" t="s">
        <v>45</v>
      </c>
      <c r="B66" s="131" t="s">
        <v>57</v>
      </c>
      <c r="C66" s="132">
        <v>1830.8125</v>
      </c>
      <c r="D66" s="131" t="s">
        <v>65</v>
      </c>
      <c r="E66" s="131" t="s">
        <v>13</v>
      </c>
      <c r="F66" s="131" t="s">
        <v>41</v>
      </c>
      <c r="G66" s="131">
        <v>1</v>
      </c>
      <c r="H66" s="131">
        <v>7</v>
      </c>
      <c r="I66" s="131">
        <v>4</v>
      </c>
      <c r="J66" s="131">
        <v>0</v>
      </c>
      <c r="K66" s="131">
        <v>1</v>
      </c>
      <c r="L66" s="131">
        <v>0</v>
      </c>
      <c r="M66" s="131">
        <v>1</v>
      </c>
      <c r="N66" s="131">
        <v>1</v>
      </c>
      <c r="O66" s="131">
        <v>3</v>
      </c>
      <c r="P66" s="131">
        <v>1</v>
      </c>
      <c r="Q66" s="131">
        <v>4</v>
      </c>
      <c r="R66" s="133">
        <v>0.25</v>
      </c>
      <c r="S66" s="131">
        <v>3</v>
      </c>
      <c r="T66" s="131">
        <v>13</v>
      </c>
      <c r="U66" s="133">
        <v>0.23076923076923078</v>
      </c>
      <c r="V66" s="131">
        <v>0</v>
      </c>
      <c r="W66" s="131">
        <v>2</v>
      </c>
      <c r="X66" s="133">
        <v>0</v>
      </c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1:80" x14ac:dyDescent="0.25">
      <c r="A67" s="131" t="s">
        <v>45</v>
      </c>
      <c r="B67" s="131" t="s">
        <v>57</v>
      </c>
      <c r="C67" s="132">
        <v>1830.8125</v>
      </c>
      <c r="D67" s="131" t="s">
        <v>65</v>
      </c>
      <c r="E67" s="131" t="s">
        <v>32</v>
      </c>
      <c r="F67" s="131" t="s">
        <v>41</v>
      </c>
      <c r="G67" s="131">
        <v>1</v>
      </c>
      <c r="H67" s="131">
        <v>2</v>
      </c>
      <c r="I67" s="131">
        <v>5</v>
      </c>
      <c r="J67" s="131">
        <v>3</v>
      </c>
      <c r="K67" s="131">
        <v>2</v>
      </c>
      <c r="L67" s="131">
        <v>1</v>
      </c>
      <c r="M67" s="131">
        <v>1</v>
      </c>
      <c r="N67" s="131">
        <v>3</v>
      </c>
      <c r="O67" s="131">
        <v>2</v>
      </c>
      <c r="P67" s="131">
        <v>0</v>
      </c>
      <c r="Q67" s="131">
        <v>1</v>
      </c>
      <c r="R67" s="133">
        <v>0</v>
      </c>
      <c r="S67" s="131">
        <v>1</v>
      </c>
      <c r="T67" s="131">
        <v>8</v>
      </c>
      <c r="U67" s="133">
        <v>0.125</v>
      </c>
      <c r="V67" s="131">
        <v>0</v>
      </c>
      <c r="W67" s="131">
        <v>0</v>
      </c>
      <c r="X67" s="133" t="s">
        <v>120</v>
      </c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1:80" x14ac:dyDescent="0.25">
      <c r="A68" s="131" t="s">
        <v>45</v>
      </c>
      <c r="B68" s="131" t="s">
        <v>57</v>
      </c>
      <c r="C68" s="132">
        <v>1830.8125</v>
      </c>
      <c r="D68" s="131" t="s">
        <v>65</v>
      </c>
      <c r="E68" s="131" t="s">
        <v>30</v>
      </c>
      <c r="F68" s="131" t="s">
        <v>41</v>
      </c>
      <c r="G68" s="131">
        <v>1</v>
      </c>
      <c r="H68" s="131">
        <v>3</v>
      </c>
      <c r="I68" s="131">
        <v>4</v>
      </c>
      <c r="J68" s="131">
        <v>1</v>
      </c>
      <c r="K68" s="131">
        <v>0</v>
      </c>
      <c r="L68" s="131">
        <v>0</v>
      </c>
      <c r="M68" s="131">
        <v>0</v>
      </c>
      <c r="N68" s="131">
        <v>0</v>
      </c>
      <c r="O68" s="131">
        <v>4</v>
      </c>
      <c r="P68" s="131">
        <v>1</v>
      </c>
      <c r="Q68" s="131">
        <v>2</v>
      </c>
      <c r="R68" s="133">
        <v>0.5</v>
      </c>
      <c r="S68" s="131">
        <v>1</v>
      </c>
      <c r="T68" s="131">
        <v>2</v>
      </c>
      <c r="U68" s="133">
        <v>0.5</v>
      </c>
      <c r="V68" s="131">
        <v>0</v>
      </c>
      <c r="W68" s="131">
        <v>0</v>
      </c>
      <c r="X68" s="133" t="s">
        <v>120</v>
      </c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1:80" x14ac:dyDescent="0.25">
      <c r="A69" s="131" t="s">
        <v>45</v>
      </c>
      <c r="B69" s="131" t="s">
        <v>57</v>
      </c>
      <c r="C69" s="132">
        <v>1830.8125</v>
      </c>
      <c r="D69" s="131" t="s">
        <v>65</v>
      </c>
      <c r="E69" s="131" t="s">
        <v>16</v>
      </c>
      <c r="F69" s="131" t="s">
        <v>40</v>
      </c>
      <c r="G69" s="131">
        <v>1</v>
      </c>
      <c r="H69" s="131">
        <v>16</v>
      </c>
      <c r="I69" s="131">
        <v>10</v>
      </c>
      <c r="J69" s="131">
        <v>0</v>
      </c>
      <c r="K69" s="131">
        <v>1</v>
      </c>
      <c r="L69" s="131">
        <v>1</v>
      </c>
      <c r="M69" s="131">
        <v>1</v>
      </c>
      <c r="N69" s="131">
        <v>3</v>
      </c>
      <c r="O69" s="131">
        <v>7</v>
      </c>
      <c r="P69" s="131">
        <v>2</v>
      </c>
      <c r="Q69" s="131">
        <v>3</v>
      </c>
      <c r="R69" s="133">
        <v>0.66666666666666663</v>
      </c>
      <c r="S69" s="131">
        <v>7</v>
      </c>
      <c r="T69" s="131">
        <v>11</v>
      </c>
      <c r="U69" s="133">
        <v>0.63636363636363635</v>
      </c>
      <c r="V69" s="131">
        <v>0</v>
      </c>
      <c r="W69" s="131">
        <v>0</v>
      </c>
      <c r="X69" s="133" t="s">
        <v>120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1:80" x14ac:dyDescent="0.25">
      <c r="A70" s="131" t="s">
        <v>45</v>
      </c>
      <c r="B70" s="131" t="s">
        <v>57</v>
      </c>
      <c r="C70" s="132">
        <v>1830.8125</v>
      </c>
      <c r="D70" s="131" t="s">
        <v>65</v>
      </c>
      <c r="E70" s="131" t="s">
        <v>27</v>
      </c>
      <c r="F70" s="131" t="s">
        <v>40</v>
      </c>
      <c r="G70" s="131">
        <v>1</v>
      </c>
      <c r="H70" s="131">
        <v>6</v>
      </c>
      <c r="I70" s="131">
        <v>5</v>
      </c>
      <c r="J70" s="131">
        <v>1</v>
      </c>
      <c r="K70" s="131">
        <v>1</v>
      </c>
      <c r="L70" s="131">
        <v>0</v>
      </c>
      <c r="M70" s="131">
        <v>1</v>
      </c>
      <c r="N70" s="131">
        <v>3</v>
      </c>
      <c r="O70" s="131">
        <v>2</v>
      </c>
      <c r="P70" s="131">
        <v>2</v>
      </c>
      <c r="Q70" s="131">
        <v>8</v>
      </c>
      <c r="R70" s="133">
        <v>0.25</v>
      </c>
      <c r="S70" s="131">
        <v>2</v>
      </c>
      <c r="T70" s="131">
        <v>16</v>
      </c>
      <c r="U70" s="133">
        <v>0.125</v>
      </c>
      <c r="V70" s="131">
        <v>0</v>
      </c>
      <c r="W70" s="131">
        <v>0</v>
      </c>
      <c r="X70" s="133" t="s">
        <v>120</v>
      </c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1:80" x14ac:dyDescent="0.25">
      <c r="A71" s="131" t="s">
        <v>45</v>
      </c>
      <c r="B71" s="131" t="s">
        <v>57</v>
      </c>
      <c r="C71" s="132">
        <v>1830.8125</v>
      </c>
      <c r="D71" s="131" t="s">
        <v>65</v>
      </c>
      <c r="E71" s="131" t="s">
        <v>7</v>
      </c>
      <c r="F71" s="131" t="s">
        <v>40</v>
      </c>
      <c r="G71" s="131">
        <v>1</v>
      </c>
      <c r="H71" s="131">
        <v>3</v>
      </c>
      <c r="I71" s="131">
        <v>1</v>
      </c>
      <c r="J71" s="131">
        <v>0</v>
      </c>
      <c r="K71" s="131">
        <v>1</v>
      </c>
      <c r="L71" s="131">
        <v>0</v>
      </c>
      <c r="M71" s="131">
        <v>3</v>
      </c>
      <c r="N71" s="131">
        <v>0</v>
      </c>
      <c r="O71" s="131">
        <v>1</v>
      </c>
      <c r="P71" s="131">
        <v>0</v>
      </c>
      <c r="Q71" s="131">
        <v>3</v>
      </c>
      <c r="R71" s="133">
        <v>0</v>
      </c>
      <c r="S71" s="131">
        <v>0</v>
      </c>
      <c r="T71" s="131">
        <v>4</v>
      </c>
      <c r="U71" s="133">
        <v>0</v>
      </c>
      <c r="V71" s="131">
        <v>3</v>
      </c>
      <c r="W71" s="131">
        <v>4</v>
      </c>
      <c r="X71" s="133">
        <v>0.75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1:80" x14ac:dyDescent="0.25">
      <c r="A72" s="131" t="s">
        <v>45</v>
      </c>
      <c r="B72" s="131" t="s">
        <v>57</v>
      </c>
      <c r="C72" s="132">
        <v>1830.8125</v>
      </c>
      <c r="D72" s="131" t="s">
        <v>65</v>
      </c>
      <c r="E72" s="131" t="s">
        <v>4</v>
      </c>
      <c r="F72" s="131" t="s">
        <v>40</v>
      </c>
      <c r="G72" s="131">
        <v>1</v>
      </c>
      <c r="H72" s="131">
        <v>5</v>
      </c>
      <c r="I72" s="131">
        <v>9</v>
      </c>
      <c r="J72" s="131">
        <v>2</v>
      </c>
      <c r="K72" s="131">
        <v>0</v>
      </c>
      <c r="L72" s="131">
        <v>0</v>
      </c>
      <c r="M72" s="131">
        <v>4</v>
      </c>
      <c r="N72" s="131">
        <v>1</v>
      </c>
      <c r="O72" s="131">
        <v>8</v>
      </c>
      <c r="P72" s="131">
        <v>1</v>
      </c>
      <c r="Q72" s="131">
        <v>5</v>
      </c>
      <c r="R72" s="133">
        <v>0.2</v>
      </c>
      <c r="S72" s="131">
        <v>2</v>
      </c>
      <c r="T72" s="131">
        <v>9</v>
      </c>
      <c r="U72" s="133">
        <v>0.22222222222222221</v>
      </c>
      <c r="V72" s="131">
        <v>0</v>
      </c>
      <c r="W72" s="131">
        <v>0</v>
      </c>
      <c r="X72" s="133" t="s">
        <v>120</v>
      </c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</row>
    <row r="73" spans="1:80" x14ac:dyDescent="0.25">
      <c r="A73" s="131" t="s">
        <v>45</v>
      </c>
      <c r="B73" s="131" t="s">
        <v>57</v>
      </c>
      <c r="C73" s="132">
        <v>1830.8125</v>
      </c>
      <c r="D73" s="131" t="s">
        <v>65</v>
      </c>
      <c r="E73" s="131" t="s">
        <v>35</v>
      </c>
      <c r="F73" s="131" t="s">
        <v>40</v>
      </c>
      <c r="G73" s="131">
        <v>1</v>
      </c>
      <c r="H73" s="131">
        <v>5</v>
      </c>
      <c r="I73" s="131">
        <v>3</v>
      </c>
      <c r="J73" s="131">
        <v>0</v>
      </c>
      <c r="K73" s="131">
        <v>0</v>
      </c>
      <c r="L73" s="131">
        <v>0</v>
      </c>
      <c r="M73" s="131">
        <v>0</v>
      </c>
      <c r="N73" s="131">
        <v>3</v>
      </c>
      <c r="O73" s="131">
        <v>0</v>
      </c>
      <c r="P73" s="131">
        <v>1</v>
      </c>
      <c r="Q73" s="131">
        <v>3</v>
      </c>
      <c r="R73" s="133">
        <v>0.33333333333333331</v>
      </c>
      <c r="S73" s="131">
        <v>2</v>
      </c>
      <c r="T73" s="131">
        <v>7</v>
      </c>
      <c r="U73" s="133">
        <v>0.2857142857142857</v>
      </c>
      <c r="V73" s="131">
        <v>0</v>
      </c>
      <c r="W73" s="131">
        <v>0</v>
      </c>
      <c r="X73" s="133" t="s">
        <v>120</v>
      </c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</row>
    <row r="74" spans="1:80" x14ac:dyDescent="0.25">
      <c r="A74" s="131" t="s">
        <v>45</v>
      </c>
      <c r="B74" s="131" t="s">
        <v>57</v>
      </c>
      <c r="C74" s="132">
        <v>1830.8125</v>
      </c>
      <c r="D74" s="131" t="s">
        <v>65</v>
      </c>
      <c r="E74" s="131" t="s">
        <v>11</v>
      </c>
      <c r="F74" s="131" t="s">
        <v>40</v>
      </c>
      <c r="G74" s="131">
        <v>1</v>
      </c>
      <c r="H74" s="131">
        <v>8</v>
      </c>
      <c r="I74" s="131">
        <v>6</v>
      </c>
      <c r="J74" s="131">
        <v>2</v>
      </c>
      <c r="K74" s="131">
        <v>1</v>
      </c>
      <c r="L74" s="131">
        <v>1</v>
      </c>
      <c r="M74" s="131">
        <v>1</v>
      </c>
      <c r="N74" s="131">
        <v>0</v>
      </c>
      <c r="O74" s="131">
        <v>6</v>
      </c>
      <c r="P74" s="131">
        <v>2</v>
      </c>
      <c r="Q74" s="131">
        <v>4</v>
      </c>
      <c r="R74" s="133">
        <v>0.5</v>
      </c>
      <c r="S74" s="131">
        <v>3</v>
      </c>
      <c r="T74" s="131">
        <v>5</v>
      </c>
      <c r="U74" s="133">
        <v>0.6</v>
      </c>
      <c r="V74" s="131">
        <v>0</v>
      </c>
      <c r="W74" s="131">
        <v>0</v>
      </c>
      <c r="X74" s="133" t="s">
        <v>120</v>
      </c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</row>
    <row r="75" spans="1:80" x14ac:dyDescent="0.25">
      <c r="A75" s="131" t="s">
        <v>157</v>
      </c>
      <c r="B75" s="131" t="s">
        <v>157</v>
      </c>
      <c r="C75" s="132" t="s">
        <v>157</v>
      </c>
      <c r="D75" s="131" t="s">
        <v>157</v>
      </c>
      <c r="E75" s="131" t="s">
        <v>157</v>
      </c>
      <c r="F75" s="131" t="s">
        <v>157</v>
      </c>
      <c r="G75" s="131" t="s">
        <v>157</v>
      </c>
      <c r="H75" s="131" t="s">
        <v>157</v>
      </c>
      <c r="I75" s="131" t="s">
        <v>157</v>
      </c>
      <c r="J75" s="131" t="s">
        <v>157</v>
      </c>
      <c r="K75" s="131" t="s">
        <v>157</v>
      </c>
      <c r="L75" s="131" t="s">
        <v>157</v>
      </c>
      <c r="M75" s="131" t="s">
        <v>157</v>
      </c>
      <c r="N75" s="131" t="s">
        <v>157</v>
      </c>
      <c r="O75" s="131" t="s">
        <v>157</v>
      </c>
      <c r="P75" s="131" t="s">
        <v>157</v>
      </c>
      <c r="Q75" s="131" t="s">
        <v>157</v>
      </c>
      <c r="R75" s="133" t="s">
        <v>157</v>
      </c>
      <c r="S75" s="131" t="s">
        <v>157</v>
      </c>
      <c r="T75" s="131" t="s">
        <v>157</v>
      </c>
      <c r="U75" s="133" t="s">
        <v>157</v>
      </c>
      <c r="V75" s="131" t="s">
        <v>157</v>
      </c>
      <c r="W75" s="131" t="s">
        <v>157</v>
      </c>
      <c r="X75" s="133" t="s">
        <v>157</v>
      </c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</row>
    <row r="76" spans="1:80" x14ac:dyDescent="0.25">
      <c r="A76" s="131" t="s">
        <v>157</v>
      </c>
      <c r="B76" s="131" t="s">
        <v>157</v>
      </c>
      <c r="C76" s="132" t="s">
        <v>157</v>
      </c>
      <c r="D76" s="131" t="s">
        <v>157</v>
      </c>
      <c r="E76" s="131" t="s">
        <v>157</v>
      </c>
      <c r="F76" s="131" t="s">
        <v>157</v>
      </c>
      <c r="G76" s="131" t="s">
        <v>157</v>
      </c>
      <c r="H76" s="131" t="s">
        <v>157</v>
      </c>
      <c r="I76" s="131" t="s">
        <v>157</v>
      </c>
      <c r="J76" s="131" t="s">
        <v>157</v>
      </c>
      <c r="K76" s="131" t="s">
        <v>157</v>
      </c>
      <c r="L76" s="131" t="s">
        <v>157</v>
      </c>
      <c r="M76" s="131" t="s">
        <v>157</v>
      </c>
      <c r="N76" s="131" t="s">
        <v>157</v>
      </c>
      <c r="O76" s="131" t="s">
        <v>157</v>
      </c>
      <c r="P76" s="131" t="s">
        <v>157</v>
      </c>
      <c r="Q76" s="131" t="s">
        <v>157</v>
      </c>
      <c r="R76" s="133" t="s">
        <v>157</v>
      </c>
      <c r="S76" s="131" t="s">
        <v>157</v>
      </c>
      <c r="T76" s="131" t="s">
        <v>157</v>
      </c>
      <c r="U76" s="133" t="s">
        <v>157</v>
      </c>
      <c r="V76" s="131" t="s">
        <v>157</v>
      </c>
      <c r="W76" s="131" t="s">
        <v>157</v>
      </c>
      <c r="X76" s="133" t="s">
        <v>157</v>
      </c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</row>
    <row r="77" spans="1:80" x14ac:dyDescent="0.25">
      <c r="A77" s="131" t="s">
        <v>157</v>
      </c>
      <c r="B77" s="131" t="s">
        <v>157</v>
      </c>
      <c r="C77" s="132" t="s">
        <v>157</v>
      </c>
      <c r="D77" s="131" t="s">
        <v>157</v>
      </c>
      <c r="E77" s="131" t="s">
        <v>157</v>
      </c>
      <c r="F77" s="131" t="s">
        <v>157</v>
      </c>
      <c r="G77" s="131" t="s">
        <v>157</v>
      </c>
      <c r="H77" s="131" t="s">
        <v>157</v>
      </c>
      <c r="I77" s="131" t="s">
        <v>157</v>
      </c>
      <c r="J77" s="131" t="s">
        <v>157</v>
      </c>
      <c r="K77" s="131" t="s">
        <v>157</v>
      </c>
      <c r="L77" s="131" t="s">
        <v>157</v>
      </c>
      <c r="M77" s="131" t="s">
        <v>157</v>
      </c>
      <c r="N77" s="131" t="s">
        <v>157</v>
      </c>
      <c r="O77" s="131" t="s">
        <v>157</v>
      </c>
      <c r="P77" s="131" t="s">
        <v>157</v>
      </c>
      <c r="Q77" s="131" t="s">
        <v>157</v>
      </c>
      <c r="R77" s="133" t="s">
        <v>157</v>
      </c>
      <c r="S77" s="131" t="s">
        <v>157</v>
      </c>
      <c r="T77" s="131" t="s">
        <v>157</v>
      </c>
      <c r="U77" s="133" t="s">
        <v>157</v>
      </c>
      <c r="V77" s="131" t="s">
        <v>157</v>
      </c>
      <c r="W77" s="131" t="s">
        <v>157</v>
      </c>
      <c r="X77" s="133" t="s">
        <v>157</v>
      </c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</row>
    <row r="78" spans="1:80" x14ac:dyDescent="0.25">
      <c r="A78" s="131" t="s">
        <v>45</v>
      </c>
      <c r="B78" s="131" t="s">
        <v>57</v>
      </c>
      <c r="C78" s="132">
        <v>1830.8541666666699</v>
      </c>
      <c r="D78" s="131" t="s">
        <v>65</v>
      </c>
      <c r="E78" s="131" t="s">
        <v>16</v>
      </c>
      <c r="F78" s="131" t="s">
        <v>40</v>
      </c>
      <c r="G78" s="131">
        <v>1</v>
      </c>
      <c r="H78" s="131">
        <v>14</v>
      </c>
      <c r="I78" s="131">
        <v>6</v>
      </c>
      <c r="J78" s="131">
        <v>3</v>
      </c>
      <c r="K78" s="131">
        <v>3</v>
      </c>
      <c r="L78" s="131">
        <v>3</v>
      </c>
      <c r="M78" s="131">
        <v>2</v>
      </c>
      <c r="N78" s="131">
        <v>2</v>
      </c>
      <c r="O78" s="131">
        <v>4</v>
      </c>
      <c r="P78" s="131">
        <v>0</v>
      </c>
      <c r="Q78" s="131">
        <v>3</v>
      </c>
      <c r="R78" s="133">
        <v>0</v>
      </c>
      <c r="S78" s="131">
        <v>6</v>
      </c>
      <c r="T78" s="131">
        <v>14</v>
      </c>
      <c r="U78" s="133">
        <v>0.42857142857142855</v>
      </c>
      <c r="V78" s="131">
        <v>2</v>
      </c>
      <c r="W78" s="131">
        <v>2</v>
      </c>
      <c r="X78" s="133">
        <v>1</v>
      </c>
      <c r="Y78"/>
      <c r="Z78" s="134" t="s">
        <v>45</v>
      </c>
      <c r="AA78" s="134" t="s">
        <v>57</v>
      </c>
      <c r="AB78" s="135">
        <v>1830.8541666666699</v>
      </c>
      <c r="AC78" s="134" t="s">
        <v>65</v>
      </c>
      <c r="AD78" s="134" t="s">
        <v>40</v>
      </c>
      <c r="AE78" s="134" t="s">
        <v>175</v>
      </c>
      <c r="AF78" s="134">
        <v>1</v>
      </c>
      <c r="AG78" s="134">
        <v>47</v>
      </c>
      <c r="AH78" s="134">
        <v>23</v>
      </c>
      <c r="AI78" s="134">
        <v>8</v>
      </c>
      <c r="AJ78" s="134">
        <v>10</v>
      </c>
      <c r="AK78" s="134">
        <v>4</v>
      </c>
      <c r="AL78" s="134">
        <v>12</v>
      </c>
      <c r="AM78" s="134">
        <v>5</v>
      </c>
      <c r="AN78" s="134">
        <v>18</v>
      </c>
      <c r="AO78" s="134">
        <v>5</v>
      </c>
      <c r="AP78" s="134">
        <v>25</v>
      </c>
      <c r="AQ78" s="136">
        <v>0.2</v>
      </c>
      <c r="AR78" s="134">
        <v>20</v>
      </c>
      <c r="AS78" s="134">
        <v>56</v>
      </c>
      <c r="AT78" s="136">
        <v>0.35714285714285715</v>
      </c>
      <c r="AU78" s="134">
        <v>5</v>
      </c>
      <c r="AV78" s="134">
        <v>7</v>
      </c>
      <c r="AW78" s="136">
        <v>0.7142857142857143</v>
      </c>
      <c r="AX78"/>
      <c r="AY78" s="134" t="s">
        <v>45</v>
      </c>
      <c r="AZ78" s="134" t="s">
        <v>57</v>
      </c>
      <c r="BA78" s="135">
        <v>1830.8541666666699</v>
      </c>
      <c r="BB78" s="134" t="s">
        <v>65</v>
      </c>
      <c r="BC78" s="134" t="s">
        <v>89</v>
      </c>
      <c r="BD78" s="134"/>
      <c r="BE78" s="134">
        <v>1</v>
      </c>
      <c r="BF78" s="134">
        <v>103</v>
      </c>
      <c r="BG78" s="134">
        <v>57</v>
      </c>
      <c r="BH78" s="134">
        <v>22</v>
      </c>
      <c r="BI78" s="134">
        <v>19</v>
      </c>
      <c r="BJ78" s="134">
        <v>5</v>
      </c>
      <c r="BK78" s="134">
        <v>26</v>
      </c>
      <c r="BL78" s="134">
        <v>15</v>
      </c>
      <c r="BM78" s="134">
        <v>42</v>
      </c>
      <c r="BN78" s="134">
        <v>8</v>
      </c>
      <c r="BO78" s="134">
        <v>49</v>
      </c>
      <c r="BP78" s="136">
        <v>0.16326530612244897</v>
      </c>
      <c r="BQ78" s="134">
        <v>44</v>
      </c>
      <c r="BR78" s="134">
        <v>114</v>
      </c>
      <c r="BS78" s="136">
        <v>0.38596491228070173</v>
      </c>
      <c r="BT78" s="134">
        <v>10</v>
      </c>
      <c r="BU78" s="134">
        <v>12</v>
      </c>
      <c r="BV78" s="136">
        <v>0.83333333333333337</v>
      </c>
      <c r="BW78" s="174" t="s">
        <v>164</v>
      </c>
      <c r="BX78"/>
      <c r="BY78"/>
      <c r="BZ78"/>
      <c r="CA78"/>
      <c r="CB78"/>
    </row>
    <row r="79" spans="1:80" x14ac:dyDescent="0.25">
      <c r="A79" s="131" t="s">
        <v>45</v>
      </c>
      <c r="B79" s="131" t="s">
        <v>57</v>
      </c>
      <c r="C79" s="132">
        <v>1830.8541666666699</v>
      </c>
      <c r="D79" s="131" t="s">
        <v>65</v>
      </c>
      <c r="E79" s="131" t="s">
        <v>27</v>
      </c>
      <c r="F79" s="131" t="s">
        <v>40</v>
      </c>
      <c r="G79" s="131">
        <v>1</v>
      </c>
      <c r="H79" s="131">
        <v>16</v>
      </c>
      <c r="I79" s="131">
        <v>0</v>
      </c>
      <c r="J79" s="131">
        <v>1</v>
      </c>
      <c r="K79" s="131">
        <v>2</v>
      </c>
      <c r="L79" s="131">
        <v>0</v>
      </c>
      <c r="M79" s="131">
        <v>2</v>
      </c>
      <c r="N79" s="131">
        <v>0</v>
      </c>
      <c r="O79" s="131">
        <v>0</v>
      </c>
      <c r="P79" s="131">
        <v>2</v>
      </c>
      <c r="Q79" s="131">
        <v>10</v>
      </c>
      <c r="R79" s="133">
        <v>0.2</v>
      </c>
      <c r="S79" s="131">
        <v>7</v>
      </c>
      <c r="T79" s="131">
        <v>20</v>
      </c>
      <c r="U79" s="133">
        <v>0.35</v>
      </c>
      <c r="V79" s="131">
        <v>0</v>
      </c>
      <c r="W79" s="131">
        <v>0</v>
      </c>
      <c r="X79" s="133" t="s">
        <v>120</v>
      </c>
      <c r="Y79"/>
      <c r="Z79" s="134" t="s">
        <v>45</v>
      </c>
      <c r="AA79" s="134" t="s">
        <v>57</v>
      </c>
      <c r="AB79" s="135">
        <v>1830.8541666666699</v>
      </c>
      <c r="AC79" s="134" t="s">
        <v>65</v>
      </c>
      <c r="AD79" s="134" t="s">
        <v>119</v>
      </c>
      <c r="AE79" s="134" t="s">
        <v>174</v>
      </c>
      <c r="AF79" s="134">
        <v>1</v>
      </c>
      <c r="AG79" s="134">
        <v>56</v>
      </c>
      <c r="AH79" s="134">
        <v>34</v>
      </c>
      <c r="AI79" s="134">
        <v>14</v>
      </c>
      <c r="AJ79" s="134">
        <v>9</v>
      </c>
      <c r="AK79" s="134">
        <v>1</v>
      </c>
      <c r="AL79" s="134">
        <v>14</v>
      </c>
      <c r="AM79" s="134">
        <v>10</v>
      </c>
      <c r="AN79" s="134">
        <v>24</v>
      </c>
      <c r="AO79" s="134">
        <v>3</v>
      </c>
      <c r="AP79" s="134">
        <v>24</v>
      </c>
      <c r="AQ79" s="136">
        <v>0.125</v>
      </c>
      <c r="AR79" s="134">
        <v>24</v>
      </c>
      <c r="AS79" s="134">
        <v>58</v>
      </c>
      <c r="AT79" s="136">
        <v>0.41379310344827586</v>
      </c>
      <c r="AU79" s="134">
        <v>5</v>
      </c>
      <c r="AV79" s="134">
        <v>5</v>
      </c>
      <c r="AW79" s="136">
        <v>1</v>
      </c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</row>
    <row r="80" spans="1:80" x14ac:dyDescent="0.25">
      <c r="A80" s="131" t="s">
        <v>45</v>
      </c>
      <c r="B80" s="131" t="s">
        <v>57</v>
      </c>
      <c r="C80" s="132">
        <v>1830.8541666666699</v>
      </c>
      <c r="D80" s="131" t="s">
        <v>65</v>
      </c>
      <c r="E80" s="131" t="s">
        <v>4</v>
      </c>
      <c r="F80" s="131" t="s">
        <v>40</v>
      </c>
      <c r="G80" s="131">
        <v>1</v>
      </c>
      <c r="H80" s="131">
        <v>7</v>
      </c>
      <c r="I80" s="131">
        <v>8</v>
      </c>
      <c r="J80" s="131">
        <v>2</v>
      </c>
      <c r="K80" s="131">
        <v>3</v>
      </c>
      <c r="L80" s="131">
        <v>0</v>
      </c>
      <c r="M80" s="131">
        <v>6</v>
      </c>
      <c r="N80" s="131">
        <v>2</v>
      </c>
      <c r="O80" s="131">
        <v>6</v>
      </c>
      <c r="P80" s="131">
        <v>1</v>
      </c>
      <c r="Q80" s="131">
        <v>6</v>
      </c>
      <c r="R80" s="133">
        <v>0.16666666666666666</v>
      </c>
      <c r="S80" s="131">
        <v>3</v>
      </c>
      <c r="T80" s="131">
        <v>12</v>
      </c>
      <c r="U80" s="133">
        <v>0.25</v>
      </c>
      <c r="V80" s="131">
        <v>2</v>
      </c>
      <c r="W80" s="131">
        <v>3</v>
      </c>
      <c r="X80" s="133">
        <v>0.66666666666666663</v>
      </c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</row>
    <row r="81" spans="1:80" x14ac:dyDescent="0.25">
      <c r="A81" s="131" t="s">
        <v>45</v>
      </c>
      <c r="B81" s="131" t="s">
        <v>57</v>
      </c>
      <c r="C81" s="132">
        <v>1830.8541666666699</v>
      </c>
      <c r="D81" s="131" t="s">
        <v>65</v>
      </c>
      <c r="E81" s="131" t="s">
        <v>35</v>
      </c>
      <c r="F81" s="131" t="s">
        <v>40</v>
      </c>
      <c r="G81" s="131">
        <v>1</v>
      </c>
      <c r="H81" s="131">
        <v>8</v>
      </c>
      <c r="I81" s="131">
        <v>5</v>
      </c>
      <c r="J81" s="131">
        <v>1</v>
      </c>
      <c r="K81" s="131">
        <v>2</v>
      </c>
      <c r="L81" s="131">
        <v>1</v>
      </c>
      <c r="M81" s="131">
        <v>0</v>
      </c>
      <c r="N81" s="131">
        <v>0</v>
      </c>
      <c r="O81" s="131">
        <v>5</v>
      </c>
      <c r="P81" s="131">
        <v>2</v>
      </c>
      <c r="Q81" s="131">
        <v>2</v>
      </c>
      <c r="R81" s="133">
        <v>1</v>
      </c>
      <c r="S81" s="131">
        <v>3</v>
      </c>
      <c r="T81" s="131">
        <v>4</v>
      </c>
      <c r="U81" s="133">
        <v>0.75</v>
      </c>
      <c r="V81" s="131">
        <v>0</v>
      </c>
      <c r="W81" s="131">
        <v>0</v>
      </c>
      <c r="X81" s="133" t="s">
        <v>120</v>
      </c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</row>
    <row r="82" spans="1:80" x14ac:dyDescent="0.25">
      <c r="A82" s="131" t="s">
        <v>45</v>
      </c>
      <c r="B82" s="131" t="s">
        <v>57</v>
      </c>
      <c r="C82" s="132">
        <v>1830.8541666666699</v>
      </c>
      <c r="D82" s="131" t="s">
        <v>65</v>
      </c>
      <c r="E82" s="131" t="s">
        <v>11</v>
      </c>
      <c r="F82" s="131" t="s">
        <v>40</v>
      </c>
      <c r="G82" s="131">
        <v>1</v>
      </c>
      <c r="H82" s="131">
        <v>2</v>
      </c>
      <c r="I82" s="131">
        <v>4</v>
      </c>
      <c r="J82" s="131">
        <v>1</v>
      </c>
      <c r="K82" s="131">
        <v>0</v>
      </c>
      <c r="L82" s="131">
        <v>0</v>
      </c>
      <c r="M82" s="131">
        <v>2</v>
      </c>
      <c r="N82" s="131">
        <v>1</v>
      </c>
      <c r="O82" s="131">
        <v>3</v>
      </c>
      <c r="P82" s="131">
        <v>0</v>
      </c>
      <c r="Q82" s="131">
        <v>4</v>
      </c>
      <c r="R82" s="133">
        <v>0</v>
      </c>
      <c r="S82" s="131">
        <v>1</v>
      </c>
      <c r="T82" s="131">
        <v>6</v>
      </c>
      <c r="U82" s="133">
        <v>0.16666666666666666</v>
      </c>
      <c r="V82" s="131">
        <v>1</v>
      </c>
      <c r="W82" s="131">
        <v>2</v>
      </c>
      <c r="X82" s="133">
        <v>0.5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</row>
    <row r="83" spans="1:80" x14ac:dyDescent="0.25">
      <c r="A83" s="131" t="s">
        <v>45</v>
      </c>
      <c r="B83" s="131" t="s">
        <v>57</v>
      </c>
      <c r="C83" s="132">
        <v>1830.8541666666699</v>
      </c>
      <c r="D83" s="131" t="s">
        <v>65</v>
      </c>
      <c r="E83" s="131" t="s">
        <v>100</v>
      </c>
      <c r="F83" s="131" t="s">
        <v>119</v>
      </c>
      <c r="G83" s="131">
        <v>1</v>
      </c>
      <c r="H83" s="131">
        <v>0</v>
      </c>
      <c r="I83" s="131">
        <v>2</v>
      </c>
      <c r="J83" s="131">
        <v>0</v>
      </c>
      <c r="K83" s="131">
        <v>2</v>
      </c>
      <c r="L83" s="131">
        <v>0</v>
      </c>
      <c r="M83" s="131">
        <v>0</v>
      </c>
      <c r="N83" s="131">
        <v>1</v>
      </c>
      <c r="O83" s="131">
        <v>1</v>
      </c>
      <c r="P83" s="131">
        <v>0</v>
      </c>
      <c r="Q83" s="131">
        <v>1</v>
      </c>
      <c r="R83" s="133">
        <v>0</v>
      </c>
      <c r="S83" s="131">
        <v>0</v>
      </c>
      <c r="T83" s="131">
        <v>2</v>
      </c>
      <c r="U83" s="133">
        <v>0</v>
      </c>
      <c r="V83" s="131">
        <v>0</v>
      </c>
      <c r="W83" s="131">
        <v>0</v>
      </c>
      <c r="X83" s="133" t="s">
        <v>120</v>
      </c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</row>
    <row r="84" spans="1:80" x14ac:dyDescent="0.25">
      <c r="A84" s="131" t="s">
        <v>45</v>
      </c>
      <c r="B84" s="131" t="s">
        <v>57</v>
      </c>
      <c r="C84" s="132">
        <v>1830.8541666666699</v>
      </c>
      <c r="D84" s="131" t="s">
        <v>65</v>
      </c>
      <c r="E84" s="131" t="s">
        <v>24</v>
      </c>
      <c r="F84" s="131" t="s">
        <v>119</v>
      </c>
      <c r="G84" s="131">
        <v>1</v>
      </c>
      <c r="H84" s="131">
        <v>14</v>
      </c>
      <c r="I84" s="131">
        <v>6</v>
      </c>
      <c r="J84" s="131">
        <v>0</v>
      </c>
      <c r="K84" s="131">
        <v>2</v>
      </c>
      <c r="L84" s="131">
        <v>0</v>
      </c>
      <c r="M84" s="131">
        <v>1</v>
      </c>
      <c r="N84" s="131">
        <v>2</v>
      </c>
      <c r="O84" s="131">
        <v>4</v>
      </c>
      <c r="P84" s="131">
        <v>0</v>
      </c>
      <c r="Q84" s="131">
        <v>0</v>
      </c>
      <c r="R84" s="133" t="s">
        <v>120</v>
      </c>
      <c r="S84" s="131">
        <v>7</v>
      </c>
      <c r="T84" s="131">
        <v>10</v>
      </c>
      <c r="U84" s="133">
        <v>0.7</v>
      </c>
      <c r="V84" s="131">
        <v>0</v>
      </c>
      <c r="W84" s="131">
        <v>0</v>
      </c>
      <c r="X84" s="133" t="s">
        <v>120</v>
      </c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</row>
    <row r="85" spans="1:80" x14ac:dyDescent="0.25">
      <c r="A85" s="131" t="s">
        <v>45</v>
      </c>
      <c r="B85" s="131" t="s">
        <v>57</v>
      </c>
      <c r="C85" s="132">
        <v>1830.8541666666699</v>
      </c>
      <c r="D85" s="131" t="s">
        <v>65</v>
      </c>
      <c r="E85" s="131" t="s">
        <v>9</v>
      </c>
      <c r="F85" s="131" t="s">
        <v>119</v>
      </c>
      <c r="G85" s="131">
        <v>1</v>
      </c>
      <c r="H85" s="131">
        <v>9</v>
      </c>
      <c r="I85" s="131">
        <v>6</v>
      </c>
      <c r="J85" s="131">
        <v>2</v>
      </c>
      <c r="K85" s="131">
        <v>1</v>
      </c>
      <c r="L85" s="131">
        <v>0</v>
      </c>
      <c r="M85" s="131">
        <v>6</v>
      </c>
      <c r="N85" s="131">
        <v>1</v>
      </c>
      <c r="O85" s="131">
        <v>5</v>
      </c>
      <c r="P85" s="131">
        <v>1</v>
      </c>
      <c r="Q85" s="131">
        <v>11</v>
      </c>
      <c r="R85" s="133">
        <v>9.0909090909090912E-2</v>
      </c>
      <c r="S85" s="131">
        <v>4</v>
      </c>
      <c r="T85" s="131">
        <v>15</v>
      </c>
      <c r="U85" s="133">
        <v>0.26666666666666666</v>
      </c>
      <c r="V85" s="131">
        <v>0</v>
      </c>
      <c r="W85" s="131">
        <v>0</v>
      </c>
      <c r="X85" s="133" t="s">
        <v>120</v>
      </c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</row>
    <row r="86" spans="1:80" x14ac:dyDescent="0.25">
      <c r="A86" s="131" t="s">
        <v>45</v>
      </c>
      <c r="B86" s="131" t="s">
        <v>57</v>
      </c>
      <c r="C86" s="132">
        <v>1830.8541666666699</v>
      </c>
      <c r="D86" s="131" t="s">
        <v>65</v>
      </c>
      <c r="E86" s="131" t="s">
        <v>18</v>
      </c>
      <c r="F86" s="131" t="s">
        <v>119</v>
      </c>
      <c r="G86" s="131">
        <v>1</v>
      </c>
      <c r="H86" s="131">
        <v>0</v>
      </c>
      <c r="I86" s="131">
        <v>3</v>
      </c>
      <c r="J86" s="131">
        <v>1</v>
      </c>
      <c r="K86" s="131">
        <v>0</v>
      </c>
      <c r="L86" s="131">
        <v>0</v>
      </c>
      <c r="M86" s="131">
        <v>0</v>
      </c>
      <c r="N86" s="131">
        <v>0</v>
      </c>
      <c r="O86" s="131">
        <v>3</v>
      </c>
      <c r="P86" s="131">
        <v>0</v>
      </c>
      <c r="Q86" s="131">
        <v>2</v>
      </c>
      <c r="R86" s="133">
        <v>0</v>
      </c>
      <c r="S86" s="131">
        <v>0</v>
      </c>
      <c r="T86" s="131">
        <v>3</v>
      </c>
      <c r="U86" s="133">
        <v>0</v>
      </c>
      <c r="V86" s="131">
        <v>0</v>
      </c>
      <c r="W86" s="131">
        <v>0</v>
      </c>
      <c r="X86" s="133" t="s">
        <v>120</v>
      </c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</row>
    <row r="87" spans="1:80" x14ac:dyDescent="0.25">
      <c r="A87" s="131" t="s">
        <v>45</v>
      </c>
      <c r="B87" s="131" t="s">
        <v>57</v>
      </c>
      <c r="C87" s="132">
        <v>1830.8541666666699</v>
      </c>
      <c r="D87" s="131" t="s">
        <v>65</v>
      </c>
      <c r="E87" s="131" t="s">
        <v>1</v>
      </c>
      <c r="F87" s="131" t="s">
        <v>119</v>
      </c>
      <c r="G87" s="131">
        <v>1</v>
      </c>
      <c r="H87" s="131">
        <v>31</v>
      </c>
      <c r="I87" s="131">
        <v>14</v>
      </c>
      <c r="J87" s="131">
        <v>11</v>
      </c>
      <c r="K87" s="131">
        <v>4</v>
      </c>
      <c r="L87" s="131">
        <v>1</v>
      </c>
      <c r="M87" s="131">
        <v>7</v>
      </c>
      <c r="N87" s="131">
        <v>4</v>
      </c>
      <c r="O87" s="131">
        <v>10</v>
      </c>
      <c r="P87" s="131">
        <v>2</v>
      </c>
      <c r="Q87" s="131">
        <v>7</v>
      </c>
      <c r="R87" s="133">
        <v>0.2857142857142857</v>
      </c>
      <c r="S87" s="131">
        <v>12</v>
      </c>
      <c r="T87" s="131">
        <v>24</v>
      </c>
      <c r="U87" s="133">
        <v>0.5</v>
      </c>
      <c r="V87" s="131">
        <v>5</v>
      </c>
      <c r="W87" s="131">
        <v>5</v>
      </c>
      <c r="X87" s="133">
        <v>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</row>
    <row r="88" spans="1:80" x14ac:dyDescent="0.25">
      <c r="A88" s="131" t="s">
        <v>45</v>
      </c>
      <c r="B88" s="131" t="s">
        <v>57</v>
      </c>
      <c r="C88" s="132">
        <v>1830.8541666666699</v>
      </c>
      <c r="D88" s="131" t="s">
        <v>65</v>
      </c>
      <c r="E88" s="131" t="s">
        <v>36</v>
      </c>
      <c r="F88" s="131" t="s">
        <v>119</v>
      </c>
      <c r="G88" s="131">
        <v>1</v>
      </c>
      <c r="H88" s="131">
        <v>2</v>
      </c>
      <c r="I88" s="131">
        <v>3</v>
      </c>
      <c r="J88" s="131">
        <v>0</v>
      </c>
      <c r="K88" s="131">
        <v>0</v>
      </c>
      <c r="L88" s="131">
        <v>0</v>
      </c>
      <c r="M88" s="131">
        <v>0</v>
      </c>
      <c r="N88" s="131">
        <v>2</v>
      </c>
      <c r="O88" s="131">
        <v>1</v>
      </c>
      <c r="P88" s="131">
        <v>0</v>
      </c>
      <c r="Q88" s="131">
        <v>3</v>
      </c>
      <c r="R88" s="133">
        <v>0</v>
      </c>
      <c r="S88" s="131">
        <v>1</v>
      </c>
      <c r="T88" s="131">
        <v>4</v>
      </c>
      <c r="U88" s="133">
        <v>0.25</v>
      </c>
      <c r="V88" s="131">
        <v>0</v>
      </c>
      <c r="W88" s="131">
        <v>0</v>
      </c>
      <c r="X88" s="133" t="s">
        <v>120</v>
      </c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</row>
    <row r="89" spans="1:80" x14ac:dyDescent="0.25">
      <c r="A89" s="131" t="s">
        <v>157</v>
      </c>
      <c r="B89" s="131" t="s">
        <v>157</v>
      </c>
      <c r="C89" s="132" t="s">
        <v>157</v>
      </c>
      <c r="D89" s="131" t="s">
        <v>157</v>
      </c>
      <c r="E89" s="131" t="s">
        <v>157</v>
      </c>
      <c r="F89" s="131" t="s">
        <v>157</v>
      </c>
      <c r="G89" s="131" t="s">
        <v>157</v>
      </c>
      <c r="H89" s="131" t="s">
        <v>157</v>
      </c>
      <c r="I89" s="131" t="s">
        <v>157</v>
      </c>
      <c r="J89" s="131" t="s">
        <v>157</v>
      </c>
      <c r="K89" s="131" t="s">
        <v>157</v>
      </c>
      <c r="L89" s="131" t="s">
        <v>157</v>
      </c>
      <c r="M89" s="131" t="s">
        <v>157</v>
      </c>
      <c r="N89" s="131" t="s">
        <v>157</v>
      </c>
      <c r="O89" s="131" t="s">
        <v>157</v>
      </c>
      <c r="P89" s="131" t="s">
        <v>157</v>
      </c>
      <c r="Q89" s="131" t="s">
        <v>157</v>
      </c>
      <c r="R89" s="133" t="s">
        <v>157</v>
      </c>
      <c r="S89" s="131" t="s">
        <v>157</v>
      </c>
      <c r="T89" s="131" t="s">
        <v>157</v>
      </c>
      <c r="U89" s="133" t="s">
        <v>157</v>
      </c>
      <c r="V89" s="131" t="s">
        <v>157</v>
      </c>
      <c r="W89" s="131" t="s">
        <v>157</v>
      </c>
      <c r="X89" s="133" t="s">
        <v>157</v>
      </c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</row>
    <row r="90" spans="1:80" x14ac:dyDescent="0.25">
      <c r="A90" s="131" t="s">
        <v>157</v>
      </c>
      <c r="B90" s="131" t="s">
        <v>157</v>
      </c>
      <c r="C90" s="132" t="s">
        <v>157</v>
      </c>
      <c r="D90" s="131" t="s">
        <v>157</v>
      </c>
      <c r="E90" s="131" t="s">
        <v>157</v>
      </c>
      <c r="F90" s="131" t="s">
        <v>157</v>
      </c>
      <c r="G90" s="131" t="s">
        <v>157</v>
      </c>
      <c r="H90" s="131" t="s">
        <v>157</v>
      </c>
      <c r="I90" s="131" t="s">
        <v>157</v>
      </c>
      <c r="J90" s="131" t="s">
        <v>157</v>
      </c>
      <c r="K90" s="131" t="s">
        <v>157</v>
      </c>
      <c r="L90" s="131" t="s">
        <v>157</v>
      </c>
      <c r="M90" s="131" t="s">
        <v>157</v>
      </c>
      <c r="N90" s="131" t="s">
        <v>157</v>
      </c>
      <c r="O90" s="131" t="s">
        <v>157</v>
      </c>
      <c r="P90" s="131" t="s">
        <v>157</v>
      </c>
      <c r="Q90" s="131" t="s">
        <v>157</v>
      </c>
      <c r="R90" s="133" t="s">
        <v>157</v>
      </c>
      <c r="S90" s="131" t="s">
        <v>157</v>
      </c>
      <c r="T90" s="131" t="s">
        <v>157</v>
      </c>
      <c r="U90" s="133" t="s">
        <v>157</v>
      </c>
      <c r="V90" s="131" t="s">
        <v>157</v>
      </c>
      <c r="W90" s="131" t="s">
        <v>157</v>
      </c>
      <c r="X90" s="133" t="s">
        <v>157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</row>
    <row r="91" spans="1:80" x14ac:dyDescent="0.25">
      <c r="A91" s="131" t="s">
        <v>157</v>
      </c>
      <c r="B91" s="131" t="s">
        <v>157</v>
      </c>
      <c r="C91" s="132" t="s">
        <v>157</v>
      </c>
      <c r="D91" s="131" t="s">
        <v>157</v>
      </c>
      <c r="E91" s="131" t="s">
        <v>157</v>
      </c>
      <c r="F91" s="131" t="s">
        <v>157</v>
      </c>
      <c r="G91" s="131" t="s">
        <v>157</v>
      </c>
      <c r="H91" s="131" t="s">
        <v>157</v>
      </c>
      <c r="I91" s="131" t="s">
        <v>157</v>
      </c>
      <c r="J91" s="131" t="s">
        <v>157</v>
      </c>
      <c r="K91" s="131" t="s">
        <v>157</v>
      </c>
      <c r="L91" s="131" t="s">
        <v>157</v>
      </c>
      <c r="M91" s="131" t="s">
        <v>157</v>
      </c>
      <c r="N91" s="131" t="s">
        <v>157</v>
      </c>
      <c r="O91" s="131" t="s">
        <v>157</v>
      </c>
      <c r="P91" s="131" t="s">
        <v>157</v>
      </c>
      <c r="Q91" s="131" t="s">
        <v>157</v>
      </c>
      <c r="R91" s="133" t="s">
        <v>157</v>
      </c>
      <c r="S91" s="131" t="s">
        <v>157</v>
      </c>
      <c r="T91" s="131" t="s">
        <v>157</v>
      </c>
      <c r="U91" s="133" t="s">
        <v>157</v>
      </c>
      <c r="V91" s="131" t="s">
        <v>157</v>
      </c>
      <c r="W91" s="131" t="s">
        <v>157</v>
      </c>
      <c r="X91" s="133" t="s">
        <v>157</v>
      </c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</row>
    <row r="92" spans="1:80" x14ac:dyDescent="0.25">
      <c r="A92" s="131" t="s">
        <v>157</v>
      </c>
      <c r="B92" s="131" t="s">
        <v>157</v>
      </c>
      <c r="C92" s="132" t="s">
        <v>157</v>
      </c>
      <c r="D92" s="131" t="s">
        <v>157</v>
      </c>
      <c r="E92" s="131" t="s">
        <v>157</v>
      </c>
      <c r="F92" s="131" t="s">
        <v>157</v>
      </c>
      <c r="G92" s="131" t="s">
        <v>157</v>
      </c>
      <c r="H92" s="131" t="s">
        <v>157</v>
      </c>
      <c r="I92" s="131" t="s">
        <v>157</v>
      </c>
      <c r="J92" s="131" t="s">
        <v>157</v>
      </c>
      <c r="K92" s="131" t="s">
        <v>157</v>
      </c>
      <c r="L92" s="131" t="s">
        <v>157</v>
      </c>
      <c r="M92" s="131" t="s">
        <v>157</v>
      </c>
      <c r="N92" s="131" t="s">
        <v>157</v>
      </c>
      <c r="O92" s="131" t="s">
        <v>157</v>
      </c>
      <c r="P92" s="131" t="s">
        <v>157</v>
      </c>
      <c r="Q92" s="131" t="s">
        <v>157</v>
      </c>
      <c r="R92" s="133" t="s">
        <v>157</v>
      </c>
      <c r="S92" s="131" t="s">
        <v>157</v>
      </c>
      <c r="T92" s="131" t="s">
        <v>157</v>
      </c>
      <c r="U92" s="133" t="s">
        <v>157</v>
      </c>
      <c r="V92" s="131" t="s">
        <v>157</v>
      </c>
      <c r="W92" s="131" t="s">
        <v>157</v>
      </c>
      <c r="X92" s="133" t="s">
        <v>157</v>
      </c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</row>
    <row r="93" spans="1:80" x14ac:dyDescent="0.25">
      <c r="A93" s="131" t="s">
        <v>45</v>
      </c>
      <c r="B93" s="131" t="s">
        <v>58</v>
      </c>
      <c r="C93" s="132">
        <v>1830.7708333333333</v>
      </c>
      <c r="D93" s="131" t="s">
        <v>65</v>
      </c>
      <c r="E93" s="131" t="s">
        <v>100</v>
      </c>
      <c r="F93" s="131" t="s">
        <v>119</v>
      </c>
      <c r="G93" s="131">
        <v>1</v>
      </c>
      <c r="H93" s="131">
        <v>2</v>
      </c>
      <c r="I93" s="131">
        <v>1</v>
      </c>
      <c r="J93" s="131">
        <v>0</v>
      </c>
      <c r="K93" s="131">
        <v>2</v>
      </c>
      <c r="L93" s="131">
        <v>0</v>
      </c>
      <c r="M93" s="131">
        <v>0</v>
      </c>
      <c r="N93" s="131">
        <v>0</v>
      </c>
      <c r="O93" s="131">
        <v>1</v>
      </c>
      <c r="P93" s="131">
        <v>0</v>
      </c>
      <c r="Q93" s="131">
        <v>2</v>
      </c>
      <c r="R93" s="133">
        <v>0</v>
      </c>
      <c r="S93" s="131">
        <v>1</v>
      </c>
      <c r="T93" s="131">
        <v>5</v>
      </c>
      <c r="U93" s="133">
        <v>0.2</v>
      </c>
      <c r="V93" s="131">
        <v>0</v>
      </c>
      <c r="W93" s="131">
        <v>0</v>
      </c>
      <c r="X93" s="133" t="s">
        <v>120</v>
      </c>
      <c r="Y93"/>
      <c r="Z93" s="134" t="s">
        <v>45</v>
      </c>
      <c r="AA93" s="134" t="s">
        <v>58</v>
      </c>
      <c r="AB93" s="135">
        <v>1830.7708333333333</v>
      </c>
      <c r="AC93" s="134" t="s">
        <v>65</v>
      </c>
      <c r="AD93" s="134" t="s">
        <v>119</v>
      </c>
      <c r="AE93" s="134" t="s">
        <v>175</v>
      </c>
      <c r="AF93" s="134">
        <v>1</v>
      </c>
      <c r="AG93" s="134">
        <v>36</v>
      </c>
      <c r="AH93" s="134">
        <v>32</v>
      </c>
      <c r="AI93" s="134">
        <v>4</v>
      </c>
      <c r="AJ93" s="134">
        <v>6</v>
      </c>
      <c r="AK93" s="134">
        <v>2</v>
      </c>
      <c r="AL93" s="134">
        <v>18</v>
      </c>
      <c r="AM93" s="134">
        <v>5</v>
      </c>
      <c r="AN93" s="134">
        <v>27</v>
      </c>
      <c r="AO93" s="134">
        <v>2</v>
      </c>
      <c r="AP93" s="134">
        <v>11</v>
      </c>
      <c r="AQ93" s="136">
        <v>0.18181818181818182</v>
      </c>
      <c r="AR93" s="134">
        <v>15</v>
      </c>
      <c r="AS93" s="134">
        <v>44</v>
      </c>
      <c r="AT93" s="136">
        <v>0.34090909090909088</v>
      </c>
      <c r="AU93" s="134">
        <v>4</v>
      </c>
      <c r="AV93" s="134">
        <v>11</v>
      </c>
      <c r="AW93" s="136">
        <v>0.36363636363636365</v>
      </c>
      <c r="AX93"/>
      <c r="AY93" s="134" t="s">
        <v>45</v>
      </c>
      <c r="AZ93" s="134" t="s">
        <v>58</v>
      </c>
      <c r="BA93" s="135">
        <v>1830.7708333333333</v>
      </c>
      <c r="BB93" s="134" t="s">
        <v>65</v>
      </c>
      <c r="BC93" s="134" t="s">
        <v>89</v>
      </c>
      <c r="BD93" s="134"/>
      <c r="BE93" s="134">
        <v>1</v>
      </c>
      <c r="BF93" s="134">
        <v>79</v>
      </c>
      <c r="BG93" s="134">
        <v>61</v>
      </c>
      <c r="BH93" s="134">
        <v>6</v>
      </c>
      <c r="BI93" s="134">
        <v>16</v>
      </c>
      <c r="BJ93" s="134">
        <v>5</v>
      </c>
      <c r="BK93" s="134">
        <v>26</v>
      </c>
      <c r="BL93" s="134">
        <v>14</v>
      </c>
      <c r="BM93" s="134">
        <v>47</v>
      </c>
      <c r="BN93" s="134">
        <v>7</v>
      </c>
      <c r="BO93" s="134">
        <v>26</v>
      </c>
      <c r="BP93" s="136">
        <v>0.26923076923076922</v>
      </c>
      <c r="BQ93" s="134">
        <v>31</v>
      </c>
      <c r="BR93" s="134">
        <v>98</v>
      </c>
      <c r="BS93" s="136">
        <v>0.31632653061224492</v>
      </c>
      <c r="BT93" s="134">
        <v>10</v>
      </c>
      <c r="BU93" s="134">
        <v>20</v>
      </c>
      <c r="BV93" s="136">
        <v>0.5</v>
      </c>
      <c r="BW93" s="174" t="s">
        <v>165</v>
      </c>
      <c r="BX93"/>
      <c r="BY93"/>
      <c r="BZ93"/>
      <c r="CA93"/>
      <c r="CB93"/>
    </row>
    <row r="94" spans="1:80" x14ac:dyDescent="0.25">
      <c r="A94" s="131" t="s">
        <v>45</v>
      </c>
      <c r="B94" s="131" t="s">
        <v>58</v>
      </c>
      <c r="C94" s="132">
        <v>1830.7708333333333</v>
      </c>
      <c r="D94" s="131" t="s">
        <v>65</v>
      </c>
      <c r="E94" s="131" t="s">
        <v>24</v>
      </c>
      <c r="F94" s="131" t="s">
        <v>119</v>
      </c>
      <c r="G94" s="131">
        <v>1</v>
      </c>
      <c r="H94" s="131">
        <v>6</v>
      </c>
      <c r="I94" s="131">
        <v>2</v>
      </c>
      <c r="J94" s="131">
        <v>0</v>
      </c>
      <c r="K94" s="131">
        <v>0</v>
      </c>
      <c r="L94" s="131">
        <v>0</v>
      </c>
      <c r="M94" s="131">
        <v>4</v>
      </c>
      <c r="N94" s="131">
        <v>0</v>
      </c>
      <c r="O94" s="131">
        <v>2</v>
      </c>
      <c r="P94" s="131">
        <v>0</v>
      </c>
      <c r="Q94" s="131">
        <v>0</v>
      </c>
      <c r="R94" s="133" t="s">
        <v>120</v>
      </c>
      <c r="S94" s="131">
        <v>3</v>
      </c>
      <c r="T94" s="131">
        <v>5</v>
      </c>
      <c r="U94" s="133">
        <v>0.6</v>
      </c>
      <c r="V94" s="131">
        <v>0</v>
      </c>
      <c r="W94" s="131">
        <v>6</v>
      </c>
      <c r="X94" s="133">
        <v>0</v>
      </c>
      <c r="Y94"/>
      <c r="Z94" s="134" t="s">
        <v>45</v>
      </c>
      <c r="AA94" s="134" t="s">
        <v>58</v>
      </c>
      <c r="AB94" s="135">
        <v>1830.7708333333333</v>
      </c>
      <c r="AC94" s="134" t="s">
        <v>65</v>
      </c>
      <c r="AD94" s="134" t="s">
        <v>38</v>
      </c>
      <c r="AE94" s="134" t="s">
        <v>174</v>
      </c>
      <c r="AF94" s="134">
        <v>1</v>
      </c>
      <c r="AG94" s="134">
        <v>43</v>
      </c>
      <c r="AH94" s="134">
        <v>25</v>
      </c>
      <c r="AI94" s="134">
        <v>1</v>
      </c>
      <c r="AJ94" s="134">
        <v>9</v>
      </c>
      <c r="AK94" s="134">
        <v>3</v>
      </c>
      <c r="AL94" s="134">
        <v>7</v>
      </c>
      <c r="AM94" s="134">
        <v>6</v>
      </c>
      <c r="AN94" s="134">
        <v>19</v>
      </c>
      <c r="AO94" s="134">
        <v>5</v>
      </c>
      <c r="AP94" s="134">
        <v>15</v>
      </c>
      <c r="AQ94" s="136">
        <v>0.33333333333333331</v>
      </c>
      <c r="AR94" s="134">
        <v>16</v>
      </c>
      <c r="AS94" s="134">
        <v>53</v>
      </c>
      <c r="AT94" s="136">
        <v>0.30188679245283018</v>
      </c>
      <c r="AU94" s="134">
        <v>6</v>
      </c>
      <c r="AV94" s="134">
        <v>9</v>
      </c>
      <c r="AW94" s="136">
        <v>0.66666666666666663</v>
      </c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</row>
    <row r="95" spans="1:80" x14ac:dyDescent="0.25">
      <c r="A95" s="131" t="s">
        <v>45</v>
      </c>
      <c r="B95" s="131" t="s">
        <v>58</v>
      </c>
      <c r="C95" s="132">
        <v>1830.7708333333333</v>
      </c>
      <c r="D95" s="131" t="s">
        <v>65</v>
      </c>
      <c r="E95" s="131" t="s">
        <v>9</v>
      </c>
      <c r="F95" s="131" t="s">
        <v>119</v>
      </c>
      <c r="G95" s="131">
        <v>1</v>
      </c>
      <c r="H95" s="131">
        <v>8</v>
      </c>
      <c r="I95" s="131">
        <v>2</v>
      </c>
      <c r="J95" s="131">
        <v>1</v>
      </c>
      <c r="K95" s="131">
        <v>1</v>
      </c>
      <c r="L95" s="131">
        <v>0</v>
      </c>
      <c r="M95" s="131">
        <v>1</v>
      </c>
      <c r="N95" s="131">
        <v>0</v>
      </c>
      <c r="O95" s="131">
        <v>2</v>
      </c>
      <c r="P95" s="131">
        <v>1</v>
      </c>
      <c r="Q95" s="131">
        <v>4</v>
      </c>
      <c r="R95" s="133">
        <v>0.25</v>
      </c>
      <c r="S95" s="131">
        <v>3</v>
      </c>
      <c r="T95" s="131">
        <v>12</v>
      </c>
      <c r="U95" s="133">
        <v>0.25</v>
      </c>
      <c r="V95" s="131">
        <v>1</v>
      </c>
      <c r="W95" s="131">
        <v>2</v>
      </c>
      <c r="X95" s="133">
        <v>0.5</v>
      </c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</row>
    <row r="96" spans="1:80" x14ac:dyDescent="0.25">
      <c r="A96" s="131" t="s">
        <v>45</v>
      </c>
      <c r="B96" s="131" t="s">
        <v>58</v>
      </c>
      <c r="C96" s="132">
        <v>1830.7708333333333</v>
      </c>
      <c r="D96" s="131" t="s">
        <v>65</v>
      </c>
      <c r="E96" s="131" t="s">
        <v>18</v>
      </c>
      <c r="F96" s="131" t="s">
        <v>119</v>
      </c>
      <c r="G96" s="131">
        <v>1</v>
      </c>
      <c r="H96" s="131">
        <v>0</v>
      </c>
      <c r="I96" s="131">
        <v>6</v>
      </c>
      <c r="J96" s="131">
        <v>0</v>
      </c>
      <c r="K96" s="131">
        <v>1</v>
      </c>
      <c r="L96" s="131">
        <v>1</v>
      </c>
      <c r="M96" s="131">
        <v>0</v>
      </c>
      <c r="N96" s="131">
        <v>2</v>
      </c>
      <c r="O96" s="131">
        <v>4</v>
      </c>
      <c r="P96" s="131">
        <v>0</v>
      </c>
      <c r="Q96" s="131">
        <v>0</v>
      </c>
      <c r="R96" s="133" t="s">
        <v>120</v>
      </c>
      <c r="S96" s="131">
        <v>0</v>
      </c>
      <c r="T96" s="131">
        <v>0</v>
      </c>
      <c r="U96" s="133" t="s">
        <v>120</v>
      </c>
      <c r="V96" s="131">
        <v>0</v>
      </c>
      <c r="W96" s="131">
        <v>0</v>
      </c>
      <c r="X96" s="133" t="s">
        <v>120</v>
      </c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</row>
    <row r="97" spans="1:80" x14ac:dyDescent="0.25">
      <c r="A97" s="131" t="s">
        <v>45</v>
      </c>
      <c r="B97" s="131" t="s">
        <v>58</v>
      </c>
      <c r="C97" s="132">
        <v>1830.7708333333333</v>
      </c>
      <c r="D97" s="131" t="s">
        <v>65</v>
      </c>
      <c r="E97" s="131" t="s">
        <v>1</v>
      </c>
      <c r="F97" s="131" t="s">
        <v>119</v>
      </c>
      <c r="G97" s="131">
        <v>1</v>
      </c>
      <c r="H97" s="131">
        <v>18</v>
      </c>
      <c r="I97" s="131">
        <v>19</v>
      </c>
      <c r="J97" s="131">
        <v>3</v>
      </c>
      <c r="K97" s="131">
        <v>2</v>
      </c>
      <c r="L97" s="131">
        <v>1</v>
      </c>
      <c r="M97" s="131">
        <v>9</v>
      </c>
      <c r="N97" s="131">
        <v>3</v>
      </c>
      <c r="O97" s="131">
        <v>16</v>
      </c>
      <c r="P97" s="131">
        <v>1</v>
      </c>
      <c r="Q97" s="131">
        <v>4</v>
      </c>
      <c r="R97" s="133">
        <v>0.25</v>
      </c>
      <c r="S97" s="131">
        <v>7</v>
      </c>
      <c r="T97" s="131">
        <v>20</v>
      </c>
      <c r="U97" s="133">
        <v>0.35</v>
      </c>
      <c r="V97" s="131">
        <v>3</v>
      </c>
      <c r="W97" s="131">
        <v>3</v>
      </c>
      <c r="X97" s="133">
        <v>1</v>
      </c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</row>
    <row r="98" spans="1:80" x14ac:dyDescent="0.25">
      <c r="A98" s="131" t="s">
        <v>45</v>
      </c>
      <c r="B98" s="131" t="s">
        <v>58</v>
      </c>
      <c r="C98" s="132">
        <v>1830.7708333333333</v>
      </c>
      <c r="D98" s="131" t="s">
        <v>65</v>
      </c>
      <c r="E98" s="131" t="s">
        <v>36</v>
      </c>
      <c r="F98" s="131" t="s">
        <v>119</v>
      </c>
      <c r="G98" s="131">
        <v>1</v>
      </c>
      <c r="H98" s="131">
        <v>2</v>
      </c>
      <c r="I98" s="131">
        <v>2</v>
      </c>
      <c r="J98" s="131">
        <v>0</v>
      </c>
      <c r="K98" s="131">
        <v>0</v>
      </c>
      <c r="L98" s="131">
        <v>0</v>
      </c>
      <c r="M98" s="131">
        <v>4</v>
      </c>
      <c r="N98" s="131">
        <v>0</v>
      </c>
      <c r="O98" s="131">
        <v>2</v>
      </c>
      <c r="P98" s="131">
        <v>0</v>
      </c>
      <c r="Q98" s="131">
        <v>1</v>
      </c>
      <c r="R98" s="133">
        <v>0</v>
      </c>
      <c r="S98" s="131">
        <v>1</v>
      </c>
      <c r="T98" s="131">
        <v>2</v>
      </c>
      <c r="U98" s="133">
        <v>0.5</v>
      </c>
      <c r="V98" s="131">
        <v>0</v>
      </c>
      <c r="W98" s="131">
        <v>0</v>
      </c>
      <c r="X98" s="133" t="s">
        <v>120</v>
      </c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</row>
    <row r="99" spans="1:80" x14ac:dyDescent="0.25">
      <c r="A99" s="131" t="s">
        <v>45</v>
      </c>
      <c r="B99" s="131" t="s">
        <v>58</v>
      </c>
      <c r="C99" s="132">
        <v>1830.7708333333333</v>
      </c>
      <c r="D99" s="131" t="s">
        <v>65</v>
      </c>
      <c r="E99" s="131" t="s">
        <v>99</v>
      </c>
      <c r="F99" s="131" t="s">
        <v>38</v>
      </c>
      <c r="G99" s="131">
        <v>1</v>
      </c>
      <c r="H99" s="131">
        <v>2</v>
      </c>
      <c r="I99" s="131">
        <v>7</v>
      </c>
      <c r="J99" s="131">
        <v>0</v>
      </c>
      <c r="K99" s="131">
        <v>0</v>
      </c>
      <c r="L99" s="131">
        <v>0</v>
      </c>
      <c r="M99" s="131">
        <v>1</v>
      </c>
      <c r="N99" s="131">
        <v>2</v>
      </c>
      <c r="O99" s="131">
        <v>5</v>
      </c>
      <c r="P99" s="131">
        <v>0</v>
      </c>
      <c r="Q99" s="131">
        <v>0</v>
      </c>
      <c r="R99" s="133" t="s">
        <v>120</v>
      </c>
      <c r="S99" s="131">
        <v>1</v>
      </c>
      <c r="T99" s="131">
        <v>7</v>
      </c>
      <c r="U99" s="133">
        <v>0.14285714285714285</v>
      </c>
      <c r="V99" s="131">
        <v>0</v>
      </c>
      <c r="W99" s="131">
        <v>0</v>
      </c>
      <c r="X99" s="133" t="s">
        <v>120</v>
      </c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</row>
    <row r="100" spans="1:80" x14ac:dyDescent="0.25">
      <c r="A100" s="131" t="s">
        <v>45</v>
      </c>
      <c r="B100" s="131" t="s">
        <v>58</v>
      </c>
      <c r="C100" s="132">
        <v>1830.7708333333333</v>
      </c>
      <c r="D100" s="131" t="s">
        <v>65</v>
      </c>
      <c r="E100" s="131" t="s">
        <v>4</v>
      </c>
      <c r="F100" s="131" t="s">
        <v>38</v>
      </c>
      <c r="G100" s="131">
        <v>1</v>
      </c>
      <c r="H100" s="131">
        <v>0</v>
      </c>
      <c r="I100" s="131">
        <v>4</v>
      </c>
      <c r="J100" s="131">
        <v>1</v>
      </c>
      <c r="K100" s="131">
        <v>1</v>
      </c>
      <c r="L100" s="131">
        <v>0</v>
      </c>
      <c r="M100" s="131">
        <v>1</v>
      </c>
      <c r="N100" s="131">
        <v>3</v>
      </c>
      <c r="O100" s="131">
        <v>1</v>
      </c>
      <c r="P100" s="131">
        <v>0</v>
      </c>
      <c r="Q100" s="131">
        <v>0</v>
      </c>
      <c r="R100" s="133" t="s">
        <v>120</v>
      </c>
      <c r="S100" s="131">
        <v>0</v>
      </c>
      <c r="T100" s="131">
        <v>1</v>
      </c>
      <c r="U100" s="133">
        <v>0</v>
      </c>
      <c r="V100" s="131">
        <v>0</v>
      </c>
      <c r="W100" s="131">
        <v>0</v>
      </c>
      <c r="X100" s="133" t="s">
        <v>120</v>
      </c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</row>
    <row r="101" spans="1:80" x14ac:dyDescent="0.25">
      <c r="A101" s="131" t="s">
        <v>45</v>
      </c>
      <c r="B101" s="131" t="s">
        <v>58</v>
      </c>
      <c r="C101" s="132">
        <v>1830.7708333333333</v>
      </c>
      <c r="D101" s="131" t="s">
        <v>65</v>
      </c>
      <c r="E101" s="131" t="s">
        <v>19</v>
      </c>
      <c r="F101" s="131" t="s">
        <v>38</v>
      </c>
      <c r="G101" s="131">
        <v>1</v>
      </c>
      <c r="H101" s="131">
        <v>16</v>
      </c>
      <c r="I101" s="131">
        <v>5</v>
      </c>
      <c r="J101" s="131">
        <v>1</v>
      </c>
      <c r="K101" s="131">
        <v>1</v>
      </c>
      <c r="L101" s="131">
        <v>2</v>
      </c>
      <c r="M101" s="131">
        <v>2</v>
      </c>
      <c r="N101" s="131">
        <v>2</v>
      </c>
      <c r="O101" s="131">
        <v>3</v>
      </c>
      <c r="P101" s="131">
        <v>1</v>
      </c>
      <c r="Q101" s="131">
        <v>4</v>
      </c>
      <c r="R101" s="133">
        <v>0.25</v>
      </c>
      <c r="S101" s="131">
        <v>5</v>
      </c>
      <c r="T101" s="131">
        <v>19</v>
      </c>
      <c r="U101" s="133">
        <v>0.26315789473684209</v>
      </c>
      <c r="V101" s="131">
        <v>5</v>
      </c>
      <c r="W101" s="131">
        <v>8</v>
      </c>
      <c r="X101" s="133">
        <v>0.625</v>
      </c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</row>
    <row r="102" spans="1:80" x14ac:dyDescent="0.25">
      <c r="A102" s="131" t="s">
        <v>45</v>
      </c>
      <c r="B102" s="131" t="s">
        <v>58</v>
      </c>
      <c r="C102" s="132">
        <v>1830.7708333333333</v>
      </c>
      <c r="D102" s="131" t="s">
        <v>65</v>
      </c>
      <c r="E102" s="131" t="s">
        <v>101</v>
      </c>
      <c r="F102" s="131" t="s">
        <v>38</v>
      </c>
      <c r="G102" s="131">
        <v>1</v>
      </c>
      <c r="H102" s="131">
        <v>7</v>
      </c>
      <c r="I102" s="131">
        <v>5</v>
      </c>
      <c r="J102" s="131">
        <v>0</v>
      </c>
      <c r="K102" s="131">
        <v>2</v>
      </c>
      <c r="L102" s="131">
        <v>0</v>
      </c>
      <c r="M102" s="131">
        <v>1</v>
      </c>
      <c r="N102" s="131">
        <v>0</v>
      </c>
      <c r="O102" s="131">
        <v>5</v>
      </c>
      <c r="P102" s="131">
        <v>1</v>
      </c>
      <c r="Q102" s="131">
        <v>2</v>
      </c>
      <c r="R102" s="133">
        <v>0.5</v>
      </c>
      <c r="S102" s="131">
        <v>3</v>
      </c>
      <c r="T102" s="131">
        <v>6</v>
      </c>
      <c r="U102" s="133">
        <v>0.5</v>
      </c>
      <c r="V102" s="131">
        <v>0</v>
      </c>
      <c r="W102" s="131">
        <v>0</v>
      </c>
      <c r="X102" s="133" t="s">
        <v>120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</row>
    <row r="103" spans="1:80" x14ac:dyDescent="0.25">
      <c r="A103" s="131" t="s">
        <v>45</v>
      </c>
      <c r="B103" s="131" t="s">
        <v>58</v>
      </c>
      <c r="C103" s="132">
        <v>1830.7708333333333</v>
      </c>
      <c r="D103" s="131" t="s">
        <v>65</v>
      </c>
      <c r="E103" s="131" t="s">
        <v>102</v>
      </c>
      <c r="F103" s="131" t="s">
        <v>38</v>
      </c>
      <c r="G103" s="131">
        <v>1</v>
      </c>
      <c r="H103" s="131">
        <v>3</v>
      </c>
      <c r="I103" s="131">
        <v>3</v>
      </c>
      <c r="J103" s="131">
        <v>0</v>
      </c>
      <c r="K103" s="131">
        <v>1</v>
      </c>
      <c r="L103" s="131">
        <v>1</v>
      </c>
      <c r="M103" s="131">
        <v>1</v>
      </c>
      <c r="N103" s="131">
        <v>0</v>
      </c>
      <c r="O103" s="131">
        <v>3</v>
      </c>
      <c r="P103" s="131">
        <v>1</v>
      </c>
      <c r="Q103" s="131">
        <v>1</v>
      </c>
      <c r="R103" s="133">
        <v>1</v>
      </c>
      <c r="S103" s="131">
        <v>1</v>
      </c>
      <c r="T103" s="131">
        <v>4</v>
      </c>
      <c r="U103" s="133">
        <v>0.25</v>
      </c>
      <c r="V103" s="131">
        <v>0</v>
      </c>
      <c r="W103" s="131">
        <v>0</v>
      </c>
      <c r="X103" s="133" t="s">
        <v>120</v>
      </c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</row>
    <row r="104" spans="1:80" x14ac:dyDescent="0.25">
      <c r="A104" s="131" t="s">
        <v>45</v>
      </c>
      <c r="B104" s="131" t="s">
        <v>58</v>
      </c>
      <c r="C104" s="132">
        <v>1830.7708333333333</v>
      </c>
      <c r="D104" s="131" t="s">
        <v>65</v>
      </c>
      <c r="E104" s="131" t="s">
        <v>15</v>
      </c>
      <c r="F104" s="131" t="s">
        <v>38</v>
      </c>
      <c r="G104" s="131">
        <v>1</v>
      </c>
      <c r="H104" s="131">
        <v>15</v>
      </c>
      <c r="I104" s="131">
        <v>2</v>
      </c>
      <c r="J104" s="131">
        <v>0</v>
      </c>
      <c r="K104" s="131">
        <v>3</v>
      </c>
      <c r="L104" s="131">
        <v>0</v>
      </c>
      <c r="M104" s="131">
        <v>1</v>
      </c>
      <c r="N104" s="131">
        <v>1</v>
      </c>
      <c r="O104" s="131">
        <v>1</v>
      </c>
      <c r="P104" s="131">
        <v>2</v>
      </c>
      <c r="Q104" s="131">
        <v>8</v>
      </c>
      <c r="R104" s="133">
        <v>0.25</v>
      </c>
      <c r="S104" s="131">
        <v>6</v>
      </c>
      <c r="T104" s="131">
        <v>16</v>
      </c>
      <c r="U104" s="133">
        <v>0.375</v>
      </c>
      <c r="V104" s="131">
        <v>1</v>
      </c>
      <c r="W104" s="131">
        <v>1</v>
      </c>
      <c r="X104" s="133">
        <v>1</v>
      </c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</row>
    <row r="105" spans="1:80" x14ac:dyDescent="0.25">
      <c r="A105" s="131" t="s">
        <v>45</v>
      </c>
      <c r="B105" s="131" t="s">
        <v>58</v>
      </c>
      <c r="C105" s="132">
        <v>1830.7708333333333</v>
      </c>
      <c r="D105" s="131" t="s">
        <v>65</v>
      </c>
      <c r="E105" s="131" t="s">
        <v>12</v>
      </c>
      <c r="F105" s="131" t="s">
        <v>38</v>
      </c>
      <c r="G105" s="131">
        <v>1</v>
      </c>
      <c r="H105" s="131">
        <v>0</v>
      </c>
      <c r="I105" s="131">
        <v>3</v>
      </c>
      <c r="J105" s="131">
        <v>0</v>
      </c>
      <c r="K105" s="131">
        <v>2</v>
      </c>
      <c r="L105" s="131">
        <v>0</v>
      </c>
      <c r="M105" s="131">
        <v>1</v>
      </c>
      <c r="N105" s="131">
        <v>1</v>
      </c>
      <c r="O105" s="131">
        <v>2</v>
      </c>
      <c r="P105" s="131">
        <v>0</v>
      </c>
      <c r="Q105" s="131">
        <v>0</v>
      </c>
      <c r="R105" s="133" t="s">
        <v>120</v>
      </c>
      <c r="S105" s="131">
        <v>0</v>
      </c>
      <c r="T105" s="131">
        <v>1</v>
      </c>
      <c r="U105" s="133">
        <v>0</v>
      </c>
      <c r="V105" s="131">
        <v>0</v>
      </c>
      <c r="W105" s="131">
        <v>0</v>
      </c>
      <c r="X105" s="133" t="s">
        <v>120</v>
      </c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</row>
    <row r="106" spans="1:80" x14ac:dyDescent="0.25">
      <c r="A106" s="131" t="s">
        <v>157</v>
      </c>
      <c r="B106" s="131" t="s">
        <v>157</v>
      </c>
      <c r="C106" s="132" t="s">
        <v>157</v>
      </c>
      <c r="D106" s="131" t="s">
        <v>157</v>
      </c>
      <c r="E106" s="131" t="s">
        <v>157</v>
      </c>
      <c r="F106" s="131" t="s">
        <v>157</v>
      </c>
      <c r="G106" s="131" t="s">
        <v>157</v>
      </c>
      <c r="H106" s="131" t="s">
        <v>157</v>
      </c>
      <c r="I106" s="131" t="s">
        <v>157</v>
      </c>
      <c r="J106" s="131" t="s">
        <v>157</v>
      </c>
      <c r="K106" s="131" t="s">
        <v>157</v>
      </c>
      <c r="L106" s="131" t="s">
        <v>157</v>
      </c>
      <c r="M106" s="131" t="s">
        <v>157</v>
      </c>
      <c r="N106" s="131" t="s">
        <v>157</v>
      </c>
      <c r="O106" s="131" t="s">
        <v>157</v>
      </c>
      <c r="P106" s="131" t="s">
        <v>157</v>
      </c>
      <c r="Q106" s="131" t="s">
        <v>157</v>
      </c>
      <c r="R106" s="133" t="s">
        <v>157</v>
      </c>
      <c r="S106" s="131" t="s">
        <v>157</v>
      </c>
      <c r="T106" s="131" t="s">
        <v>157</v>
      </c>
      <c r="U106" s="133" t="s">
        <v>157</v>
      </c>
      <c r="V106" s="131" t="s">
        <v>157</v>
      </c>
      <c r="W106" s="131" t="s">
        <v>157</v>
      </c>
      <c r="X106" s="133" t="s">
        <v>157</v>
      </c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</row>
    <row r="107" spans="1:80" x14ac:dyDescent="0.25">
      <c r="A107" s="131" t="s">
        <v>157</v>
      </c>
      <c r="B107" s="131" t="s">
        <v>157</v>
      </c>
      <c r="C107" s="132" t="s">
        <v>157</v>
      </c>
      <c r="D107" s="131" t="s">
        <v>157</v>
      </c>
      <c r="E107" s="131" t="s">
        <v>157</v>
      </c>
      <c r="F107" s="131" t="s">
        <v>157</v>
      </c>
      <c r="G107" s="131" t="s">
        <v>157</v>
      </c>
      <c r="H107" s="131" t="s">
        <v>157</v>
      </c>
      <c r="I107" s="131" t="s">
        <v>157</v>
      </c>
      <c r="J107" s="131" t="s">
        <v>157</v>
      </c>
      <c r="K107" s="131" t="s">
        <v>157</v>
      </c>
      <c r="L107" s="131" t="s">
        <v>157</v>
      </c>
      <c r="M107" s="131" t="s">
        <v>157</v>
      </c>
      <c r="N107" s="131" t="s">
        <v>157</v>
      </c>
      <c r="O107" s="131" t="s">
        <v>157</v>
      </c>
      <c r="P107" s="131" t="s">
        <v>157</v>
      </c>
      <c r="Q107" s="131" t="s">
        <v>157</v>
      </c>
      <c r="R107" s="133" t="s">
        <v>157</v>
      </c>
      <c r="S107" s="131" t="s">
        <v>157</v>
      </c>
      <c r="T107" s="131" t="s">
        <v>157</v>
      </c>
      <c r="U107" s="133" t="s">
        <v>157</v>
      </c>
      <c r="V107" s="131" t="s">
        <v>157</v>
      </c>
      <c r="W107" s="131" t="s">
        <v>157</v>
      </c>
      <c r="X107" s="133" t="s">
        <v>157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</row>
    <row r="108" spans="1:80" x14ac:dyDescent="0.25">
      <c r="A108" s="131" t="s">
        <v>45</v>
      </c>
      <c r="B108" s="131" t="s">
        <v>58</v>
      </c>
      <c r="C108" s="132">
        <v>1830.8125</v>
      </c>
      <c r="D108" s="131" t="s">
        <v>65</v>
      </c>
      <c r="E108" s="131" t="s">
        <v>16</v>
      </c>
      <c r="F108" s="131" t="s">
        <v>40</v>
      </c>
      <c r="G108" s="131">
        <v>1</v>
      </c>
      <c r="H108" s="131">
        <v>9</v>
      </c>
      <c r="I108" s="131">
        <v>4</v>
      </c>
      <c r="J108" s="131">
        <v>1</v>
      </c>
      <c r="K108" s="131">
        <v>2</v>
      </c>
      <c r="L108" s="131">
        <v>0</v>
      </c>
      <c r="M108" s="131">
        <v>0</v>
      </c>
      <c r="N108" s="131">
        <v>1</v>
      </c>
      <c r="O108" s="131">
        <v>3</v>
      </c>
      <c r="P108" s="131">
        <v>1</v>
      </c>
      <c r="Q108" s="131">
        <v>3</v>
      </c>
      <c r="R108" s="133">
        <v>0.33333333333333331</v>
      </c>
      <c r="S108" s="131">
        <v>3</v>
      </c>
      <c r="T108" s="131">
        <v>6</v>
      </c>
      <c r="U108" s="133">
        <v>0.5</v>
      </c>
      <c r="V108" s="131">
        <v>2</v>
      </c>
      <c r="W108" s="131">
        <v>5</v>
      </c>
      <c r="X108" s="133">
        <v>0.4</v>
      </c>
      <c r="Y108"/>
      <c r="Z108" s="134" t="s">
        <v>45</v>
      </c>
      <c r="AA108" s="134" t="s">
        <v>58</v>
      </c>
      <c r="AB108" s="135">
        <v>1830.8125</v>
      </c>
      <c r="AC108" s="134" t="s">
        <v>65</v>
      </c>
      <c r="AD108" s="134" t="s">
        <v>40</v>
      </c>
      <c r="AE108" s="134" t="s">
        <v>177</v>
      </c>
      <c r="AF108" s="134">
        <v>1</v>
      </c>
      <c r="AG108" s="134">
        <v>59</v>
      </c>
      <c r="AH108" s="134">
        <v>28</v>
      </c>
      <c r="AI108" s="134">
        <v>11</v>
      </c>
      <c r="AJ108" s="134">
        <v>6</v>
      </c>
      <c r="AK108" s="134">
        <v>0</v>
      </c>
      <c r="AL108" s="134">
        <v>9</v>
      </c>
      <c r="AM108" s="134">
        <v>4</v>
      </c>
      <c r="AN108" s="134">
        <v>24</v>
      </c>
      <c r="AO108" s="134">
        <v>5</v>
      </c>
      <c r="AP108" s="134">
        <v>19</v>
      </c>
      <c r="AQ108" s="136">
        <v>0.26315789473684209</v>
      </c>
      <c r="AR108" s="134">
        <v>25</v>
      </c>
      <c r="AS108" s="134">
        <v>56</v>
      </c>
      <c r="AT108" s="136">
        <v>0.44642857142857145</v>
      </c>
      <c r="AU108" s="134">
        <v>4</v>
      </c>
      <c r="AV108" s="134">
        <v>11</v>
      </c>
      <c r="AW108" s="136">
        <v>0.36363636363636365</v>
      </c>
      <c r="AX108"/>
      <c r="AY108" s="134" t="s">
        <v>45</v>
      </c>
      <c r="AZ108" s="134" t="s">
        <v>58</v>
      </c>
      <c r="BA108" s="135">
        <v>1830.8125</v>
      </c>
      <c r="BB108" s="134" t="s">
        <v>65</v>
      </c>
      <c r="BC108" s="134" t="s">
        <v>89</v>
      </c>
      <c r="BD108" s="134"/>
      <c r="BE108" s="134">
        <v>1</v>
      </c>
      <c r="BF108" s="134">
        <v>118</v>
      </c>
      <c r="BG108" s="134">
        <v>61</v>
      </c>
      <c r="BH108" s="134">
        <v>14</v>
      </c>
      <c r="BI108" s="134">
        <v>14</v>
      </c>
      <c r="BJ108" s="134">
        <v>2</v>
      </c>
      <c r="BK108" s="134">
        <v>18</v>
      </c>
      <c r="BL108" s="134">
        <v>13</v>
      </c>
      <c r="BM108" s="134">
        <v>48</v>
      </c>
      <c r="BN108" s="134">
        <v>13</v>
      </c>
      <c r="BO108" s="134">
        <v>43</v>
      </c>
      <c r="BP108" s="136">
        <v>0.30232558139534882</v>
      </c>
      <c r="BQ108" s="134">
        <v>46</v>
      </c>
      <c r="BR108" s="134">
        <v>113</v>
      </c>
      <c r="BS108" s="136">
        <v>0.40707964601769914</v>
      </c>
      <c r="BT108" s="134">
        <v>13</v>
      </c>
      <c r="BU108" s="134">
        <v>23</v>
      </c>
      <c r="BV108" s="136">
        <v>0.56521739130434778</v>
      </c>
      <c r="BW108" s="174" t="s">
        <v>166</v>
      </c>
      <c r="BX108"/>
      <c r="BY108"/>
      <c r="BZ108"/>
      <c r="CA108"/>
      <c r="CB108"/>
    </row>
    <row r="109" spans="1:80" x14ac:dyDescent="0.25">
      <c r="A109" s="131" t="s">
        <v>45</v>
      </c>
      <c r="B109" s="131" t="s">
        <v>58</v>
      </c>
      <c r="C109" s="132">
        <v>1830.8125</v>
      </c>
      <c r="D109" s="131" t="s">
        <v>65</v>
      </c>
      <c r="E109" s="131" t="s">
        <v>27</v>
      </c>
      <c r="F109" s="131" t="s">
        <v>40</v>
      </c>
      <c r="G109" s="131">
        <v>1</v>
      </c>
      <c r="H109" s="131">
        <v>7</v>
      </c>
      <c r="I109" s="131">
        <v>4</v>
      </c>
      <c r="J109" s="131">
        <v>2</v>
      </c>
      <c r="K109" s="131">
        <v>1</v>
      </c>
      <c r="L109" s="131">
        <v>0</v>
      </c>
      <c r="M109" s="131">
        <v>4</v>
      </c>
      <c r="N109" s="131">
        <v>0</v>
      </c>
      <c r="O109" s="131">
        <v>4</v>
      </c>
      <c r="P109" s="131">
        <v>1</v>
      </c>
      <c r="Q109" s="131">
        <v>4</v>
      </c>
      <c r="R109" s="133">
        <v>0.25</v>
      </c>
      <c r="S109" s="131">
        <v>3</v>
      </c>
      <c r="T109" s="131">
        <v>10</v>
      </c>
      <c r="U109" s="133">
        <v>0.3</v>
      </c>
      <c r="V109" s="131">
        <v>0</v>
      </c>
      <c r="W109" s="131">
        <v>0</v>
      </c>
      <c r="X109" s="133" t="s">
        <v>120</v>
      </c>
      <c r="Y109"/>
      <c r="Z109" s="134" t="s">
        <v>45</v>
      </c>
      <c r="AA109" s="134" t="s">
        <v>58</v>
      </c>
      <c r="AB109" s="135">
        <v>1830.8125</v>
      </c>
      <c r="AC109" s="134" t="s">
        <v>65</v>
      </c>
      <c r="AD109" s="134" t="s">
        <v>38</v>
      </c>
      <c r="AE109" s="134" t="s">
        <v>177</v>
      </c>
      <c r="AF109" s="134">
        <v>1</v>
      </c>
      <c r="AG109" s="134">
        <v>59</v>
      </c>
      <c r="AH109" s="134">
        <v>33</v>
      </c>
      <c r="AI109" s="134">
        <v>3</v>
      </c>
      <c r="AJ109" s="134">
        <v>8</v>
      </c>
      <c r="AK109" s="134">
        <v>2</v>
      </c>
      <c r="AL109" s="134">
        <v>9</v>
      </c>
      <c r="AM109" s="134">
        <v>9</v>
      </c>
      <c r="AN109" s="134">
        <v>24</v>
      </c>
      <c r="AO109" s="134">
        <v>8</v>
      </c>
      <c r="AP109" s="134">
        <v>24</v>
      </c>
      <c r="AQ109" s="136">
        <v>0.33333333333333331</v>
      </c>
      <c r="AR109" s="134">
        <v>21</v>
      </c>
      <c r="AS109" s="134">
        <v>57</v>
      </c>
      <c r="AT109" s="136">
        <v>0.36842105263157893</v>
      </c>
      <c r="AU109" s="134">
        <v>9</v>
      </c>
      <c r="AV109" s="134">
        <v>12</v>
      </c>
      <c r="AW109" s="136">
        <v>0.75</v>
      </c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</row>
    <row r="110" spans="1:80" x14ac:dyDescent="0.25">
      <c r="A110" s="131" t="s">
        <v>45</v>
      </c>
      <c r="B110" s="131" t="s">
        <v>58</v>
      </c>
      <c r="C110" s="132">
        <v>1830.8125</v>
      </c>
      <c r="D110" s="131" t="s">
        <v>65</v>
      </c>
      <c r="E110" s="131" t="s">
        <v>7</v>
      </c>
      <c r="F110" s="131" t="s">
        <v>40</v>
      </c>
      <c r="G110" s="131">
        <v>1</v>
      </c>
      <c r="H110" s="131">
        <v>19</v>
      </c>
      <c r="I110" s="131">
        <v>8</v>
      </c>
      <c r="J110" s="131">
        <v>3</v>
      </c>
      <c r="K110" s="131">
        <v>2</v>
      </c>
      <c r="L110" s="131">
        <v>0</v>
      </c>
      <c r="M110" s="131">
        <v>3</v>
      </c>
      <c r="N110" s="131">
        <v>0</v>
      </c>
      <c r="O110" s="131">
        <v>8</v>
      </c>
      <c r="P110" s="131">
        <v>1</v>
      </c>
      <c r="Q110" s="131">
        <v>1</v>
      </c>
      <c r="R110" s="133">
        <v>1</v>
      </c>
      <c r="S110" s="131">
        <v>9</v>
      </c>
      <c r="T110" s="131">
        <v>13</v>
      </c>
      <c r="U110" s="133">
        <v>0.69230769230769229</v>
      </c>
      <c r="V110" s="131">
        <v>0</v>
      </c>
      <c r="W110" s="131">
        <v>1</v>
      </c>
      <c r="X110" s="133">
        <v>0</v>
      </c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</row>
    <row r="111" spans="1:80" x14ac:dyDescent="0.25">
      <c r="A111" s="131" t="s">
        <v>45</v>
      </c>
      <c r="B111" s="131" t="s">
        <v>58</v>
      </c>
      <c r="C111" s="132">
        <v>1830.8125</v>
      </c>
      <c r="D111" s="131" t="s">
        <v>65</v>
      </c>
      <c r="E111" s="131" t="s">
        <v>31</v>
      </c>
      <c r="F111" s="131" t="s">
        <v>40</v>
      </c>
      <c r="G111" s="131">
        <v>1</v>
      </c>
      <c r="H111" s="131">
        <v>22</v>
      </c>
      <c r="I111" s="131">
        <v>5</v>
      </c>
      <c r="J111" s="131">
        <v>3</v>
      </c>
      <c r="K111" s="131">
        <v>1</v>
      </c>
      <c r="L111" s="131">
        <v>0</v>
      </c>
      <c r="M111" s="131">
        <v>0</v>
      </c>
      <c r="N111" s="131">
        <v>0</v>
      </c>
      <c r="O111" s="131">
        <v>5</v>
      </c>
      <c r="P111" s="131">
        <v>2</v>
      </c>
      <c r="Q111" s="131">
        <v>9</v>
      </c>
      <c r="R111" s="133">
        <v>0.22222222222222221</v>
      </c>
      <c r="S111" s="131">
        <v>9</v>
      </c>
      <c r="T111" s="131">
        <v>24</v>
      </c>
      <c r="U111" s="133">
        <v>0.375</v>
      </c>
      <c r="V111" s="131">
        <v>2</v>
      </c>
      <c r="W111" s="131">
        <v>5</v>
      </c>
      <c r="X111" s="133">
        <v>0.4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</row>
    <row r="112" spans="1:80" x14ac:dyDescent="0.25">
      <c r="A112" s="131" t="s">
        <v>45</v>
      </c>
      <c r="B112" s="131" t="s">
        <v>58</v>
      </c>
      <c r="C112" s="132">
        <v>1830.8125</v>
      </c>
      <c r="D112" s="131" t="s">
        <v>65</v>
      </c>
      <c r="E112" s="131" t="s">
        <v>35</v>
      </c>
      <c r="F112" s="131" t="s">
        <v>40</v>
      </c>
      <c r="G112" s="131">
        <v>1</v>
      </c>
      <c r="H112" s="131">
        <v>0</v>
      </c>
      <c r="I112" s="131">
        <v>2</v>
      </c>
      <c r="J112" s="131">
        <v>2</v>
      </c>
      <c r="K112" s="131">
        <v>0</v>
      </c>
      <c r="L112" s="131">
        <v>0</v>
      </c>
      <c r="M112" s="131">
        <v>1</v>
      </c>
      <c r="N112" s="131">
        <v>0</v>
      </c>
      <c r="O112" s="131">
        <v>2</v>
      </c>
      <c r="P112" s="131">
        <v>0</v>
      </c>
      <c r="Q112" s="131">
        <v>2</v>
      </c>
      <c r="R112" s="133">
        <v>0</v>
      </c>
      <c r="S112" s="131">
        <v>0</v>
      </c>
      <c r="T112" s="131">
        <v>2</v>
      </c>
      <c r="U112" s="133">
        <v>0</v>
      </c>
      <c r="V112" s="131">
        <v>0</v>
      </c>
      <c r="W112" s="131">
        <v>0</v>
      </c>
      <c r="X112" s="133" t="s">
        <v>120</v>
      </c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</row>
    <row r="113" spans="1:80" x14ac:dyDescent="0.25">
      <c r="A113" s="131" t="s">
        <v>45</v>
      </c>
      <c r="B113" s="131" t="s">
        <v>58</v>
      </c>
      <c r="C113" s="132">
        <v>1830.8125</v>
      </c>
      <c r="D113" s="131" t="s">
        <v>65</v>
      </c>
      <c r="E113" s="131" t="s">
        <v>11</v>
      </c>
      <c r="F113" s="131" t="s">
        <v>40</v>
      </c>
      <c r="G113" s="131">
        <v>1</v>
      </c>
      <c r="H113" s="131">
        <v>2</v>
      </c>
      <c r="I113" s="131">
        <v>5</v>
      </c>
      <c r="J113" s="131">
        <v>0</v>
      </c>
      <c r="K113" s="131">
        <v>0</v>
      </c>
      <c r="L113" s="131">
        <v>0</v>
      </c>
      <c r="M113" s="131">
        <v>1</v>
      </c>
      <c r="N113" s="131">
        <v>3</v>
      </c>
      <c r="O113" s="131">
        <v>2</v>
      </c>
      <c r="P113" s="131">
        <v>0</v>
      </c>
      <c r="Q113" s="131">
        <v>0</v>
      </c>
      <c r="R113" s="133" t="s">
        <v>120</v>
      </c>
      <c r="S113" s="131">
        <v>1</v>
      </c>
      <c r="T113" s="131">
        <v>1</v>
      </c>
      <c r="U113" s="133">
        <v>1</v>
      </c>
      <c r="V113" s="131">
        <v>0</v>
      </c>
      <c r="W113" s="131">
        <v>0</v>
      </c>
      <c r="X113" s="133" t="s">
        <v>120</v>
      </c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</row>
    <row r="114" spans="1:80" x14ac:dyDescent="0.25">
      <c r="A114" s="131" t="s">
        <v>45</v>
      </c>
      <c r="B114" s="131" t="s">
        <v>58</v>
      </c>
      <c r="C114" s="132">
        <v>1830.8125</v>
      </c>
      <c r="D114" s="131" t="s">
        <v>65</v>
      </c>
      <c r="E114" s="131" t="s">
        <v>19</v>
      </c>
      <c r="F114" s="131" t="s">
        <v>38</v>
      </c>
      <c r="G114" s="131">
        <v>1</v>
      </c>
      <c r="H114" s="131">
        <v>26</v>
      </c>
      <c r="I114" s="131">
        <v>14</v>
      </c>
      <c r="J114" s="131">
        <v>2</v>
      </c>
      <c r="K114" s="131">
        <v>7</v>
      </c>
      <c r="L114" s="131">
        <v>0</v>
      </c>
      <c r="M114" s="131">
        <v>3</v>
      </c>
      <c r="N114" s="131">
        <v>2</v>
      </c>
      <c r="O114" s="131">
        <v>12</v>
      </c>
      <c r="P114" s="131">
        <v>1</v>
      </c>
      <c r="Q114" s="131">
        <v>3</v>
      </c>
      <c r="R114" s="133">
        <v>0.33333333333333331</v>
      </c>
      <c r="S114" s="131">
        <v>9</v>
      </c>
      <c r="T114" s="131">
        <v>18</v>
      </c>
      <c r="U114" s="133">
        <v>0.5</v>
      </c>
      <c r="V114" s="131">
        <v>7</v>
      </c>
      <c r="W114" s="131">
        <v>7</v>
      </c>
      <c r="X114" s="133">
        <v>1</v>
      </c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</row>
    <row r="115" spans="1:80" x14ac:dyDescent="0.25">
      <c r="A115" s="131" t="s">
        <v>45</v>
      </c>
      <c r="B115" s="131" t="s">
        <v>58</v>
      </c>
      <c r="C115" s="132">
        <v>1830.8125</v>
      </c>
      <c r="D115" s="131" t="s">
        <v>65</v>
      </c>
      <c r="E115" s="131" t="s">
        <v>15</v>
      </c>
      <c r="F115" s="131" t="s">
        <v>38</v>
      </c>
      <c r="G115" s="131">
        <v>1</v>
      </c>
      <c r="H115" s="131">
        <v>21</v>
      </c>
      <c r="I115" s="131">
        <v>3</v>
      </c>
      <c r="J115" s="131">
        <v>0</v>
      </c>
      <c r="K115" s="131">
        <v>1</v>
      </c>
      <c r="L115" s="131">
        <v>0</v>
      </c>
      <c r="M115" s="131">
        <v>4</v>
      </c>
      <c r="N115" s="131">
        <v>1</v>
      </c>
      <c r="O115" s="131">
        <v>2</v>
      </c>
      <c r="P115" s="131">
        <v>5</v>
      </c>
      <c r="Q115" s="131">
        <v>11</v>
      </c>
      <c r="R115" s="133">
        <v>0.45454545454545453</v>
      </c>
      <c r="S115" s="131">
        <v>7</v>
      </c>
      <c r="T115" s="131">
        <v>21</v>
      </c>
      <c r="U115" s="133">
        <v>0.33333333333333331</v>
      </c>
      <c r="V115" s="131">
        <v>2</v>
      </c>
      <c r="W115" s="131">
        <v>5</v>
      </c>
      <c r="X115" s="133">
        <v>0.4</v>
      </c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</row>
    <row r="116" spans="1:80" x14ac:dyDescent="0.25">
      <c r="A116" s="131" t="s">
        <v>45</v>
      </c>
      <c r="B116" s="131" t="s">
        <v>58</v>
      </c>
      <c r="C116" s="132">
        <v>1830.8125</v>
      </c>
      <c r="D116" s="131" t="s">
        <v>65</v>
      </c>
      <c r="E116" s="131" t="s">
        <v>4</v>
      </c>
      <c r="F116" s="131" t="s">
        <v>38</v>
      </c>
      <c r="G116" s="131">
        <v>1</v>
      </c>
      <c r="H116" s="131">
        <v>8</v>
      </c>
      <c r="I116" s="131">
        <v>5</v>
      </c>
      <c r="J116" s="131">
        <v>1</v>
      </c>
      <c r="K116" s="131">
        <v>0</v>
      </c>
      <c r="L116" s="131">
        <v>1</v>
      </c>
      <c r="M116" s="131">
        <v>1</v>
      </c>
      <c r="N116" s="131">
        <v>1</v>
      </c>
      <c r="O116" s="131">
        <v>4</v>
      </c>
      <c r="P116" s="131">
        <v>2</v>
      </c>
      <c r="Q116" s="131">
        <v>7</v>
      </c>
      <c r="R116" s="133">
        <v>0.2857142857142857</v>
      </c>
      <c r="S116" s="131">
        <v>3</v>
      </c>
      <c r="T116" s="131">
        <v>8</v>
      </c>
      <c r="U116" s="133">
        <v>0.375</v>
      </c>
      <c r="V116" s="131">
        <v>0</v>
      </c>
      <c r="W116" s="131">
        <v>0</v>
      </c>
      <c r="X116" s="133" t="s">
        <v>120</v>
      </c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</row>
    <row r="117" spans="1:80" x14ac:dyDescent="0.25">
      <c r="A117" s="131" t="s">
        <v>45</v>
      </c>
      <c r="B117" s="131" t="s">
        <v>58</v>
      </c>
      <c r="C117" s="132">
        <v>1830.8125</v>
      </c>
      <c r="D117" s="131" t="s">
        <v>65</v>
      </c>
      <c r="E117" s="131" t="s">
        <v>99</v>
      </c>
      <c r="F117" s="131" t="s">
        <v>38</v>
      </c>
      <c r="G117" s="131">
        <v>1</v>
      </c>
      <c r="H117" s="131">
        <v>4</v>
      </c>
      <c r="I117" s="131">
        <v>4</v>
      </c>
      <c r="J117" s="131">
        <v>0</v>
      </c>
      <c r="K117" s="131">
        <v>0</v>
      </c>
      <c r="L117" s="131">
        <v>1</v>
      </c>
      <c r="M117" s="131">
        <v>0</v>
      </c>
      <c r="N117" s="131">
        <v>2</v>
      </c>
      <c r="O117" s="131">
        <v>2</v>
      </c>
      <c r="P117" s="131">
        <v>0</v>
      </c>
      <c r="Q117" s="131">
        <v>0</v>
      </c>
      <c r="R117" s="133" t="s">
        <v>120</v>
      </c>
      <c r="S117" s="131">
        <v>2</v>
      </c>
      <c r="T117" s="131">
        <v>5</v>
      </c>
      <c r="U117" s="133">
        <v>0.4</v>
      </c>
      <c r="V117" s="131">
        <v>0</v>
      </c>
      <c r="W117" s="131">
        <v>0</v>
      </c>
      <c r="X117" s="133" t="s">
        <v>120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</row>
    <row r="118" spans="1:80" x14ac:dyDescent="0.25">
      <c r="A118" s="131" t="s">
        <v>45</v>
      </c>
      <c r="B118" s="131" t="s">
        <v>58</v>
      </c>
      <c r="C118" s="132">
        <v>1830.8125</v>
      </c>
      <c r="D118" s="131" t="s">
        <v>65</v>
      </c>
      <c r="E118" s="131" t="s">
        <v>101</v>
      </c>
      <c r="F118" s="131" t="s">
        <v>38</v>
      </c>
      <c r="G118" s="131">
        <v>1</v>
      </c>
      <c r="H118" s="131">
        <v>0</v>
      </c>
      <c r="I118" s="131">
        <v>3</v>
      </c>
      <c r="J118" s="131">
        <v>0</v>
      </c>
      <c r="K118" s="131">
        <v>0</v>
      </c>
      <c r="L118" s="131">
        <v>0</v>
      </c>
      <c r="M118" s="131">
        <v>0</v>
      </c>
      <c r="N118" s="131">
        <v>1</v>
      </c>
      <c r="O118" s="131">
        <v>2</v>
      </c>
      <c r="P118" s="131">
        <v>0</v>
      </c>
      <c r="Q118" s="131">
        <v>2</v>
      </c>
      <c r="R118" s="133">
        <v>0</v>
      </c>
      <c r="S118" s="131">
        <v>0</v>
      </c>
      <c r="T118" s="131">
        <v>2</v>
      </c>
      <c r="U118" s="133">
        <v>0</v>
      </c>
      <c r="V118" s="131">
        <v>0</v>
      </c>
      <c r="W118" s="131">
        <v>0</v>
      </c>
      <c r="X118" s="133" t="s">
        <v>120</v>
      </c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</row>
    <row r="119" spans="1:80" x14ac:dyDescent="0.25">
      <c r="A119" s="131" t="s">
        <v>45</v>
      </c>
      <c r="B119" s="131" t="s">
        <v>58</v>
      </c>
      <c r="C119" s="132">
        <v>1830.8125</v>
      </c>
      <c r="D119" s="131" t="s">
        <v>65</v>
      </c>
      <c r="E119" s="131" t="s">
        <v>102</v>
      </c>
      <c r="F119" s="131" t="s">
        <v>38</v>
      </c>
      <c r="G119" s="131">
        <v>1</v>
      </c>
      <c r="H119" s="131">
        <v>0</v>
      </c>
      <c r="I119" s="131">
        <v>3</v>
      </c>
      <c r="J119" s="131">
        <v>0</v>
      </c>
      <c r="K119" s="131">
        <v>0</v>
      </c>
      <c r="L119" s="131">
        <v>0</v>
      </c>
      <c r="M119" s="131">
        <v>1</v>
      </c>
      <c r="N119" s="131">
        <v>1</v>
      </c>
      <c r="O119" s="131">
        <v>2</v>
      </c>
      <c r="P119" s="131">
        <v>0</v>
      </c>
      <c r="Q119" s="131">
        <v>1</v>
      </c>
      <c r="R119" s="133">
        <v>0</v>
      </c>
      <c r="S119" s="131">
        <v>0</v>
      </c>
      <c r="T119" s="131">
        <v>2</v>
      </c>
      <c r="U119" s="133">
        <v>0</v>
      </c>
      <c r="V119" s="131">
        <v>0</v>
      </c>
      <c r="W119" s="131">
        <v>0</v>
      </c>
      <c r="X119" s="133" t="s">
        <v>120</v>
      </c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</row>
    <row r="120" spans="1:80" x14ac:dyDescent="0.25">
      <c r="A120" s="131" t="s">
        <v>45</v>
      </c>
      <c r="B120" s="131" t="s">
        <v>58</v>
      </c>
      <c r="C120" s="132">
        <v>1830.8125</v>
      </c>
      <c r="D120" s="131" t="s">
        <v>65</v>
      </c>
      <c r="E120" s="131" t="s">
        <v>12</v>
      </c>
      <c r="F120" s="131" t="s">
        <v>38</v>
      </c>
      <c r="G120" s="131">
        <v>1</v>
      </c>
      <c r="H120" s="131">
        <v>0</v>
      </c>
      <c r="I120" s="131">
        <v>1</v>
      </c>
      <c r="J120" s="131">
        <v>0</v>
      </c>
      <c r="K120" s="131">
        <v>0</v>
      </c>
      <c r="L120" s="131">
        <v>0</v>
      </c>
      <c r="M120" s="131">
        <v>0</v>
      </c>
      <c r="N120" s="131">
        <v>1</v>
      </c>
      <c r="O120" s="131">
        <v>0</v>
      </c>
      <c r="P120" s="131">
        <v>0</v>
      </c>
      <c r="Q120" s="131">
        <v>0</v>
      </c>
      <c r="R120" s="133" t="s">
        <v>120</v>
      </c>
      <c r="S120" s="131">
        <v>0</v>
      </c>
      <c r="T120" s="131">
        <v>1</v>
      </c>
      <c r="U120" s="133">
        <v>0</v>
      </c>
      <c r="V120" s="131">
        <v>0</v>
      </c>
      <c r="W120" s="131">
        <v>0</v>
      </c>
      <c r="X120" s="133" t="s">
        <v>120</v>
      </c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</row>
    <row r="121" spans="1:80" x14ac:dyDescent="0.25">
      <c r="A121" s="131" t="s">
        <v>157</v>
      </c>
      <c r="B121" s="131" t="s">
        <v>157</v>
      </c>
      <c r="C121" s="132" t="s">
        <v>157</v>
      </c>
      <c r="D121" s="131" t="s">
        <v>157</v>
      </c>
      <c r="E121" s="131" t="s">
        <v>157</v>
      </c>
      <c r="F121" s="131" t="s">
        <v>157</v>
      </c>
      <c r="G121" s="131" t="s">
        <v>157</v>
      </c>
      <c r="H121" s="131" t="s">
        <v>157</v>
      </c>
      <c r="I121" s="131" t="s">
        <v>157</v>
      </c>
      <c r="J121" s="131" t="s">
        <v>157</v>
      </c>
      <c r="K121" s="131" t="s">
        <v>157</v>
      </c>
      <c r="L121" s="131" t="s">
        <v>157</v>
      </c>
      <c r="M121" s="131" t="s">
        <v>157</v>
      </c>
      <c r="N121" s="131" t="s">
        <v>157</v>
      </c>
      <c r="O121" s="131" t="s">
        <v>157</v>
      </c>
      <c r="P121" s="131" t="s">
        <v>157</v>
      </c>
      <c r="Q121" s="131" t="s">
        <v>157</v>
      </c>
      <c r="R121" s="133" t="s">
        <v>157</v>
      </c>
      <c r="S121" s="131" t="s">
        <v>157</v>
      </c>
      <c r="T121" s="131" t="s">
        <v>157</v>
      </c>
      <c r="U121" s="133" t="s">
        <v>157</v>
      </c>
      <c r="V121" s="131" t="s">
        <v>157</v>
      </c>
      <c r="W121" s="131" t="s">
        <v>157</v>
      </c>
      <c r="X121" s="133" t="s">
        <v>157</v>
      </c>
    </row>
    <row r="122" spans="1:80" x14ac:dyDescent="0.25">
      <c r="A122" s="131" t="s">
        <v>157</v>
      </c>
      <c r="B122" s="131" t="s">
        <v>157</v>
      </c>
      <c r="C122" s="132" t="s">
        <v>157</v>
      </c>
      <c r="D122" s="131" t="s">
        <v>157</v>
      </c>
      <c r="E122" s="131" t="s">
        <v>157</v>
      </c>
      <c r="F122" s="131" t="s">
        <v>157</v>
      </c>
      <c r="G122" s="131" t="s">
        <v>157</v>
      </c>
      <c r="H122" s="131" t="s">
        <v>157</v>
      </c>
      <c r="I122" s="131" t="s">
        <v>157</v>
      </c>
      <c r="J122" s="131" t="s">
        <v>157</v>
      </c>
      <c r="K122" s="131" t="s">
        <v>157</v>
      </c>
      <c r="L122" s="131" t="s">
        <v>157</v>
      </c>
      <c r="M122" s="131" t="s">
        <v>157</v>
      </c>
      <c r="N122" s="131" t="s">
        <v>157</v>
      </c>
      <c r="O122" s="131" t="s">
        <v>157</v>
      </c>
      <c r="P122" s="131" t="s">
        <v>157</v>
      </c>
      <c r="Q122" s="131" t="s">
        <v>157</v>
      </c>
      <c r="R122" s="133" t="s">
        <v>157</v>
      </c>
      <c r="S122" s="131" t="s">
        <v>157</v>
      </c>
      <c r="T122" s="131" t="s">
        <v>157</v>
      </c>
      <c r="U122" s="133" t="s">
        <v>157</v>
      </c>
      <c r="V122" s="131" t="s">
        <v>157</v>
      </c>
      <c r="W122" s="131" t="s">
        <v>157</v>
      </c>
      <c r="X122" s="133" t="s">
        <v>157</v>
      </c>
    </row>
    <row r="123" spans="1:80" x14ac:dyDescent="0.25">
      <c r="A123" s="131" t="s">
        <v>45</v>
      </c>
      <c r="B123" s="131" t="s">
        <v>58</v>
      </c>
      <c r="C123" s="132">
        <v>1830.8541666666699</v>
      </c>
      <c r="D123" s="131" t="s">
        <v>65</v>
      </c>
      <c r="E123" s="131" t="s">
        <v>13</v>
      </c>
      <c r="F123" s="131" t="s">
        <v>41</v>
      </c>
      <c r="G123" s="131">
        <v>1</v>
      </c>
      <c r="H123" s="131">
        <v>13</v>
      </c>
      <c r="I123" s="131">
        <v>6</v>
      </c>
      <c r="J123" s="131">
        <v>0</v>
      </c>
      <c r="K123" s="131">
        <v>0</v>
      </c>
      <c r="L123" s="131">
        <v>0</v>
      </c>
      <c r="M123" s="131">
        <v>1</v>
      </c>
      <c r="N123" s="131">
        <v>2</v>
      </c>
      <c r="O123" s="131">
        <v>4</v>
      </c>
      <c r="P123" s="131">
        <v>0</v>
      </c>
      <c r="Q123" s="131">
        <v>0</v>
      </c>
      <c r="R123" s="133" t="s">
        <v>120</v>
      </c>
      <c r="S123" s="131">
        <v>6</v>
      </c>
      <c r="T123" s="131">
        <v>10</v>
      </c>
      <c r="U123" s="133">
        <v>0.6</v>
      </c>
      <c r="V123" s="131">
        <v>1</v>
      </c>
      <c r="W123" s="131">
        <v>2</v>
      </c>
      <c r="X123" s="133">
        <v>0.5</v>
      </c>
      <c r="Z123" s="134" t="s">
        <v>45</v>
      </c>
      <c r="AA123" s="134" t="s">
        <v>58</v>
      </c>
      <c r="AB123" s="135">
        <v>1830.8541666666699</v>
      </c>
      <c r="AC123" s="134" t="s">
        <v>65</v>
      </c>
      <c r="AD123" s="134" t="s">
        <v>41</v>
      </c>
      <c r="AE123" s="134" t="s">
        <v>174</v>
      </c>
      <c r="AF123" s="134">
        <v>1</v>
      </c>
      <c r="AG123" s="134">
        <v>60</v>
      </c>
      <c r="AH123" s="134">
        <v>28</v>
      </c>
      <c r="AI123" s="134">
        <v>5</v>
      </c>
      <c r="AJ123" s="134">
        <v>10</v>
      </c>
      <c r="AK123" s="134">
        <v>0</v>
      </c>
      <c r="AL123" s="134">
        <v>8</v>
      </c>
      <c r="AM123" s="134">
        <v>5</v>
      </c>
      <c r="AN123" s="134">
        <v>23</v>
      </c>
      <c r="AO123" s="134">
        <v>7</v>
      </c>
      <c r="AP123" s="134">
        <v>23</v>
      </c>
      <c r="AQ123" s="136">
        <v>0.30434782608695654</v>
      </c>
      <c r="AR123" s="134">
        <v>25</v>
      </c>
      <c r="AS123" s="134">
        <v>54</v>
      </c>
      <c r="AT123" s="136">
        <v>0.46296296296296297</v>
      </c>
      <c r="AU123" s="134">
        <v>3</v>
      </c>
      <c r="AV123" s="134">
        <v>5</v>
      </c>
      <c r="AW123" s="136">
        <v>0.6</v>
      </c>
      <c r="AY123" s="134" t="s">
        <v>45</v>
      </c>
      <c r="AZ123" s="134" t="s">
        <v>58</v>
      </c>
      <c r="BA123" s="135">
        <v>1830.8541666666699</v>
      </c>
      <c r="BB123" s="134" t="s">
        <v>65</v>
      </c>
      <c r="BC123" s="134" t="s">
        <v>89</v>
      </c>
      <c r="BD123" s="134"/>
      <c r="BE123" s="134">
        <v>1</v>
      </c>
      <c r="BF123" s="134">
        <v>109</v>
      </c>
      <c r="BG123" s="134">
        <v>62</v>
      </c>
      <c r="BH123" s="134">
        <v>14</v>
      </c>
      <c r="BI123" s="134">
        <v>13</v>
      </c>
      <c r="BJ123" s="134">
        <v>2</v>
      </c>
      <c r="BK123" s="134">
        <v>22</v>
      </c>
      <c r="BL123" s="134">
        <v>15</v>
      </c>
      <c r="BM123" s="134">
        <v>47</v>
      </c>
      <c r="BN123" s="134">
        <v>12</v>
      </c>
      <c r="BO123" s="134">
        <v>44</v>
      </c>
      <c r="BP123" s="136">
        <v>0.27272727272727271</v>
      </c>
      <c r="BQ123" s="134">
        <v>45</v>
      </c>
      <c r="BR123" s="134">
        <v>106</v>
      </c>
      <c r="BS123" s="136">
        <v>0.42452830188679247</v>
      </c>
      <c r="BT123" s="134">
        <v>7</v>
      </c>
      <c r="BU123" s="134">
        <v>13</v>
      </c>
      <c r="BV123" s="136">
        <v>0.53846153846153844</v>
      </c>
      <c r="BW123" s="174" t="s">
        <v>167</v>
      </c>
    </row>
    <row r="124" spans="1:80" x14ac:dyDescent="0.25">
      <c r="A124" s="131" t="s">
        <v>45</v>
      </c>
      <c r="B124" s="131" t="s">
        <v>58</v>
      </c>
      <c r="C124" s="132">
        <v>1830.8541666666699</v>
      </c>
      <c r="D124" s="131" t="s">
        <v>65</v>
      </c>
      <c r="E124" s="131" t="s">
        <v>28</v>
      </c>
      <c r="F124" s="131" t="s">
        <v>41</v>
      </c>
      <c r="G124" s="131">
        <v>1</v>
      </c>
      <c r="H124" s="131">
        <v>3</v>
      </c>
      <c r="I124" s="131">
        <v>0</v>
      </c>
      <c r="J124" s="131">
        <v>1</v>
      </c>
      <c r="K124" s="131">
        <v>3</v>
      </c>
      <c r="L124" s="131">
        <v>0</v>
      </c>
      <c r="M124" s="131">
        <v>1</v>
      </c>
      <c r="N124" s="131">
        <v>0</v>
      </c>
      <c r="O124" s="131">
        <v>0</v>
      </c>
      <c r="P124" s="131">
        <v>1</v>
      </c>
      <c r="Q124" s="131">
        <v>3</v>
      </c>
      <c r="R124" s="133">
        <v>0.33333333333333331</v>
      </c>
      <c r="S124" s="131">
        <v>1</v>
      </c>
      <c r="T124" s="131">
        <v>3</v>
      </c>
      <c r="U124" s="133">
        <v>0.33333333333333331</v>
      </c>
      <c r="V124" s="131">
        <v>0</v>
      </c>
      <c r="W124" s="131">
        <v>0</v>
      </c>
      <c r="X124" s="133" t="s">
        <v>120</v>
      </c>
      <c r="Z124" s="134" t="s">
        <v>45</v>
      </c>
      <c r="AA124" s="134" t="s">
        <v>58</v>
      </c>
      <c r="AB124" s="135">
        <v>1830.8541666666699</v>
      </c>
      <c r="AC124" s="134" t="s">
        <v>65</v>
      </c>
      <c r="AD124" s="134" t="s">
        <v>119</v>
      </c>
      <c r="AE124" s="134" t="s">
        <v>175</v>
      </c>
      <c r="AF124" s="134">
        <v>1</v>
      </c>
      <c r="AG124" s="134">
        <v>49</v>
      </c>
      <c r="AH124" s="134">
        <v>34</v>
      </c>
      <c r="AI124" s="134">
        <v>9</v>
      </c>
      <c r="AJ124" s="134">
        <v>3</v>
      </c>
      <c r="AK124" s="134">
        <v>2</v>
      </c>
      <c r="AL124" s="134">
        <v>14</v>
      </c>
      <c r="AM124" s="134">
        <v>10</v>
      </c>
      <c r="AN124" s="134">
        <v>24</v>
      </c>
      <c r="AO124" s="134">
        <v>5</v>
      </c>
      <c r="AP124" s="134">
        <v>21</v>
      </c>
      <c r="AQ124" s="136">
        <v>0.23809523809523808</v>
      </c>
      <c r="AR124" s="134">
        <v>20</v>
      </c>
      <c r="AS124" s="134">
        <v>52</v>
      </c>
      <c r="AT124" s="136">
        <v>0.38461538461538464</v>
      </c>
      <c r="AU124" s="134">
        <v>4</v>
      </c>
      <c r="AV124" s="134">
        <v>8</v>
      </c>
      <c r="AW124" s="136">
        <v>0.5</v>
      </c>
    </row>
    <row r="125" spans="1:80" x14ac:dyDescent="0.25">
      <c r="A125" s="131" t="s">
        <v>45</v>
      </c>
      <c r="B125" s="131" t="s">
        <v>58</v>
      </c>
      <c r="C125" s="132">
        <v>1830.8541666666699</v>
      </c>
      <c r="D125" s="131" t="s">
        <v>65</v>
      </c>
      <c r="E125" s="131" t="s">
        <v>25</v>
      </c>
      <c r="F125" s="131" t="s">
        <v>41</v>
      </c>
      <c r="G125" s="131">
        <v>1</v>
      </c>
      <c r="H125" s="131">
        <v>8</v>
      </c>
      <c r="I125" s="131">
        <v>6</v>
      </c>
      <c r="J125" s="131">
        <v>1</v>
      </c>
      <c r="K125" s="131">
        <v>4</v>
      </c>
      <c r="L125" s="131">
        <v>0</v>
      </c>
      <c r="M125" s="131">
        <v>2</v>
      </c>
      <c r="N125" s="131">
        <v>0</v>
      </c>
      <c r="O125" s="131">
        <v>6</v>
      </c>
      <c r="P125" s="131">
        <v>2</v>
      </c>
      <c r="Q125" s="131">
        <v>3</v>
      </c>
      <c r="R125" s="133">
        <v>0.66666666666666663</v>
      </c>
      <c r="S125" s="131">
        <v>3</v>
      </c>
      <c r="T125" s="131">
        <v>6</v>
      </c>
      <c r="U125" s="133">
        <v>0.5</v>
      </c>
      <c r="V125" s="131">
        <v>0</v>
      </c>
      <c r="W125" s="131">
        <v>1</v>
      </c>
      <c r="X125" s="133">
        <v>0</v>
      </c>
    </row>
    <row r="126" spans="1:80" x14ac:dyDescent="0.25">
      <c r="A126" s="131" t="s">
        <v>45</v>
      </c>
      <c r="B126" s="131" t="s">
        <v>58</v>
      </c>
      <c r="C126" s="132">
        <v>1830.8541666666699</v>
      </c>
      <c r="D126" s="131" t="s">
        <v>65</v>
      </c>
      <c r="E126" s="131" t="s">
        <v>2</v>
      </c>
      <c r="F126" s="131" t="s">
        <v>41</v>
      </c>
      <c r="G126" s="131">
        <v>1</v>
      </c>
      <c r="H126" s="131">
        <v>21</v>
      </c>
      <c r="I126" s="131">
        <v>8</v>
      </c>
      <c r="J126" s="131">
        <v>3</v>
      </c>
      <c r="K126" s="131">
        <v>1</v>
      </c>
      <c r="L126" s="131">
        <v>0</v>
      </c>
      <c r="M126" s="131">
        <v>1</v>
      </c>
      <c r="N126" s="131">
        <v>0</v>
      </c>
      <c r="O126" s="131">
        <v>8</v>
      </c>
      <c r="P126" s="131">
        <v>1</v>
      </c>
      <c r="Q126" s="131">
        <v>11</v>
      </c>
      <c r="R126" s="133">
        <v>9.0909090909090912E-2</v>
      </c>
      <c r="S126" s="131">
        <v>9</v>
      </c>
      <c r="T126" s="131">
        <v>21</v>
      </c>
      <c r="U126" s="133">
        <v>0.42857142857142855</v>
      </c>
      <c r="V126" s="131">
        <v>2</v>
      </c>
      <c r="W126" s="131">
        <v>2</v>
      </c>
      <c r="X126" s="133">
        <v>1</v>
      </c>
    </row>
    <row r="127" spans="1:80" x14ac:dyDescent="0.25">
      <c r="A127" s="131" t="s">
        <v>45</v>
      </c>
      <c r="B127" s="131" t="s">
        <v>58</v>
      </c>
      <c r="C127" s="132">
        <v>1830.8541666666699</v>
      </c>
      <c r="D127" s="131" t="s">
        <v>65</v>
      </c>
      <c r="E127" s="131" t="s">
        <v>32</v>
      </c>
      <c r="F127" s="131" t="s">
        <v>41</v>
      </c>
      <c r="G127" s="131">
        <v>1</v>
      </c>
      <c r="H127" s="131">
        <v>7</v>
      </c>
      <c r="I127" s="131">
        <v>4</v>
      </c>
      <c r="J127" s="131">
        <v>0</v>
      </c>
      <c r="K127" s="131">
        <v>1</v>
      </c>
      <c r="L127" s="131">
        <v>0</v>
      </c>
      <c r="M127" s="131">
        <v>1</v>
      </c>
      <c r="N127" s="131">
        <v>1</v>
      </c>
      <c r="O127" s="131">
        <v>3</v>
      </c>
      <c r="P127" s="131">
        <v>1</v>
      </c>
      <c r="Q127" s="131">
        <v>2</v>
      </c>
      <c r="R127" s="133">
        <v>0.5</v>
      </c>
      <c r="S127" s="131">
        <v>3</v>
      </c>
      <c r="T127" s="131">
        <v>9</v>
      </c>
      <c r="U127" s="133">
        <v>0.33333333333333331</v>
      </c>
      <c r="V127" s="131">
        <v>0</v>
      </c>
      <c r="W127" s="131">
        <v>0</v>
      </c>
      <c r="X127" s="133" t="s">
        <v>120</v>
      </c>
    </row>
    <row r="128" spans="1:80" x14ac:dyDescent="0.25">
      <c r="A128" s="131" t="s">
        <v>45</v>
      </c>
      <c r="B128" s="131" t="s">
        <v>58</v>
      </c>
      <c r="C128" s="132">
        <v>1830.8541666666699</v>
      </c>
      <c r="D128" s="131" t="s">
        <v>65</v>
      </c>
      <c r="E128" s="131" t="s">
        <v>30</v>
      </c>
      <c r="F128" s="131" t="s">
        <v>41</v>
      </c>
      <c r="G128" s="131">
        <v>1</v>
      </c>
      <c r="H128" s="131">
        <v>8</v>
      </c>
      <c r="I128" s="131">
        <v>4</v>
      </c>
      <c r="J128" s="131">
        <v>0</v>
      </c>
      <c r="K128" s="131">
        <v>1</v>
      </c>
      <c r="L128" s="131">
        <v>0</v>
      </c>
      <c r="M128" s="131">
        <v>2</v>
      </c>
      <c r="N128" s="131">
        <v>2</v>
      </c>
      <c r="O128" s="131">
        <v>2</v>
      </c>
      <c r="P128" s="131">
        <v>2</v>
      </c>
      <c r="Q128" s="131">
        <v>4</v>
      </c>
      <c r="R128" s="133">
        <v>0.5</v>
      </c>
      <c r="S128" s="131">
        <v>3</v>
      </c>
      <c r="T128" s="131">
        <v>5</v>
      </c>
      <c r="U128" s="133">
        <v>0.6</v>
      </c>
      <c r="V128" s="131">
        <v>0</v>
      </c>
      <c r="W128" s="131">
        <v>0</v>
      </c>
      <c r="X128" s="133" t="s">
        <v>120</v>
      </c>
    </row>
    <row r="129" spans="1:75" x14ac:dyDescent="0.25">
      <c r="A129" s="131" t="s">
        <v>45</v>
      </c>
      <c r="B129" s="131" t="s">
        <v>58</v>
      </c>
      <c r="C129" s="132">
        <v>1830.8541666666699</v>
      </c>
      <c r="D129" s="131" t="s">
        <v>65</v>
      </c>
      <c r="E129" s="131" t="s">
        <v>100</v>
      </c>
      <c r="F129" s="131" t="s">
        <v>119</v>
      </c>
      <c r="G129" s="131">
        <v>1</v>
      </c>
      <c r="H129" s="131">
        <v>0</v>
      </c>
      <c r="I129" s="131">
        <v>5</v>
      </c>
      <c r="J129" s="131">
        <v>1</v>
      </c>
      <c r="K129" s="131">
        <v>1</v>
      </c>
      <c r="L129" s="131">
        <v>0</v>
      </c>
      <c r="M129" s="131">
        <v>1</v>
      </c>
      <c r="N129" s="131">
        <v>4</v>
      </c>
      <c r="O129" s="131">
        <v>1</v>
      </c>
      <c r="P129" s="131">
        <v>0</v>
      </c>
      <c r="Q129" s="131">
        <v>2</v>
      </c>
      <c r="R129" s="133">
        <v>0</v>
      </c>
      <c r="S129" s="131">
        <v>0</v>
      </c>
      <c r="T129" s="131">
        <v>3</v>
      </c>
      <c r="U129" s="133">
        <v>0</v>
      </c>
      <c r="V129" s="131">
        <v>0</v>
      </c>
      <c r="W129" s="131">
        <v>0</v>
      </c>
      <c r="X129" s="133" t="s">
        <v>120</v>
      </c>
    </row>
    <row r="130" spans="1:75" x14ac:dyDescent="0.25">
      <c r="A130" s="131" t="s">
        <v>45</v>
      </c>
      <c r="B130" s="131" t="s">
        <v>58</v>
      </c>
      <c r="C130" s="132">
        <v>1830.8541666666699</v>
      </c>
      <c r="D130" s="131" t="s">
        <v>65</v>
      </c>
      <c r="E130" s="131" t="s">
        <v>24</v>
      </c>
      <c r="F130" s="131" t="s">
        <v>119</v>
      </c>
      <c r="G130" s="131">
        <v>1</v>
      </c>
      <c r="H130" s="131">
        <v>6</v>
      </c>
      <c r="I130" s="131">
        <v>0</v>
      </c>
      <c r="J130" s="131">
        <v>0</v>
      </c>
      <c r="K130" s="131">
        <v>0</v>
      </c>
      <c r="L130" s="131">
        <v>0</v>
      </c>
      <c r="M130" s="131">
        <v>1</v>
      </c>
      <c r="N130" s="131">
        <v>0</v>
      </c>
      <c r="O130" s="131">
        <v>0</v>
      </c>
      <c r="P130" s="131">
        <v>0</v>
      </c>
      <c r="Q130" s="131">
        <v>0</v>
      </c>
      <c r="R130" s="133" t="s">
        <v>120</v>
      </c>
      <c r="S130" s="131">
        <v>3</v>
      </c>
      <c r="T130" s="131">
        <v>3</v>
      </c>
      <c r="U130" s="133">
        <v>1</v>
      </c>
      <c r="V130" s="131">
        <v>0</v>
      </c>
      <c r="W130" s="131">
        <v>0</v>
      </c>
      <c r="X130" s="133" t="s">
        <v>120</v>
      </c>
    </row>
    <row r="131" spans="1:75" x14ac:dyDescent="0.25">
      <c r="A131" s="131" t="s">
        <v>45</v>
      </c>
      <c r="B131" s="131" t="s">
        <v>58</v>
      </c>
      <c r="C131" s="132">
        <v>1830.8541666666699</v>
      </c>
      <c r="D131" s="131" t="s">
        <v>65</v>
      </c>
      <c r="E131" s="131" t="s">
        <v>9</v>
      </c>
      <c r="F131" s="131" t="s">
        <v>119</v>
      </c>
      <c r="G131" s="131">
        <v>1</v>
      </c>
      <c r="H131" s="131">
        <v>18</v>
      </c>
      <c r="I131" s="131">
        <v>10</v>
      </c>
      <c r="J131" s="131">
        <v>3</v>
      </c>
      <c r="K131" s="131">
        <v>0</v>
      </c>
      <c r="L131" s="131">
        <v>0</v>
      </c>
      <c r="M131" s="131">
        <v>1</v>
      </c>
      <c r="N131" s="131">
        <v>0</v>
      </c>
      <c r="O131" s="131">
        <v>10</v>
      </c>
      <c r="P131" s="131">
        <v>3</v>
      </c>
      <c r="Q131" s="131">
        <v>10</v>
      </c>
      <c r="R131" s="133">
        <v>0.3</v>
      </c>
      <c r="S131" s="131">
        <v>7</v>
      </c>
      <c r="T131" s="131">
        <v>15</v>
      </c>
      <c r="U131" s="133">
        <v>0.46666666666666667</v>
      </c>
      <c r="V131" s="131">
        <v>1</v>
      </c>
      <c r="W131" s="131">
        <v>2</v>
      </c>
      <c r="X131" s="133">
        <v>0.5</v>
      </c>
    </row>
    <row r="132" spans="1:75" x14ac:dyDescent="0.25">
      <c r="A132" s="131" t="s">
        <v>45</v>
      </c>
      <c r="B132" s="131" t="s">
        <v>58</v>
      </c>
      <c r="C132" s="132">
        <v>1830.8541666666699</v>
      </c>
      <c r="D132" s="131" t="s">
        <v>65</v>
      </c>
      <c r="E132" s="131" t="s">
        <v>18</v>
      </c>
      <c r="F132" s="131" t="s">
        <v>119</v>
      </c>
      <c r="G132" s="131">
        <v>1</v>
      </c>
      <c r="H132" s="131">
        <v>2</v>
      </c>
      <c r="I132" s="131">
        <v>6</v>
      </c>
      <c r="J132" s="131">
        <v>0</v>
      </c>
      <c r="K132" s="131">
        <v>0</v>
      </c>
      <c r="L132" s="131">
        <v>0</v>
      </c>
      <c r="M132" s="131">
        <v>1</v>
      </c>
      <c r="N132" s="131">
        <v>1</v>
      </c>
      <c r="O132" s="131">
        <v>5</v>
      </c>
      <c r="P132" s="131">
        <v>0</v>
      </c>
      <c r="Q132" s="131">
        <v>2</v>
      </c>
      <c r="R132" s="133">
        <v>0</v>
      </c>
      <c r="S132" s="131">
        <v>1</v>
      </c>
      <c r="T132" s="131">
        <v>4</v>
      </c>
      <c r="U132" s="133">
        <v>0.25</v>
      </c>
      <c r="V132" s="131">
        <v>0</v>
      </c>
      <c r="W132" s="131">
        <v>0</v>
      </c>
      <c r="X132" s="133" t="s">
        <v>120</v>
      </c>
    </row>
    <row r="133" spans="1:75" x14ac:dyDescent="0.25">
      <c r="A133" s="131" t="s">
        <v>45</v>
      </c>
      <c r="B133" s="131" t="s">
        <v>58</v>
      </c>
      <c r="C133" s="132">
        <v>1830.8541666666699</v>
      </c>
      <c r="D133" s="131" t="s">
        <v>65</v>
      </c>
      <c r="E133" s="131" t="s">
        <v>1</v>
      </c>
      <c r="F133" s="131" t="s">
        <v>119</v>
      </c>
      <c r="G133" s="131">
        <v>1</v>
      </c>
      <c r="H133" s="131">
        <v>21</v>
      </c>
      <c r="I133" s="131">
        <v>11</v>
      </c>
      <c r="J133" s="131">
        <v>5</v>
      </c>
      <c r="K133" s="131">
        <v>1</v>
      </c>
      <c r="L133" s="131">
        <v>0</v>
      </c>
      <c r="M133" s="131">
        <v>9</v>
      </c>
      <c r="N133" s="131">
        <v>5</v>
      </c>
      <c r="O133" s="131">
        <v>6</v>
      </c>
      <c r="P133" s="131">
        <v>2</v>
      </c>
      <c r="Q133" s="131">
        <v>5</v>
      </c>
      <c r="R133" s="133">
        <v>0.4</v>
      </c>
      <c r="S133" s="131">
        <v>8</v>
      </c>
      <c r="T133" s="131">
        <v>24</v>
      </c>
      <c r="U133" s="133">
        <v>0.33333333333333331</v>
      </c>
      <c r="V133" s="131">
        <v>3</v>
      </c>
      <c r="W133" s="131">
        <v>6</v>
      </c>
      <c r="X133" s="133">
        <v>0.5</v>
      </c>
    </row>
    <row r="134" spans="1:75" x14ac:dyDescent="0.25">
      <c r="A134" s="131" t="s">
        <v>45</v>
      </c>
      <c r="B134" s="131" t="s">
        <v>58</v>
      </c>
      <c r="C134" s="132">
        <v>1830.8541666666699</v>
      </c>
      <c r="D134" s="131" t="s">
        <v>65</v>
      </c>
      <c r="E134" s="131" t="s">
        <v>36</v>
      </c>
      <c r="F134" s="131" t="s">
        <v>119</v>
      </c>
      <c r="G134" s="131">
        <v>1</v>
      </c>
      <c r="H134" s="131">
        <v>2</v>
      </c>
      <c r="I134" s="131">
        <v>2</v>
      </c>
      <c r="J134" s="131">
        <v>0</v>
      </c>
      <c r="K134" s="131">
        <v>1</v>
      </c>
      <c r="L134" s="131">
        <v>2</v>
      </c>
      <c r="M134" s="131">
        <v>1</v>
      </c>
      <c r="N134" s="131">
        <v>0</v>
      </c>
      <c r="O134" s="131">
        <v>2</v>
      </c>
      <c r="P134" s="131">
        <v>0</v>
      </c>
      <c r="Q134" s="131">
        <v>2</v>
      </c>
      <c r="R134" s="133">
        <v>0</v>
      </c>
      <c r="S134" s="131">
        <v>1</v>
      </c>
      <c r="T134" s="131">
        <v>3</v>
      </c>
      <c r="U134" s="133">
        <v>0.33333333333333331</v>
      </c>
      <c r="V134" s="131">
        <v>0</v>
      </c>
      <c r="W134" s="131">
        <v>0</v>
      </c>
      <c r="X134" s="133" t="s">
        <v>120</v>
      </c>
    </row>
    <row r="135" spans="1:75" x14ac:dyDescent="0.25">
      <c r="A135" s="131" t="s">
        <v>157</v>
      </c>
      <c r="B135" s="131" t="s">
        <v>157</v>
      </c>
      <c r="C135" s="132" t="s">
        <v>157</v>
      </c>
      <c r="D135" s="131" t="s">
        <v>157</v>
      </c>
      <c r="E135" s="131" t="s">
        <v>157</v>
      </c>
      <c r="F135" s="131" t="s">
        <v>157</v>
      </c>
      <c r="G135" s="131" t="s">
        <v>157</v>
      </c>
      <c r="H135" s="131" t="s">
        <v>157</v>
      </c>
      <c r="I135" s="131" t="s">
        <v>157</v>
      </c>
      <c r="J135" s="131" t="s">
        <v>157</v>
      </c>
      <c r="K135" s="131" t="s">
        <v>157</v>
      </c>
      <c r="L135" s="131" t="s">
        <v>157</v>
      </c>
      <c r="M135" s="131" t="s">
        <v>157</v>
      </c>
      <c r="N135" s="131" t="s">
        <v>157</v>
      </c>
      <c r="O135" s="131" t="s">
        <v>157</v>
      </c>
      <c r="P135" s="131" t="s">
        <v>157</v>
      </c>
      <c r="Q135" s="131" t="s">
        <v>157</v>
      </c>
      <c r="R135" s="133" t="s">
        <v>157</v>
      </c>
      <c r="S135" s="131" t="s">
        <v>157</v>
      </c>
      <c r="T135" s="131" t="s">
        <v>157</v>
      </c>
      <c r="U135" s="133" t="s">
        <v>157</v>
      </c>
      <c r="V135" s="131" t="s">
        <v>157</v>
      </c>
      <c r="W135" s="131" t="s">
        <v>157</v>
      </c>
      <c r="X135" s="133" t="s">
        <v>157</v>
      </c>
    </row>
    <row r="136" spans="1:75" x14ac:dyDescent="0.25">
      <c r="A136" s="131" t="s">
        <v>157</v>
      </c>
      <c r="B136" s="131" t="s">
        <v>157</v>
      </c>
      <c r="C136" s="132" t="s">
        <v>157</v>
      </c>
      <c r="D136" s="131" t="s">
        <v>157</v>
      </c>
      <c r="E136" s="131" t="s">
        <v>157</v>
      </c>
      <c r="F136" s="131" t="s">
        <v>157</v>
      </c>
      <c r="G136" s="131" t="s">
        <v>157</v>
      </c>
      <c r="H136" s="131" t="s">
        <v>157</v>
      </c>
      <c r="I136" s="131" t="s">
        <v>157</v>
      </c>
      <c r="J136" s="131" t="s">
        <v>157</v>
      </c>
      <c r="K136" s="131" t="s">
        <v>157</v>
      </c>
      <c r="L136" s="131" t="s">
        <v>157</v>
      </c>
      <c r="M136" s="131" t="s">
        <v>157</v>
      </c>
      <c r="N136" s="131" t="s">
        <v>157</v>
      </c>
      <c r="O136" s="131" t="s">
        <v>157</v>
      </c>
      <c r="P136" s="131" t="s">
        <v>157</v>
      </c>
      <c r="Q136" s="131" t="s">
        <v>157</v>
      </c>
      <c r="R136" s="133" t="s">
        <v>157</v>
      </c>
      <c r="S136" s="131" t="s">
        <v>157</v>
      </c>
      <c r="T136" s="131" t="s">
        <v>157</v>
      </c>
      <c r="U136" s="133" t="s">
        <v>157</v>
      </c>
      <c r="V136" s="131" t="s">
        <v>157</v>
      </c>
      <c r="W136" s="131" t="s">
        <v>157</v>
      </c>
      <c r="X136" s="133" t="s">
        <v>157</v>
      </c>
    </row>
    <row r="137" spans="1:75" x14ac:dyDescent="0.25">
      <c r="A137" s="131" t="s">
        <v>157</v>
      </c>
      <c r="B137" s="131" t="s">
        <v>157</v>
      </c>
      <c r="C137" s="132" t="s">
        <v>157</v>
      </c>
      <c r="D137" s="131" t="s">
        <v>157</v>
      </c>
      <c r="E137" s="131" t="s">
        <v>157</v>
      </c>
      <c r="F137" s="131" t="s">
        <v>157</v>
      </c>
      <c r="G137" s="131" t="s">
        <v>157</v>
      </c>
      <c r="H137" s="131" t="s">
        <v>157</v>
      </c>
      <c r="I137" s="131" t="s">
        <v>157</v>
      </c>
      <c r="J137" s="131" t="s">
        <v>157</v>
      </c>
      <c r="K137" s="131" t="s">
        <v>157</v>
      </c>
      <c r="L137" s="131" t="s">
        <v>157</v>
      </c>
      <c r="M137" s="131" t="s">
        <v>157</v>
      </c>
      <c r="N137" s="131" t="s">
        <v>157</v>
      </c>
      <c r="O137" s="131" t="s">
        <v>157</v>
      </c>
      <c r="P137" s="131" t="s">
        <v>157</v>
      </c>
      <c r="Q137" s="131" t="s">
        <v>157</v>
      </c>
      <c r="R137" s="133" t="s">
        <v>157</v>
      </c>
      <c r="S137" s="131" t="s">
        <v>157</v>
      </c>
      <c r="T137" s="131" t="s">
        <v>157</v>
      </c>
      <c r="U137" s="133" t="s">
        <v>157</v>
      </c>
      <c r="V137" s="131" t="s">
        <v>157</v>
      </c>
      <c r="W137" s="131" t="s">
        <v>157</v>
      </c>
      <c r="X137" s="133" t="s">
        <v>157</v>
      </c>
    </row>
    <row r="138" spans="1:75" x14ac:dyDescent="0.25">
      <c r="A138" s="131" t="s">
        <v>45</v>
      </c>
      <c r="B138" s="131" t="s">
        <v>59</v>
      </c>
      <c r="C138" s="132">
        <v>1830.7708333333333</v>
      </c>
      <c r="D138" s="131" t="s">
        <v>65</v>
      </c>
      <c r="E138" s="131" t="s">
        <v>2</v>
      </c>
      <c r="F138" s="131" t="s">
        <v>41</v>
      </c>
      <c r="G138" s="131">
        <v>1</v>
      </c>
      <c r="H138" s="131">
        <v>28</v>
      </c>
      <c r="I138" s="131">
        <v>5</v>
      </c>
      <c r="J138" s="131">
        <v>2</v>
      </c>
      <c r="K138" s="131">
        <v>4</v>
      </c>
      <c r="L138" s="131">
        <v>1</v>
      </c>
      <c r="M138" s="131">
        <v>3</v>
      </c>
      <c r="N138" s="131">
        <v>1</v>
      </c>
      <c r="O138" s="131">
        <v>4</v>
      </c>
      <c r="P138" s="131">
        <v>6</v>
      </c>
      <c r="Q138" s="131">
        <v>11</v>
      </c>
      <c r="R138" s="133">
        <v>0.54545454545454541</v>
      </c>
      <c r="S138" s="131">
        <v>11</v>
      </c>
      <c r="T138" s="131">
        <v>21</v>
      </c>
      <c r="U138" s="133">
        <v>0.52380952380952384</v>
      </c>
      <c r="V138" s="131">
        <v>0</v>
      </c>
      <c r="W138" s="131">
        <v>0</v>
      </c>
      <c r="X138" s="133" t="s">
        <v>120</v>
      </c>
      <c r="Z138" s="134" t="s">
        <v>45</v>
      </c>
      <c r="AA138" s="134" t="s">
        <v>59</v>
      </c>
      <c r="AB138" s="135">
        <v>1830.7708333333333</v>
      </c>
      <c r="AC138" s="134" t="s">
        <v>65</v>
      </c>
      <c r="AD138" s="134" t="s">
        <v>41</v>
      </c>
      <c r="AE138" s="134" t="s">
        <v>174</v>
      </c>
      <c r="AF138" s="134">
        <v>1</v>
      </c>
      <c r="AG138" s="134">
        <v>59</v>
      </c>
      <c r="AH138" s="134">
        <v>33</v>
      </c>
      <c r="AI138" s="134">
        <v>9</v>
      </c>
      <c r="AJ138" s="134">
        <v>11</v>
      </c>
      <c r="AK138" s="134">
        <v>2</v>
      </c>
      <c r="AL138" s="134">
        <v>8</v>
      </c>
      <c r="AM138" s="134">
        <v>10</v>
      </c>
      <c r="AN138" s="134">
        <v>23</v>
      </c>
      <c r="AO138" s="134">
        <v>11</v>
      </c>
      <c r="AP138" s="134">
        <v>27</v>
      </c>
      <c r="AQ138" s="136">
        <v>0.40740740740740738</v>
      </c>
      <c r="AR138" s="134">
        <v>23</v>
      </c>
      <c r="AS138" s="134">
        <v>60</v>
      </c>
      <c r="AT138" s="136">
        <v>0.38333333333333336</v>
      </c>
      <c r="AU138" s="134">
        <v>2</v>
      </c>
      <c r="AV138" s="134">
        <v>4</v>
      </c>
      <c r="AW138" s="136">
        <v>0.5</v>
      </c>
      <c r="AY138" s="134" t="s">
        <v>45</v>
      </c>
      <c r="AZ138" s="134" t="s">
        <v>59</v>
      </c>
      <c r="BA138" s="135">
        <v>1830.7708333333333</v>
      </c>
      <c r="BB138" s="134" t="s">
        <v>65</v>
      </c>
      <c r="BC138" s="134" t="s">
        <v>89</v>
      </c>
      <c r="BD138" s="134"/>
      <c r="BE138" s="134">
        <v>1</v>
      </c>
      <c r="BF138" s="134">
        <v>107</v>
      </c>
      <c r="BG138" s="134">
        <v>64</v>
      </c>
      <c r="BH138" s="134">
        <v>17</v>
      </c>
      <c r="BI138" s="134">
        <v>19</v>
      </c>
      <c r="BJ138" s="134">
        <v>6</v>
      </c>
      <c r="BK138" s="134">
        <v>20</v>
      </c>
      <c r="BL138" s="134">
        <v>16</v>
      </c>
      <c r="BM138" s="134">
        <v>48</v>
      </c>
      <c r="BN138" s="134">
        <v>17</v>
      </c>
      <c r="BO138" s="134">
        <v>50</v>
      </c>
      <c r="BP138" s="136">
        <v>0.34</v>
      </c>
      <c r="BQ138" s="134">
        <v>41</v>
      </c>
      <c r="BR138" s="134">
        <v>108</v>
      </c>
      <c r="BS138" s="136">
        <v>0.37962962962962965</v>
      </c>
      <c r="BT138" s="134">
        <v>8</v>
      </c>
      <c r="BU138" s="134">
        <v>12</v>
      </c>
      <c r="BV138" s="136">
        <v>0.66666666666666663</v>
      </c>
      <c r="BW138" s="174" t="s">
        <v>168</v>
      </c>
    </row>
    <row r="139" spans="1:75" x14ac:dyDescent="0.25">
      <c r="A139" s="131" t="s">
        <v>45</v>
      </c>
      <c r="B139" s="131" t="s">
        <v>59</v>
      </c>
      <c r="C139" s="132">
        <v>1830.7708333333333</v>
      </c>
      <c r="D139" s="131" t="s">
        <v>65</v>
      </c>
      <c r="E139" s="131" t="s">
        <v>13</v>
      </c>
      <c r="F139" s="131" t="s">
        <v>41</v>
      </c>
      <c r="G139" s="131">
        <v>1</v>
      </c>
      <c r="H139" s="131">
        <v>5</v>
      </c>
      <c r="I139" s="131">
        <v>2</v>
      </c>
      <c r="J139" s="131">
        <v>2</v>
      </c>
      <c r="K139" s="131">
        <v>0</v>
      </c>
      <c r="L139" s="131">
        <v>0</v>
      </c>
      <c r="M139" s="131">
        <v>2</v>
      </c>
      <c r="N139" s="131">
        <v>0</v>
      </c>
      <c r="O139" s="131">
        <v>2</v>
      </c>
      <c r="P139" s="131">
        <v>1</v>
      </c>
      <c r="Q139" s="131">
        <v>3</v>
      </c>
      <c r="R139" s="133">
        <v>0.33333333333333331</v>
      </c>
      <c r="S139" s="131">
        <v>2</v>
      </c>
      <c r="T139" s="131">
        <v>10</v>
      </c>
      <c r="U139" s="133">
        <v>0.2</v>
      </c>
      <c r="V139" s="131">
        <v>0</v>
      </c>
      <c r="W139" s="131">
        <v>0</v>
      </c>
      <c r="X139" s="133" t="s">
        <v>120</v>
      </c>
      <c r="Z139" s="134" t="s">
        <v>45</v>
      </c>
      <c r="AA139" s="134" t="s">
        <v>59</v>
      </c>
      <c r="AB139" s="135">
        <v>1830.7708333333333</v>
      </c>
      <c r="AC139" s="134" t="s">
        <v>65</v>
      </c>
      <c r="AD139" s="134" t="s">
        <v>40</v>
      </c>
      <c r="AE139" s="134" t="s">
        <v>175</v>
      </c>
      <c r="AF139" s="134">
        <v>1</v>
      </c>
      <c r="AG139" s="134">
        <v>48</v>
      </c>
      <c r="AH139" s="134">
        <v>31</v>
      </c>
      <c r="AI139" s="134">
        <v>8</v>
      </c>
      <c r="AJ139" s="134">
        <v>8</v>
      </c>
      <c r="AK139" s="134">
        <v>4</v>
      </c>
      <c r="AL139" s="134">
        <v>12</v>
      </c>
      <c r="AM139" s="134">
        <v>6</v>
      </c>
      <c r="AN139" s="134">
        <v>25</v>
      </c>
      <c r="AO139" s="134">
        <v>6</v>
      </c>
      <c r="AP139" s="134">
        <v>23</v>
      </c>
      <c r="AQ139" s="136">
        <v>0.2608695652173913</v>
      </c>
      <c r="AR139" s="134">
        <v>18</v>
      </c>
      <c r="AS139" s="134">
        <v>48</v>
      </c>
      <c r="AT139" s="136">
        <v>0.375</v>
      </c>
      <c r="AU139" s="134">
        <v>6</v>
      </c>
      <c r="AV139" s="134">
        <v>8</v>
      </c>
      <c r="AW139" s="136">
        <v>0.75</v>
      </c>
    </row>
    <row r="140" spans="1:75" x14ac:dyDescent="0.25">
      <c r="A140" s="131" t="s">
        <v>45</v>
      </c>
      <c r="B140" s="131" t="s">
        <v>59</v>
      </c>
      <c r="C140" s="132">
        <v>1830.7708333333333</v>
      </c>
      <c r="D140" s="131" t="s">
        <v>65</v>
      </c>
      <c r="E140" s="131" t="s">
        <v>25</v>
      </c>
      <c r="F140" s="131" t="s">
        <v>41</v>
      </c>
      <c r="G140" s="131">
        <v>1</v>
      </c>
      <c r="H140" s="131">
        <v>7</v>
      </c>
      <c r="I140" s="131">
        <v>8</v>
      </c>
      <c r="J140" s="131">
        <v>0</v>
      </c>
      <c r="K140" s="131">
        <v>1</v>
      </c>
      <c r="L140" s="131">
        <v>0</v>
      </c>
      <c r="M140" s="131">
        <v>1</v>
      </c>
      <c r="N140" s="131">
        <v>0</v>
      </c>
      <c r="O140" s="131">
        <v>8</v>
      </c>
      <c r="P140" s="131">
        <v>0</v>
      </c>
      <c r="Q140" s="131">
        <v>4</v>
      </c>
      <c r="R140" s="133">
        <v>0</v>
      </c>
      <c r="S140" s="131">
        <v>3</v>
      </c>
      <c r="T140" s="131">
        <v>10</v>
      </c>
      <c r="U140" s="133">
        <v>0.3</v>
      </c>
      <c r="V140" s="131">
        <v>1</v>
      </c>
      <c r="W140" s="131">
        <v>2</v>
      </c>
      <c r="X140" s="133">
        <v>0.5</v>
      </c>
    </row>
    <row r="141" spans="1:75" x14ac:dyDescent="0.25">
      <c r="A141" s="131" t="s">
        <v>45</v>
      </c>
      <c r="B141" s="131" t="s">
        <v>59</v>
      </c>
      <c r="C141" s="132">
        <v>1830.7708333333333</v>
      </c>
      <c r="D141" s="131" t="s">
        <v>65</v>
      </c>
      <c r="E141" s="131" t="s">
        <v>28</v>
      </c>
      <c r="F141" s="131" t="s">
        <v>41</v>
      </c>
      <c r="G141" s="131">
        <v>1</v>
      </c>
      <c r="H141" s="131">
        <v>9</v>
      </c>
      <c r="I141" s="131">
        <v>3</v>
      </c>
      <c r="J141" s="131">
        <v>2</v>
      </c>
      <c r="K141" s="131">
        <v>3</v>
      </c>
      <c r="L141" s="131">
        <v>0</v>
      </c>
      <c r="M141" s="131">
        <v>0</v>
      </c>
      <c r="N141" s="131">
        <v>2</v>
      </c>
      <c r="O141" s="131">
        <v>1</v>
      </c>
      <c r="P141" s="131">
        <v>2</v>
      </c>
      <c r="Q141" s="131">
        <v>4</v>
      </c>
      <c r="R141" s="133">
        <v>0.5</v>
      </c>
      <c r="S141" s="131">
        <v>3</v>
      </c>
      <c r="T141" s="131">
        <v>5</v>
      </c>
      <c r="U141" s="133">
        <v>0.6</v>
      </c>
      <c r="V141" s="131">
        <v>1</v>
      </c>
      <c r="W141" s="131">
        <v>2</v>
      </c>
      <c r="X141" s="133">
        <v>0.5</v>
      </c>
    </row>
    <row r="142" spans="1:75" x14ac:dyDescent="0.25">
      <c r="A142" s="131" t="s">
        <v>45</v>
      </c>
      <c r="B142" s="131" t="s">
        <v>59</v>
      </c>
      <c r="C142" s="132">
        <v>1830.7708333333333</v>
      </c>
      <c r="D142" s="131" t="s">
        <v>65</v>
      </c>
      <c r="E142" s="131" t="s">
        <v>30</v>
      </c>
      <c r="F142" s="131" t="s">
        <v>41</v>
      </c>
      <c r="G142" s="131">
        <v>1</v>
      </c>
      <c r="H142" s="131">
        <v>0</v>
      </c>
      <c r="I142" s="131">
        <v>4</v>
      </c>
      <c r="J142" s="131">
        <v>0</v>
      </c>
      <c r="K142" s="131">
        <v>1</v>
      </c>
      <c r="L142" s="131">
        <v>0</v>
      </c>
      <c r="M142" s="131">
        <v>1</v>
      </c>
      <c r="N142" s="131">
        <v>1</v>
      </c>
      <c r="O142" s="131">
        <v>3</v>
      </c>
      <c r="P142" s="131">
        <v>0</v>
      </c>
      <c r="Q142" s="131">
        <v>1</v>
      </c>
      <c r="R142" s="133">
        <v>0</v>
      </c>
      <c r="S142" s="131">
        <v>0</v>
      </c>
      <c r="T142" s="131">
        <v>3</v>
      </c>
      <c r="U142" s="133">
        <v>0</v>
      </c>
      <c r="V142" s="131">
        <v>0</v>
      </c>
      <c r="W142" s="131">
        <v>0</v>
      </c>
      <c r="X142" s="133" t="s">
        <v>120</v>
      </c>
    </row>
    <row r="143" spans="1:75" x14ac:dyDescent="0.25">
      <c r="A143" s="131" t="s">
        <v>45</v>
      </c>
      <c r="B143" s="131" t="s">
        <v>59</v>
      </c>
      <c r="C143" s="132">
        <v>1830.7708333333333</v>
      </c>
      <c r="D143" s="131" t="s">
        <v>65</v>
      </c>
      <c r="E143" s="131" t="s">
        <v>32</v>
      </c>
      <c r="F143" s="131" t="s">
        <v>41</v>
      </c>
      <c r="G143" s="131">
        <v>1</v>
      </c>
      <c r="H143" s="131">
        <v>10</v>
      </c>
      <c r="I143" s="131">
        <v>11</v>
      </c>
      <c r="J143" s="131">
        <v>3</v>
      </c>
      <c r="K143" s="131">
        <v>2</v>
      </c>
      <c r="L143" s="131">
        <v>1</v>
      </c>
      <c r="M143" s="131">
        <v>1</v>
      </c>
      <c r="N143" s="131">
        <v>6</v>
      </c>
      <c r="O143" s="131">
        <v>5</v>
      </c>
      <c r="P143" s="131">
        <v>2</v>
      </c>
      <c r="Q143" s="131">
        <v>4</v>
      </c>
      <c r="R143" s="133">
        <v>0.5</v>
      </c>
      <c r="S143" s="131">
        <v>4</v>
      </c>
      <c r="T143" s="131">
        <v>11</v>
      </c>
      <c r="U143" s="133">
        <v>0.36363636363636365</v>
      </c>
      <c r="V143" s="131">
        <v>0</v>
      </c>
      <c r="W143" s="131">
        <v>0</v>
      </c>
      <c r="X143" s="133" t="s">
        <v>120</v>
      </c>
    </row>
    <row r="144" spans="1:75" x14ac:dyDescent="0.25">
      <c r="A144" s="131" t="s">
        <v>45</v>
      </c>
      <c r="B144" s="131" t="s">
        <v>59</v>
      </c>
      <c r="C144" s="132">
        <v>1830.7708333333333</v>
      </c>
      <c r="D144" s="131" t="s">
        <v>65</v>
      </c>
      <c r="E144" s="131" t="s">
        <v>7</v>
      </c>
      <c r="F144" s="131" t="s">
        <v>40</v>
      </c>
      <c r="G144" s="131">
        <v>1</v>
      </c>
      <c r="H144" s="131">
        <v>19</v>
      </c>
      <c r="I144" s="131">
        <v>1</v>
      </c>
      <c r="J144" s="131">
        <v>2</v>
      </c>
      <c r="K144" s="131">
        <v>1</v>
      </c>
      <c r="L144" s="131">
        <v>0</v>
      </c>
      <c r="M144" s="131">
        <v>3</v>
      </c>
      <c r="N144" s="131">
        <v>0</v>
      </c>
      <c r="O144" s="131">
        <v>1</v>
      </c>
      <c r="P144" s="131">
        <v>3</v>
      </c>
      <c r="Q144" s="131">
        <v>11</v>
      </c>
      <c r="R144" s="133">
        <v>0.27272727272727271</v>
      </c>
      <c r="S144" s="131">
        <v>7</v>
      </c>
      <c r="T144" s="131">
        <v>16</v>
      </c>
      <c r="U144" s="133">
        <v>0.4375</v>
      </c>
      <c r="V144" s="131">
        <v>2</v>
      </c>
      <c r="W144" s="131">
        <v>3</v>
      </c>
      <c r="X144" s="133">
        <v>0.66666666666666663</v>
      </c>
    </row>
    <row r="145" spans="1:75" x14ac:dyDescent="0.25">
      <c r="A145" s="131" t="s">
        <v>45</v>
      </c>
      <c r="B145" s="131" t="s">
        <v>59</v>
      </c>
      <c r="C145" s="132">
        <v>1830.7708333333333</v>
      </c>
      <c r="D145" s="131" t="s">
        <v>65</v>
      </c>
      <c r="E145" s="131" t="s">
        <v>16</v>
      </c>
      <c r="F145" s="131" t="s">
        <v>40</v>
      </c>
      <c r="G145" s="131">
        <v>1</v>
      </c>
      <c r="H145" s="131">
        <v>2</v>
      </c>
      <c r="I145" s="131">
        <v>4</v>
      </c>
      <c r="J145" s="131">
        <v>1</v>
      </c>
      <c r="K145" s="131">
        <v>0</v>
      </c>
      <c r="L145" s="131">
        <v>1</v>
      </c>
      <c r="M145" s="131">
        <v>1</v>
      </c>
      <c r="N145" s="131">
        <v>1</v>
      </c>
      <c r="O145" s="131">
        <v>3</v>
      </c>
      <c r="P145" s="131">
        <v>0</v>
      </c>
      <c r="Q145" s="131">
        <v>0</v>
      </c>
      <c r="R145" s="133" t="s">
        <v>120</v>
      </c>
      <c r="S145" s="131">
        <v>1</v>
      </c>
      <c r="T145" s="131">
        <v>3</v>
      </c>
      <c r="U145" s="133">
        <v>0.33333333333333331</v>
      </c>
      <c r="V145" s="131">
        <v>0</v>
      </c>
      <c r="W145" s="131">
        <v>0</v>
      </c>
      <c r="X145" s="133" t="s">
        <v>120</v>
      </c>
    </row>
    <row r="146" spans="1:75" x14ac:dyDescent="0.25">
      <c r="A146" s="131" t="s">
        <v>45</v>
      </c>
      <c r="B146" s="131" t="s">
        <v>59</v>
      </c>
      <c r="C146" s="132">
        <v>1830.7708333333333</v>
      </c>
      <c r="D146" s="131" t="s">
        <v>65</v>
      </c>
      <c r="E146" s="131" t="s">
        <v>31</v>
      </c>
      <c r="F146" s="131" t="s">
        <v>40</v>
      </c>
      <c r="G146" s="131">
        <v>1</v>
      </c>
      <c r="H146" s="131">
        <v>19</v>
      </c>
      <c r="I146" s="131">
        <v>10</v>
      </c>
      <c r="J146" s="131">
        <v>1</v>
      </c>
      <c r="K146" s="131">
        <v>2</v>
      </c>
      <c r="L146" s="131">
        <v>1</v>
      </c>
      <c r="M146" s="131">
        <v>2</v>
      </c>
      <c r="N146" s="131">
        <v>3</v>
      </c>
      <c r="O146" s="131">
        <v>7</v>
      </c>
      <c r="P146" s="131">
        <v>1</v>
      </c>
      <c r="Q146" s="131">
        <v>6</v>
      </c>
      <c r="R146" s="133">
        <v>0.16666666666666666</v>
      </c>
      <c r="S146" s="131">
        <v>7</v>
      </c>
      <c r="T146" s="131">
        <v>19</v>
      </c>
      <c r="U146" s="133">
        <v>0.36842105263157893</v>
      </c>
      <c r="V146" s="131">
        <v>4</v>
      </c>
      <c r="W146" s="131">
        <v>5</v>
      </c>
      <c r="X146" s="133">
        <v>0.8</v>
      </c>
    </row>
    <row r="147" spans="1:75" x14ac:dyDescent="0.25">
      <c r="A147" s="131" t="s">
        <v>45</v>
      </c>
      <c r="B147" s="131" t="s">
        <v>59</v>
      </c>
      <c r="C147" s="132">
        <v>1830.7708333333333</v>
      </c>
      <c r="D147" s="131" t="s">
        <v>65</v>
      </c>
      <c r="E147" s="131" t="s">
        <v>27</v>
      </c>
      <c r="F147" s="131" t="s">
        <v>40</v>
      </c>
      <c r="G147" s="131">
        <v>1</v>
      </c>
      <c r="H147" s="131">
        <v>2</v>
      </c>
      <c r="I147" s="131">
        <v>4</v>
      </c>
      <c r="J147" s="131">
        <v>2</v>
      </c>
      <c r="K147" s="131">
        <v>1</v>
      </c>
      <c r="L147" s="131">
        <v>0</v>
      </c>
      <c r="M147" s="131">
        <v>5</v>
      </c>
      <c r="N147" s="131">
        <v>2</v>
      </c>
      <c r="O147" s="131">
        <v>2</v>
      </c>
      <c r="P147" s="131">
        <v>0</v>
      </c>
      <c r="Q147" s="131">
        <v>2</v>
      </c>
      <c r="R147" s="133">
        <v>0</v>
      </c>
      <c r="S147" s="131">
        <v>1</v>
      </c>
      <c r="T147" s="131">
        <v>6</v>
      </c>
      <c r="U147" s="133">
        <v>0.16666666666666666</v>
      </c>
      <c r="V147" s="131">
        <v>0</v>
      </c>
      <c r="W147" s="131">
        <v>0</v>
      </c>
      <c r="X147" s="133" t="s">
        <v>120</v>
      </c>
    </row>
    <row r="148" spans="1:75" x14ac:dyDescent="0.25">
      <c r="A148" s="131" t="s">
        <v>45</v>
      </c>
      <c r="B148" s="131" t="s">
        <v>59</v>
      </c>
      <c r="C148" s="132">
        <v>1830.7708333333333</v>
      </c>
      <c r="D148" s="131" t="s">
        <v>65</v>
      </c>
      <c r="E148" s="131" t="s">
        <v>11</v>
      </c>
      <c r="F148" s="131" t="s">
        <v>40</v>
      </c>
      <c r="G148" s="131">
        <v>1</v>
      </c>
      <c r="H148" s="131">
        <v>3</v>
      </c>
      <c r="I148" s="131">
        <v>9</v>
      </c>
      <c r="J148" s="131">
        <v>1</v>
      </c>
      <c r="K148" s="131">
        <v>3</v>
      </c>
      <c r="L148" s="131">
        <v>2</v>
      </c>
      <c r="M148" s="131">
        <v>0</v>
      </c>
      <c r="N148" s="131">
        <v>0</v>
      </c>
      <c r="O148" s="131">
        <v>9</v>
      </c>
      <c r="P148" s="131">
        <v>1</v>
      </c>
      <c r="Q148" s="131">
        <v>2</v>
      </c>
      <c r="R148" s="133">
        <v>0.5</v>
      </c>
      <c r="S148" s="131">
        <v>1</v>
      </c>
      <c r="T148" s="131">
        <v>2</v>
      </c>
      <c r="U148" s="133">
        <v>0.5</v>
      </c>
      <c r="V148" s="131">
        <v>0</v>
      </c>
      <c r="W148" s="131">
        <v>0</v>
      </c>
      <c r="X148" s="133" t="s">
        <v>120</v>
      </c>
    </row>
    <row r="149" spans="1:75" x14ac:dyDescent="0.25">
      <c r="A149" s="131" t="s">
        <v>45</v>
      </c>
      <c r="B149" s="131" t="s">
        <v>59</v>
      </c>
      <c r="C149" s="132">
        <v>1830.7708333333333</v>
      </c>
      <c r="D149" s="131" t="s">
        <v>65</v>
      </c>
      <c r="E149" s="131" t="s">
        <v>35</v>
      </c>
      <c r="F149" s="131" t="s">
        <v>40</v>
      </c>
      <c r="G149" s="131">
        <v>1</v>
      </c>
      <c r="H149" s="131">
        <v>3</v>
      </c>
      <c r="I149" s="131">
        <v>3</v>
      </c>
      <c r="J149" s="131">
        <v>1</v>
      </c>
      <c r="K149" s="131">
        <v>1</v>
      </c>
      <c r="L149" s="131">
        <v>0</v>
      </c>
      <c r="M149" s="131">
        <v>1</v>
      </c>
      <c r="N149" s="131">
        <v>0</v>
      </c>
      <c r="O149" s="131">
        <v>3</v>
      </c>
      <c r="P149" s="131">
        <v>1</v>
      </c>
      <c r="Q149" s="131">
        <v>2</v>
      </c>
      <c r="R149" s="133">
        <v>0.5</v>
      </c>
      <c r="S149" s="131">
        <v>1</v>
      </c>
      <c r="T149" s="131">
        <v>2</v>
      </c>
      <c r="U149" s="133">
        <v>0.5</v>
      </c>
      <c r="V149" s="131">
        <v>0</v>
      </c>
      <c r="W149" s="131">
        <v>0</v>
      </c>
      <c r="X149" s="133" t="s">
        <v>120</v>
      </c>
    </row>
    <row r="150" spans="1:75" x14ac:dyDescent="0.25">
      <c r="A150" s="131" t="s">
        <v>157</v>
      </c>
      <c r="B150" s="131" t="s">
        <v>157</v>
      </c>
      <c r="C150" s="132" t="s">
        <v>157</v>
      </c>
      <c r="D150" s="131" t="s">
        <v>157</v>
      </c>
      <c r="E150" s="131" t="s">
        <v>157</v>
      </c>
      <c r="F150" s="131" t="s">
        <v>157</v>
      </c>
      <c r="G150" s="131" t="s">
        <v>157</v>
      </c>
      <c r="H150" s="131" t="s">
        <v>157</v>
      </c>
      <c r="I150" s="131" t="s">
        <v>157</v>
      </c>
      <c r="J150" s="131" t="s">
        <v>157</v>
      </c>
      <c r="K150" s="131" t="s">
        <v>157</v>
      </c>
      <c r="L150" s="131" t="s">
        <v>157</v>
      </c>
      <c r="M150" s="131" t="s">
        <v>157</v>
      </c>
      <c r="N150" s="131" t="s">
        <v>157</v>
      </c>
      <c r="O150" s="131" t="s">
        <v>157</v>
      </c>
      <c r="P150" s="131" t="s">
        <v>157</v>
      </c>
      <c r="Q150" s="131" t="s">
        <v>157</v>
      </c>
      <c r="R150" s="133" t="s">
        <v>157</v>
      </c>
      <c r="S150" s="131" t="s">
        <v>157</v>
      </c>
      <c r="T150" s="131" t="s">
        <v>157</v>
      </c>
      <c r="U150" s="133" t="s">
        <v>157</v>
      </c>
      <c r="V150" s="131" t="s">
        <v>157</v>
      </c>
      <c r="W150" s="131" t="s">
        <v>157</v>
      </c>
      <c r="X150" s="133" t="s">
        <v>157</v>
      </c>
    </row>
    <row r="151" spans="1:75" x14ac:dyDescent="0.25">
      <c r="A151" s="131" t="s">
        <v>157</v>
      </c>
      <c r="B151" s="131" t="s">
        <v>157</v>
      </c>
      <c r="C151" s="132" t="s">
        <v>157</v>
      </c>
      <c r="D151" s="131" t="s">
        <v>157</v>
      </c>
      <c r="E151" s="131" t="s">
        <v>157</v>
      </c>
      <c r="F151" s="131" t="s">
        <v>157</v>
      </c>
      <c r="G151" s="131" t="s">
        <v>157</v>
      </c>
      <c r="H151" s="131" t="s">
        <v>157</v>
      </c>
      <c r="I151" s="131" t="s">
        <v>157</v>
      </c>
      <c r="J151" s="131" t="s">
        <v>157</v>
      </c>
      <c r="K151" s="131" t="s">
        <v>157</v>
      </c>
      <c r="L151" s="131" t="s">
        <v>157</v>
      </c>
      <c r="M151" s="131" t="s">
        <v>157</v>
      </c>
      <c r="N151" s="131" t="s">
        <v>157</v>
      </c>
      <c r="O151" s="131" t="s">
        <v>157</v>
      </c>
      <c r="P151" s="131" t="s">
        <v>157</v>
      </c>
      <c r="Q151" s="131" t="s">
        <v>157</v>
      </c>
      <c r="R151" s="133" t="s">
        <v>157</v>
      </c>
      <c r="S151" s="131" t="s">
        <v>157</v>
      </c>
      <c r="T151" s="131" t="s">
        <v>157</v>
      </c>
      <c r="U151" s="133" t="s">
        <v>157</v>
      </c>
      <c r="V151" s="131" t="s">
        <v>157</v>
      </c>
      <c r="W151" s="131" t="s">
        <v>157</v>
      </c>
      <c r="X151" s="133" t="s">
        <v>157</v>
      </c>
    </row>
    <row r="152" spans="1:75" x14ac:dyDescent="0.25">
      <c r="A152" s="131" t="s">
        <v>157</v>
      </c>
      <c r="B152" s="131" t="s">
        <v>157</v>
      </c>
      <c r="C152" s="132" t="s">
        <v>157</v>
      </c>
      <c r="D152" s="131" t="s">
        <v>157</v>
      </c>
      <c r="E152" s="131" t="s">
        <v>157</v>
      </c>
      <c r="F152" s="131" t="s">
        <v>157</v>
      </c>
      <c r="G152" s="131" t="s">
        <v>157</v>
      </c>
      <c r="H152" s="131" t="s">
        <v>157</v>
      </c>
      <c r="I152" s="131" t="s">
        <v>157</v>
      </c>
      <c r="J152" s="131" t="s">
        <v>157</v>
      </c>
      <c r="K152" s="131" t="s">
        <v>157</v>
      </c>
      <c r="L152" s="131" t="s">
        <v>157</v>
      </c>
      <c r="M152" s="131" t="s">
        <v>157</v>
      </c>
      <c r="N152" s="131" t="s">
        <v>157</v>
      </c>
      <c r="O152" s="131" t="s">
        <v>157</v>
      </c>
      <c r="P152" s="131" t="s">
        <v>157</v>
      </c>
      <c r="Q152" s="131" t="s">
        <v>157</v>
      </c>
      <c r="R152" s="133" t="s">
        <v>157</v>
      </c>
      <c r="S152" s="131" t="s">
        <v>157</v>
      </c>
      <c r="T152" s="131" t="s">
        <v>157</v>
      </c>
      <c r="U152" s="133" t="s">
        <v>157</v>
      </c>
      <c r="V152" s="131" t="s">
        <v>157</v>
      </c>
      <c r="W152" s="131" t="s">
        <v>157</v>
      </c>
      <c r="X152" s="133" t="s">
        <v>157</v>
      </c>
    </row>
    <row r="153" spans="1:75" x14ac:dyDescent="0.25">
      <c r="A153" s="131" t="s">
        <v>45</v>
      </c>
      <c r="B153" s="131" t="s">
        <v>59</v>
      </c>
      <c r="C153" s="132">
        <v>1830.8125</v>
      </c>
      <c r="D153" s="131" t="s">
        <v>65</v>
      </c>
      <c r="E153" s="131" t="s">
        <v>2</v>
      </c>
      <c r="F153" s="131" t="s">
        <v>41</v>
      </c>
      <c r="G153" s="131">
        <v>1</v>
      </c>
      <c r="H153" s="131">
        <v>10</v>
      </c>
      <c r="I153" s="131">
        <v>3</v>
      </c>
      <c r="J153" s="131">
        <v>0</v>
      </c>
      <c r="K153" s="131">
        <v>2</v>
      </c>
      <c r="L153" s="131">
        <v>0</v>
      </c>
      <c r="M153" s="131">
        <v>2</v>
      </c>
      <c r="N153" s="131">
        <v>1</v>
      </c>
      <c r="O153" s="131">
        <v>2</v>
      </c>
      <c r="P153" s="131">
        <v>2</v>
      </c>
      <c r="Q153" s="131">
        <v>7</v>
      </c>
      <c r="R153" s="133">
        <v>0.2857142857142857</v>
      </c>
      <c r="S153" s="131">
        <v>4</v>
      </c>
      <c r="T153" s="131">
        <v>12</v>
      </c>
      <c r="U153" s="133">
        <v>0.33333333333333331</v>
      </c>
      <c r="V153" s="131">
        <v>0</v>
      </c>
      <c r="W153" s="131">
        <v>0</v>
      </c>
      <c r="X153" s="133" t="s">
        <v>120</v>
      </c>
      <c r="Z153" s="134" t="s">
        <v>45</v>
      </c>
      <c r="AA153" s="134" t="s">
        <v>59</v>
      </c>
      <c r="AB153" s="135">
        <v>1830.8125</v>
      </c>
      <c r="AC153" s="134" t="s">
        <v>65</v>
      </c>
      <c r="AD153" s="134" t="s">
        <v>41</v>
      </c>
      <c r="AE153" s="134" t="s">
        <v>174</v>
      </c>
      <c r="AF153" s="134">
        <v>1</v>
      </c>
      <c r="AG153" s="134">
        <v>40</v>
      </c>
      <c r="AH153" s="134">
        <v>28</v>
      </c>
      <c r="AI153" s="134">
        <v>6</v>
      </c>
      <c r="AJ153" s="134">
        <v>7</v>
      </c>
      <c r="AK153" s="134">
        <v>3</v>
      </c>
      <c r="AL153" s="134">
        <v>10</v>
      </c>
      <c r="AM153" s="134">
        <v>9</v>
      </c>
      <c r="AN153" s="134">
        <v>19</v>
      </c>
      <c r="AO153" s="134">
        <v>6</v>
      </c>
      <c r="AP153" s="134">
        <v>18</v>
      </c>
      <c r="AQ153" s="136">
        <v>0.33333333333333331</v>
      </c>
      <c r="AR153" s="134">
        <v>14</v>
      </c>
      <c r="AS153" s="134">
        <v>42</v>
      </c>
      <c r="AT153" s="136">
        <v>0.33333333333333331</v>
      </c>
      <c r="AU153" s="134">
        <v>6</v>
      </c>
      <c r="AV153" s="134">
        <v>9</v>
      </c>
      <c r="AW153" s="136">
        <v>0.66666666666666663</v>
      </c>
      <c r="AY153" s="134" t="s">
        <v>45</v>
      </c>
      <c r="AZ153" s="134" t="s">
        <v>59</v>
      </c>
      <c r="BA153" s="135">
        <v>1830.8125</v>
      </c>
      <c r="BB153" s="134" t="s">
        <v>65</v>
      </c>
      <c r="BC153" s="134" t="s">
        <v>89</v>
      </c>
      <c r="BD153" s="134"/>
      <c r="BE153" s="134">
        <v>1</v>
      </c>
      <c r="BF153" s="134">
        <v>83</v>
      </c>
      <c r="BG153" s="134">
        <v>66</v>
      </c>
      <c r="BH153" s="134">
        <v>13</v>
      </c>
      <c r="BI153" s="134">
        <v>17</v>
      </c>
      <c r="BJ153" s="134">
        <v>8</v>
      </c>
      <c r="BK153" s="134">
        <v>26</v>
      </c>
      <c r="BL153" s="134">
        <v>24</v>
      </c>
      <c r="BM153" s="134">
        <v>42</v>
      </c>
      <c r="BN153" s="134">
        <v>14</v>
      </c>
      <c r="BO153" s="134">
        <v>44</v>
      </c>
      <c r="BP153" s="136">
        <v>0.31818181818181818</v>
      </c>
      <c r="BQ153" s="134">
        <v>29</v>
      </c>
      <c r="BR153" s="134">
        <v>102</v>
      </c>
      <c r="BS153" s="136">
        <v>0.28431372549019607</v>
      </c>
      <c r="BT153" s="134">
        <v>11</v>
      </c>
      <c r="BU153" s="134">
        <v>18</v>
      </c>
      <c r="BV153" s="136">
        <v>0.61111111111111116</v>
      </c>
      <c r="BW153" s="174" t="s">
        <v>169</v>
      </c>
    </row>
    <row r="154" spans="1:75" x14ac:dyDescent="0.25">
      <c r="A154" s="131" t="s">
        <v>45</v>
      </c>
      <c r="B154" s="131" t="s">
        <v>59</v>
      </c>
      <c r="C154" s="132">
        <v>1830.8125</v>
      </c>
      <c r="D154" s="131" t="s">
        <v>65</v>
      </c>
      <c r="E154" s="131" t="s">
        <v>13</v>
      </c>
      <c r="F154" s="131" t="s">
        <v>41</v>
      </c>
      <c r="G154" s="131">
        <v>1</v>
      </c>
      <c r="H154" s="131">
        <v>9</v>
      </c>
      <c r="I154" s="131">
        <v>1</v>
      </c>
      <c r="J154" s="131">
        <v>1</v>
      </c>
      <c r="K154" s="131">
        <v>1</v>
      </c>
      <c r="L154" s="131">
        <v>0</v>
      </c>
      <c r="M154" s="131">
        <v>3</v>
      </c>
      <c r="N154" s="131">
        <v>1</v>
      </c>
      <c r="O154" s="131">
        <v>0</v>
      </c>
      <c r="P154" s="131">
        <v>1</v>
      </c>
      <c r="Q154" s="131">
        <v>2</v>
      </c>
      <c r="R154" s="133">
        <v>0.5</v>
      </c>
      <c r="S154" s="131">
        <v>4</v>
      </c>
      <c r="T154" s="131">
        <v>11</v>
      </c>
      <c r="U154" s="133">
        <v>0.36363636363636365</v>
      </c>
      <c r="V154" s="131">
        <v>0</v>
      </c>
      <c r="W154" s="131">
        <v>0</v>
      </c>
      <c r="X154" s="133" t="s">
        <v>120</v>
      </c>
      <c r="Z154" s="134" t="s">
        <v>45</v>
      </c>
      <c r="AA154" s="134" t="s">
        <v>59</v>
      </c>
      <c r="AB154" s="135">
        <v>1830.8125</v>
      </c>
      <c r="AC154" s="134" t="s">
        <v>65</v>
      </c>
      <c r="AD154" s="134" t="s">
        <v>38</v>
      </c>
      <c r="AE154" s="134" t="s">
        <v>175</v>
      </c>
      <c r="AF154" s="134">
        <v>1</v>
      </c>
      <c r="AG154" s="134">
        <v>35</v>
      </c>
      <c r="AH154" s="134">
        <v>35</v>
      </c>
      <c r="AI154" s="134">
        <v>7</v>
      </c>
      <c r="AJ154" s="134">
        <v>8</v>
      </c>
      <c r="AK154" s="134">
        <v>5</v>
      </c>
      <c r="AL154" s="134">
        <v>13</v>
      </c>
      <c r="AM154" s="134">
        <v>15</v>
      </c>
      <c r="AN154" s="134">
        <v>20</v>
      </c>
      <c r="AO154" s="134">
        <v>6</v>
      </c>
      <c r="AP154" s="134">
        <v>22</v>
      </c>
      <c r="AQ154" s="136">
        <v>0.27272727272727271</v>
      </c>
      <c r="AR154" s="134">
        <v>13</v>
      </c>
      <c r="AS154" s="134">
        <v>56</v>
      </c>
      <c r="AT154" s="136">
        <v>0.23214285714285715</v>
      </c>
      <c r="AU154" s="134">
        <v>3</v>
      </c>
      <c r="AV154" s="134">
        <v>7</v>
      </c>
      <c r="AW154" s="136">
        <v>0.42857142857142855</v>
      </c>
    </row>
    <row r="155" spans="1:75" x14ac:dyDescent="0.25">
      <c r="A155" s="131" t="s">
        <v>45</v>
      </c>
      <c r="B155" s="131" t="s">
        <v>59</v>
      </c>
      <c r="C155" s="132">
        <v>1830.8125</v>
      </c>
      <c r="D155" s="131" t="s">
        <v>65</v>
      </c>
      <c r="E155" s="131" t="s">
        <v>25</v>
      </c>
      <c r="F155" s="131" t="s">
        <v>41</v>
      </c>
      <c r="G155" s="131">
        <v>1</v>
      </c>
      <c r="H155" s="131">
        <v>5</v>
      </c>
      <c r="I155" s="131">
        <v>10</v>
      </c>
      <c r="J155" s="131">
        <v>4</v>
      </c>
      <c r="K155" s="131">
        <v>3</v>
      </c>
      <c r="L155" s="131">
        <v>0</v>
      </c>
      <c r="M155" s="131">
        <v>1</v>
      </c>
      <c r="N155" s="131">
        <v>2</v>
      </c>
      <c r="O155" s="131">
        <v>8</v>
      </c>
      <c r="P155" s="131">
        <v>0</v>
      </c>
      <c r="Q155" s="131">
        <v>2</v>
      </c>
      <c r="R155" s="133">
        <v>0</v>
      </c>
      <c r="S155" s="131">
        <v>1</v>
      </c>
      <c r="T155" s="131">
        <v>6</v>
      </c>
      <c r="U155" s="133">
        <v>0.16666666666666666</v>
      </c>
      <c r="V155" s="131">
        <v>3</v>
      </c>
      <c r="W155" s="131">
        <v>4</v>
      </c>
      <c r="X155" s="133">
        <v>0.75</v>
      </c>
    </row>
    <row r="156" spans="1:75" x14ac:dyDescent="0.25">
      <c r="A156" s="131" t="s">
        <v>45</v>
      </c>
      <c r="B156" s="131" t="s">
        <v>59</v>
      </c>
      <c r="C156" s="132">
        <v>1830.8125</v>
      </c>
      <c r="D156" s="131" t="s">
        <v>65</v>
      </c>
      <c r="E156" s="131" t="s">
        <v>161</v>
      </c>
      <c r="F156" s="131" t="s">
        <v>157</v>
      </c>
      <c r="G156" s="131">
        <v>1</v>
      </c>
      <c r="H156" s="131">
        <v>8</v>
      </c>
      <c r="I156" s="131">
        <v>3</v>
      </c>
      <c r="J156" s="131">
        <v>0</v>
      </c>
      <c r="K156" s="131">
        <v>2</v>
      </c>
      <c r="L156" s="131">
        <v>0</v>
      </c>
      <c r="M156" s="131">
        <v>3</v>
      </c>
      <c r="N156" s="131">
        <v>0</v>
      </c>
      <c r="O156" s="131">
        <v>3</v>
      </c>
      <c r="P156" s="131">
        <v>2</v>
      </c>
      <c r="Q156" s="131">
        <v>4</v>
      </c>
      <c r="R156" s="133">
        <v>0.5</v>
      </c>
      <c r="S156" s="131">
        <v>2</v>
      </c>
      <c r="T156" s="131">
        <v>4</v>
      </c>
      <c r="U156" s="133">
        <v>0.5</v>
      </c>
      <c r="V156" s="131">
        <v>2</v>
      </c>
      <c r="W156" s="131">
        <v>2</v>
      </c>
      <c r="X156" s="133">
        <v>1</v>
      </c>
    </row>
    <row r="157" spans="1:75" x14ac:dyDescent="0.25">
      <c r="A157" s="131" t="s">
        <v>45</v>
      </c>
      <c r="B157" s="131" t="s">
        <v>59</v>
      </c>
      <c r="C157" s="132">
        <v>1830.8125</v>
      </c>
      <c r="D157" s="131" t="s">
        <v>65</v>
      </c>
      <c r="E157" s="131" t="s">
        <v>30</v>
      </c>
      <c r="F157" s="131" t="s">
        <v>41</v>
      </c>
      <c r="G157" s="131">
        <v>1</v>
      </c>
      <c r="H157" s="131">
        <v>3</v>
      </c>
      <c r="I157" s="131">
        <v>2</v>
      </c>
      <c r="J157" s="131">
        <v>1</v>
      </c>
      <c r="K157" s="131">
        <v>0</v>
      </c>
      <c r="L157" s="131">
        <v>0</v>
      </c>
      <c r="M157" s="131">
        <v>3</v>
      </c>
      <c r="N157" s="131">
        <v>1</v>
      </c>
      <c r="O157" s="131">
        <v>1</v>
      </c>
      <c r="P157" s="131">
        <v>1</v>
      </c>
      <c r="Q157" s="131">
        <v>2</v>
      </c>
      <c r="R157" s="133">
        <v>0.5</v>
      </c>
      <c r="S157" s="131">
        <v>1</v>
      </c>
      <c r="T157" s="131">
        <v>2</v>
      </c>
      <c r="U157" s="133">
        <v>0.5</v>
      </c>
      <c r="V157" s="131">
        <v>0</v>
      </c>
      <c r="W157" s="131">
        <v>0</v>
      </c>
      <c r="X157" s="133" t="s">
        <v>120</v>
      </c>
    </row>
    <row r="158" spans="1:75" x14ac:dyDescent="0.25">
      <c r="A158" s="131" t="s">
        <v>45</v>
      </c>
      <c r="B158" s="131" t="s">
        <v>59</v>
      </c>
      <c r="C158" s="132">
        <v>1830.8125</v>
      </c>
      <c r="D158" s="131" t="s">
        <v>65</v>
      </c>
      <c r="E158" s="131" t="s">
        <v>32</v>
      </c>
      <c r="F158" s="131" t="s">
        <v>41</v>
      </c>
      <c r="G158" s="131">
        <v>1</v>
      </c>
      <c r="H158" s="131">
        <v>13</v>
      </c>
      <c r="I158" s="131">
        <v>12</v>
      </c>
      <c r="J158" s="131">
        <v>0</v>
      </c>
      <c r="K158" s="131">
        <v>1</v>
      </c>
      <c r="L158" s="131">
        <v>3</v>
      </c>
      <c r="M158" s="131">
        <v>1</v>
      </c>
      <c r="N158" s="131">
        <v>4</v>
      </c>
      <c r="O158" s="131">
        <v>8</v>
      </c>
      <c r="P158" s="131">
        <v>2</v>
      </c>
      <c r="Q158" s="131">
        <v>5</v>
      </c>
      <c r="R158" s="133">
        <v>0.4</v>
      </c>
      <c r="S158" s="131">
        <v>4</v>
      </c>
      <c r="T158" s="131">
        <v>11</v>
      </c>
      <c r="U158" s="133">
        <v>0.36363636363636365</v>
      </c>
      <c r="V158" s="131">
        <v>3</v>
      </c>
      <c r="W158" s="131">
        <v>5</v>
      </c>
      <c r="X158" s="133">
        <v>0.6</v>
      </c>
    </row>
    <row r="159" spans="1:75" x14ac:dyDescent="0.25">
      <c r="A159" s="131" t="s">
        <v>45</v>
      </c>
      <c r="B159" s="131" t="s">
        <v>59</v>
      </c>
      <c r="C159" s="132">
        <v>1830.8125</v>
      </c>
      <c r="D159" s="131" t="s">
        <v>65</v>
      </c>
      <c r="E159" s="131" t="s">
        <v>19</v>
      </c>
      <c r="F159" s="131" t="s">
        <v>38</v>
      </c>
      <c r="G159" s="131">
        <v>1</v>
      </c>
      <c r="H159" s="131">
        <v>15</v>
      </c>
      <c r="I159" s="131">
        <v>10</v>
      </c>
      <c r="J159" s="131">
        <v>3</v>
      </c>
      <c r="K159" s="131">
        <v>3</v>
      </c>
      <c r="L159" s="131">
        <v>3</v>
      </c>
      <c r="M159" s="131">
        <v>4</v>
      </c>
      <c r="N159" s="131">
        <v>4</v>
      </c>
      <c r="O159" s="131">
        <v>6</v>
      </c>
      <c r="P159" s="131">
        <v>2</v>
      </c>
      <c r="Q159" s="131">
        <v>5</v>
      </c>
      <c r="R159" s="133">
        <v>0.4</v>
      </c>
      <c r="S159" s="131">
        <v>5</v>
      </c>
      <c r="T159" s="131">
        <v>19</v>
      </c>
      <c r="U159" s="133">
        <v>0.26315789473684209</v>
      </c>
      <c r="V159" s="131">
        <v>3</v>
      </c>
      <c r="W159" s="131">
        <v>5</v>
      </c>
      <c r="X159" s="133">
        <v>0.6</v>
      </c>
    </row>
    <row r="160" spans="1:75" x14ac:dyDescent="0.25">
      <c r="A160" s="131" t="s">
        <v>45</v>
      </c>
      <c r="B160" s="131" t="s">
        <v>59</v>
      </c>
      <c r="C160" s="132">
        <v>1830.8125</v>
      </c>
      <c r="D160" s="131" t="s">
        <v>65</v>
      </c>
      <c r="E160" s="131" t="s">
        <v>99</v>
      </c>
      <c r="F160" s="131" t="s">
        <v>38</v>
      </c>
      <c r="G160" s="131">
        <v>1</v>
      </c>
      <c r="H160" s="131">
        <v>4</v>
      </c>
      <c r="I160" s="131">
        <v>13</v>
      </c>
      <c r="J160" s="131">
        <v>2</v>
      </c>
      <c r="K160" s="131">
        <v>3</v>
      </c>
      <c r="L160" s="131">
        <v>0</v>
      </c>
      <c r="M160" s="131">
        <v>4</v>
      </c>
      <c r="N160" s="131">
        <v>8</v>
      </c>
      <c r="O160" s="131">
        <v>5</v>
      </c>
      <c r="P160" s="131">
        <v>0</v>
      </c>
      <c r="Q160" s="131">
        <v>1</v>
      </c>
      <c r="R160" s="133">
        <v>0</v>
      </c>
      <c r="S160" s="131">
        <v>2</v>
      </c>
      <c r="T160" s="131">
        <v>11</v>
      </c>
      <c r="U160" s="133">
        <v>0.18181818181818182</v>
      </c>
      <c r="V160" s="131">
        <v>0</v>
      </c>
      <c r="W160" s="131">
        <v>0</v>
      </c>
      <c r="X160" s="133" t="s">
        <v>120</v>
      </c>
    </row>
    <row r="161" spans="1:75" x14ac:dyDescent="0.25">
      <c r="A161" s="131" t="s">
        <v>45</v>
      </c>
      <c r="B161" s="131" t="s">
        <v>59</v>
      </c>
      <c r="C161" s="132">
        <v>1830.8125</v>
      </c>
      <c r="D161" s="131" t="s">
        <v>65</v>
      </c>
      <c r="E161" s="131" t="s">
        <v>4</v>
      </c>
      <c r="F161" s="131" t="s">
        <v>38</v>
      </c>
      <c r="G161" s="131">
        <v>1</v>
      </c>
      <c r="H161" s="131">
        <v>2</v>
      </c>
      <c r="I161" s="131">
        <v>1</v>
      </c>
      <c r="J161" s="131">
        <v>0</v>
      </c>
      <c r="K161" s="131">
        <v>0</v>
      </c>
      <c r="L161" s="131">
        <v>0</v>
      </c>
      <c r="M161" s="131">
        <v>2</v>
      </c>
      <c r="N161" s="131">
        <v>0</v>
      </c>
      <c r="O161" s="131">
        <v>1</v>
      </c>
      <c r="P161" s="131">
        <v>0</v>
      </c>
      <c r="Q161" s="131">
        <v>4</v>
      </c>
      <c r="R161" s="133">
        <v>0</v>
      </c>
      <c r="S161" s="131">
        <v>1</v>
      </c>
      <c r="T161" s="131">
        <v>6</v>
      </c>
      <c r="U161" s="133">
        <v>0.16666666666666666</v>
      </c>
      <c r="V161" s="131">
        <v>0</v>
      </c>
      <c r="W161" s="131">
        <v>0</v>
      </c>
      <c r="X161" s="133" t="s">
        <v>120</v>
      </c>
    </row>
    <row r="162" spans="1:75" x14ac:dyDescent="0.25">
      <c r="A162" s="131" t="s">
        <v>45</v>
      </c>
      <c r="B162" s="131" t="s">
        <v>59</v>
      </c>
      <c r="C162" s="132">
        <v>1830.8125</v>
      </c>
      <c r="D162" s="131" t="s">
        <v>65</v>
      </c>
      <c r="E162" s="131" t="s">
        <v>102</v>
      </c>
      <c r="F162" s="131" t="s">
        <v>38</v>
      </c>
      <c r="G162" s="131">
        <v>1</v>
      </c>
      <c r="H162" s="131">
        <v>0</v>
      </c>
      <c r="I162" s="131">
        <v>3</v>
      </c>
      <c r="J162" s="131">
        <v>0</v>
      </c>
      <c r="K162" s="131">
        <v>0</v>
      </c>
      <c r="L162" s="131">
        <v>1</v>
      </c>
      <c r="M162" s="131">
        <v>1</v>
      </c>
      <c r="N162" s="131">
        <v>2</v>
      </c>
      <c r="O162" s="131">
        <v>1</v>
      </c>
      <c r="P162" s="131">
        <v>0</v>
      </c>
      <c r="Q162" s="131">
        <v>2</v>
      </c>
      <c r="R162" s="133">
        <v>0</v>
      </c>
      <c r="S162" s="131">
        <v>0</v>
      </c>
      <c r="T162" s="131">
        <v>2</v>
      </c>
      <c r="U162" s="133">
        <v>0</v>
      </c>
      <c r="V162" s="131">
        <v>0</v>
      </c>
      <c r="W162" s="131">
        <v>0</v>
      </c>
      <c r="X162" s="133" t="s">
        <v>120</v>
      </c>
    </row>
    <row r="163" spans="1:75" x14ac:dyDescent="0.25">
      <c r="A163" s="131" t="s">
        <v>45</v>
      </c>
      <c r="B163" s="131" t="s">
        <v>59</v>
      </c>
      <c r="C163" s="132">
        <v>1830.8125</v>
      </c>
      <c r="D163" s="131" t="s">
        <v>65</v>
      </c>
      <c r="E163" s="131" t="s">
        <v>101</v>
      </c>
      <c r="F163" s="131" t="s">
        <v>38</v>
      </c>
      <c r="G163" s="131">
        <v>1</v>
      </c>
      <c r="H163" s="131">
        <v>5</v>
      </c>
      <c r="I163" s="131">
        <v>4</v>
      </c>
      <c r="J163" s="131">
        <v>1</v>
      </c>
      <c r="K163" s="131">
        <v>0</v>
      </c>
      <c r="L163" s="131">
        <v>1</v>
      </c>
      <c r="M163" s="131">
        <v>2</v>
      </c>
      <c r="N163" s="131">
        <v>1</v>
      </c>
      <c r="O163" s="131">
        <v>3</v>
      </c>
      <c r="P163" s="131">
        <v>1</v>
      </c>
      <c r="Q163" s="131">
        <v>2</v>
      </c>
      <c r="R163" s="133">
        <v>0.5</v>
      </c>
      <c r="S163" s="131">
        <v>2</v>
      </c>
      <c r="T163" s="131">
        <v>7</v>
      </c>
      <c r="U163" s="133">
        <v>0.2857142857142857</v>
      </c>
      <c r="V163" s="131">
        <v>0</v>
      </c>
      <c r="W163" s="131">
        <v>0</v>
      </c>
      <c r="X163" s="133" t="s">
        <v>120</v>
      </c>
    </row>
    <row r="164" spans="1:75" x14ac:dyDescent="0.25">
      <c r="A164" s="131" t="s">
        <v>45</v>
      </c>
      <c r="B164" s="131" t="s">
        <v>59</v>
      </c>
      <c r="C164" s="132">
        <v>1830.8125</v>
      </c>
      <c r="D164" s="131" t="s">
        <v>65</v>
      </c>
      <c r="E164" s="131" t="s">
        <v>15</v>
      </c>
      <c r="F164" s="131" t="s">
        <v>38</v>
      </c>
      <c r="G164" s="131">
        <v>1</v>
      </c>
      <c r="H164" s="131">
        <v>9</v>
      </c>
      <c r="I164" s="131">
        <v>4</v>
      </c>
      <c r="J164" s="131">
        <v>1</v>
      </c>
      <c r="K164" s="131">
        <v>2</v>
      </c>
      <c r="L164" s="131">
        <v>0</v>
      </c>
      <c r="M164" s="131">
        <v>0</v>
      </c>
      <c r="N164" s="131">
        <v>0</v>
      </c>
      <c r="O164" s="131">
        <v>4</v>
      </c>
      <c r="P164" s="131">
        <v>3</v>
      </c>
      <c r="Q164" s="131">
        <v>8</v>
      </c>
      <c r="R164" s="133">
        <v>0.375</v>
      </c>
      <c r="S164" s="131">
        <v>3</v>
      </c>
      <c r="T164" s="131">
        <v>11</v>
      </c>
      <c r="U164" s="133">
        <v>0.27272727272727271</v>
      </c>
      <c r="V164" s="131">
        <v>0</v>
      </c>
      <c r="W164" s="131">
        <v>2</v>
      </c>
      <c r="X164" s="133">
        <v>0</v>
      </c>
    </row>
    <row r="165" spans="1:75" x14ac:dyDescent="0.25">
      <c r="A165" s="131" t="s">
        <v>157</v>
      </c>
      <c r="B165" s="131" t="s">
        <v>157</v>
      </c>
      <c r="C165" s="132" t="s">
        <v>157</v>
      </c>
      <c r="D165" s="131" t="s">
        <v>157</v>
      </c>
      <c r="E165" s="131" t="s">
        <v>157</v>
      </c>
      <c r="F165" s="131" t="s">
        <v>157</v>
      </c>
      <c r="G165" s="131" t="s">
        <v>157</v>
      </c>
      <c r="H165" s="131" t="s">
        <v>157</v>
      </c>
      <c r="I165" s="131" t="s">
        <v>157</v>
      </c>
      <c r="J165" s="131" t="s">
        <v>157</v>
      </c>
      <c r="K165" s="131" t="s">
        <v>157</v>
      </c>
      <c r="L165" s="131" t="s">
        <v>157</v>
      </c>
      <c r="M165" s="131" t="s">
        <v>157</v>
      </c>
      <c r="N165" s="131" t="s">
        <v>157</v>
      </c>
      <c r="O165" s="131" t="s">
        <v>157</v>
      </c>
      <c r="P165" s="131" t="s">
        <v>157</v>
      </c>
      <c r="Q165" s="131" t="s">
        <v>157</v>
      </c>
      <c r="R165" s="133" t="s">
        <v>157</v>
      </c>
      <c r="S165" s="131" t="s">
        <v>157</v>
      </c>
      <c r="T165" s="131" t="s">
        <v>157</v>
      </c>
      <c r="U165" s="133" t="s">
        <v>157</v>
      </c>
      <c r="V165" s="131" t="s">
        <v>157</v>
      </c>
      <c r="W165" s="131" t="s">
        <v>157</v>
      </c>
      <c r="X165" s="133" t="s">
        <v>157</v>
      </c>
    </row>
    <row r="166" spans="1:75" x14ac:dyDescent="0.25">
      <c r="A166" s="131" t="s">
        <v>157</v>
      </c>
      <c r="B166" s="131" t="s">
        <v>157</v>
      </c>
      <c r="C166" s="132" t="s">
        <v>157</v>
      </c>
      <c r="D166" s="131" t="s">
        <v>157</v>
      </c>
      <c r="E166" s="131" t="s">
        <v>157</v>
      </c>
      <c r="F166" s="131" t="s">
        <v>157</v>
      </c>
      <c r="G166" s="131" t="s">
        <v>157</v>
      </c>
      <c r="H166" s="131" t="s">
        <v>157</v>
      </c>
      <c r="I166" s="131" t="s">
        <v>157</v>
      </c>
      <c r="J166" s="131" t="s">
        <v>157</v>
      </c>
      <c r="K166" s="131" t="s">
        <v>157</v>
      </c>
      <c r="L166" s="131" t="s">
        <v>157</v>
      </c>
      <c r="M166" s="131" t="s">
        <v>157</v>
      </c>
      <c r="N166" s="131" t="s">
        <v>157</v>
      </c>
      <c r="O166" s="131" t="s">
        <v>157</v>
      </c>
      <c r="P166" s="131" t="s">
        <v>157</v>
      </c>
      <c r="Q166" s="131" t="s">
        <v>157</v>
      </c>
      <c r="R166" s="133" t="s">
        <v>157</v>
      </c>
      <c r="S166" s="131" t="s">
        <v>157</v>
      </c>
      <c r="T166" s="131" t="s">
        <v>157</v>
      </c>
      <c r="U166" s="133" t="s">
        <v>157</v>
      </c>
      <c r="V166" s="131" t="s">
        <v>157</v>
      </c>
      <c r="W166" s="131" t="s">
        <v>157</v>
      </c>
      <c r="X166" s="133" t="s">
        <v>157</v>
      </c>
    </row>
    <row r="167" spans="1:75" x14ac:dyDescent="0.25">
      <c r="A167" s="131" t="s">
        <v>157</v>
      </c>
      <c r="B167" s="131" t="s">
        <v>157</v>
      </c>
      <c r="C167" s="132" t="s">
        <v>157</v>
      </c>
      <c r="D167" s="131" t="s">
        <v>157</v>
      </c>
      <c r="E167" s="131" t="s">
        <v>157</v>
      </c>
      <c r="F167" s="131" t="s">
        <v>157</v>
      </c>
      <c r="G167" s="131" t="s">
        <v>157</v>
      </c>
      <c r="H167" s="131" t="s">
        <v>157</v>
      </c>
      <c r="I167" s="131" t="s">
        <v>157</v>
      </c>
      <c r="J167" s="131" t="s">
        <v>157</v>
      </c>
      <c r="K167" s="131" t="s">
        <v>157</v>
      </c>
      <c r="L167" s="131" t="s">
        <v>157</v>
      </c>
      <c r="M167" s="131" t="s">
        <v>157</v>
      </c>
      <c r="N167" s="131" t="s">
        <v>157</v>
      </c>
      <c r="O167" s="131" t="s">
        <v>157</v>
      </c>
      <c r="P167" s="131" t="s">
        <v>157</v>
      </c>
      <c r="Q167" s="131" t="s">
        <v>157</v>
      </c>
      <c r="R167" s="133" t="s">
        <v>157</v>
      </c>
      <c r="S167" s="131" t="s">
        <v>157</v>
      </c>
      <c r="T167" s="131" t="s">
        <v>157</v>
      </c>
      <c r="U167" s="133" t="s">
        <v>157</v>
      </c>
      <c r="V167" s="131" t="s">
        <v>157</v>
      </c>
      <c r="W167" s="131" t="s">
        <v>157</v>
      </c>
      <c r="X167" s="133" t="s">
        <v>157</v>
      </c>
    </row>
    <row r="168" spans="1:75" x14ac:dyDescent="0.25">
      <c r="A168" s="131" t="s">
        <v>45</v>
      </c>
      <c r="B168" s="131" t="s">
        <v>59</v>
      </c>
      <c r="C168" s="132">
        <v>1830.8541666666699</v>
      </c>
      <c r="D168" s="131" t="s">
        <v>65</v>
      </c>
      <c r="E168" s="131" t="s">
        <v>31</v>
      </c>
      <c r="F168" s="131" t="s">
        <v>40</v>
      </c>
      <c r="G168" s="131">
        <v>1</v>
      </c>
      <c r="H168" s="131">
        <v>19</v>
      </c>
      <c r="I168" s="131">
        <v>9</v>
      </c>
      <c r="J168" s="131">
        <v>2</v>
      </c>
      <c r="K168" s="131">
        <v>1</v>
      </c>
      <c r="L168" s="131">
        <v>0</v>
      </c>
      <c r="M168" s="131">
        <v>5</v>
      </c>
      <c r="N168" s="131">
        <v>5</v>
      </c>
      <c r="O168" s="131">
        <v>4</v>
      </c>
      <c r="P168" s="131">
        <v>1</v>
      </c>
      <c r="Q168" s="131">
        <v>10</v>
      </c>
      <c r="R168" s="133">
        <v>0.1</v>
      </c>
      <c r="S168" s="131">
        <v>9</v>
      </c>
      <c r="T168" s="131">
        <v>24</v>
      </c>
      <c r="U168" s="133">
        <v>0.375</v>
      </c>
      <c r="V168" s="131">
        <v>0</v>
      </c>
      <c r="W168" s="131">
        <v>2</v>
      </c>
      <c r="X168" s="133">
        <v>0</v>
      </c>
      <c r="Z168" s="134" t="s">
        <v>45</v>
      </c>
      <c r="AA168" s="134" t="s">
        <v>59</v>
      </c>
      <c r="AB168" s="135">
        <v>1830.8541666666699</v>
      </c>
      <c r="AC168" s="134" t="s">
        <v>65</v>
      </c>
      <c r="AD168" s="134" t="s">
        <v>40</v>
      </c>
      <c r="AE168" s="134" t="s">
        <v>175</v>
      </c>
      <c r="AF168" s="134">
        <v>1</v>
      </c>
      <c r="AG168" s="134">
        <v>68</v>
      </c>
      <c r="AH168" s="134">
        <v>39</v>
      </c>
      <c r="AI168" s="134">
        <v>12</v>
      </c>
      <c r="AJ168" s="134">
        <v>12</v>
      </c>
      <c r="AK168" s="134">
        <v>1</v>
      </c>
      <c r="AL168" s="134">
        <v>12</v>
      </c>
      <c r="AM168" s="134">
        <v>11</v>
      </c>
      <c r="AN168" s="134">
        <v>28</v>
      </c>
      <c r="AO168" s="134">
        <v>8</v>
      </c>
      <c r="AP168" s="134">
        <v>36</v>
      </c>
      <c r="AQ168" s="136">
        <v>0.22222222222222221</v>
      </c>
      <c r="AR168" s="134">
        <v>28</v>
      </c>
      <c r="AS168" s="134">
        <v>84</v>
      </c>
      <c r="AT168" s="136">
        <v>0.33333333333333331</v>
      </c>
      <c r="AU168" s="134">
        <v>4</v>
      </c>
      <c r="AV168" s="134">
        <v>9</v>
      </c>
      <c r="AW168" s="136">
        <v>0.44444444444444442</v>
      </c>
      <c r="AY168" s="134" t="s">
        <v>45</v>
      </c>
      <c r="AZ168" s="134" t="s">
        <v>59</v>
      </c>
      <c r="BA168" s="135">
        <v>1830.8541666666699</v>
      </c>
      <c r="BB168" s="134" t="s">
        <v>65</v>
      </c>
      <c r="BC168" s="134" t="s">
        <v>89</v>
      </c>
      <c r="BD168" s="134"/>
      <c r="BE168" s="134">
        <v>1</v>
      </c>
      <c r="BF168" s="134">
        <v>140</v>
      </c>
      <c r="BG168" s="134">
        <v>96</v>
      </c>
      <c r="BH168" s="134">
        <v>24</v>
      </c>
      <c r="BI168" s="134">
        <v>20</v>
      </c>
      <c r="BJ168" s="134">
        <v>3</v>
      </c>
      <c r="BK168" s="134">
        <v>33</v>
      </c>
      <c r="BL168" s="134">
        <v>30</v>
      </c>
      <c r="BM168" s="134">
        <v>66</v>
      </c>
      <c r="BN168" s="134">
        <v>14</v>
      </c>
      <c r="BO168" s="134">
        <v>62</v>
      </c>
      <c r="BP168" s="136">
        <v>0.22580645161290322</v>
      </c>
      <c r="BQ168" s="134">
        <v>57</v>
      </c>
      <c r="BR168" s="134">
        <v>165</v>
      </c>
      <c r="BS168" s="136">
        <v>0.34545454545454546</v>
      </c>
      <c r="BT168" s="134">
        <v>12</v>
      </c>
      <c r="BU168" s="134">
        <v>21</v>
      </c>
      <c r="BV168" s="136">
        <v>0.5714285714285714</v>
      </c>
      <c r="BW168" s="174" t="s">
        <v>170</v>
      </c>
    </row>
    <row r="169" spans="1:75" x14ac:dyDescent="0.25">
      <c r="A169" s="131" t="s">
        <v>45</v>
      </c>
      <c r="B169" s="131" t="s">
        <v>59</v>
      </c>
      <c r="C169" s="132">
        <v>1830.8541666666699</v>
      </c>
      <c r="D169" s="131" t="s">
        <v>65</v>
      </c>
      <c r="E169" s="131" t="s">
        <v>27</v>
      </c>
      <c r="F169" s="131" t="s">
        <v>40</v>
      </c>
      <c r="G169" s="131">
        <v>1</v>
      </c>
      <c r="H169" s="131">
        <v>17</v>
      </c>
      <c r="I169" s="131">
        <v>7</v>
      </c>
      <c r="J169" s="131">
        <v>2</v>
      </c>
      <c r="K169" s="131">
        <v>2</v>
      </c>
      <c r="L169" s="131">
        <v>1</v>
      </c>
      <c r="M169" s="131">
        <v>2</v>
      </c>
      <c r="N169" s="131">
        <v>3</v>
      </c>
      <c r="O169" s="131">
        <v>4</v>
      </c>
      <c r="P169" s="131">
        <v>2</v>
      </c>
      <c r="Q169" s="131">
        <v>10</v>
      </c>
      <c r="R169" s="133">
        <v>0.2</v>
      </c>
      <c r="S169" s="131">
        <v>7</v>
      </c>
      <c r="T169" s="131">
        <v>25</v>
      </c>
      <c r="U169" s="133">
        <v>0.28000000000000003</v>
      </c>
      <c r="V169" s="131">
        <v>1</v>
      </c>
      <c r="W169" s="131">
        <v>4</v>
      </c>
      <c r="X169" s="133">
        <v>0.25</v>
      </c>
      <c r="Z169" s="134" t="s">
        <v>45</v>
      </c>
      <c r="AA169" s="134" t="s">
        <v>59</v>
      </c>
      <c r="AB169" s="135">
        <v>1830.8541666666699</v>
      </c>
      <c r="AC169" s="134" t="s">
        <v>65</v>
      </c>
      <c r="AD169" s="134" t="s">
        <v>119</v>
      </c>
      <c r="AE169" s="134" t="s">
        <v>174</v>
      </c>
      <c r="AF169" s="134">
        <v>1</v>
      </c>
      <c r="AG169" s="134">
        <v>72</v>
      </c>
      <c r="AH169" s="134">
        <v>57</v>
      </c>
      <c r="AI169" s="134">
        <v>12</v>
      </c>
      <c r="AJ169" s="134">
        <v>8</v>
      </c>
      <c r="AK169" s="134">
        <v>2</v>
      </c>
      <c r="AL169" s="134">
        <v>21</v>
      </c>
      <c r="AM169" s="134">
        <v>19</v>
      </c>
      <c r="AN169" s="134">
        <v>38</v>
      </c>
      <c r="AO169" s="134">
        <v>6</v>
      </c>
      <c r="AP169" s="134">
        <v>26</v>
      </c>
      <c r="AQ169" s="136">
        <v>0.23076923076923078</v>
      </c>
      <c r="AR169" s="134">
        <v>29</v>
      </c>
      <c r="AS169" s="134">
        <v>81</v>
      </c>
      <c r="AT169" s="136">
        <v>0.35802469135802467</v>
      </c>
      <c r="AU169" s="134">
        <v>8</v>
      </c>
      <c r="AV169" s="134">
        <v>12</v>
      </c>
      <c r="AW169" s="136">
        <v>0.66666666666666663</v>
      </c>
    </row>
    <row r="170" spans="1:75" x14ac:dyDescent="0.25">
      <c r="A170" s="131" t="s">
        <v>45</v>
      </c>
      <c r="B170" s="131" t="s">
        <v>59</v>
      </c>
      <c r="C170" s="132">
        <v>1830.8541666666699</v>
      </c>
      <c r="D170" s="131" t="s">
        <v>65</v>
      </c>
      <c r="E170" s="131" t="s">
        <v>7</v>
      </c>
      <c r="F170" s="131" t="s">
        <v>40</v>
      </c>
      <c r="G170" s="131">
        <v>1</v>
      </c>
      <c r="H170" s="131">
        <v>28</v>
      </c>
      <c r="I170" s="131">
        <v>9</v>
      </c>
      <c r="J170" s="131">
        <v>5</v>
      </c>
      <c r="K170" s="131">
        <v>7</v>
      </c>
      <c r="L170" s="131">
        <v>0</v>
      </c>
      <c r="M170" s="131">
        <v>3</v>
      </c>
      <c r="N170" s="131">
        <v>3</v>
      </c>
      <c r="O170" s="131">
        <v>6</v>
      </c>
      <c r="P170" s="131">
        <v>5</v>
      </c>
      <c r="Q170" s="131">
        <v>8</v>
      </c>
      <c r="R170" s="133">
        <v>0.625</v>
      </c>
      <c r="S170" s="131">
        <v>10</v>
      </c>
      <c r="T170" s="131">
        <v>25</v>
      </c>
      <c r="U170" s="133">
        <v>0.4</v>
      </c>
      <c r="V170" s="131">
        <v>3</v>
      </c>
      <c r="W170" s="131">
        <v>3</v>
      </c>
      <c r="X170" s="133">
        <v>1</v>
      </c>
    </row>
    <row r="171" spans="1:75" x14ac:dyDescent="0.25">
      <c r="A171" s="131" t="s">
        <v>45</v>
      </c>
      <c r="B171" s="131" t="s">
        <v>59</v>
      </c>
      <c r="C171" s="132">
        <v>1830.8541666666699</v>
      </c>
      <c r="D171" s="131" t="s">
        <v>65</v>
      </c>
      <c r="E171" s="131" t="s">
        <v>35</v>
      </c>
      <c r="F171" s="131" t="s">
        <v>40</v>
      </c>
      <c r="G171" s="131">
        <v>1</v>
      </c>
      <c r="H171" s="131">
        <v>2</v>
      </c>
      <c r="I171" s="131">
        <v>6</v>
      </c>
      <c r="J171" s="131">
        <v>2</v>
      </c>
      <c r="K171" s="131">
        <v>1</v>
      </c>
      <c r="L171" s="131">
        <v>0</v>
      </c>
      <c r="M171" s="131">
        <v>0</v>
      </c>
      <c r="N171" s="131">
        <v>0</v>
      </c>
      <c r="O171" s="131">
        <v>6</v>
      </c>
      <c r="P171" s="131">
        <v>0</v>
      </c>
      <c r="Q171" s="131">
        <v>4</v>
      </c>
      <c r="R171" s="133">
        <v>0</v>
      </c>
      <c r="S171" s="131">
        <v>1</v>
      </c>
      <c r="T171" s="131">
        <v>5</v>
      </c>
      <c r="U171" s="133">
        <v>0.2</v>
      </c>
      <c r="V171" s="131">
        <v>0</v>
      </c>
      <c r="W171" s="131">
        <v>0</v>
      </c>
      <c r="X171" s="133" t="s">
        <v>120</v>
      </c>
    </row>
    <row r="172" spans="1:75" x14ac:dyDescent="0.25">
      <c r="A172" s="131" t="s">
        <v>45</v>
      </c>
      <c r="B172" s="131" t="s">
        <v>59</v>
      </c>
      <c r="C172" s="132">
        <v>1830.8541666666699</v>
      </c>
      <c r="D172" s="131" t="s">
        <v>65</v>
      </c>
      <c r="E172" s="131" t="s">
        <v>11</v>
      </c>
      <c r="F172" s="131" t="s">
        <v>40</v>
      </c>
      <c r="G172" s="131">
        <v>1</v>
      </c>
      <c r="H172" s="131">
        <v>2</v>
      </c>
      <c r="I172" s="131">
        <v>8</v>
      </c>
      <c r="J172" s="131">
        <v>1</v>
      </c>
      <c r="K172" s="131">
        <v>1</v>
      </c>
      <c r="L172" s="131">
        <v>0</v>
      </c>
      <c r="M172" s="131">
        <v>2</v>
      </c>
      <c r="N172" s="131">
        <v>0</v>
      </c>
      <c r="O172" s="131">
        <v>8</v>
      </c>
      <c r="P172" s="131">
        <v>0</v>
      </c>
      <c r="Q172" s="131">
        <v>4</v>
      </c>
      <c r="R172" s="133">
        <v>0</v>
      </c>
      <c r="S172" s="131">
        <v>1</v>
      </c>
      <c r="T172" s="131">
        <v>5</v>
      </c>
      <c r="U172" s="133">
        <v>0.2</v>
      </c>
      <c r="V172" s="131">
        <v>0</v>
      </c>
      <c r="W172" s="131">
        <v>0</v>
      </c>
      <c r="X172" s="133" t="s">
        <v>120</v>
      </c>
    </row>
    <row r="173" spans="1:75" x14ac:dyDescent="0.25">
      <c r="A173" s="131" t="s">
        <v>45</v>
      </c>
      <c r="B173" s="131" t="s">
        <v>59</v>
      </c>
      <c r="C173" s="132">
        <v>1830.8541666666699</v>
      </c>
      <c r="D173" s="131" t="s">
        <v>65</v>
      </c>
      <c r="E173" s="131" t="s">
        <v>1</v>
      </c>
      <c r="F173" s="131" t="s">
        <v>119</v>
      </c>
      <c r="G173" s="131">
        <v>1</v>
      </c>
      <c r="H173" s="131">
        <v>38</v>
      </c>
      <c r="I173" s="131">
        <v>28</v>
      </c>
      <c r="J173" s="131">
        <v>4</v>
      </c>
      <c r="K173" s="131">
        <v>3</v>
      </c>
      <c r="L173" s="131">
        <v>0</v>
      </c>
      <c r="M173" s="131">
        <v>7</v>
      </c>
      <c r="N173" s="131">
        <v>8</v>
      </c>
      <c r="O173" s="131">
        <v>20</v>
      </c>
      <c r="P173" s="131">
        <v>2</v>
      </c>
      <c r="Q173" s="131">
        <v>10</v>
      </c>
      <c r="R173" s="133">
        <v>0.2</v>
      </c>
      <c r="S173" s="131">
        <v>16</v>
      </c>
      <c r="T173" s="131">
        <v>42</v>
      </c>
      <c r="U173" s="133">
        <v>0.38095238095238093</v>
      </c>
      <c r="V173" s="131">
        <v>4</v>
      </c>
      <c r="W173" s="131">
        <v>5</v>
      </c>
      <c r="X173" s="133">
        <v>0.8</v>
      </c>
    </row>
    <row r="174" spans="1:75" x14ac:dyDescent="0.25">
      <c r="A174" s="131" t="s">
        <v>45</v>
      </c>
      <c r="B174" s="131" t="s">
        <v>59</v>
      </c>
      <c r="C174" s="132">
        <v>1830.8541666666699</v>
      </c>
      <c r="D174" s="131" t="s">
        <v>65</v>
      </c>
      <c r="E174" s="131" t="s">
        <v>9</v>
      </c>
      <c r="F174" s="131" t="s">
        <v>119</v>
      </c>
      <c r="G174" s="131">
        <v>1</v>
      </c>
      <c r="H174" s="131">
        <v>14</v>
      </c>
      <c r="I174" s="131">
        <v>8</v>
      </c>
      <c r="J174" s="131">
        <v>2</v>
      </c>
      <c r="K174" s="131">
        <v>0</v>
      </c>
      <c r="L174" s="131">
        <v>0</v>
      </c>
      <c r="M174" s="131">
        <v>5</v>
      </c>
      <c r="N174" s="131">
        <v>3</v>
      </c>
      <c r="O174" s="131">
        <v>5</v>
      </c>
      <c r="P174" s="131">
        <v>2</v>
      </c>
      <c r="Q174" s="131">
        <v>8</v>
      </c>
      <c r="R174" s="133">
        <v>0.25</v>
      </c>
      <c r="S174" s="131">
        <v>4</v>
      </c>
      <c r="T174" s="131">
        <v>15</v>
      </c>
      <c r="U174" s="133">
        <v>0.26666666666666666</v>
      </c>
      <c r="V174" s="131">
        <v>4</v>
      </c>
      <c r="W174" s="131">
        <v>6</v>
      </c>
      <c r="X174" s="133">
        <v>0.66666666666666663</v>
      </c>
    </row>
    <row r="175" spans="1:75" x14ac:dyDescent="0.25">
      <c r="A175" s="131" t="s">
        <v>45</v>
      </c>
      <c r="B175" s="131" t="s">
        <v>59</v>
      </c>
      <c r="C175" s="132">
        <v>1830.8541666666699</v>
      </c>
      <c r="D175" s="131" t="s">
        <v>65</v>
      </c>
      <c r="E175" s="131" t="s">
        <v>24</v>
      </c>
      <c r="F175" s="131" t="s">
        <v>119</v>
      </c>
      <c r="G175" s="131">
        <v>1</v>
      </c>
      <c r="H175" s="131">
        <v>6</v>
      </c>
      <c r="I175" s="131">
        <v>6</v>
      </c>
      <c r="J175" s="131">
        <v>1</v>
      </c>
      <c r="K175" s="131">
        <v>0</v>
      </c>
      <c r="L175" s="131">
        <v>0</v>
      </c>
      <c r="M175" s="131">
        <v>2</v>
      </c>
      <c r="N175" s="131">
        <v>1</v>
      </c>
      <c r="O175" s="131">
        <v>5</v>
      </c>
      <c r="P175" s="131">
        <v>0</v>
      </c>
      <c r="Q175" s="131">
        <v>0</v>
      </c>
      <c r="R175" s="133" t="s">
        <v>120</v>
      </c>
      <c r="S175" s="131">
        <v>3</v>
      </c>
      <c r="T175" s="131">
        <v>7</v>
      </c>
      <c r="U175" s="133">
        <v>0.42857142857142855</v>
      </c>
      <c r="V175" s="131">
        <v>0</v>
      </c>
      <c r="W175" s="131">
        <v>1</v>
      </c>
      <c r="X175" s="133">
        <v>0</v>
      </c>
    </row>
    <row r="176" spans="1:75" x14ac:dyDescent="0.25">
      <c r="A176" s="131" t="s">
        <v>45</v>
      </c>
      <c r="B176" s="131" t="s">
        <v>59</v>
      </c>
      <c r="C176" s="132">
        <v>1830.8541666666699</v>
      </c>
      <c r="D176" s="131" t="s">
        <v>65</v>
      </c>
      <c r="E176" s="131" t="s">
        <v>18</v>
      </c>
      <c r="F176" s="131" t="s">
        <v>119</v>
      </c>
      <c r="G176" s="131">
        <v>1</v>
      </c>
      <c r="H176" s="131">
        <v>9</v>
      </c>
      <c r="I176" s="131">
        <v>6</v>
      </c>
      <c r="J176" s="131">
        <v>1</v>
      </c>
      <c r="K176" s="131">
        <v>2</v>
      </c>
      <c r="L176" s="131">
        <v>0</v>
      </c>
      <c r="M176" s="131">
        <v>2</v>
      </c>
      <c r="N176" s="131">
        <v>4</v>
      </c>
      <c r="O176" s="131">
        <v>2</v>
      </c>
      <c r="P176" s="131">
        <v>1</v>
      </c>
      <c r="Q176" s="131">
        <v>3</v>
      </c>
      <c r="R176" s="133">
        <v>0.33333333333333331</v>
      </c>
      <c r="S176" s="131">
        <v>4</v>
      </c>
      <c r="T176" s="131">
        <v>8</v>
      </c>
      <c r="U176" s="133">
        <v>0.5</v>
      </c>
      <c r="V176" s="131">
        <v>0</v>
      </c>
      <c r="W176" s="131">
        <v>0</v>
      </c>
      <c r="X176" s="133" t="s">
        <v>120</v>
      </c>
    </row>
    <row r="177" spans="1:75" x14ac:dyDescent="0.25">
      <c r="A177" s="131" t="s">
        <v>45</v>
      </c>
      <c r="B177" s="131" t="s">
        <v>59</v>
      </c>
      <c r="C177" s="132">
        <v>1830.8541666666699</v>
      </c>
      <c r="D177" s="131" t="s">
        <v>65</v>
      </c>
      <c r="E177" s="131" t="s">
        <v>100</v>
      </c>
      <c r="F177" s="131" t="s">
        <v>119</v>
      </c>
      <c r="G177" s="131">
        <v>1</v>
      </c>
      <c r="H177" s="131">
        <v>5</v>
      </c>
      <c r="I177" s="131">
        <v>3</v>
      </c>
      <c r="J177" s="131">
        <v>2</v>
      </c>
      <c r="K177" s="131">
        <v>3</v>
      </c>
      <c r="L177" s="131">
        <v>2</v>
      </c>
      <c r="M177" s="131">
        <v>3</v>
      </c>
      <c r="N177" s="131">
        <v>1</v>
      </c>
      <c r="O177" s="131">
        <v>2</v>
      </c>
      <c r="P177" s="131">
        <v>1</v>
      </c>
      <c r="Q177" s="131">
        <v>2</v>
      </c>
      <c r="R177" s="133">
        <v>0.5</v>
      </c>
      <c r="S177" s="131">
        <v>2</v>
      </c>
      <c r="T177" s="131">
        <v>5</v>
      </c>
      <c r="U177" s="133">
        <v>0.4</v>
      </c>
      <c r="V177" s="131">
        <v>0</v>
      </c>
      <c r="W177" s="131">
        <v>0</v>
      </c>
      <c r="X177" s="133" t="s">
        <v>120</v>
      </c>
    </row>
    <row r="178" spans="1:75" x14ac:dyDescent="0.25">
      <c r="A178" s="131" t="s">
        <v>45</v>
      </c>
      <c r="B178" s="131" t="s">
        <v>59</v>
      </c>
      <c r="C178" s="132">
        <v>1830.8541666666699</v>
      </c>
      <c r="D178" s="131" t="s">
        <v>65</v>
      </c>
      <c r="E178" s="131" t="s">
        <v>36</v>
      </c>
      <c r="F178" s="131" t="s">
        <v>119</v>
      </c>
      <c r="G178" s="131">
        <v>1</v>
      </c>
      <c r="H178" s="131">
        <v>0</v>
      </c>
      <c r="I178" s="131">
        <v>6</v>
      </c>
      <c r="J178" s="131">
        <v>2</v>
      </c>
      <c r="K178" s="131">
        <v>0</v>
      </c>
      <c r="L178" s="131">
        <v>0</v>
      </c>
      <c r="M178" s="131">
        <v>2</v>
      </c>
      <c r="N178" s="131">
        <v>2</v>
      </c>
      <c r="O178" s="131">
        <v>4</v>
      </c>
      <c r="P178" s="131">
        <v>0</v>
      </c>
      <c r="Q178" s="131">
        <v>3</v>
      </c>
      <c r="R178" s="133">
        <v>0</v>
      </c>
      <c r="S178" s="131">
        <v>0</v>
      </c>
      <c r="T178" s="131">
        <v>4</v>
      </c>
      <c r="U178" s="133">
        <v>0</v>
      </c>
      <c r="V178" s="131">
        <v>0</v>
      </c>
      <c r="W178" s="131">
        <v>0</v>
      </c>
      <c r="X178" s="133" t="s">
        <v>120</v>
      </c>
    </row>
    <row r="179" spans="1:75" x14ac:dyDescent="0.25">
      <c r="A179" s="131" t="s">
        <v>157</v>
      </c>
      <c r="B179" s="131" t="s">
        <v>157</v>
      </c>
      <c r="C179" s="132" t="s">
        <v>157</v>
      </c>
      <c r="D179" s="131" t="s">
        <v>157</v>
      </c>
      <c r="E179" s="131" t="s">
        <v>157</v>
      </c>
      <c r="F179" s="131" t="s">
        <v>157</v>
      </c>
      <c r="G179" s="131" t="s">
        <v>157</v>
      </c>
      <c r="H179" s="131" t="s">
        <v>157</v>
      </c>
      <c r="I179" s="131" t="s">
        <v>157</v>
      </c>
      <c r="J179" s="131" t="s">
        <v>157</v>
      </c>
      <c r="K179" s="131" t="s">
        <v>157</v>
      </c>
      <c r="L179" s="131" t="s">
        <v>157</v>
      </c>
      <c r="M179" s="131" t="s">
        <v>157</v>
      </c>
      <c r="N179" s="131" t="s">
        <v>157</v>
      </c>
      <c r="O179" s="131" t="s">
        <v>157</v>
      </c>
      <c r="P179" s="131" t="s">
        <v>157</v>
      </c>
      <c r="Q179" s="131" t="s">
        <v>157</v>
      </c>
      <c r="R179" s="133" t="s">
        <v>157</v>
      </c>
      <c r="S179" s="131" t="s">
        <v>157</v>
      </c>
      <c r="T179" s="131" t="s">
        <v>157</v>
      </c>
      <c r="U179" s="133" t="s">
        <v>157</v>
      </c>
      <c r="V179" s="131" t="s">
        <v>157</v>
      </c>
      <c r="W179" s="131" t="s">
        <v>157</v>
      </c>
      <c r="X179" s="133" t="s">
        <v>157</v>
      </c>
    </row>
    <row r="180" spans="1:75" x14ac:dyDescent="0.25">
      <c r="A180" s="131" t="s">
        <v>157</v>
      </c>
      <c r="B180" s="131" t="s">
        <v>157</v>
      </c>
      <c r="C180" s="132" t="s">
        <v>157</v>
      </c>
      <c r="D180" s="131" t="s">
        <v>157</v>
      </c>
      <c r="E180" s="131" t="s">
        <v>157</v>
      </c>
      <c r="F180" s="131" t="s">
        <v>157</v>
      </c>
      <c r="G180" s="131" t="s">
        <v>157</v>
      </c>
      <c r="H180" s="131" t="s">
        <v>157</v>
      </c>
      <c r="I180" s="131" t="s">
        <v>157</v>
      </c>
      <c r="J180" s="131" t="s">
        <v>157</v>
      </c>
      <c r="K180" s="131" t="s">
        <v>157</v>
      </c>
      <c r="L180" s="131" t="s">
        <v>157</v>
      </c>
      <c r="M180" s="131" t="s">
        <v>157</v>
      </c>
      <c r="N180" s="131" t="s">
        <v>157</v>
      </c>
      <c r="O180" s="131" t="s">
        <v>157</v>
      </c>
      <c r="P180" s="131" t="s">
        <v>157</v>
      </c>
      <c r="Q180" s="131" t="s">
        <v>157</v>
      </c>
      <c r="R180" s="133" t="s">
        <v>157</v>
      </c>
      <c r="S180" s="131" t="s">
        <v>157</v>
      </c>
      <c r="T180" s="131" t="s">
        <v>157</v>
      </c>
      <c r="U180" s="133" t="s">
        <v>157</v>
      </c>
      <c r="V180" s="131" t="s">
        <v>157</v>
      </c>
      <c r="W180" s="131" t="s">
        <v>157</v>
      </c>
      <c r="X180" s="133" t="s">
        <v>157</v>
      </c>
    </row>
    <row r="181" spans="1:75" x14ac:dyDescent="0.25">
      <c r="A181" s="131" t="s">
        <v>157</v>
      </c>
      <c r="B181" s="131" t="s">
        <v>157</v>
      </c>
      <c r="C181" s="132" t="s">
        <v>157</v>
      </c>
      <c r="D181" s="131" t="s">
        <v>157</v>
      </c>
      <c r="E181" s="131" t="s">
        <v>157</v>
      </c>
      <c r="F181" s="131" t="s">
        <v>157</v>
      </c>
      <c r="G181" s="131" t="s">
        <v>157</v>
      </c>
      <c r="H181" s="131" t="s">
        <v>157</v>
      </c>
      <c r="I181" s="131" t="s">
        <v>157</v>
      </c>
      <c r="J181" s="131" t="s">
        <v>157</v>
      </c>
      <c r="K181" s="131" t="s">
        <v>157</v>
      </c>
      <c r="L181" s="131" t="s">
        <v>157</v>
      </c>
      <c r="M181" s="131" t="s">
        <v>157</v>
      </c>
      <c r="N181" s="131" t="s">
        <v>157</v>
      </c>
      <c r="O181" s="131" t="s">
        <v>157</v>
      </c>
      <c r="P181" s="131" t="s">
        <v>157</v>
      </c>
      <c r="Q181" s="131" t="s">
        <v>157</v>
      </c>
      <c r="R181" s="133" t="s">
        <v>157</v>
      </c>
      <c r="S181" s="131" t="s">
        <v>157</v>
      </c>
      <c r="T181" s="131" t="s">
        <v>157</v>
      </c>
      <c r="U181" s="133" t="s">
        <v>157</v>
      </c>
      <c r="V181" s="131" t="s">
        <v>157</v>
      </c>
      <c r="W181" s="131" t="s">
        <v>157</v>
      </c>
      <c r="X181" s="133" t="s">
        <v>157</v>
      </c>
    </row>
    <row r="182" spans="1:75" x14ac:dyDescent="0.25">
      <c r="A182" s="131" t="s">
        <v>157</v>
      </c>
      <c r="B182" s="131" t="s">
        <v>157</v>
      </c>
      <c r="C182" s="132" t="s">
        <v>157</v>
      </c>
      <c r="D182" s="131" t="s">
        <v>157</v>
      </c>
      <c r="E182" s="131" t="s">
        <v>157</v>
      </c>
      <c r="F182" s="131" t="s">
        <v>157</v>
      </c>
      <c r="G182" s="131" t="s">
        <v>157</v>
      </c>
      <c r="H182" s="131" t="s">
        <v>157</v>
      </c>
      <c r="I182" s="131" t="s">
        <v>157</v>
      </c>
      <c r="J182" s="131" t="s">
        <v>157</v>
      </c>
      <c r="K182" s="131" t="s">
        <v>157</v>
      </c>
      <c r="L182" s="131" t="s">
        <v>157</v>
      </c>
      <c r="M182" s="131" t="s">
        <v>157</v>
      </c>
      <c r="N182" s="131" t="s">
        <v>157</v>
      </c>
      <c r="O182" s="131" t="s">
        <v>157</v>
      </c>
      <c r="P182" s="131" t="s">
        <v>157</v>
      </c>
      <c r="Q182" s="131" t="s">
        <v>157</v>
      </c>
      <c r="R182" s="133" t="s">
        <v>157</v>
      </c>
      <c r="S182" s="131" t="s">
        <v>157</v>
      </c>
      <c r="T182" s="131" t="s">
        <v>157</v>
      </c>
      <c r="U182" s="133" t="s">
        <v>157</v>
      </c>
      <c r="V182" s="131" t="s">
        <v>157</v>
      </c>
      <c r="W182" s="131" t="s">
        <v>157</v>
      </c>
      <c r="X182" s="133" t="s">
        <v>157</v>
      </c>
    </row>
    <row r="183" spans="1:75" x14ac:dyDescent="0.25">
      <c r="A183" s="131" t="s">
        <v>45</v>
      </c>
      <c r="B183" s="131" t="s">
        <v>60</v>
      </c>
      <c r="C183" s="132">
        <v>1830.7708333333333</v>
      </c>
      <c r="D183" s="131" t="s">
        <v>65</v>
      </c>
      <c r="E183" s="131" t="s">
        <v>31</v>
      </c>
      <c r="F183" s="131" t="s">
        <v>40</v>
      </c>
      <c r="G183" s="131">
        <v>1</v>
      </c>
      <c r="H183" s="131">
        <v>17</v>
      </c>
      <c r="I183" s="131">
        <v>6</v>
      </c>
      <c r="J183" s="131">
        <v>2</v>
      </c>
      <c r="K183" s="131">
        <v>1</v>
      </c>
      <c r="L183" s="131">
        <v>0</v>
      </c>
      <c r="M183" s="131">
        <v>4</v>
      </c>
      <c r="N183" s="131">
        <v>1</v>
      </c>
      <c r="O183" s="131">
        <v>5</v>
      </c>
      <c r="P183" s="131">
        <v>0</v>
      </c>
      <c r="Q183" s="131">
        <v>6</v>
      </c>
      <c r="R183" s="133">
        <v>0</v>
      </c>
      <c r="S183" s="131">
        <v>8</v>
      </c>
      <c r="T183" s="131">
        <v>25</v>
      </c>
      <c r="U183" s="133">
        <v>0.32</v>
      </c>
      <c r="V183" s="131">
        <v>1</v>
      </c>
      <c r="W183" s="131">
        <v>1</v>
      </c>
      <c r="X183" s="133">
        <v>1</v>
      </c>
      <c r="Z183" s="134" t="s">
        <v>45</v>
      </c>
      <c r="AA183" s="134" t="s">
        <v>60</v>
      </c>
      <c r="AB183" s="135">
        <v>1830.7708333333333</v>
      </c>
      <c r="AC183" s="134" t="s">
        <v>65</v>
      </c>
      <c r="AD183" s="134" t="s">
        <v>40</v>
      </c>
      <c r="AE183" s="134" t="s">
        <v>175</v>
      </c>
      <c r="AF183" s="134">
        <v>1</v>
      </c>
      <c r="AG183" s="134">
        <v>50</v>
      </c>
      <c r="AH183" s="134">
        <v>32</v>
      </c>
      <c r="AI183" s="134">
        <v>10</v>
      </c>
      <c r="AJ183" s="134">
        <v>5</v>
      </c>
      <c r="AK183" s="134">
        <v>1</v>
      </c>
      <c r="AL183" s="134">
        <v>8</v>
      </c>
      <c r="AM183" s="134">
        <v>7</v>
      </c>
      <c r="AN183" s="134">
        <v>25</v>
      </c>
      <c r="AO183" s="134">
        <v>3</v>
      </c>
      <c r="AP183" s="134">
        <v>14</v>
      </c>
      <c r="AQ183" s="136">
        <v>0.21428571428571427</v>
      </c>
      <c r="AR183" s="134">
        <v>21</v>
      </c>
      <c r="AS183" s="134">
        <v>62</v>
      </c>
      <c r="AT183" s="136">
        <v>0.33870967741935482</v>
      </c>
      <c r="AU183" s="134">
        <v>5</v>
      </c>
      <c r="AV183" s="134">
        <v>8</v>
      </c>
      <c r="AW183" s="136">
        <v>0.625</v>
      </c>
      <c r="AY183" s="134" t="s">
        <v>45</v>
      </c>
      <c r="AZ183" s="134" t="s">
        <v>60</v>
      </c>
      <c r="BA183" s="135">
        <v>1830.7708333333333</v>
      </c>
      <c r="BB183" s="134" t="s">
        <v>65</v>
      </c>
      <c r="BC183" s="134" t="s">
        <v>89</v>
      </c>
      <c r="BD183" s="134"/>
      <c r="BE183" s="134">
        <v>1</v>
      </c>
      <c r="BF183" s="134">
        <v>107</v>
      </c>
      <c r="BG183" s="134">
        <v>63</v>
      </c>
      <c r="BH183" s="134">
        <v>23</v>
      </c>
      <c r="BI183" s="134">
        <v>11</v>
      </c>
      <c r="BJ183" s="134">
        <v>3</v>
      </c>
      <c r="BK183" s="134">
        <v>17</v>
      </c>
      <c r="BL183" s="134">
        <v>15</v>
      </c>
      <c r="BM183" s="134">
        <v>48</v>
      </c>
      <c r="BN183" s="134">
        <v>9</v>
      </c>
      <c r="BO183" s="134">
        <v>33</v>
      </c>
      <c r="BP183" s="136">
        <v>0.27272727272727271</v>
      </c>
      <c r="BQ183" s="134">
        <v>41</v>
      </c>
      <c r="BR183" s="134">
        <v>115</v>
      </c>
      <c r="BS183" s="136">
        <v>0.35652173913043478</v>
      </c>
      <c r="BT183" s="134">
        <v>16</v>
      </c>
      <c r="BU183" s="134">
        <v>27</v>
      </c>
      <c r="BV183" s="136">
        <v>0.59259259259259256</v>
      </c>
      <c r="BW183" s="174" t="s">
        <v>171</v>
      </c>
    </row>
    <row r="184" spans="1:75" x14ac:dyDescent="0.25">
      <c r="A184" s="131" t="s">
        <v>45</v>
      </c>
      <c r="B184" s="131" t="s">
        <v>60</v>
      </c>
      <c r="C184" s="132">
        <v>1830.7708333333333</v>
      </c>
      <c r="D184" s="131" t="s">
        <v>65</v>
      </c>
      <c r="E184" s="131" t="s">
        <v>35</v>
      </c>
      <c r="F184" s="131" t="s">
        <v>40</v>
      </c>
      <c r="G184" s="131">
        <v>1</v>
      </c>
      <c r="H184" s="131">
        <v>4</v>
      </c>
      <c r="I184" s="131">
        <v>11</v>
      </c>
      <c r="J184" s="131">
        <v>2</v>
      </c>
      <c r="K184" s="131">
        <v>1</v>
      </c>
      <c r="L184" s="131">
        <v>0</v>
      </c>
      <c r="M184" s="131">
        <v>1</v>
      </c>
      <c r="N184" s="131">
        <v>1</v>
      </c>
      <c r="O184" s="131">
        <v>10</v>
      </c>
      <c r="P184" s="131">
        <v>0</v>
      </c>
      <c r="Q184" s="131">
        <v>0</v>
      </c>
      <c r="R184" s="133" t="s">
        <v>120</v>
      </c>
      <c r="S184" s="131">
        <v>2</v>
      </c>
      <c r="T184" s="131">
        <v>2</v>
      </c>
      <c r="U184" s="133">
        <v>1</v>
      </c>
      <c r="V184" s="131">
        <v>0</v>
      </c>
      <c r="W184" s="131">
        <v>0</v>
      </c>
      <c r="X184" s="133" t="s">
        <v>120</v>
      </c>
      <c r="Z184" s="134" t="s">
        <v>45</v>
      </c>
      <c r="AA184" s="134" t="s">
        <v>60</v>
      </c>
      <c r="AB184" s="135">
        <v>1830.7708333333333</v>
      </c>
      <c r="AC184" s="134" t="s">
        <v>65</v>
      </c>
      <c r="AD184" s="134" t="s">
        <v>41</v>
      </c>
      <c r="AE184" s="134" t="s">
        <v>174</v>
      </c>
      <c r="AF184" s="134">
        <v>1</v>
      </c>
      <c r="AG184" s="134">
        <v>57</v>
      </c>
      <c r="AH184" s="134">
        <v>31</v>
      </c>
      <c r="AI184" s="134">
        <v>13</v>
      </c>
      <c r="AJ184" s="134">
        <v>6</v>
      </c>
      <c r="AK184" s="134">
        <v>2</v>
      </c>
      <c r="AL184" s="134">
        <v>9</v>
      </c>
      <c r="AM184" s="134">
        <v>8</v>
      </c>
      <c r="AN184" s="134">
        <v>23</v>
      </c>
      <c r="AO184" s="134">
        <v>6</v>
      </c>
      <c r="AP184" s="134">
        <v>19</v>
      </c>
      <c r="AQ184" s="136">
        <v>0.316</v>
      </c>
      <c r="AR184" s="134">
        <v>20</v>
      </c>
      <c r="AS184" s="134">
        <v>53</v>
      </c>
      <c r="AT184" s="136">
        <v>0.377</v>
      </c>
      <c r="AU184" s="134">
        <v>11</v>
      </c>
      <c r="AV184" s="134">
        <v>19</v>
      </c>
      <c r="AW184" s="136">
        <v>0.57899999999999996</v>
      </c>
    </row>
    <row r="185" spans="1:75" x14ac:dyDescent="0.25">
      <c r="A185" s="131" t="s">
        <v>45</v>
      </c>
      <c r="B185" s="131" t="s">
        <v>60</v>
      </c>
      <c r="C185" s="132">
        <v>1830.7708333333333</v>
      </c>
      <c r="D185" s="131" t="s">
        <v>65</v>
      </c>
      <c r="E185" s="131" t="s">
        <v>11</v>
      </c>
      <c r="F185" s="131" t="s">
        <v>40</v>
      </c>
      <c r="G185" s="131">
        <v>1</v>
      </c>
      <c r="H185" s="131">
        <v>4</v>
      </c>
      <c r="I185" s="131">
        <v>6</v>
      </c>
      <c r="J185" s="131">
        <v>2</v>
      </c>
      <c r="K185" s="131">
        <v>0</v>
      </c>
      <c r="L185" s="131">
        <v>0</v>
      </c>
      <c r="M185" s="131">
        <v>0</v>
      </c>
      <c r="N185" s="131">
        <v>1</v>
      </c>
      <c r="O185" s="131">
        <v>5</v>
      </c>
      <c r="P185" s="131">
        <v>0</v>
      </c>
      <c r="Q185" s="131">
        <v>0</v>
      </c>
      <c r="R185" s="133" t="s">
        <v>120</v>
      </c>
      <c r="S185" s="131">
        <v>2</v>
      </c>
      <c r="T185" s="131">
        <v>4</v>
      </c>
      <c r="U185" s="133">
        <v>0.5</v>
      </c>
      <c r="V185" s="131">
        <v>0</v>
      </c>
      <c r="W185" s="131">
        <v>0</v>
      </c>
      <c r="X185" s="133" t="s">
        <v>120</v>
      </c>
    </row>
    <row r="186" spans="1:75" x14ac:dyDescent="0.25">
      <c r="A186" s="131" t="s">
        <v>45</v>
      </c>
      <c r="B186" s="131" t="s">
        <v>60</v>
      </c>
      <c r="C186" s="132">
        <v>1830.7708333333333</v>
      </c>
      <c r="D186" s="131" t="s">
        <v>65</v>
      </c>
      <c r="E186" s="131" t="s">
        <v>7</v>
      </c>
      <c r="F186" s="131" t="s">
        <v>40</v>
      </c>
      <c r="G186" s="131">
        <v>1</v>
      </c>
      <c r="H186" s="131">
        <v>19</v>
      </c>
      <c r="I186" s="131">
        <v>5</v>
      </c>
      <c r="J186" s="131">
        <v>0</v>
      </c>
      <c r="K186" s="131">
        <v>0</v>
      </c>
      <c r="L186" s="131">
        <v>0</v>
      </c>
      <c r="M186" s="131">
        <v>2</v>
      </c>
      <c r="N186" s="131">
        <v>1</v>
      </c>
      <c r="O186" s="131">
        <v>4</v>
      </c>
      <c r="P186" s="131">
        <v>3</v>
      </c>
      <c r="Q186" s="131">
        <v>6</v>
      </c>
      <c r="R186" s="133">
        <v>0.5</v>
      </c>
      <c r="S186" s="131">
        <v>7</v>
      </c>
      <c r="T186" s="131">
        <v>17</v>
      </c>
      <c r="U186" s="133">
        <v>0.41176470588235292</v>
      </c>
      <c r="V186" s="131">
        <v>2</v>
      </c>
      <c r="W186" s="131">
        <v>5</v>
      </c>
      <c r="X186" s="133">
        <v>0.4</v>
      </c>
    </row>
    <row r="187" spans="1:75" x14ac:dyDescent="0.25">
      <c r="A187" s="131" t="s">
        <v>45</v>
      </c>
      <c r="B187" s="131" t="s">
        <v>60</v>
      </c>
      <c r="C187" s="132">
        <v>1830.7708333333333</v>
      </c>
      <c r="D187" s="131" t="s">
        <v>65</v>
      </c>
      <c r="E187" s="131" t="s">
        <v>27</v>
      </c>
      <c r="F187" s="131" t="s">
        <v>40</v>
      </c>
      <c r="G187" s="131">
        <v>1</v>
      </c>
      <c r="H187" s="131">
        <v>6</v>
      </c>
      <c r="I187" s="131">
        <v>4</v>
      </c>
      <c r="J187" s="131">
        <v>4</v>
      </c>
      <c r="K187" s="131">
        <v>3</v>
      </c>
      <c r="L187" s="131">
        <v>1</v>
      </c>
      <c r="M187" s="131">
        <v>1</v>
      </c>
      <c r="N187" s="131">
        <v>3</v>
      </c>
      <c r="O187" s="131">
        <v>1</v>
      </c>
      <c r="P187" s="131">
        <v>0</v>
      </c>
      <c r="Q187" s="131">
        <v>2</v>
      </c>
      <c r="R187" s="133">
        <v>0</v>
      </c>
      <c r="S187" s="131">
        <v>2</v>
      </c>
      <c r="T187" s="131">
        <v>14</v>
      </c>
      <c r="U187" s="133">
        <v>0.14285714285714285</v>
      </c>
      <c r="V187" s="131">
        <v>2</v>
      </c>
      <c r="W187" s="131">
        <v>2</v>
      </c>
      <c r="X187" s="133">
        <v>1</v>
      </c>
    </row>
    <row r="188" spans="1:75" x14ac:dyDescent="0.25">
      <c r="A188" s="131" t="s">
        <v>45</v>
      </c>
      <c r="B188" s="131" t="s">
        <v>60</v>
      </c>
      <c r="C188" s="132">
        <v>1830.7708333333333</v>
      </c>
      <c r="D188" s="131" t="s">
        <v>65</v>
      </c>
      <c r="E188" s="131" t="s">
        <v>2</v>
      </c>
      <c r="F188" s="131" t="s">
        <v>41</v>
      </c>
      <c r="G188" s="131">
        <v>1</v>
      </c>
      <c r="H188" s="131">
        <v>17</v>
      </c>
      <c r="I188" s="131">
        <v>6</v>
      </c>
      <c r="J188" s="131">
        <v>4</v>
      </c>
      <c r="K188" s="131">
        <v>3</v>
      </c>
      <c r="L188" s="131">
        <v>0</v>
      </c>
      <c r="M188" s="131">
        <v>2</v>
      </c>
      <c r="N188" s="131">
        <v>1</v>
      </c>
      <c r="O188" s="131">
        <v>5</v>
      </c>
      <c r="P188" s="131">
        <v>2</v>
      </c>
      <c r="Q188" s="131">
        <v>3</v>
      </c>
      <c r="R188" s="133">
        <v>0.66666666666666663</v>
      </c>
      <c r="S188" s="131">
        <v>7</v>
      </c>
      <c r="T188" s="131">
        <v>13</v>
      </c>
      <c r="U188" s="133">
        <v>0.53846153846153844</v>
      </c>
      <c r="V188" s="131">
        <v>1</v>
      </c>
      <c r="W188" s="131">
        <v>4</v>
      </c>
      <c r="X188" s="133">
        <v>0.25</v>
      </c>
    </row>
    <row r="189" spans="1:75" x14ac:dyDescent="0.25">
      <c r="A189" s="131" t="s">
        <v>45</v>
      </c>
      <c r="B189" s="131" t="s">
        <v>60</v>
      </c>
      <c r="C189" s="132">
        <v>1830.7708333333333</v>
      </c>
      <c r="D189" s="131" t="s">
        <v>65</v>
      </c>
      <c r="E189" s="131" t="s">
        <v>13</v>
      </c>
      <c r="F189" s="131" t="s">
        <v>41</v>
      </c>
      <c r="G189" s="131">
        <v>1</v>
      </c>
      <c r="H189" s="131">
        <v>11</v>
      </c>
      <c r="I189" s="131">
        <v>3</v>
      </c>
      <c r="J189" s="131">
        <v>3</v>
      </c>
      <c r="K189" s="131">
        <v>2</v>
      </c>
      <c r="L189" s="131">
        <v>0</v>
      </c>
      <c r="M189" s="131">
        <v>4</v>
      </c>
      <c r="N189" s="131">
        <v>1</v>
      </c>
      <c r="O189" s="131">
        <v>2</v>
      </c>
      <c r="P189" s="131">
        <v>2</v>
      </c>
      <c r="Q189" s="131">
        <v>3</v>
      </c>
      <c r="R189" s="133">
        <v>0.66666666666666663</v>
      </c>
      <c r="S189" s="131">
        <v>3</v>
      </c>
      <c r="T189" s="131">
        <v>13</v>
      </c>
      <c r="U189" s="133">
        <v>0.23076923076923078</v>
      </c>
      <c r="V189" s="131">
        <v>3</v>
      </c>
      <c r="W189" s="131">
        <v>4</v>
      </c>
      <c r="X189" s="133">
        <v>0.75</v>
      </c>
    </row>
    <row r="190" spans="1:75" x14ac:dyDescent="0.25">
      <c r="A190" s="131" t="s">
        <v>45</v>
      </c>
      <c r="B190" s="131" t="s">
        <v>60</v>
      </c>
      <c r="C190" s="132">
        <v>1830.7708333333333</v>
      </c>
      <c r="D190" s="131" t="s">
        <v>65</v>
      </c>
      <c r="E190" s="131" t="s">
        <v>32</v>
      </c>
      <c r="F190" s="131" t="s">
        <v>41</v>
      </c>
      <c r="G190" s="131">
        <v>1</v>
      </c>
      <c r="H190" s="131">
        <v>12</v>
      </c>
      <c r="I190" s="131">
        <v>5</v>
      </c>
      <c r="J190" s="131">
        <v>3</v>
      </c>
      <c r="K190" s="131">
        <v>1</v>
      </c>
      <c r="L190" s="131">
        <v>2</v>
      </c>
      <c r="M190" s="131">
        <v>1</v>
      </c>
      <c r="N190" s="131">
        <v>2</v>
      </c>
      <c r="O190" s="131">
        <v>3</v>
      </c>
      <c r="P190" s="131">
        <v>0</v>
      </c>
      <c r="Q190" s="131">
        <v>3</v>
      </c>
      <c r="R190" s="133">
        <v>0</v>
      </c>
      <c r="S190" s="131">
        <v>6</v>
      </c>
      <c r="T190" s="131">
        <v>12</v>
      </c>
      <c r="U190" s="133">
        <v>0.5</v>
      </c>
      <c r="V190" s="131">
        <v>0</v>
      </c>
      <c r="W190" s="131">
        <v>1</v>
      </c>
      <c r="X190" s="133">
        <v>0</v>
      </c>
    </row>
    <row r="191" spans="1:75" x14ac:dyDescent="0.25">
      <c r="A191" s="131" t="s">
        <v>45</v>
      </c>
      <c r="B191" s="131" t="s">
        <v>60</v>
      </c>
      <c r="C191" s="132">
        <v>1830.7708333333333</v>
      </c>
      <c r="D191" s="131" t="s">
        <v>65</v>
      </c>
      <c r="E191" s="131" t="s">
        <v>28</v>
      </c>
      <c r="F191" s="131" t="s">
        <v>41</v>
      </c>
      <c r="G191" s="131">
        <v>1</v>
      </c>
      <c r="H191" s="131">
        <v>12</v>
      </c>
      <c r="I191" s="131">
        <v>7</v>
      </c>
      <c r="J191" s="131">
        <v>0</v>
      </c>
      <c r="K191" s="131">
        <v>0</v>
      </c>
      <c r="L191" s="131">
        <v>0</v>
      </c>
      <c r="M191" s="131">
        <v>0</v>
      </c>
      <c r="N191" s="131">
        <v>2</v>
      </c>
      <c r="O191" s="131">
        <v>5</v>
      </c>
      <c r="P191" s="131">
        <v>2</v>
      </c>
      <c r="Q191" s="131">
        <v>5</v>
      </c>
      <c r="R191" s="133">
        <v>0.4</v>
      </c>
      <c r="S191" s="131">
        <v>2</v>
      </c>
      <c r="T191" s="131">
        <v>5</v>
      </c>
      <c r="U191" s="133">
        <v>0.4</v>
      </c>
      <c r="V191" s="131">
        <v>6</v>
      </c>
      <c r="W191" s="131">
        <v>8</v>
      </c>
      <c r="X191" s="133">
        <v>0.75</v>
      </c>
      <c r="Z191" s="106" t="s">
        <v>178</v>
      </c>
    </row>
    <row r="192" spans="1:75" x14ac:dyDescent="0.25">
      <c r="A192" s="131" t="s">
        <v>45</v>
      </c>
      <c r="B192" s="131" t="s">
        <v>60</v>
      </c>
      <c r="C192" s="132">
        <v>1830.7708333333333</v>
      </c>
      <c r="D192" s="131" t="s">
        <v>65</v>
      </c>
      <c r="E192" s="131" t="s">
        <v>25</v>
      </c>
      <c r="F192" s="131" t="s">
        <v>41</v>
      </c>
      <c r="G192" s="131">
        <v>1</v>
      </c>
      <c r="H192" s="131">
        <v>3</v>
      </c>
      <c r="I192" s="131">
        <v>7</v>
      </c>
      <c r="J192" s="131">
        <v>1</v>
      </c>
      <c r="K192" s="131">
        <v>0</v>
      </c>
      <c r="L192" s="131">
        <v>0</v>
      </c>
      <c r="M192" s="131">
        <v>1</v>
      </c>
      <c r="N192" s="131">
        <v>0</v>
      </c>
      <c r="O192" s="131">
        <v>7</v>
      </c>
      <c r="P192" s="131">
        <v>0</v>
      </c>
      <c r="Q192" s="131">
        <v>2</v>
      </c>
      <c r="R192" s="133">
        <v>0</v>
      </c>
      <c r="S192" s="131">
        <v>1</v>
      </c>
      <c r="T192" s="131">
        <v>6</v>
      </c>
      <c r="U192" s="133">
        <v>0.16666666666666666</v>
      </c>
      <c r="V192" s="131">
        <v>1</v>
      </c>
      <c r="W192" s="131">
        <v>2</v>
      </c>
      <c r="X192" s="133">
        <v>0.5</v>
      </c>
    </row>
    <row r="193" spans="1:75" x14ac:dyDescent="0.25">
      <c r="A193" s="131" t="s">
        <v>45</v>
      </c>
      <c r="B193" s="131" t="s">
        <v>60</v>
      </c>
      <c r="C193" s="132">
        <v>1830.7708333333333</v>
      </c>
      <c r="D193" s="131" t="s">
        <v>65</v>
      </c>
      <c r="E193" s="131" t="s">
        <v>30</v>
      </c>
      <c r="F193" s="131" t="s">
        <v>41</v>
      </c>
      <c r="G193" s="131">
        <v>1</v>
      </c>
      <c r="H193" s="131">
        <v>2</v>
      </c>
      <c r="I193" s="131">
        <v>3</v>
      </c>
      <c r="J193" s="131">
        <v>2</v>
      </c>
      <c r="K193" s="131">
        <v>0</v>
      </c>
      <c r="L193" s="131">
        <v>0</v>
      </c>
      <c r="M193" s="131">
        <v>1</v>
      </c>
      <c r="N193" s="131">
        <v>2</v>
      </c>
      <c r="O193" s="131">
        <v>1</v>
      </c>
      <c r="P193" s="131">
        <v>0</v>
      </c>
      <c r="Q193" s="131">
        <v>3</v>
      </c>
      <c r="R193" s="133">
        <v>0</v>
      </c>
      <c r="S193" s="131">
        <v>1</v>
      </c>
      <c r="T193" s="131">
        <v>4</v>
      </c>
      <c r="U193" s="133">
        <v>0.25</v>
      </c>
      <c r="V193" s="131">
        <v>0</v>
      </c>
      <c r="W193" s="131">
        <v>0</v>
      </c>
      <c r="X193" s="133" t="s">
        <v>120</v>
      </c>
    </row>
    <row r="194" spans="1:75" x14ac:dyDescent="0.25">
      <c r="A194" s="131" t="s">
        <v>157</v>
      </c>
      <c r="B194" s="131" t="s">
        <v>157</v>
      </c>
      <c r="C194" s="132" t="s">
        <v>157</v>
      </c>
      <c r="D194" s="131" t="s">
        <v>157</v>
      </c>
      <c r="E194" s="131" t="s">
        <v>157</v>
      </c>
      <c r="F194" s="131" t="s">
        <v>157</v>
      </c>
      <c r="G194" s="131" t="s">
        <v>157</v>
      </c>
      <c r="H194" s="131" t="s">
        <v>157</v>
      </c>
      <c r="I194" s="131" t="s">
        <v>157</v>
      </c>
      <c r="J194" s="131" t="s">
        <v>157</v>
      </c>
      <c r="K194" s="131" t="s">
        <v>157</v>
      </c>
      <c r="L194" s="131" t="s">
        <v>157</v>
      </c>
      <c r="M194" s="131" t="s">
        <v>157</v>
      </c>
      <c r="N194" s="131" t="s">
        <v>157</v>
      </c>
      <c r="O194" s="131" t="s">
        <v>157</v>
      </c>
      <c r="P194" s="131" t="s">
        <v>157</v>
      </c>
      <c r="Q194" s="131" t="s">
        <v>157</v>
      </c>
      <c r="R194" s="133" t="s">
        <v>157</v>
      </c>
      <c r="S194" s="131" t="s">
        <v>157</v>
      </c>
      <c r="T194" s="131" t="s">
        <v>157</v>
      </c>
      <c r="U194" s="133" t="s">
        <v>157</v>
      </c>
      <c r="V194" s="131" t="s">
        <v>157</v>
      </c>
      <c r="W194" s="131" t="s">
        <v>157</v>
      </c>
      <c r="X194" s="133" t="s">
        <v>157</v>
      </c>
    </row>
    <row r="195" spans="1:75" x14ac:dyDescent="0.25">
      <c r="A195" s="131" t="s">
        <v>157</v>
      </c>
      <c r="B195" s="131" t="s">
        <v>157</v>
      </c>
      <c r="C195" s="132" t="s">
        <v>157</v>
      </c>
      <c r="D195" s="131" t="s">
        <v>157</v>
      </c>
      <c r="E195" s="131" t="s">
        <v>157</v>
      </c>
      <c r="F195" s="131" t="s">
        <v>157</v>
      </c>
      <c r="G195" s="131" t="s">
        <v>157</v>
      </c>
      <c r="H195" s="131" t="s">
        <v>157</v>
      </c>
      <c r="I195" s="131" t="s">
        <v>157</v>
      </c>
      <c r="J195" s="131" t="s">
        <v>157</v>
      </c>
      <c r="K195" s="131" t="s">
        <v>157</v>
      </c>
      <c r="L195" s="131" t="s">
        <v>157</v>
      </c>
      <c r="M195" s="131" t="s">
        <v>157</v>
      </c>
      <c r="N195" s="131" t="s">
        <v>157</v>
      </c>
      <c r="O195" s="131" t="s">
        <v>157</v>
      </c>
      <c r="P195" s="131" t="s">
        <v>157</v>
      </c>
      <c r="Q195" s="131" t="s">
        <v>157</v>
      </c>
      <c r="R195" s="133" t="s">
        <v>157</v>
      </c>
      <c r="S195" s="131" t="s">
        <v>157</v>
      </c>
      <c r="T195" s="131" t="s">
        <v>157</v>
      </c>
      <c r="U195" s="133" t="s">
        <v>157</v>
      </c>
      <c r="V195" s="131" t="s">
        <v>157</v>
      </c>
      <c r="W195" s="131" t="s">
        <v>157</v>
      </c>
      <c r="X195" s="133" t="s">
        <v>157</v>
      </c>
    </row>
    <row r="196" spans="1:75" x14ac:dyDescent="0.25">
      <c r="A196" s="131" t="s">
        <v>157</v>
      </c>
      <c r="B196" s="131" t="s">
        <v>157</v>
      </c>
      <c r="C196" s="132" t="s">
        <v>157</v>
      </c>
      <c r="D196" s="131" t="s">
        <v>157</v>
      </c>
      <c r="E196" s="131" t="s">
        <v>157</v>
      </c>
      <c r="F196" s="131" t="s">
        <v>157</v>
      </c>
      <c r="G196" s="131" t="s">
        <v>157</v>
      </c>
      <c r="H196" s="131" t="s">
        <v>157</v>
      </c>
      <c r="I196" s="131" t="s">
        <v>157</v>
      </c>
      <c r="J196" s="131" t="s">
        <v>157</v>
      </c>
      <c r="K196" s="131" t="s">
        <v>157</v>
      </c>
      <c r="L196" s="131" t="s">
        <v>157</v>
      </c>
      <c r="M196" s="131" t="s">
        <v>157</v>
      </c>
      <c r="N196" s="131" t="s">
        <v>157</v>
      </c>
      <c r="O196" s="131" t="s">
        <v>157</v>
      </c>
      <c r="P196" s="131" t="s">
        <v>157</v>
      </c>
      <c r="Q196" s="131" t="s">
        <v>157</v>
      </c>
      <c r="R196" s="133" t="s">
        <v>157</v>
      </c>
      <c r="S196" s="131" t="s">
        <v>157</v>
      </c>
      <c r="T196" s="131" t="s">
        <v>157</v>
      </c>
      <c r="U196" s="133" t="s">
        <v>157</v>
      </c>
      <c r="V196" s="131" t="s">
        <v>157</v>
      </c>
      <c r="W196" s="131" t="s">
        <v>157</v>
      </c>
      <c r="X196" s="133" t="s">
        <v>157</v>
      </c>
    </row>
    <row r="197" spans="1:75" x14ac:dyDescent="0.25">
      <c r="A197" s="131" t="s">
        <v>157</v>
      </c>
      <c r="B197" s="131" t="s">
        <v>157</v>
      </c>
      <c r="C197" s="132" t="s">
        <v>157</v>
      </c>
      <c r="D197" s="131" t="s">
        <v>157</v>
      </c>
      <c r="E197" s="131" t="s">
        <v>157</v>
      </c>
      <c r="F197" s="131" t="s">
        <v>157</v>
      </c>
      <c r="G197" s="131" t="s">
        <v>157</v>
      </c>
      <c r="H197" s="131" t="s">
        <v>157</v>
      </c>
      <c r="I197" s="131" t="s">
        <v>157</v>
      </c>
      <c r="J197" s="131" t="s">
        <v>157</v>
      </c>
      <c r="K197" s="131" t="s">
        <v>157</v>
      </c>
      <c r="L197" s="131" t="s">
        <v>157</v>
      </c>
      <c r="M197" s="131" t="s">
        <v>157</v>
      </c>
      <c r="N197" s="131" t="s">
        <v>157</v>
      </c>
      <c r="O197" s="131" t="s">
        <v>157</v>
      </c>
      <c r="P197" s="131" t="s">
        <v>157</v>
      </c>
      <c r="Q197" s="131" t="s">
        <v>157</v>
      </c>
      <c r="R197" s="133" t="s">
        <v>157</v>
      </c>
      <c r="S197" s="131" t="s">
        <v>157</v>
      </c>
      <c r="T197" s="131" t="s">
        <v>157</v>
      </c>
      <c r="U197" s="133" t="s">
        <v>157</v>
      </c>
      <c r="V197" s="131" t="s">
        <v>157</v>
      </c>
      <c r="W197" s="131" t="s">
        <v>157</v>
      </c>
      <c r="X197" s="133" t="s">
        <v>157</v>
      </c>
    </row>
    <row r="198" spans="1:75" x14ac:dyDescent="0.25">
      <c r="A198" s="131" t="s">
        <v>45</v>
      </c>
      <c r="B198" s="131" t="s">
        <v>60</v>
      </c>
      <c r="C198" s="132">
        <v>1830.8125</v>
      </c>
      <c r="D198" s="131" t="s">
        <v>65</v>
      </c>
      <c r="E198" s="131" t="s">
        <v>1</v>
      </c>
      <c r="F198" s="131" t="s">
        <v>119</v>
      </c>
      <c r="G198" s="131">
        <v>1</v>
      </c>
      <c r="H198" s="131">
        <v>19</v>
      </c>
      <c r="I198" s="131">
        <v>9</v>
      </c>
      <c r="J198" s="131">
        <v>2</v>
      </c>
      <c r="K198" s="131">
        <v>0</v>
      </c>
      <c r="L198" s="131">
        <v>0</v>
      </c>
      <c r="M198" s="131">
        <v>5</v>
      </c>
      <c r="N198" s="131">
        <v>3</v>
      </c>
      <c r="O198" s="131">
        <v>6</v>
      </c>
      <c r="P198" s="131">
        <v>2</v>
      </c>
      <c r="Q198" s="131">
        <v>9</v>
      </c>
      <c r="R198" s="133">
        <v>0.22222222222222221</v>
      </c>
      <c r="S198" s="131">
        <v>7</v>
      </c>
      <c r="T198" s="131">
        <v>22</v>
      </c>
      <c r="U198" s="133">
        <v>0.31818181818181818</v>
      </c>
      <c r="V198" s="131">
        <v>3</v>
      </c>
      <c r="W198" s="131">
        <v>7</v>
      </c>
      <c r="X198" s="133">
        <v>0.42857142857142855</v>
      </c>
      <c r="Z198" s="134" t="s">
        <v>45</v>
      </c>
      <c r="AA198" s="134" t="s">
        <v>60</v>
      </c>
      <c r="AB198" s="135">
        <v>1830.8125</v>
      </c>
      <c r="AC198" s="134" t="s">
        <v>65</v>
      </c>
      <c r="AD198" s="134" t="s">
        <v>119</v>
      </c>
      <c r="AE198" s="134" t="s">
        <v>175</v>
      </c>
      <c r="AF198" s="134">
        <v>1</v>
      </c>
      <c r="AG198" s="134">
        <v>49</v>
      </c>
      <c r="AH198" s="134">
        <v>31</v>
      </c>
      <c r="AI198" s="134">
        <v>5</v>
      </c>
      <c r="AJ198" s="134">
        <v>4</v>
      </c>
      <c r="AK198" s="134">
        <v>2</v>
      </c>
      <c r="AL198" s="134">
        <v>17</v>
      </c>
      <c r="AM198" s="134">
        <v>11</v>
      </c>
      <c r="AN198" s="134">
        <v>20</v>
      </c>
      <c r="AO198" s="134">
        <v>9</v>
      </c>
      <c r="AP198" s="134">
        <v>27</v>
      </c>
      <c r="AQ198" s="136">
        <v>0.33333333333333331</v>
      </c>
      <c r="AR198" s="134">
        <v>18</v>
      </c>
      <c r="AS198" s="134">
        <v>50</v>
      </c>
      <c r="AT198" s="136">
        <v>0.36</v>
      </c>
      <c r="AU198" s="134">
        <v>4</v>
      </c>
      <c r="AV198" s="134">
        <v>10</v>
      </c>
      <c r="AW198" s="136">
        <v>0.4</v>
      </c>
      <c r="AY198" s="134" t="s">
        <v>45</v>
      </c>
      <c r="AZ198" s="134" t="s">
        <v>60</v>
      </c>
      <c r="BA198" s="135">
        <v>1830.8125</v>
      </c>
      <c r="BB198" s="134" t="s">
        <v>65</v>
      </c>
      <c r="BC198" s="134" t="s">
        <v>89</v>
      </c>
      <c r="BD198" s="134"/>
      <c r="BE198" s="134">
        <v>1</v>
      </c>
      <c r="BF198" s="134">
        <v>109</v>
      </c>
      <c r="BG198" s="134">
        <v>61</v>
      </c>
      <c r="BH198" s="134">
        <v>18</v>
      </c>
      <c r="BI198" s="134">
        <v>14</v>
      </c>
      <c r="BJ198" s="134">
        <v>3</v>
      </c>
      <c r="BK198" s="134">
        <v>25</v>
      </c>
      <c r="BL198" s="134">
        <v>17</v>
      </c>
      <c r="BM198" s="134">
        <v>44</v>
      </c>
      <c r="BN198" s="134">
        <v>14</v>
      </c>
      <c r="BO198" s="134">
        <v>48</v>
      </c>
      <c r="BP198" s="136">
        <v>0.29166666666666669</v>
      </c>
      <c r="BQ198" s="134">
        <v>43</v>
      </c>
      <c r="BR198" s="134">
        <v>101</v>
      </c>
      <c r="BS198" s="136">
        <v>0.42574257425742573</v>
      </c>
      <c r="BT198" s="134">
        <v>9</v>
      </c>
      <c r="BU198" s="134">
        <v>21</v>
      </c>
      <c r="BV198" s="136">
        <v>0.42857142857142855</v>
      </c>
      <c r="BW198" s="174" t="s">
        <v>172</v>
      </c>
    </row>
    <row r="199" spans="1:75" x14ac:dyDescent="0.25">
      <c r="A199" s="131" t="s">
        <v>45</v>
      </c>
      <c r="B199" s="131" t="s">
        <v>60</v>
      </c>
      <c r="C199" s="132">
        <v>1830.8125</v>
      </c>
      <c r="D199" s="131" t="s">
        <v>65</v>
      </c>
      <c r="E199" s="131" t="s">
        <v>9</v>
      </c>
      <c r="F199" s="131" t="s">
        <v>119</v>
      </c>
      <c r="G199" s="131">
        <v>1</v>
      </c>
      <c r="H199" s="131">
        <v>23</v>
      </c>
      <c r="I199" s="131">
        <v>6</v>
      </c>
      <c r="J199" s="131">
        <v>1</v>
      </c>
      <c r="K199" s="131">
        <v>1</v>
      </c>
      <c r="L199" s="131">
        <v>1</v>
      </c>
      <c r="M199" s="131">
        <v>6</v>
      </c>
      <c r="N199" s="131">
        <v>1</v>
      </c>
      <c r="O199" s="131">
        <v>5</v>
      </c>
      <c r="P199" s="131">
        <v>6</v>
      </c>
      <c r="Q199" s="131">
        <v>13</v>
      </c>
      <c r="R199" s="133">
        <v>0.46153846153846156</v>
      </c>
      <c r="S199" s="131">
        <v>8</v>
      </c>
      <c r="T199" s="131">
        <v>15</v>
      </c>
      <c r="U199" s="133">
        <v>0.53333333333333333</v>
      </c>
      <c r="V199" s="131">
        <v>1</v>
      </c>
      <c r="W199" s="131">
        <v>3</v>
      </c>
      <c r="X199" s="133">
        <v>0.33333333333333331</v>
      </c>
      <c r="Z199" s="134" t="s">
        <v>45</v>
      </c>
      <c r="AA199" s="134" t="s">
        <v>60</v>
      </c>
      <c r="AB199" s="135">
        <v>1830.8125</v>
      </c>
      <c r="AC199" s="134" t="s">
        <v>65</v>
      </c>
      <c r="AD199" s="134" t="s">
        <v>38</v>
      </c>
      <c r="AE199" s="134" t="s">
        <v>174</v>
      </c>
      <c r="AF199" s="134">
        <v>1</v>
      </c>
      <c r="AG199" s="134">
        <v>60</v>
      </c>
      <c r="AH199" s="134">
        <v>30</v>
      </c>
      <c r="AI199" s="134">
        <v>13</v>
      </c>
      <c r="AJ199" s="134">
        <v>10</v>
      </c>
      <c r="AK199" s="134">
        <v>1</v>
      </c>
      <c r="AL199" s="134">
        <v>8</v>
      </c>
      <c r="AM199" s="134">
        <v>6</v>
      </c>
      <c r="AN199" s="134">
        <v>24</v>
      </c>
      <c r="AO199" s="134">
        <v>5</v>
      </c>
      <c r="AP199" s="134">
        <v>21</v>
      </c>
      <c r="AQ199" s="136">
        <v>0.23809523809523808</v>
      </c>
      <c r="AR199" s="134">
        <v>25</v>
      </c>
      <c r="AS199" s="134">
        <v>51</v>
      </c>
      <c r="AT199" s="136">
        <v>0.49019607843137253</v>
      </c>
      <c r="AU199" s="134">
        <v>5</v>
      </c>
      <c r="AV199" s="134">
        <v>11</v>
      </c>
      <c r="AW199" s="136">
        <v>0.45454545454545453</v>
      </c>
    </row>
    <row r="200" spans="1:75" x14ac:dyDescent="0.25">
      <c r="A200" s="131" t="s">
        <v>45</v>
      </c>
      <c r="B200" s="131" t="s">
        <v>60</v>
      </c>
      <c r="C200" s="132">
        <v>1830.8125</v>
      </c>
      <c r="D200" s="131" t="s">
        <v>65</v>
      </c>
      <c r="E200" s="131" t="s">
        <v>24</v>
      </c>
      <c r="F200" s="131" t="s">
        <v>119</v>
      </c>
      <c r="G200" s="131">
        <v>1</v>
      </c>
      <c r="H200" s="131">
        <v>2</v>
      </c>
      <c r="I200" s="131">
        <v>4</v>
      </c>
      <c r="J200" s="131">
        <v>1</v>
      </c>
      <c r="K200" s="131">
        <v>0</v>
      </c>
      <c r="L200" s="131">
        <v>0</v>
      </c>
      <c r="M200" s="131">
        <v>2</v>
      </c>
      <c r="N200" s="131">
        <v>2</v>
      </c>
      <c r="O200" s="131">
        <v>2</v>
      </c>
      <c r="P200" s="131">
        <v>0</v>
      </c>
      <c r="Q200" s="131">
        <v>0</v>
      </c>
      <c r="R200" s="133" t="s">
        <v>120</v>
      </c>
      <c r="S200" s="131">
        <v>1</v>
      </c>
      <c r="T200" s="131">
        <v>4</v>
      </c>
      <c r="U200" s="133">
        <v>0.25</v>
      </c>
      <c r="V200" s="131">
        <v>0</v>
      </c>
      <c r="W200" s="131">
        <v>0</v>
      </c>
      <c r="X200" s="133" t="s">
        <v>120</v>
      </c>
    </row>
    <row r="201" spans="1:75" x14ac:dyDescent="0.25">
      <c r="A201" s="131" t="s">
        <v>45</v>
      </c>
      <c r="B201" s="131" t="s">
        <v>60</v>
      </c>
      <c r="C201" s="132">
        <v>1830.8125</v>
      </c>
      <c r="D201" s="131" t="s">
        <v>65</v>
      </c>
      <c r="E201" s="131" t="s">
        <v>100</v>
      </c>
      <c r="F201" s="131" t="s">
        <v>119</v>
      </c>
      <c r="G201" s="131">
        <v>1</v>
      </c>
      <c r="H201" s="131">
        <v>2</v>
      </c>
      <c r="I201" s="131">
        <v>2</v>
      </c>
      <c r="J201" s="131">
        <v>0</v>
      </c>
      <c r="K201" s="131">
        <v>0</v>
      </c>
      <c r="L201" s="131">
        <v>1</v>
      </c>
      <c r="M201" s="131">
        <v>1</v>
      </c>
      <c r="N201" s="131">
        <v>1</v>
      </c>
      <c r="O201" s="131">
        <v>1</v>
      </c>
      <c r="P201" s="131">
        <v>0</v>
      </c>
      <c r="Q201" s="131">
        <v>2</v>
      </c>
      <c r="R201" s="133">
        <v>0</v>
      </c>
      <c r="S201" s="131">
        <v>1</v>
      </c>
      <c r="T201" s="131">
        <v>5</v>
      </c>
      <c r="U201" s="133">
        <v>0.2</v>
      </c>
      <c r="V201" s="131">
        <v>0</v>
      </c>
      <c r="W201" s="131">
        <v>0</v>
      </c>
      <c r="X201" s="133" t="s">
        <v>120</v>
      </c>
    </row>
    <row r="202" spans="1:75" x14ac:dyDescent="0.25">
      <c r="A202" s="131" t="s">
        <v>45</v>
      </c>
      <c r="B202" s="131" t="s">
        <v>60</v>
      </c>
      <c r="C202" s="132">
        <v>1830.8125</v>
      </c>
      <c r="D202" s="131" t="s">
        <v>65</v>
      </c>
      <c r="E202" s="131" t="s">
        <v>36</v>
      </c>
      <c r="F202" s="131" t="s">
        <v>119</v>
      </c>
      <c r="G202" s="131">
        <v>1</v>
      </c>
      <c r="H202" s="131">
        <v>0</v>
      </c>
      <c r="I202" s="131">
        <v>3</v>
      </c>
      <c r="J202" s="131">
        <v>1</v>
      </c>
      <c r="K202" s="131">
        <v>3</v>
      </c>
      <c r="L202" s="131">
        <v>0</v>
      </c>
      <c r="M202" s="131">
        <v>2</v>
      </c>
      <c r="N202" s="131">
        <v>1</v>
      </c>
      <c r="O202" s="131">
        <v>2</v>
      </c>
      <c r="P202" s="131">
        <v>0</v>
      </c>
      <c r="Q202" s="131">
        <v>1</v>
      </c>
      <c r="R202" s="133">
        <v>0</v>
      </c>
      <c r="S202" s="131">
        <v>0</v>
      </c>
      <c r="T202" s="131">
        <v>1</v>
      </c>
      <c r="U202" s="133">
        <v>0</v>
      </c>
      <c r="V202" s="131">
        <v>0</v>
      </c>
      <c r="W202" s="131">
        <v>0</v>
      </c>
      <c r="X202" s="133" t="s">
        <v>120</v>
      </c>
    </row>
    <row r="203" spans="1:75" x14ac:dyDescent="0.25">
      <c r="A203" s="131" t="s">
        <v>45</v>
      </c>
      <c r="B203" s="131" t="s">
        <v>60</v>
      </c>
      <c r="C203" s="132">
        <v>1830.8125</v>
      </c>
      <c r="D203" s="131" t="s">
        <v>65</v>
      </c>
      <c r="E203" s="131" t="s">
        <v>18</v>
      </c>
      <c r="F203" s="131" t="s">
        <v>119</v>
      </c>
      <c r="G203" s="131">
        <v>1</v>
      </c>
      <c r="H203" s="131">
        <v>3</v>
      </c>
      <c r="I203" s="131">
        <v>7</v>
      </c>
      <c r="J203" s="131">
        <v>0</v>
      </c>
      <c r="K203" s="131">
        <v>0</v>
      </c>
      <c r="L203" s="131">
        <v>0</v>
      </c>
      <c r="M203" s="131">
        <v>1</v>
      </c>
      <c r="N203" s="131">
        <v>3</v>
      </c>
      <c r="O203" s="131">
        <v>4</v>
      </c>
      <c r="P203" s="131">
        <v>1</v>
      </c>
      <c r="Q203" s="131">
        <v>2</v>
      </c>
      <c r="R203" s="133">
        <v>0.5</v>
      </c>
      <c r="S203" s="131">
        <v>1</v>
      </c>
      <c r="T203" s="131">
        <v>3</v>
      </c>
      <c r="U203" s="133">
        <v>0.33333333333333331</v>
      </c>
      <c r="V203" s="131">
        <v>0</v>
      </c>
      <c r="W203" s="131">
        <v>0</v>
      </c>
      <c r="X203" s="133" t="s">
        <v>120</v>
      </c>
    </row>
    <row r="204" spans="1:75" x14ac:dyDescent="0.25">
      <c r="A204" s="131" t="s">
        <v>45</v>
      </c>
      <c r="B204" s="131" t="s">
        <v>60</v>
      </c>
      <c r="C204" s="132">
        <v>1830.8125</v>
      </c>
      <c r="D204" s="131" t="s">
        <v>65</v>
      </c>
      <c r="E204" s="131" t="s">
        <v>19</v>
      </c>
      <c r="F204" s="131" t="s">
        <v>38</v>
      </c>
      <c r="G204" s="131">
        <v>1</v>
      </c>
      <c r="H204" s="131">
        <v>14</v>
      </c>
      <c r="I204" s="131">
        <v>2</v>
      </c>
      <c r="J204" s="131">
        <v>5</v>
      </c>
      <c r="K204" s="131">
        <v>3</v>
      </c>
      <c r="L204" s="131">
        <v>1</v>
      </c>
      <c r="M204" s="131">
        <v>2</v>
      </c>
      <c r="N204" s="131">
        <v>0</v>
      </c>
      <c r="O204" s="131">
        <v>2</v>
      </c>
      <c r="P204" s="131">
        <v>1</v>
      </c>
      <c r="Q204" s="131">
        <v>3</v>
      </c>
      <c r="R204" s="133">
        <v>0.33333333333333331</v>
      </c>
      <c r="S204" s="131">
        <v>5</v>
      </c>
      <c r="T204" s="131">
        <v>8</v>
      </c>
      <c r="U204" s="133">
        <v>0.625</v>
      </c>
      <c r="V204" s="131">
        <v>3</v>
      </c>
      <c r="W204" s="131">
        <v>3</v>
      </c>
      <c r="X204" s="133">
        <v>1</v>
      </c>
    </row>
    <row r="205" spans="1:75" x14ac:dyDescent="0.25">
      <c r="A205" s="131" t="s">
        <v>45</v>
      </c>
      <c r="B205" s="131" t="s">
        <v>60</v>
      </c>
      <c r="C205" s="132">
        <v>1830.8125</v>
      </c>
      <c r="D205" s="131" t="s">
        <v>65</v>
      </c>
      <c r="E205" s="131" t="s">
        <v>15</v>
      </c>
      <c r="F205" s="131" t="s">
        <v>38</v>
      </c>
      <c r="G205" s="131">
        <v>1</v>
      </c>
      <c r="H205" s="131">
        <v>18</v>
      </c>
      <c r="I205" s="131">
        <v>3</v>
      </c>
      <c r="J205" s="131">
        <v>1</v>
      </c>
      <c r="K205" s="131">
        <v>4</v>
      </c>
      <c r="L205" s="131">
        <v>0</v>
      </c>
      <c r="M205" s="131">
        <v>0</v>
      </c>
      <c r="N205" s="131">
        <v>1</v>
      </c>
      <c r="O205" s="131">
        <v>2</v>
      </c>
      <c r="P205" s="131">
        <v>2</v>
      </c>
      <c r="Q205" s="131">
        <v>8</v>
      </c>
      <c r="R205" s="133">
        <v>0.25</v>
      </c>
      <c r="S205" s="131">
        <v>8</v>
      </c>
      <c r="T205" s="131">
        <v>17</v>
      </c>
      <c r="U205" s="133">
        <v>0.47058823529411764</v>
      </c>
      <c r="V205" s="131">
        <v>0</v>
      </c>
      <c r="W205" s="131">
        <v>1</v>
      </c>
      <c r="X205" s="133">
        <v>0</v>
      </c>
    </row>
    <row r="206" spans="1:75" x14ac:dyDescent="0.25">
      <c r="A206" s="131" t="s">
        <v>45</v>
      </c>
      <c r="B206" s="131" t="s">
        <v>60</v>
      </c>
      <c r="C206" s="132">
        <v>1830.8125</v>
      </c>
      <c r="D206" s="131" t="s">
        <v>65</v>
      </c>
      <c r="E206" s="131" t="s">
        <v>99</v>
      </c>
      <c r="F206" s="131" t="s">
        <v>38</v>
      </c>
      <c r="G206" s="131">
        <v>1</v>
      </c>
      <c r="H206" s="131">
        <v>10</v>
      </c>
      <c r="I206" s="131">
        <v>9</v>
      </c>
      <c r="J206" s="131">
        <v>1</v>
      </c>
      <c r="K206" s="131">
        <v>1</v>
      </c>
      <c r="L206" s="131">
        <v>0</v>
      </c>
      <c r="M206" s="131">
        <v>4</v>
      </c>
      <c r="N206" s="131">
        <v>1</v>
      </c>
      <c r="O206" s="131">
        <v>8</v>
      </c>
      <c r="P206" s="131">
        <v>0</v>
      </c>
      <c r="Q206" s="131">
        <v>0</v>
      </c>
      <c r="R206" s="133" t="s">
        <v>120</v>
      </c>
      <c r="S206" s="131">
        <v>4</v>
      </c>
      <c r="T206" s="131">
        <v>6</v>
      </c>
      <c r="U206" s="133">
        <v>0.66666666666666663</v>
      </c>
      <c r="V206" s="131">
        <v>2</v>
      </c>
      <c r="W206" s="131">
        <v>6</v>
      </c>
      <c r="X206" s="133">
        <v>0.33333333333333331</v>
      </c>
    </row>
    <row r="207" spans="1:75" x14ac:dyDescent="0.25">
      <c r="A207" s="131" t="s">
        <v>45</v>
      </c>
      <c r="B207" s="131" t="s">
        <v>60</v>
      </c>
      <c r="C207" s="132">
        <v>1830.8125</v>
      </c>
      <c r="D207" s="131" t="s">
        <v>65</v>
      </c>
      <c r="E207" s="131" t="s">
        <v>4</v>
      </c>
      <c r="F207" s="131" t="s">
        <v>38</v>
      </c>
      <c r="G207" s="131">
        <v>1</v>
      </c>
      <c r="H207" s="131">
        <v>14</v>
      </c>
      <c r="I207" s="131">
        <v>3</v>
      </c>
      <c r="J207" s="131">
        <v>5</v>
      </c>
      <c r="K207" s="131">
        <v>2</v>
      </c>
      <c r="L207" s="131">
        <v>0</v>
      </c>
      <c r="M207" s="131">
        <v>2</v>
      </c>
      <c r="N207" s="131">
        <v>1</v>
      </c>
      <c r="O207" s="131">
        <v>2</v>
      </c>
      <c r="P207" s="131">
        <v>2</v>
      </c>
      <c r="Q207" s="131">
        <v>7</v>
      </c>
      <c r="R207" s="133">
        <v>0.2857142857142857</v>
      </c>
      <c r="S207" s="131">
        <v>6</v>
      </c>
      <c r="T207" s="131">
        <v>14</v>
      </c>
      <c r="U207" s="133">
        <v>0.42857142857142855</v>
      </c>
      <c r="V207" s="131">
        <v>0</v>
      </c>
      <c r="W207" s="131">
        <v>1</v>
      </c>
      <c r="X207" s="133">
        <v>0</v>
      </c>
    </row>
    <row r="208" spans="1:75" x14ac:dyDescent="0.25">
      <c r="A208" s="131" t="s">
        <v>45</v>
      </c>
      <c r="B208" s="131" t="s">
        <v>60</v>
      </c>
      <c r="C208" s="132">
        <v>1830.8125</v>
      </c>
      <c r="D208" s="131" t="s">
        <v>65</v>
      </c>
      <c r="E208" s="131" t="s">
        <v>102</v>
      </c>
      <c r="F208" s="131" t="s">
        <v>38</v>
      </c>
      <c r="G208" s="131">
        <v>1</v>
      </c>
      <c r="H208" s="131">
        <v>4</v>
      </c>
      <c r="I208" s="131">
        <v>13</v>
      </c>
      <c r="J208" s="131">
        <v>1</v>
      </c>
      <c r="K208" s="131">
        <v>0</v>
      </c>
      <c r="L208" s="131">
        <v>0</v>
      </c>
      <c r="M208" s="131">
        <v>0</v>
      </c>
      <c r="N208" s="131">
        <v>3</v>
      </c>
      <c r="O208" s="131">
        <v>10</v>
      </c>
      <c r="P208" s="131">
        <v>0</v>
      </c>
      <c r="Q208" s="131">
        <v>3</v>
      </c>
      <c r="R208" s="133">
        <v>0</v>
      </c>
      <c r="S208" s="131">
        <v>2</v>
      </c>
      <c r="T208" s="131">
        <v>6</v>
      </c>
      <c r="U208" s="133">
        <v>0.33333333333333331</v>
      </c>
      <c r="V208" s="131">
        <v>0</v>
      </c>
      <c r="W208" s="131">
        <v>0</v>
      </c>
      <c r="X208" s="133" t="s">
        <v>120</v>
      </c>
    </row>
    <row r="209" spans="1:75" x14ac:dyDescent="0.25">
      <c r="A209" s="131" t="s">
        <v>157</v>
      </c>
      <c r="B209" s="131" t="s">
        <v>157</v>
      </c>
      <c r="C209" s="132" t="s">
        <v>157</v>
      </c>
      <c r="D209" s="131" t="s">
        <v>157</v>
      </c>
      <c r="E209" s="131" t="s">
        <v>157</v>
      </c>
      <c r="F209" s="131" t="s">
        <v>157</v>
      </c>
      <c r="G209" s="131" t="s">
        <v>157</v>
      </c>
      <c r="H209" s="131" t="s">
        <v>157</v>
      </c>
      <c r="I209" s="131" t="s">
        <v>157</v>
      </c>
      <c r="J209" s="131" t="s">
        <v>157</v>
      </c>
      <c r="K209" s="131" t="s">
        <v>157</v>
      </c>
      <c r="L209" s="131" t="s">
        <v>157</v>
      </c>
      <c r="M209" s="131" t="s">
        <v>157</v>
      </c>
      <c r="N209" s="131" t="s">
        <v>157</v>
      </c>
      <c r="O209" s="131" t="s">
        <v>157</v>
      </c>
      <c r="P209" s="131" t="s">
        <v>157</v>
      </c>
      <c r="Q209" s="131" t="s">
        <v>157</v>
      </c>
      <c r="R209" s="133" t="s">
        <v>157</v>
      </c>
      <c r="S209" s="131" t="s">
        <v>157</v>
      </c>
      <c r="T209" s="131" t="s">
        <v>157</v>
      </c>
      <c r="U209" s="133" t="s">
        <v>157</v>
      </c>
      <c r="V209" s="131" t="s">
        <v>157</v>
      </c>
      <c r="W209" s="131" t="s">
        <v>157</v>
      </c>
      <c r="X209" s="133" t="s">
        <v>157</v>
      </c>
    </row>
    <row r="210" spans="1:75" x14ac:dyDescent="0.25">
      <c r="A210" s="131" t="s">
        <v>157</v>
      </c>
      <c r="B210" s="131" t="s">
        <v>157</v>
      </c>
      <c r="C210" s="132" t="s">
        <v>157</v>
      </c>
      <c r="D210" s="131" t="s">
        <v>157</v>
      </c>
      <c r="E210" s="131" t="s">
        <v>157</v>
      </c>
      <c r="F210" s="131" t="s">
        <v>157</v>
      </c>
      <c r="G210" s="131" t="s">
        <v>157</v>
      </c>
      <c r="H210" s="131" t="s">
        <v>157</v>
      </c>
      <c r="I210" s="131" t="s">
        <v>157</v>
      </c>
      <c r="J210" s="131" t="s">
        <v>157</v>
      </c>
      <c r="K210" s="131" t="s">
        <v>157</v>
      </c>
      <c r="L210" s="131" t="s">
        <v>157</v>
      </c>
      <c r="M210" s="131" t="s">
        <v>157</v>
      </c>
      <c r="N210" s="131" t="s">
        <v>157</v>
      </c>
      <c r="O210" s="131" t="s">
        <v>157</v>
      </c>
      <c r="P210" s="131" t="s">
        <v>157</v>
      </c>
      <c r="Q210" s="131" t="s">
        <v>157</v>
      </c>
      <c r="R210" s="133" t="s">
        <v>157</v>
      </c>
      <c r="S210" s="131" t="s">
        <v>157</v>
      </c>
      <c r="T210" s="131" t="s">
        <v>157</v>
      </c>
      <c r="U210" s="133" t="s">
        <v>157</v>
      </c>
      <c r="V210" s="131" t="s">
        <v>157</v>
      </c>
      <c r="W210" s="131" t="s">
        <v>157</v>
      </c>
      <c r="X210" s="133" t="s">
        <v>157</v>
      </c>
    </row>
    <row r="211" spans="1:75" x14ac:dyDescent="0.25">
      <c r="A211" s="131" t="s">
        <v>157</v>
      </c>
      <c r="B211" s="131" t="s">
        <v>157</v>
      </c>
      <c r="C211" s="132" t="s">
        <v>157</v>
      </c>
      <c r="D211" s="131" t="s">
        <v>157</v>
      </c>
      <c r="E211" s="131" t="s">
        <v>157</v>
      </c>
      <c r="F211" s="131" t="s">
        <v>157</v>
      </c>
      <c r="G211" s="131" t="s">
        <v>157</v>
      </c>
      <c r="H211" s="131" t="s">
        <v>157</v>
      </c>
      <c r="I211" s="131" t="s">
        <v>157</v>
      </c>
      <c r="J211" s="131" t="s">
        <v>157</v>
      </c>
      <c r="K211" s="131" t="s">
        <v>157</v>
      </c>
      <c r="L211" s="131" t="s">
        <v>157</v>
      </c>
      <c r="M211" s="131" t="s">
        <v>157</v>
      </c>
      <c r="N211" s="131" t="s">
        <v>157</v>
      </c>
      <c r="O211" s="131" t="s">
        <v>157</v>
      </c>
      <c r="P211" s="131" t="s">
        <v>157</v>
      </c>
      <c r="Q211" s="131" t="s">
        <v>157</v>
      </c>
      <c r="R211" s="133" t="s">
        <v>157</v>
      </c>
      <c r="S211" s="131" t="s">
        <v>157</v>
      </c>
      <c r="T211" s="131" t="s">
        <v>157</v>
      </c>
      <c r="U211" s="133" t="s">
        <v>157</v>
      </c>
      <c r="V211" s="131" t="s">
        <v>157</v>
      </c>
      <c r="W211" s="131" t="s">
        <v>157</v>
      </c>
      <c r="X211" s="133" t="s">
        <v>157</v>
      </c>
    </row>
    <row r="212" spans="1:75" x14ac:dyDescent="0.25">
      <c r="A212" s="131" t="s">
        <v>157</v>
      </c>
      <c r="B212" s="131" t="s">
        <v>157</v>
      </c>
      <c r="C212" s="132" t="s">
        <v>157</v>
      </c>
      <c r="D212" s="131" t="s">
        <v>157</v>
      </c>
      <c r="E212" s="131" t="s">
        <v>157</v>
      </c>
      <c r="F212" s="131" t="s">
        <v>157</v>
      </c>
      <c r="G212" s="131" t="s">
        <v>157</v>
      </c>
      <c r="H212" s="131" t="s">
        <v>157</v>
      </c>
      <c r="I212" s="131" t="s">
        <v>157</v>
      </c>
      <c r="J212" s="131" t="s">
        <v>157</v>
      </c>
      <c r="K212" s="131" t="s">
        <v>157</v>
      </c>
      <c r="L212" s="131" t="s">
        <v>157</v>
      </c>
      <c r="M212" s="131" t="s">
        <v>157</v>
      </c>
      <c r="N212" s="131" t="s">
        <v>157</v>
      </c>
      <c r="O212" s="131" t="s">
        <v>157</v>
      </c>
      <c r="P212" s="131" t="s">
        <v>157</v>
      </c>
      <c r="Q212" s="131" t="s">
        <v>157</v>
      </c>
      <c r="R212" s="133" t="s">
        <v>157</v>
      </c>
      <c r="S212" s="131" t="s">
        <v>157</v>
      </c>
      <c r="T212" s="131" t="s">
        <v>157</v>
      </c>
      <c r="U212" s="133" t="s">
        <v>157</v>
      </c>
      <c r="V212" s="131" t="s">
        <v>157</v>
      </c>
      <c r="W212" s="131" t="s">
        <v>157</v>
      </c>
      <c r="X212" s="133" t="s">
        <v>157</v>
      </c>
    </row>
    <row r="213" spans="1:75" x14ac:dyDescent="0.25">
      <c r="A213" s="131" t="s">
        <v>45</v>
      </c>
      <c r="B213" s="131" t="s">
        <v>61</v>
      </c>
      <c r="C213" s="132">
        <v>1830.7708333333333</v>
      </c>
      <c r="D213" s="131" t="s">
        <v>65</v>
      </c>
      <c r="E213" s="131" t="s">
        <v>19</v>
      </c>
      <c r="F213" s="131" t="s">
        <v>38</v>
      </c>
      <c r="G213" s="131">
        <v>1</v>
      </c>
      <c r="H213" s="131">
        <v>14</v>
      </c>
      <c r="I213" s="131">
        <v>11</v>
      </c>
      <c r="J213" s="131">
        <v>2</v>
      </c>
      <c r="K213" s="131">
        <v>0</v>
      </c>
      <c r="L213" s="131">
        <v>1</v>
      </c>
      <c r="M213" s="131">
        <v>3</v>
      </c>
      <c r="N213" s="131">
        <v>4</v>
      </c>
      <c r="O213" s="131">
        <v>7</v>
      </c>
      <c r="P213" s="131">
        <v>1</v>
      </c>
      <c r="Q213" s="131">
        <v>4</v>
      </c>
      <c r="R213" s="133">
        <v>0.25</v>
      </c>
      <c r="S213" s="131">
        <v>5</v>
      </c>
      <c r="T213" s="131">
        <v>11</v>
      </c>
      <c r="U213" s="133">
        <v>0.45454545454545453</v>
      </c>
      <c r="V213" s="131">
        <v>3</v>
      </c>
      <c r="W213" s="131">
        <v>4</v>
      </c>
      <c r="X213" s="133">
        <v>0.75</v>
      </c>
      <c r="Z213" s="134" t="s">
        <v>45</v>
      </c>
      <c r="AA213" s="134" t="s">
        <v>61</v>
      </c>
      <c r="AB213" s="135">
        <v>1830.7708333333333</v>
      </c>
      <c r="AC213" s="134" t="s">
        <v>65</v>
      </c>
      <c r="AD213" s="134" t="s">
        <v>38</v>
      </c>
      <c r="AE213" s="134" t="s">
        <v>175</v>
      </c>
      <c r="AF213" s="134">
        <v>1</v>
      </c>
      <c r="AG213" s="134">
        <v>37</v>
      </c>
      <c r="AH213" s="134">
        <v>31</v>
      </c>
      <c r="AI213" s="134">
        <v>3</v>
      </c>
      <c r="AJ213" s="134">
        <v>2</v>
      </c>
      <c r="AK213" s="134">
        <v>1</v>
      </c>
      <c r="AL213" s="134">
        <v>9</v>
      </c>
      <c r="AM213" s="134">
        <v>7</v>
      </c>
      <c r="AN213" s="134">
        <v>24</v>
      </c>
      <c r="AO213" s="134">
        <v>4</v>
      </c>
      <c r="AP213" s="134">
        <v>16</v>
      </c>
      <c r="AQ213" s="136">
        <v>0.25</v>
      </c>
      <c r="AR213" s="134">
        <v>14</v>
      </c>
      <c r="AS213" s="134">
        <v>38</v>
      </c>
      <c r="AT213" s="136">
        <v>0.36842105263157893</v>
      </c>
      <c r="AU213" s="134">
        <v>5</v>
      </c>
      <c r="AV213" s="134">
        <v>6</v>
      </c>
      <c r="AW213" s="136">
        <v>0.83333333333333337</v>
      </c>
      <c r="AY213" s="134" t="s">
        <v>45</v>
      </c>
      <c r="AZ213" s="134" t="s">
        <v>61</v>
      </c>
      <c r="BA213" s="135">
        <v>1830.7708333333333</v>
      </c>
      <c r="BB213" s="134" t="s">
        <v>65</v>
      </c>
      <c r="BC213" s="134" t="s">
        <v>89</v>
      </c>
      <c r="BD213" s="134"/>
      <c r="BE213" s="134">
        <v>1</v>
      </c>
      <c r="BF213" s="134">
        <v>88</v>
      </c>
      <c r="BG213" s="134">
        <v>50</v>
      </c>
      <c r="BH213" s="134">
        <v>10</v>
      </c>
      <c r="BI213" s="134">
        <v>10</v>
      </c>
      <c r="BJ213" s="134">
        <v>2</v>
      </c>
      <c r="BK213" s="134">
        <v>13</v>
      </c>
      <c r="BL213" s="134">
        <v>11</v>
      </c>
      <c r="BM213" s="134">
        <v>39</v>
      </c>
      <c r="BN213" s="134">
        <v>10</v>
      </c>
      <c r="BO213" s="134">
        <v>33</v>
      </c>
      <c r="BP213" s="136">
        <v>0.30303030303030304</v>
      </c>
      <c r="BQ213" s="134">
        <v>33</v>
      </c>
      <c r="BR213" s="134">
        <v>84</v>
      </c>
      <c r="BS213" s="136">
        <v>0.39285714285714285</v>
      </c>
      <c r="BT213" s="134">
        <v>12</v>
      </c>
      <c r="BU213" s="134">
        <v>16</v>
      </c>
      <c r="BV213" s="136">
        <v>0.75</v>
      </c>
      <c r="BW213" s="174" t="s">
        <v>173</v>
      </c>
    </row>
    <row r="214" spans="1:75" x14ac:dyDescent="0.25">
      <c r="A214" s="131" t="s">
        <v>45</v>
      </c>
      <c r="B214" s="131" t="s">
        <v>61</v>
      </c>
      <c r="C214" s="132">
        <v>1830.7708333333333</v>
      </c>
      <c r="D214" s="131" t="s">
        <v>65</v>
      </c>
      <c r="E214" s="131" t="s">
        <v>15</v>
      </c>
      <c r="F214" s="131" t="s">
        <v>38</v>
      </c>
      <c r="G214" s="131">
        <v>1</v>
      </c>
      <c r="H214" s="131">
        <v>9</v>
      </c>
      <c r="I214" s="131">
        <v>6</v>
      </c>
      <c r="J214" s="131">
        <v>0</v>
      </c>
      <c r="K214" s="131">
        <v>2</v>
      </c>
      <c r="L214" s="131">
        <v>0</v>
      </c>
      <c r="M214" s="131">
        <v>1</v>
      </c>
      <c r="N214" s="131">
        <v>1</v>
      </c>
      <c r="O214" s="131">
        <v>5</v>
      </c>
      <c r="P214" s="131">
        <v>1</v>
      </c>
      <c r="Q214" s="131">
        <v>5</v>
      </c>
      <c r="R214" s="133">
        <v>0.2</v>
      </c>
      <c r="S214" s="131">
        <v>4</v>
      </c>
      <c r="T214" s="131">
        <v>11</v>
      </c>
      <c r="U214" s="133">
        <v>0.36363636363636365</v>
      </c>
      <c r="V214" s="131">
        <v>0</v>
      </c>
      <c r="W214" s="131">
        <v>0</v>
      </c>
      <c r="X214" s="133" t="s">
        <v>120</v>
      </c>
      <c r="Z214" s="134" t="s">
        <v>45</v>
      </c>
      <c r="AA214" s="134" t="s">
        <v>61</v>
      </c>
      <c r="AB214" s="135">
        <v>1830.7708333333333</v>
      </c>
      <c r="AC214" s="134" t="s">
        <v>65</v>
      </c>
      <c r="AD214" s="134" t="s">
        <v>41</v>
      </c>
      <c r="AE214" s="134" t="s">
        <v>174</v>
      </c>
      <c r="AF214" s="134">
        <v>1</v>
      </c>
      <c r="AG214" s="134">
        <v>48</v>
      </c>
      <c r="AH214" s="134">
        <v>18</v>
      </c>
      <c r="AI214" s="134">
        <v>7</v>
      </c>
      <c r="AJ214" s="134">
        <v>8</v>
      </c>
      <c r="AK214" s="134">
        <v>1</v>
      </c>
      <c r="AL214" s="134">
        <v>4</v>
      </c>
      <c r="AM214" s="134">
        <v>4</v>
      </c>
      <c r="AN214" s="134">
        <v>14</v>
      </c>
      <c r="AO214" s="134">
        <v>5</v>
      </c>
      <c r="AP214" s="134">
        <v>15</v>
      </c>
      <c r="AQ214" s="136">
        <v>0.33333333333333331</v>
      </c>
      <c r="AR214" s="134">
        <v>18</v>
      </c>
      <c r="AS214" s="134">
        <v>44</v>
      </c>
      <c r="AT214" s="136">
        <v>0.40909090909090912</v>
      </c>
      <c r="AU214" s="134">
        <v>7</v>
      </c>
      <c r="AV214" s="134">
        <v>9</v>
      </c>
      <c r="AW214" s="136">
        <v>0.77777777777777779</v>
      </c>
    </row>
    <row r="215" spans="1:75" x14ac:dyDescent="0.25">
      <c r="A215" s="131" t="s">
        <v>45</v>
      </c>
      <c r="B215" s="131" t="s">
        <v>61</v>
      </c>
      <c r="C215" s="132">
        <v>1830.7708333333333</v>
      </c>
      <c r="D215" s="131" t="s">
        <v>65</v>
      </c>
      <c r="E215" s="131" t="s">
        <v>4</v>
      </c>
      <c r="F215" s="131" t="s">
        <v>38</v>
      </c>
      <c r="G215" s="131">
        <v>1</v>
      </c>
      <c r="H215" s="131">
        <v>6</v>
      </c>
      <c r="I215" s="131">
        <v>2</v>
      </c>
      <c r="J215" s="131">
        <v>1</v>
      </c>
      <c r="K215" s="131">
        <v>0</v>
      </c>
      <c r="L215" s="131">
        <v>0</v>
      </c>
      <c r="M215" s="131">
        <v>1</v>
      </c>
      <c r="N215" s="131">
        <v>0</v>
      </c>
      <c r="O215" s="131">
        <v>2</v>
      </c>
      <c r="P215" s="131">
        <v>2</v>
      </c>
      <c r="Q215" s="131">
        <v>6</v>
      </c>
      <c r="R215" s="133">
        <v>0.33333333333333331</v>
      </c>
      <c r="S215" s="131">
        <v>2</v>
      </c>
      <c r="T215" s="131">
        <v>9</v>
      </c>
      <c r="U215" s="133">
        <v>0.22222222222222221</v>
      </c>
      <c r="V215" s="131">
        <v>0</v>
      </c>
      <c r="W215" s="131">
        <v>0</v>
      </c>
      <c r="X215" s="133" t="s">
        <v>120</v>
      </c>
    </row>
    <row r="216" spans="1:75" x14ac:dyDescent="0.25">
      <c r="A216" s="131" t="s">
        <v>45</v>
      </c>
      <c r="B216" s="131" t="s">
        <v>61</v>
      </c>
      <c r="C216" s="132">
        <v>1830.7708333333333</v>
      </c>
      <c r="D216" s="131" t="s">
        <v>65</v>
      </c>
      <c r="E216" s="131" t="s">
        <v>99</v>
      </c>
      <c r="F216" s="131" t="s">
        <v>38</v>
      </c>
      <c r="G216" s="131">
        <v>1</v>
      </c>
      <c r="H216" s="131">
        <v>6</v>
      </c>
      <c r="I216" s="131">
        <v>8</v>
      </c>
      <c r="J216" s="131">
        <v>0</v>
      </c>
      <c r="K216" s="131">
        <v>0</v>
      </c>
      <c r="L216" s="131">
        <v>0</v>
      </c>
      <c r="M216" s="131">
        <v>2</v>
      </c>
      <c r="N216" s="131">
        <v>1</v>
      </c>
      <c r="O216" s="131">
        <v>7</v>
      </c>
      <c r="P216" s="131">
        <v>0</v>
      </c>
      <c r="Q216" s="131">
        <v>0</v>
      </c>
      <c r="R216" s="133" t="s">
        <v>120</v>
      </c>
      <c r="S216" s="131">
        <v>3</v>
      </c>
      <c r="T216" s="131">
        <v>5</v>
      </c>
      <c r="U216" s="133">
        <v>0.6</v>
      </c>
      <c r="V216" s="131">
        <v>0</v>
      </c>
      <c r="W216" s="131">
        <v>0</v>
      </c>
      <c r="X216" s="133" t="s">
        <v>120</v>
      </c>
    </row>
    <row r="217" spans="1:75" x14ac:dyDescent="0.25">
      <c r="A217" s="131" t="s">
        <v>45</v>
      </c>
      <c r="B217" s="131" t="s">
        <v>61</v>
      </c>
      <c r="C217" s="132">
        <v>1830.7708333333333</v>
      </c>
      <c r="D217" s="131" t="s">
        <v>65</v>
      </c>
      <c r="E217" s="131" t="s">
        <v>102</v>
      </c>
      <c r="F217" s="131" t="s">
        <v>38</v>
      </c>
      <c r="G217" s="131">
        <v>1</v>
      </c>
      <c r="H217" s="131">
        <v>0</v>
      </c>
      <c r="I217" s="131">
        <v>2</v>
      </c>
      <c r="J217" s="131">
        <v>0</v>
      </c>
      <c r="K217" s="131">
        <v>0</v>
      </c>
      <c r="L217" s="131">
        <v>0</v>
      </c>
      <c r="M217" s="131">
        <v>0</v>
      </c>
      <c r="N217" s="131">
        <v>0</v>
      </c>
      <c r="O217" s="131">
        <v>2</v>
      </c>
      <c r="P217" s="131">
        <v>0</v>
      </c>
      <c r="Q217" s="131">
        <v>1</v>
      </c>
      <c r="R217" s="133">
        <v>0</v>
      </c>
      <c r="S217" s="131">
        <v>0</v>
      </c>
      <c r="T217" s="131">
        <v>2</v>
      </c>
      <c r="U217" s="133">
        <v>0</v>
      </c>
      <c r="V217" s="131">
        <v>0</v>
      </c>
      <c r="W217" s="131">
        <v>0</v>
      </c>
      <c r="X217" s="133" t="s">
        <v>120</v>
      </c>
    </row>
    <row r="218" spans="1:75" x14ac:dyDescent="0.25">
      <c r="A218" s="131" t="s">
        <v>45</v>
      </c>
      <c r="B218" s="131" t="s">
        <v>61</v>
      </c>
      <c r="C218" s="132">
        <v>1830.7708333333333</v>
      </c>
      <c r="D218" s="131" t="s">
        <v>65</v>
      </c>
      <c r="E218" s="131" t="s">
        <v>12</v>
      </c>
      <c r="F218" s="131" t="s">
        <v>38</v>
      </c>
      <c r="G218" s="131">
        <v>1</v>
      </c>
      <c r="H218" s="131">
        <v>2</v>
      </c>
      <c r="I218" s="131">
        <v>2</v>
      </c>
      <c r="J218" s="131">
        <v>0</v>
      </c>
      <c r="K218" s="131">
        <v>0</v>
      </c>
      <c r="L218" s="131">
        <v>0</v>
      </c>
      <c r="M218" s="131">
        <v>2</v>
      </c>
      <c r="N218" s="131">
        <v>1</v>
      </c>
      <c r="O218" s="131">
        <v>1</v>
      </c>
      <c r="P218" s="131">
        <v>0</v>
      </c>
      <c r="Q218" s="131">
        <v>0</v>
      </c>
      <c r="R218" s="133" t="s">
        <v>120</v>
      </c>
      <c r="S218" s="131">
        <v>0</v>
      </c>
      <c r="T218" s="131">
        <v>0</v>
      </c>
      <c r="U218" s="133" t="s">
        <v>120</v>
      </c>
      <c r="V218" s="131">
        <v>2</v>
      </c>
      <c r="W218" s="131">
        <v>2</v>
      </c>
      <c r="X218" s="133">
        <v>1</v>
      </c>
    </row>
    <row r="219" spans="1:75" x14ac:dyDescent="0.25">
      <c r="A219" s="131" t="s">
        <v>45</v>
      </c>
      <c r="B219" s="131" t="s">
        <v>61</v>
      </c>
      <c r="C219" s="132">
        <v>1830.7708333333333</v>
      </c>
      <c r="D219" s="131" t="s">
        <v>65</v>
      </c>
      <c r="E219" s="131" t="s">
        <v>2</v>
      </c>
      <c r="F219" s="131" t="s">
        <v>41</v>
      </c>
      <c r="G219" s="131">
        <v>1</v>
      </c>
      <c r="H219" s="131">
        <v>14</v>
      </c>
      <c r="I219" s="131">
        <v>5</v>
      </c>
      <c r="J219" s="131">
        <v>2</v>
      </c>
      <c r="K219" s="131">
        <v>2</v>
      </c>
      <c r="L219" s="131">
        <v>0</v>
      </c>
      <c r="M219" s="131">
        <v>0</v>
      </c>
      <c r="N219" s="131">
        <v>0</v>
      </c>
      <c r="O219" s="131">
        <v>5</v>
      </c>
      <c r="P219" s="131">
        <v>1</v>
      </c>
      <c r="Q219" s="131">
        <v>4</v>
      </c>
      <c r="R219" s="133">
        <v>0.25</v>
      </c>
      <c r="S219" s="131">
        <v>4</v>
      </c>
      <c r="T219" s="131">
        <v>8</v>
      </c>
      <c r="U219" s="133">
        <v>0.5</v>
      </c>
      <c r="V219" s="131">
        <v>5</v>
      </c>
      <c r="W219" s="131">
        <v>6</v>
      </c>
      <c r="X219" s="133">
        <v>0.83333333333333337</v>
      </c>
    </row>
    <row r="220" spans="1:75" x14ac:dyDescent="0.25">
      <c r="A220" s="131" t="s">
        <v>45</v>
      </c>
      <c r="B220" s="131" t="s">
        <v>61</v>
      </c>
      <c r="C220" s="132">
        <v>1830.7708333333333</v>
      </c>
      <c r="D220" s="131" t="s">
        <v>65</v>
      </c>
      <c r="E220" s="131" t="s">
        <v>13</v>
      </c>
      <c r="F220" s="131" t="s">
        <v>41</v>
      </c>
      <c r="G220" s="131">
        <v>1</v>
      </c>
      <c r="H220" s="131">
        <v>4</v>
      </c>
      <c r="I220" s="131">
        <v>2</v>
      </c>
      <c r="J220" s="131">
        <v>0</v>
      </c>
      <c r="K220" s="131">
        <v>4</v>
      </c>
      <c r="L220" s="131">
        <v>0</v>
      </c>
      <c r="M220" s="131">
        <v>1</v>
      </c>
      <c r="N220" s="131">
        <v>0</v>
      </c>
      <c r="O220" s="131">
        <v>2</v>
      </c>
      <c r="P220" s="131">
        <v>0</v>
      </c>
      <c r="Q220" s="131">
        <v>1</v>
      </c>
      <c r="R220" s="133">
        <v>0</v>
      </c>
      <c r="S220" s="131">
        <v>2</v>
      </c>
      <c r="T220" s="131">
        <v>9</v>
      </c>
      <c r="U220" s="133">
        <v>0.22222222222222221</v>
      </c>
      <c r="V220" s="131">
        <v>0</v>
      </c>
      <c r="W220" s="131">
        <v>0</v>
      </c>
      <c r="X220" s="133" t="s">
        <v>120</v>
      </c>
    </row>
    <row r="221" spans="1:75" x14ac:dyDescent="0.25">
      <c r="A221" s="131" t="s">
        <v>45</v>
      </c>
      <c r="B221" s="131" t="s">
        <v>61</v>
      </c>
      <c r="C221" s="132">
        <v>1830.7708333333333</v>
      </c>
      <c r="D221" s="131" t="s">
        <v>65</v>
      </c>
      <c r="E221" s="131" t="s">
        <v>30</v>
      </c>
      <c r="F221" s="131" t="s">
        <v>41</v>
      </c>
      <c r="G221" s="131">
        <v>1</v>
      </c>
      <c r="H221" s="131">
        <v>3</v>
      </c>
      <c r="I221" s="131">
        <v>1</v>
      </c>
      <c r="J221" s="131">
        <v>0</v>
      </c>
      <c r="K221" s="131">
        <v>0</v>
      </c>
      <c r="L221" s="131">
        <v>0</v>
      </c>
      <c r="M221" s="131">
        <v>0</v>
      </c>
      <c r="N221" s="131">
        <v>1</v>
      </c>
      <c r="O221" s="131">
        <v>0</v>
      </c>
      <c r="P221" s="131">
        <v>1</v>
      </c>
      <c r="Q221" s="131">
        <v>3</v>
      </c>
      <c r="R221" s="133">
        <v>0.33333333333333331</v>
      </c>
      <c r="S221" s="131">
        <v>1</v>
      </c>
      <c r="T221" s="131">
        <v>5</v>
      </c>
      <c r="U221" s="133">
        <v>0.2</v>
      </c>
      <c r="V221" s="131">
        <v>0</v>
      </c>
      <c r="W221" s="131">
        <v>0</v>
      </c>
      <c r="X221" s="133" t="s">
        <v>120</v>
      </c>
    </row>
    <row r="222" spans="1:75" x14ac:dyDescent="0.25">
      <c r="A222" s="131" t="s">
        <v>45</v>
      </c>
      <c r="B222" s="131" t="s">
        <v>61</v>
      </c>
      <c r="C222" s="132">
        <v>1830.7708333333333</v>
      </c>
      <c r="D222" s="131" t="s">
        <v>65</v>
      </c>
      <c r="E222" s="131" t="s">
        <v>25</v>
      </c>
      <c r="F222" s="131" t="s">
        <v>41</v>
      </c>
      <c r="G222" s="131">
        <v>1</v>
      </c>
      <c r="H222" s="131">
        <v>4</v>
      </c>
      <c r="I222" s="131">
        <v>3</v>
      </c>
      <c r="J222" s="131">
        <v>2</v>
      </c>
      <c r="K222" s="131">
        <v>2</v>
      </c>
      <c r="L222" s="131">
        <v>0</v>
      </c>
      <c r="M222" s="131">
        <v>1</v>
      </c>
      <c r="N222" s="131">
        <v>1</v>
      </c>
      <c r="O222" s="131">
        <v>2</v>
      </c>
      <c r="P222" s="131">
        <v>0</v>
      </c>
      <c r="Q222" s="131">
        <v>1</v>
      </c>
      <c r="R222" s="133">
        <v>0</v>
      </c>
      <c r="S222" s="131">
        <v>2</v>
      </c>
      <c r="T222" s="131">
        <v>6</v>
      </c>
      <c r="U222" s="133">
        <v>0.33333333333333331</v>
      </c>
      <c r="V222" s="131">
        <v>0</v>
      </c>
      <c r="W222" s="131">
        <v>0</v>
      </c>
      <c r="X222" s="133" t="s">
        <v>120</v>
      </c>
    </row>
    <row r="223" spans="1:75" x14ac:dyDescent="0.25">
      <c r="A223" s="131" t="s">
        <v>45</v>
      </c>
      <c r="B223" s="131" t="s">
        <v>61</v>
      </c>
      <c r="C223" s="132">
        <v>1830.7708333333333</v>
      </c>
      <c r="D223" s="131" t="s">
        <v>65</v>
      </c>
      <c r="E223" s="131" t="s">
        <v>28</v>
      </c>
      <c r="F223" s="131" t="s">
        <v>41</v>
      </c>
      <c r="G223" s="131">
        <v>1</v>
      </c>
      <c r="H223" s="131">
        <v>3</v>
      </c>
      <c r="I223" s="131">
        <v>1</v>
      </c>
      <c r="J223" s="131">
        <v>0</v>
      </c>
      <c r="K223" s="131">
        <v>0</v>
      </c>
      <c r="L223" s="131">
        <v>0</v>
      </c>
      <c r="M223" s="131">
        <v>0</v>
      </c>
      <c r="N223" s="131">
        <v>0</v>
      </c>
      <c r="O223" s="131">
        <v>1</v>
      </c>
      <c r="P223" s="131">
        <v>1</v>
      </c>
      <c r="Q223" s="131">
        <v>2</v>
      </c>
      <c r="R223" s="133">
        <v>0.5</v>
      </c>
      <c r="S223" s="131">
        <v>1</v>
      </c>
      <c r="T223" s="131">
        <v>2</v>
      </c>
      <c r="U223" s="133">
        <v>0.5</v>
      </c>
      <c r="V223" s="131">
        <v>0</v>
      </c>
      <c r="W223" s="131">
        <v>1</v>
      </c>
      <c r="X223" s="133">
        <v>0</v>
      </c>
    </row>
    <row r="224" spans="1:75" x14ac:dyDescent="0.25">
      <c r="A224" s="131" t="s">
        <v>45</v>
      </c>
      <c r="B224" s="131" t="s">
        <v>61</v>
      </c>
      <c r="C224" s="132">
        <v>1830.7708333333333</v>
      </c>
      <c r="D224" s="131" t="s">
        <v>65</v>
      </c>
      <c r="E224" s="131" t="s">
        <v>32</v>
      </c>
      <c r="F224" s="131" t="s">
        <v>41</v>
      </c>
      <c r="G224" s="131">
        <v>1</v>
      </c>
      <c r="H224" s="131">
        <v>23</v>
      </c>
      <c r="I224" s="131">
        <v>7</v>
      </c>
      <c r="J224" s="131">
        <v>3</v>
      </c>
      <c r="K224" s="131">
        <v>0</v>
      </c>
      <c r="L224" s="131">
        <v>1</v>
      </c>
      <c r="M224" s="131">
        <v>2</v>
      </c>
      <c r="N224" s="131">
        <v>2</v>
      </c>
      <c r="O224" s="131">
        <v>5</v>
      </c>
      <c r="P224" s="131">
        <v>3</v>
      </c>
      <c r="Q224" s="131">
        <v>6</v>
      </c>
      <c r="R224" s="133">
        <v>0.5</v>
      </c>
      <c r="S224" s="131">
        <v>9</v>
      </c>
      <c r="T224" s="131">
        <v>16</v>
      </c>
      <c r="U224" s="133">
        <v>0.5625</v>
      </c>
      <c r="V224" s="131">
        <v>2</v>
      </c>
      <c r="W224" s="131">
        <v>3</v>
      </c>
      <c r="X224" s="133">
        <v>0.66666666666666663</v>
      </c>
    </row>
    <row r="225" spans="1:75" x14ac:dyDescent="0.25">
      <c r="A225" s="131" t="s">
        <v>157</v>
      </c>
      <c r="B225" s="131" t="s">
        <v>157</v>
      </c>
      <c r="C225" s="132" t="s">
        <v>157</v>
      </c>
      <c r="D225" s="131" t="s">
        <v>157</v>
      </c>
      <c r="E225" s="131" t="s">
        <v>157</v>
      </c>
      <c r="F225" s="131" t="s">
        <v>157</v>
      </c>
      <c r="G225" s="131" t="s">
        <v>157</v>
      </c>
      <c r="H225" s="131" t="s">
        <v>157</v>
      </c>
      <c r="I225" s="131" t="s">
        <v>157</v>
      </c>
      <c r="J225" s="131" t="s">
        <v>157</v>
      </c>
      <c r="K225" s="131" t="s">
        <v>157</v>
      </c>
      <c r="L225" s="131" t="s">
        <v>157</v>
      </c>
      <c r="M225" s="131" t="s">
        <v>157</v>
      </c>
      <c r="N225" s="131" t="s">
        <v>157</v>
      </c>
      <c r="O225" s="131" t="s">
        <v>157</v>
      </c>
      <c r="P225" s="131" t="s">
        <v>157</v>
      </c>
      <c r="Q225" s="131" t="s">
        <v>157</v>
      </c>
      <c r="R225" s="133" t="s">
        <v>157</v>
      </c>
      <c r="S225" s="131" t="s">
        <v>157</v>
      </c>
      <c r="T225" s="131" t="s">
        <v>157</v>
      </c>
      <c r="U225" s="133" t="s">
        <v>157</v>
      </c>
      <c r="V225" s="131" t="s">
        <v>157</v>
      </c>
      <c r="W225" s="131" t="s">
        <v>157</v>
      </c>
      <c r="X225" s="133" t="s">
        <v>157</v>
      </c>
    </row>
    <row r="226" spans="1:75" x14ac:dyDescent="0.25">
      <c r="A226" s="131" t="s">
        <v>157</v>
      </c>
      <c r="B226" s="131" t="s">
        <v>157</v>
      </c>
      <c r="C226" s="132" t="s">
        <v>157</v>
      </c>
      <c r="D226" s="131" t="s">
        <v>157</v>
      </c>
      <c r="E226" s="131" t="s">
        <v>157</v>
      </c>
      <c r="F226" s="131" t="s">
        <v>157</v>
      </c>
      <c r="G226" s="131" t="s">
        <v>157</v>
      </c>
      <c r="H226" s="131" t="s">
        <v>157</v>
      </c>
      <c r="I226" s="131" t="s">
        <v>157</v>
      </c>
      <c r="J226" s="131" t="s">
        <v>157</v>
      </c>
      <c r="K226" s="131" t="s">
        <v>157</v>
      </c>
      <c r="L226" s="131" t="s">
        <v>157</v>
      </c>
      <c r="M226" s="131" t="s">
        <v>157</v>
      </c>
      <c r="N226" s="131" t="s">
        <v>157</v>
      </c>
      <c r="O226" s="131" t="s">
        <v>157</v>
      </c>
      <c r="P226" s="131" t="s">
        <v>157</v>
      </c>
      <c r="Q226" s="131" t="s">
        <v>157</v>
      </c>
      <c r="R226" s="133" t="s">
        <v>157</v>
      </c>
      <c r="S226" s="131" t="s">
        <v>157</v>
      </c>
      <c r="T226" s="131" t="s">
        <v>157</v>
      </c>
      <c r="U226" s="133" t="s">
        <v>157</v>
      </c>
      <c r="V226" s="131" t="s">
        <v>157</v>
      </c>
      <c r="W226" s="131" t="s">
        <v>157</v>
      </c>
      <c r="X226" s="133" t="s">
        <v>157</v>
      </c>
    </row>
    <row r="227" spans="1:75" x14ac:dyDescent="0.25">
      <c r="A227" s="131" t="s">
        <v>157</v>
      </c>
      <c r="B227" s="131" t="s">
        <v>157</v>
      </c>
      <c r="C227" s="132" t="s">
        <v>157</v>
      </c>
      <c r="D227" s="131" t="s">
        <v>157</v>
      </c>
      <c r="E227" s="131" t="s">
        <v>157</v>
      </c>
      <c r="F227" s="131" t="s">
        <v>157</v>
      </c>
      <c r="G227" s="131" t="s">
        <v>157</v>
      </c>
      <c r="H227" s="131" t="s">
        <v>157</v>
      </c>
      <c r="I227" s="131" t="s">
        <v>157</v>
      </c>
      <c r="J227" s="131" t="s">
        <v>157</v>
      </c>
      <c r="K227" s="131" t="s">
        <v>157</v>
      </c>
      <c r="L227" s="131" t="s">
        <v>157</v>
      </c>
      <c r="M227" s="131" t="s">
        <v>157</v>
      </c>
      <c r="N227" s="131" t="s">
        <v>157</v>
      </c>
      <c r="O227" s="131" t="s">
        <v>157</v>
      </c>
      <c r="P227" s="131" t="s">
        <v>157</v>
      </c>
      <c r="Q227" s="131" t="s">
        <v>157</v>
      </c>
      <c r="R227" s="133" t="s">
        <v>157</v>
      </c>
      <c r="S227" s="131" t="s">
        <v>157</v>
      </c>
      <c r="T227" s="131" t="s">
        <v>157</v>
      </c>
      <c r="U227" s="133" t="s">
        <v>157</v>
      </c>
      <c r="V227" s="131" t="s">
        <v>157</v>
      </c>
      <c r="W227" s="131" t="s">
        <v>157</v>
      </c>
      <c r="X227" s="133" t="s">
        <v>157</v>
      </c>
    </row>
    <row r="228" spans="1:75" x14ac:dyDescent="0.25">
      <c r="A228" s="131" t="s">
        <v>46</v>
      </c>
      <c r="B228" s="131" t="s">
        <v>56</v>
      </c>
      <c r="C228" s="132">
        <v>1830.7708333333333</v>
      </c>
      <c r="D228" s="131" t="s">
        <v>65</v>
      </c>
      <c r="E228" s="131" t="s">
        <v>13</v>
      </c>
      <c r="F228" s="131" t="s">
        <v>222</v>
      </c>
      <c r="G228" s="131">
        <v>1</v>
      </c>
      <c r="H228" s="131">
        <v>16</v>
      </c>
      <c r="I228" s="131">
        <v>5</v>
      </c>
      <c r="J228" s="131">
        <v>4</v>
      </c>
      <c r="K228" s="131">
        <v>0</v>
      </c>
      <c r="L228" s="131">
        <v>0</v>
      </c>
      <c r="M228" s="131">
        <v>5</v>
      </c>
      <c r="N228" s="131">
        <v>1</v>
      </c>
      <c r="O228" s="131">
        <v>4</v>
      </c>
      <c r="P228" s="131">
        <v>1</v>
      </c>
      <c r="Q228" s="131">
        <v>3</v>
      </c>
      <c r="R228" s="133">
        <v>0.33333333333333331</v>
      </c>
      <c r="S228" s="131">
        <v>7</v>
      </c>
      <c r="T228" s="131">
        <v>12</v>
      </c>
      <c r="U228" s="133">
        <v>0.58333333333333337</v>
      </c>
      <c r="V228" s="131">
        <v>1</v>
      </c>
      <c r="W228" s="131">
        <v>3</v>
      </c>
      <c r="X228" s="133">
        <v>0.33333333333333331</v>
      </c>
      <c r="Z228" s="134" t="s">
        <v>46</v>
      </c>
      <c r="AA228" s="134" t="s">
        <v>56</v>
      </c>
      <c r="AB228" s="135">
        <v>1830.7708333333333</v>
      </c>
      <c r="AC228" s="134" t="s">
        <v>65</v>
      </c>
      <c r="AD228" s="134" t="s">
        <v>222</v>
      </c>
      <c r="AE228" s="134" t="s">
        <v>174</v>
      </c>
      <c r="AF228" s="134">
        <v>1</v>
      </c>
      <c r="AG228" s="134">
        <v>55</v>
      </c>
      <c r="AH228" s="134">
        <v>31</v>
      </c>
      <c r="AI228" s="134">
        <v>11</v>
      </c>
      <c r="AJ228" s="134">
        <v>5</v>
      </c>
      <c r="AK228" s="134">
        <v>0</v>
      </c>
      <c r="AL228" s="134">
        <v>10</v>
      </c>
      <c r="AM228" s="134">
        <v>3</v>
      </c>
      <c r="AN228" s="134">
        <v>28</v>
      </c>
      <c r="AO228" s="134">
        <v>8</v>
      </c>
      <c r="AP228" s="134">
        <v>26</v>
      </c>
      <c r="AQ228" s="136">
        <v>0.30769230769230771</v>
      </c>
      <c r="AR228" s="134">
        <v>23</v>
      </c>
      <c r="AS228" s="134">
        <v>57</v>
      </c>
      <c r="AT228" s="136">
        <v>0.40350877192982454</v>
      </c>
      <c r="AU228" s="134">
        <v>1</v>
      </c>
      <c r="AV228" s="134">
        <v>4</v>
      </c>
      <c r="AW228" s="136">
        <v>0.25</v>
      </c>
      <c r="AY228" s="134" t="s">
        <v>46</v>
      </c>
      <c r="AZ228" s="134" t="s">
        <v>56</v>
      </c>
      <c r="BA228" s="135">
        <v>1830.7708333333333</v>
      </c>
      <c r="BB228" s="134" t="s">
        <v>65</v>
      </c>
      <c r="BC228" s="134" t="s">
        <v>89</v>
      </c>
      <c r="BD228" s="134"/>
      <c r="BE228" s="134">
        <v>1</v>
      </c>
      <c r="BF228" s="134">
        <v>103</v>
      </c>
      <c r="BG228" s="134">
        <v>74</v>
      </c>
      <c r="BH228" s="134">
        <v>25</v>
      </c>
      <c r="BI228" s="134">
        <v>15</v>
      </c>
      <c r="BJ228" s="134">
        <v>4</v>
      </c>
      <c r="BK228" s="134">
        <v>20</v>
      </c>
      <c r="BL228" s="134">
        <v>13</v>
      </c>
      <c r="BM228" s="134">
        <v>61</v>
      </c>
      <c r="BN228" s="134">
        <v>13</v>
      </c>
      <c r="BO228" s="134">
        <v>50</v>
      </c>
      <c r="BP228" s="136">
        <v>0.26</v>
      </c>
      <c r="BQ228" s="134">
        <v>43</v>
      </c>
      <c r="BR228" s="134">
        <v>127</v>
      </c>
      <c r="BS228" s="136">
        <v>0.33858267716535434</v>
      </c>
      <c r="BT228" s="134">
        <v>4</v>
      </c>
      <c r="BU228" s="134">
        <v>10</v>
      </c>
      <c r="BV228" s="136">
        <v>0.4</v>
      </c>
      <c r="BW228" s="174" t="s">
        <v>226</v>
      </c>
    </row>
    <row r="229" spans="1:75" x14ac:dyDescent="0.25">
      <c r="A229" s="131" t="s">
        <v>46</v>
      </c>
      <c r="B229" s="131" t="s">
        <v>56</v>
      </c>
      <c r="C229" s="132">
        <v>1830.7708333333333</v>
      </c>
      <c r="D229" s="131" t="s">
        <v>65</v>
      </c>
      <c r="E229" s="131" t="s">
        <v>14</v>
      </c>
      <c r="F229" s="131" t="s">
        <v>222</v>
      </c>
      <c r="G229" s="131">
        <v>1</v>
      </c>
      <c r="H229" s="131">
        <v>14</v>
      </c>
      <c r="I229" s="131">
        <v>4</v>
      </c>
      <c r="J229" s="131">
        <v>2</v>
      </c>
      <c r="K229" s="131">
        <v>1</v>
      </c>
      <c r="L229" s="131">
        <v>0</v>
      </c>
      <c r="M229" s="131">
        <v>0</v>
      </c>
      <c r="N229" s="131">
        <v>0</v>
      </c>
      <c r="O229" s="131">
        <v>4</v>
      </c>
      <c r="P229" s="131">
        <v>4</v>
      </c>
      <c r="Q229" s="131">
        <v>11</v>
      </c>
      <c r="R229" s="133">
        <v>0.36363636363636365</v>
      </c>
      <c r="S229" s="131">
        <v>5</v>
      </c>
      <c r="T229" s="131">
        <v>16</v>
      </c>
      <c r="U229" s="133">
        <v>0.3125</v>
      </c>
      <c r="V229" s="131">
        <v>0</v>
      </c>
      <c r="W229" s="131">
        <v>1</v>
      </c>
      <c r="X229" s="133">
        <v>0</v>
      </c>
      <c r="Z229" s="134" t="s">
        <v>46</v>
      </c>
      <c r="AA229" s="134" t="s">
        <v>56</v>
      </c>
      <c r="AB229" s="135">
        <v>1830.7708333333333</v>
      </c>
      <c r="AC229" s="134" t="s">
        <v>65</v>
      </c>
      <c r="AD229" s="134" t="s">
        <v>43</v>
      </c>
      <c r="AE229" s="134" t="s">
        <v>175</v>
      </c>
      <c r="AF229" s="134">
        <v>1</v>
      </c>
      <c r="AG229" s="134">
        <v>48</v>
      </c>
      <c r="AH229" s="134">
        <v>43</v>
      </c>
      <c r="AI229" s="134">
        <v>14</v>
      </c>
      <c r="AJ229" s="134">
        <v>10</v>
      </c>
      <c r="AK229" s="134">
        <v>4</v>
      </c>
      <c r="AL229" s="134">
        <v>10</v>
      </c>
      <c r="AM229" s="134">
        <v>10</v>
      </c>
      <c r="AN229" s="134">
        <v>33</v>
      </c>
      <c r="AO229" s="134">
        <v>5</v>
      </c>
      <c r="AP229" s="134">
        <v>24</v>
      </c>
      <c r="AQ229" s="136">
        <v>0.20833333333333334</v>
      </c>
      <c r="AR229" s="134">
        <v>20</v>
      </c>
      <c r="AS229" s="134">
        <v>70</v>
      </c>
      <c r="AT229" s="136">
        <v>0.2857142857142857</v>
      </c>
      <c r="AU229" s="134">
        <v>3</v>
      </c>
      <c r="AV229" s="134">
        <v>6</v>
      </c>
      <c r="AW229" s="136">
        <v>0.5</v>
      </c>
    </row>
    <row r="230" spans="1:75" x14ac:dyDescent="0.25">
      <c r="A230" s="131" t="s">
        <v>46</v>
      </c>
      <c r="B230" s="131" t="s">
        <v>56</v>
      </c>
      <c r="C230" s="132">
        <v>1830.7708333333333</v>
      </c>
      <c r="D230" s="131" t="s">
        <v>65</v>
      </c>
      <c r="E230" s="131" t="s">
        <v>18</v>
      </c>
      <c r="F230" s="131" t="s">
        <v>222</v>
      </c>
      <c r="G230" s="131">
        <v>1</v>
      </c>
      <c r="H230" s="131">
        <v>2</v>
      </c>
      <c r="I230" s="131">
        <v>3</v>
      </c>
      <c r="J230" s="131">
        <v>1</v>
      </c>
      <c r="K230" s="131">
        <v>0</v>
      </c>
      <c r="L230" s="131">
        <v>0</v>
      </c>
      <c r="M230" s="131">
        <v>2</v>
      </c>
      <c r="N230" s="131">
        <v>1</v>
      </c>
      <c r="O230" s="131">
        <v>2</v>
      </c>
      <c r="P230" s="131">
        <v>0</v>
      </c>
      <c r="Q230" s="131">
        <v>1</v>
      </c>
      <c r="R230" s="133">
        <v>0</v>
      </c>
      <c r="S230" s="131">
        <v>1</v>
      </c>
      <c r="T230" s="131">
        <v>3</v>
      </c>
      <c r="U230" s="133">
        <v>0.33333333333333331</v>
      </c>
      <c r="V230" s="131">
        <v>0</v>
      </c>
      <c r="W230" s="131">
        <v>0</v>
      </c>
      <c r="X230" s="133" t="s">
        <v>120</v>
      </c>
    </row>
    <row r="231" spans="1:75" x14ac:dyDescent="0.25">
      <c r="A231" s="131" t="s">
        <v>46</v>
      </c>
      <c r="B231" s="131" t="s">
        <v>56</v>
      </c>
      <c r="C231" s="132">
        <v>1830.7708333333333</v>
      </c>
      <c r="D231" s="131" t="s">
        <v>65</v>
      </c>
      <c r="E231" s="131" t="s">
        <v>17</v>
      </c>
      <c r="F231" s="131" t="s">
        <v>222</v>
      </c>
      <c r="G231" s="131">
        <v>1</v>
      </c>
      <c r="H231" s="131">
        <v>2</v>
      </c>
      <c r="I231" s="131">
        <v>9</v>
      </c>
      <c r="J231" s="131">
        <v>0</v>
      </c>
      <c r="K231" s="131">
        <v>2</v>
      </c>
      <c r="L231" s="131">
        <v>0</v>
      </c>
      <c r="M231" s="131">
        <v>1</v>
      </c>
      <c r="N231" s="131">
        <v>0</v>
      </c>
      <c r="O231" s="131">
        <v>9</v>
      </c>
      <c r="P231" s="131">
        <v>0</v>
      </c>
      <c r="Q231" s="131">
        <v>1</v>
      </c>
      <c r="R231" s="133">
        <v>0</v>
      </c>
      <c r="S231" s="131">
        <v>1</v>
      </c>
      <c r="T231" s="131">
        <v>4</v>
      </c>
      <c r="U231" s="133">
        <v>0.25</v>
      </c>
      <c r="V231" s="131">
        <v>0</v>
      </c>
      <c r="W231" s="131">
        <v>0</v>
      </c>
      <c r="X231" s="133" t="s">
        <v>120</v>
      </c>
    </row>
    <row r="232" spans="1:75" x14ac:dyDescent="0.25">
      <c r="A232" s="131" t="s">
        <v>46</v>
      </c>
      <c r="B232" s="131" t="s">
        <v>56</v>
      </c>
      <c r="C232" s="132">
        <v>1830.7708333333333</v>
      </c>
      <c r="D232" s="131" t="s">
        <v>65</v>
      </c>
      <c r="E232" s="131" t="s">
        <v>15</v>
      </c>
      <c r="F232" s="131" t="s">
        <v>222</v>
      </c>
      <c r="G232" s="131">
        <v>1</v>
      </c>
      <c r="H232" s="131">
        <v>13</v>
      </c>
      <c r="I232" s="131">
        <v>4</v>
      </c>
      <c r="J232" s="131">
        <v>2</v>
      </c>
      <c r="K232" s="131">
        <v>2</v>
      </c>
      <c r="L232" s="131">
        <v>0</v>
      </c>
      <c r="M232" s="131">
        <v>2</v>
      </c>
      <c r="N232" s="131">
        <v>0</v>
      </c>
      <c r="O232" s="131">
        <v>4</v>
      </c>
      <c r="P232" s="131">
        <v>1</v>
      </c>
      <c r="Q232" s="131">
        <v>6</v>
      </c>
      <c r="R232" s="133">
        <v>0.16666666666666666</v>
      </c>
      <c r="S232" s="131">
        <v>6</v>
      </c>
      <c r="T232" s="131">
        <v>15</v>
      </c>
      <c r="U232" s="133">
        <v>0.4</v>
      </c>
      <c r="V232" s="131">
        <v>0</v>
      </c>
      <c r="W232" s="131">
        <v>0</v>
      </c>
      <c r="X232" s="133" t="s">
        <v>120</v>
      </c>
    </row>
    <row r="233" spans="1:75" x14ac:dyDescent="0.25">
      <c r="A233" s="131" t="s">
        <v>46</v>
      </c>
      <c r="B233" s="131" t="s">
        <v>56</v>
      </c>
      <c r="C233" s="132">
        <v>1830.7708333333333</v>
      </c>
      <c r="D233" s="131" t="s">
        <v>65</v>
      </c>
      <c r="E233" s="131" t="s">
        <v>16</v>
      </c>
      <c r="F233" s="131" t="s">
        <v>222</v>
      </c>
      <c r="G233" s="131">
        <v>1</v>
      </c>
      <c r="H233" s="131">
        <v>8</v>
      </c>
      <c r="I233" s="131">
        <v>6</v>
      </c>
      <c r="J233" s="131">
        <v>2</v>
      </c>
      <c r="K233" s="131">
        <v>0</v>
      </c>
      <c r="L233" s="131">
        <v>0</v>
      </c>
      <c r="M233" s="131">
        <v>0</v>
      </c>
      <c r="N233" s="131">
        <v>1</v>
      </c>
      <c r="O233" s="131">
        <v>5</v>
      </c>
      <c r="P233" s="131">
        <v>2</v>
      </c>
      <c r="Q233" s="131">
        <v>4</v>
      </c>
      <c r="R233" s="133">
        <v>0.5</v>
      </c>
      <c r="S233" s="131">
        <v>3</v>
      </c>
      <c r="T233" s="131">
        <v>7</v>
      </c>
      <c r="U233" s="133">
        <v>0.42857142857142855</v>
      </c>
      <c r="V233" s="131">
        <v>0</v>
      </c>
      <c r="W233" s="131">
        <v>0</v>
      </c>
      <c r="X233" s="133" t="s">
        <v>120</v>
      </c>
    </row>
    <row r="234" spans="1:75" x14ac:dyDescent="0.25">
      <c r="A234" s="131" t="s">
        <v>46</v>
      </c>
      <c r="B234" s="131" t="s">
        <v>56</v>
      </c>
      <c r="C234" s="132">
        <v>1830.7708333333333</v>
      </c>
      <c r="D234" s="131" t="s">
        <v>65</v>
      </c>
      <c r="E234" s="131" t="s">
        <v>34</v>
      </c>
      <c r="F234" s="131" t="s">
        <v>43</v>
      </c>
      <c r="G234" s="131">
        <v>1</v>
      </c>
      <c r="H234" s="131">
        <v>8</v>
      </c>
      <c r="I234" s="131">
        <v>10</v>
      </c>
      <c r="J234" s="131">
        <v>4</v>
      </c>
      <c r="K234" s="131">
        <v>3</v>
      </c>
      <c r="L234" s="131">
        <v>0</v>
      </c>
      <c r="M234" s="131">
        <v>2</v>
      </c>
      <c r="N234" s="131">
        <v>3</v>
      </c>
      <c r="O234" s="131">
        <v>7</v>
      </c>
      <c r="P234" s="131">
        <v>0</v>
      </c>
      <c r="Q234" s="131">
        <v>2</v>
      </c>
      <c r="R234" s="133">
        <v>0</v>
      </c>
      <c r="S234" s="131">
        <v>4</v>
      </c>
      <c r="T234" s="131">
        <v>14</v>
      </c>
      <c r="U234" s="133">
        <v>0.2857142857142857</v>
      </c>
      <c r="V234" s="131">
        <v>0</v>
      </c>
      <c r="W234" s="131">
        <v>0</v>
      </c>
      <c r="X234" s="133" t="s">
        <v>120</v>
      </c>
    </row>
    <row r="235" spans="1:75" x14ac:dyDescent="0.25">
      <c r="A235" s="131" t="s">
        <v>46</v>
      </c>
      <c r="B235" s="131" t="s">
        <v>56</v>
      </c>
      <c r="C235" s="132">
        <v>1830.7708333333333</v>
      </c>
      <c r="D235" s="131" t="s">
        <v>65</v>
      </c>
      <c r="E235" s="131" t="s">
        <v>31</v>
      </c>
      <c r="F235" s="131" t="s">
        <v>43</v>
      </c>
      <c r="G235" s="131">
        <v>1</v>
      </c>
      <c r="H235" s="131">
        <v>18</v>
      </c>
      <c r="I235" s="131">
        <v>7</v>
      </c>
      <c r="J235" s="131">
        <v>2</v>
      </c>
      <c r="K235" s="131">
        <v>0</v>
      </c>
      <c r="L235" s="131">
        <v>2</v>
      </c>
      <c r="M235" s="131">
        <v>2</v>
      </c>
      <c r="N235" s="131">
        <v>1</v>
      </c>
      <c r="O235" s="131">
        <v>6</v>
      </c>
      <c r="P235" s="131">
        <v>3</v>
      </c>
      <c r="Q235" s="131">
        <v>5</v>
      </c>
      <c r="R235" s="133">
        <v>0.6</v>
      </c>
      <c r="S235" s="131">
        <v>7</v>
      </c>
      <c r="T235" s="131">
        <v>18</v>
      </c>
      <c r="U235" s="133">
        <v>0.3888888888888889</v>
      </c>
      <c r="V235" s="131">
        <v>1</v>
      </c>
      <c r="W235" s="131">
        <v>2</v>
      </c>
      <c r="X235" s="133">
        <v>0.5</v>
      </c>
    </row>
    <row r="236" spans="1:75" x14ac:dyDescent="0.25">
      <c r="A236" s="131" t="s">
        <v>46</v>
      </c>
      <c r="B236" s="131" t="s">
        <v>56</v>
      </c>
      <c r="C236" s="132">
        <v>1830.7708333333333</v>
      </c>
      <c r="D236" s="131" t="s">
        <v>65</v>
      </c>
      <c r="E236" s="131" t="s">
        <v>32</v>
      </c>
      <c r="F236" s="131" t="s">
        <v>43</v>
      </c>
      <c r="G236" s="131">
        <v>1</v>
      </c>
      <c r="H236" s="131">
        <v>10</v>
      </c>
      <c r="I236" s="131">
        <v>6</v>
      </c>
      <c r="J236" s="131">
        <v>4</v>
      </c>
      <c r="K236" s="131">
        <v>4</v>
      </c>
      <c r="L236" s="131">
        <v>0</v>
      </c>
      <c r="M236" s="131">
        <v>1</v>
      </c>
      <c r="N236" s="131">
        <v>2</v>
      </c>
      <c r="O236" s="131">
        <v>4</v>
      </c>
      <c r="P236" s="131">
        <v>1</v>
      </c>
      <c r="Q236" s="131">
        <v>8</v>
      </c>
      <c r="R236" s="133">
        <v>0.125</v>
      </c>
      <c r="S236" s="131">
        <v>4</v>
      </c>
      <c r="T236" s="131">
        <v>17</v>
      </c>
      <c r="U236" s="133">
        <v>0.23529411764705882</v>
      </c>
      <c r="V236" s="131">
        <v>1</v>
      </c>
      <c r="W236" s="131">
        <v>2</v>
      </c>
      <c r="X236" s="133">
        <v>0.5</v>
      </c>
    </row>
    <row r="237" spans="1:75" x14ac:dyDescent="0.25">
      <c r="A237" s="131" t="s">
        <v>46</v>
      </c>
      <c r="B237" s="131" t="s">
        <v>56</v>
      </c>
      <c r="C237" s="132">
        <v>1830.7708333333333</v>
      </c>
      <c r="D237" s="131" t="s">
        <v>65</v>
      </c>
      <c r="E237" s="131" t="s">
        <v>33</v>
      </c>
      <c r="F237" s="131" t="s">
        <v>43</v>
      </c>
      <c r="G237" s="131">
        <v>1</v>
      </c>
      <c r="H237" s="131">
        <v>10</v>
      </c>
      <c r="I237" s="131">
        <v>15</v>
      </c>
      <c r="J237" s="131">
        <v>3</v>
      </c>
      <c r="K237" s="131">
        <v>3</v>
      </c>
      <c r="L237" s="131">
        <v>1</v>
      </c>
      <c r="M237" s="131">
        <v>5</v>
      </c>
      <c r="N237" s="131">
        <v>3</v>
      </c>
      <c r="O237" s="131">
        <v>12</v>
      </c>
      <c r="P237" s="131">
        <v>1</v>
      </c>
      <c r="Q237" s="131">
        <v>6</v>
      </c>
      <c r="R237" s="133">
        <v>0.16666666666666666</v>
      </c>
      <c r="S237" s="131">
        <v>4</v>
      </c>
      <c r="T237" s="131">
        <v>17</v>
      </c>
      <c r="U237" s="133">
        <v>0.23529411764705882</v>
      </c>
      <c r="V237" s="131">
        <v>1</v>
      </c>
      <c r="W237" s="131">
        <v>2</v>
      </c>
      <c r="X237" s="133">
        <v>0.5</v>
      </c>
    </row>
    <row r="238" spans="1:75" x14ac:dyDescent="0.25">
      <c r="A238" s="131" t="s">
        <v>46</v>
      </c>
      <c r="B238" s="131" t="s">
        <v>56</v>
      </c>
      <c r="C238" s="132">
        <v>1830.7708333333333</v>
      </c>
      <c r="D238" s="131" t="s">
        <v>65</v>
      </c>
      <c r="E238" s="131" t="s">
        <v>36</v>
      </c>
      <c r="F238" s="131" t="s">
        <v>43</v>
      </c>
      <c r="G238" s="131">
        <v>1</v>
      </c>
      <c r="H238" s="131">
        <v>0</v>
      </c>
      <c r="I238" s="131">
        <v>1</v>
      </c>
      <c r="J238" s="131">
        <v>0</v>
      </c>
      <c r="K238" s="131">
        <v>0</v>
      </c>
      <c r="L238" s="131">
        <v>0</v>
      </c>
      <c r="M238" s="131">
        <v>0</v>
      </c>
      <c r="N238" s="131">
        <v>0</v>
      </c>
      <c r="O238" s="131">
        <v>1</v>
      </c>
      <c r="P238" s="131">
        <v>0</v>
      </c>
      <c r="Q238" s="131">
        <v>0</v>
      </c>
      <c r="R238" s="133" t="s">
        <v>120</v>
      </c>
      <c r="S238" s="131">
        <v>0</v>
      </c>
      <c r="T238" s="131">
        <v>0</v>
      </c>
      <c r="U238" s="133" t="s">
        <v>120</v>
      </c>
      <c r="V238" s="131">
        <v>0</v>
      </c>
      <c r="W238" s="131">
        <v>0</v>
      </c>
      <c r="X238" s="133" t="s">
        <v>120</v>
      </c>
    </row>
    <row r="239" spans="1:75" x14ac:dyDescent="0.25">
      <c r="A239" s="131" t="s">
        <v>46</v>
      </c>
      <c r="B239" s="131" t="s">
        <v>56</v>
      </c>
      <c r="C239" s="132">
        <v>1830.7708333333333</v>
      </c>
      <c r="D239" s="131" t="s">
        <v>65</v>
      </c>
      <c r="E239" s="131" t="s">
        <v>35</v>
      </c>
      <c r="F239" s="131" t="s">
        <v>43</v>
      </c>
      <c r="G239" s="131">
        <v>1</v>
      </c>
      <c r="H239" s="131">
        <v>2</v>
      </c>
      <c r="I239" s="131">
        <v>4</v>
      </c>
      <c r="J239" s="131">
        <v>1</v>
      </c>
      <c r="K239" s="131">
        <v>0</v>
      </c>
      <c r="L239" s="131">
        <v>1</v>
      </c>
      <c r="M239" s="131">
        <v>0</v>
      </c>
      <c r="N239" s="131">
        <v>1</v>
      </c>
      <c r="O239" s="131">
        <v>3</v>
      </c>
      <c r="P239" s="131">
        <v>0</v>
      </c>
      <c r="Q239" s="131">
        <v>3</v>
      </c>
      <c r="R239" s="133">
        <v>0</v>
      </c>
      <c r="S239" s="131">
        <v>1</v>
      </c>
      <c r="T239" s="131">
        <v>4</v>
      </c>
      <c r="U239" s="133">
        <v>0.25</v>
      </c>
      <c r="V239" s="131">
        <v>0</v>
      </c>
      <c r="W239" s="131">
        <v>0</v>
      </c>
      <c r="X239" s="133" t="s">
        <v>120</v>
      </c>
    </row>
    <row r="240" spans="1:75" x14ac:dyDescent="0.25">
      <c r="A240" s="131" t="s">
        <v>157</v>
      </c>
      <c r="B240" s="131" t="s">
        <v>157</v>
      </c>
      <c r="C240" s="132" t="s">
        <v>157</v>
      </c>
      <c r="D240" s="131" t="s">
        <v>157</v>
      </c>
      <c r="E240" s="131" t="s">
        <v>157</v>
      </c>
      <c r="F240" s="131" t="s">
        <v>157</v>
      </c>
      <c r="G240" s="131" t="s">
        <v>157</v>
      </c>
      <c r="H240" s="131" t="s">
        <v>157</v>
      </c>
      <c r="I240" s="131" t="s">
        <v>157</v>
      </c>
      <c r="J240" s="131" t="s">
        <v>157</v>
      </c>
      <c r="K240" s="131" t="s">
        <v>157</v>
      </c>
      <c r="L240" s="131" t="s">
        <v>157</v>
      </c>
      <c r="M240" s="131" t="s">
        <v>157</v>
      </c>
      <c r="N240" s="131" t="s">
        <v>157</v>
      </c>
      <c r="O240" s="131" t="s">
        <v>157</v>
      </c>
      <c r="P240" s="131" t="s">
        <v>157</v>
      </c>
      <c r="Q240" s="131" t="s">
        <v>157</v>
      </c>
      <c r="R240" s="133" t="s">
        <v>157</v>
      </c>
      <c r="S240" s="131" t="s">
        <v>157</v>
      </c>
      <c r="T240" s="131" t="s">
        <v>157</v>
      </c>
      <c r="U240" s="133" t="s">
        <v>157</v>
      </c>
      <c r="V240" s="131" t="s">
        <v>157</v>
      </c>
      <c r="W240" s="131" t="s">
        <v>157</v>
      </c>
      <c r="X240" s="133" t="s">
        <v>157</v>
      </c>
    </row>
    <row r="241" spans="1:75" x14ac:dyDescent="0.25">
      <c r="A241" s="131" t="s">
        <v>157</v>
      </c>
      <c r="B241" s="131" t="s">
        <v>157</v>
      </c>
      <c r="C241" s="132" t="s">
        <v>157</v>
      </c>
      <c r="D241" s="131" t="s">
        <v>157</v>
      </c>
      <c r="E241" s="131" t="s">
        <v>157</v>
      </c>
      <c r="F241" s="131" t="s">
        <v>157</v>
      </c>
      <c r="G241" s="131" t="s">
        <v>157</v>
      </c>
      <c r="H241" s="131" t="s">
        <v>157</v>
      </c>
      <c r="I241" s="131" t="s">
        <v>157</v>
      </c>
      <c r="J241" s="131" t="s">
        <v>157</v>
      </c>
      <c r="K241" s="131" t="s">
        <v>157</v>
      </c>
      <c r="L241" s="131" t="s">
        <v>157</v>
      </c>
      <c r="M241" s="131" t="s">
        <v>157</v>
      </c>
      <c r="N241" s="131" t="s">
        <v>157</v>
      </c>
      <c r="O241" s="131" t="s">
        <v>157</v>
      </c>
      <c r="P241" s="131" t="s">
        <v>157</v>
      </c>
      <c r="Q241" s="131" t="s">
        <v>157</v>
      </c>
      <c r="R241" s="133" t="s">
        <v>157</v>
      </c>
      <c r="S241" s="131" t="s">
        <v>157</v>
      </c>
      <c r="T241" s="131" t="s">
        <v>157</v>
      </c>
      <c r="U241" s="133" t="s">
        <v>157</v>
      </c>
      <c r="V241" s="131" t="s">
        <v>157</v>
      </c>
      <c r="W241" s="131" t="s">
        <v>157</v>
      </c>
      <c r="X241" s="133" t="s">
        <v>157</v>
      </c>
    </row>
    <row r="242" spans="1:75" x14ac:dyDescent="0.25">
      <c r="A242" s="131" t="s">
        <v>157</v>
      </c>
      <c r="B242" s="131" t="s">
        <v>157</v>
      </c>
      <c r="C242" s="132" t="s">
        <v>157</v>
      </c>
      <c r="D242" s="131" t="s">
        <v>157</v>
      </c>
      <c r="E242" s="131" t="s">
        <v>157</v>
      </c>
      <c r="F242" s="131" t="s">
        <v>157</v>
      </c>
      <c r="G242" s="131" t="s">
        <v>157</v>
      </c>
      <c r="H242" s="131" t="s">
        <v>157</v>
      </c>
      <c r="I242" s="131" t="s">
        <v>157</v>
      </c>
      <c r="J242" s="131" t="s">
        <v>157</v>
      </c>
      <c r="K242" s="131" t="s">
        <v>157</v>
      </c>
      <c r="L242" s="131" t="s">
        <v>157</v>
      </c>
      <c r="M242" s="131" t="s">
        <v>157</v>
      </c>
      <c r="N242" s="131" t="s">
        <v>157</v>
      </c>
      <c r="O242" s="131" t="s">
        <v>157</v>
      </c>
      <c r="P242" s="131" t="s">
        <v>157</v>
      </c>
      <c r="Q242" s="131" t="s">
        <v>157</v>
      </c>
      <c r="R242" s="133" t="s">
        <v>157</v>
      </c>
      <c r="S242" s="131" t="s">
        <v>157</v>
      </c>
      <c r="T242" s="131" t="s">
        <v>157</v>
      </c>
      <c r="U242" s="133" t="s">
        <v>157</v>
      </c>
      <c r="V242" s="131" t="s">
        <v>157</v>
      </c>
      <c r="W242" s="131" t="s">
        <v>157</v>
      </c>
      <c r="X242" s="133" t="s">
        <v>157</v>
      </c>
    </row>
    <row r="243" spans="1:75" x14ac:dyDescent="0.25">
      <c r="A243" s="131" t="s">
        <v>46</v>
      </c>
      <c r="B243" s="131" t="s">
        <v>56</v>
      </c>
      <c r="C243" s="132">
        <v>1830.8125</v>
      </c>
      <c r="D243" s="131" t="s">
        <v>65</v>
      </c>
      <c r="E243" s="131" t="s">
        <v>25</v>
      </c>
      <c r="F243" s="131" t="s">
        <v>42</v>
      </c>
      <c r="G243" s="131">
        <v>1</v>
      </c>
      <c r="H243" s="131">
        <v>13</v>
      </c>
      <c r="I243" s="131">
        <v>7</v>
      </c>
      <c r="J243" s="131">
        <v>0</v>
      </c>
      <c r="K243" s="131">
        <v>2</v>
      </c>
      <c r="L243" s="131">
        <v>1</v>
      </c>
      <c r="M243" s="131">
        <v>1</v>
      </c>
      <c r="N243" s="131">
        <v>0</v>
      </c>
      <c r="O243" s="131">
        <v>7</v>
      </c>
      <c r="P243" s="131">
        <v>2</v>
      </c>
      <c r="Q243" s="131">
        <v>3</v>
      </c>
      <c r="R243" s="133">
        <v>0.66666666666666663</v>
      </c>
      <c r="S243" s="131">
        <v>5</v>
      </c>
      <c r="T243" s="131">
        <v>7</v>
      </c>
      <c r="U243" s="133">
        <v>0.7142857142857143</v>
      </c>
      <c r="V243" s="131">
        <v>1</v>
      </c>
      <c r="W243" s="131">
        <v>2</v>
      </c>
      <c r="X243" s="133">
        <v>0.5</v>
      </c>
      <c r="Z243" s="134" t="s">
        <v>46</v>
      </c>
      <c r="AA243" s="134" t="s">
        <v>56</v>
      </c>
      <c r="AB243" s="135">
        <v>1830.8125</v>
      </c>
      <c r="AC243" s="134" t="s">
        <v>65</v>
      </c>
      <c r="AD243" s="134" t="s">
        <v>42</v>
      </c>
      <c r="AE243" s="134" t="s">
        <v>175</v>
      </c>
      <c r="AF243" s="134">
        <v>1</v>
      </c>
      <c r="AG243" s="134">
        <v>46</v>
      </c>
      <c r="AH243" s="134">
        <v>33</v>
      </c>
      <c r="AI243" s="134">
        <v>3</v>
      </c>
      <c r="AJ243" s="134">
        <v>4</v>
      </c>
      <c r="AK243" s="134">
        <v>1</v>
      </c>
      <c r="AL243" s="134">
        <v>8</v>
      </c>
      <c r="AM243" s="134">
        <v>8</v>
      </c>
      <c r="AN243" s="134">
        <v>25</v>
      </c>
      <c r="AO243" s="134">
        <v>7</v>
      </c>
      <c r="AP243" s="134">
        <v>24</v>
      </c>
      <c r="AQ243" s="136">
        <v>0.29166666666666669</v>
      </c>
      <c r="AR243" s="134">
        <v>18</v>
      </c>
      <c r="AS243" s="134">
        <v>56</v>
      </c>
      <c r="AT243" s="136">
        <v>0.32142857142857145</v>
      </c>
      <c r="AU243" s="134">
        <v>3</v>
      </c>
      <c r="AV243" s="134">
        <v>6</v>
      </c>
      <c r="AW243" s="136">
        <v>0.5</v>
      </c>
      <c r="AY243" s="134" t="s">
        <v>46</v>
      </c>
      <c r="AZ243" s="134" t="s">
        <v>56</v>
      </c>
      <c r="BA243" s="135">
        <v>1830.8125</v>
      </c>
      <c r="BB243" s="134" t="s">
        <v>65</v>
      </c>
      <c r="BC243" s="134" t="s">
        <v>89</v>
      </c>
      <c r="BD243" s="134"/>
      <c r="BE243" s="134">
        <v>1</v>
      </c>
      <c r="BF243" s="134">
        <v>102</v>
      </c>
      <c r="BG243" s="134">
        <v>69</v>
      </c>
      <c r="BH243" s="134">
        <v>14</v>
      </c>
      <c r="BI243" s="134">
        <v>12</v>
      </c>
      <c r="BJ243" s="134">
        <v>2</v>
      </c>
      <c r="BK243" s="134">
        <v>14</v>
      </c>
      <c r="BL243" s="134">
        <v>17</v>
      </c>
      <c r="BM243" s="134">
        <v>52</v>
      </c>
      <c r="BN243" s="134">
        <v>15</v>
      </c>
      <c r="BO243" s="134">
        <v>58</v>
      </c>
      <c r="BP243" s="136">
        <v>0.25862068965517243</v>
      </c>
      <c r="BQ243" s="134">
        <v>40</v>
      </c>
      <c r="BR243" s="134">
        <v>121</v>
      </c>
      <c r="BS243" s="136">
        <v>0.33057851239669422</v>
      </c>
      <c r="BT243" s="134">
        <v>7</v>
      </c>
      <c r="BU243" s="134">
        <v>12</v>
      </c>
      <c r="BV243" s="136">
        <v>0.58333333333333337</v>
      </c>
      <c r="BW243" s="174" t="s">
        <v>208</v>
      </c>
    </row>
    <row r="244" spans="1:75" x14ac:dyDescent="0.25">
      <c r="A244" s="131" t="s">
        <v>46</v>
      </c>
      <c r="B244" s="131" t="s">
        <v>56</v>
      </c>
      <c r="C244" s="132">
        <v>1830.8125</v>
      </c>
      <c r="D244" s="131" t="s">
        <v>65</v>
      </c>
      <c r="E244" s="131" t="s">
        <v>26</v>
      </c>
      <c r="F244" s="131" t="s">
        <v>42</v>
      </c>
      <c r="G244" s="131">
        <v>1</v>
      </c>
      <c r="H244" s="131">
        <v>16</v>
      </c>
      <c r="I244" s="131">
        <v>4</v>
      </c>
      <c r="J244" s="131">
        <v>0</v>
      </c>
      <c r="K244" s="131">
        <v>0</v>
      </c>
      <c r="L244" s="131">
        <v>0</v>
      </c>
      <c r="M244" s="131">
        <v>1</v>
      </c>
      <c r="N244" s="131">
        <v>1</v>
      </c>
      <c r="O244" s="131">
        <v>3</v>
      </c>
      <c r="P244" s="131">
        <v>2</v>
      </c>
      <c r="Q244" s="131">
        <v>14</v>
      </c>
      <c r="R244" s="133">
        <v>0.14285714285714285</v>
      </c>
      <c r="S244" s="131">
        <v>6</v>
      </c>
      <c r="T244" s="131">
        <v>26</v>
      </c>
      <c r="U244" s="133">
        <v>0.23076923076923078</v>
      </c>
      <c r="V244" s="131">
        <v>2</v>
      </c>
      <c r="W244" s="131">
        <v>2</v>
      </c>
      <c r="X244" s="133">
        <v>1</v>
      </c>
      <c r="Z244" s="134" t="s">
        <v>46</v>
      </c>
      <c r="AA244" s="134" t="s">
        <v>56</v>
      </c>
      <c r="AB244" s="135">
        <v>1830.8125</v>
      </c>
      <c r="AC244" s="134" t="s">
        <v>65</v>
      </c>
      <c r="AD244" s="134" t="s">
        <v>39</v>
      </c>
      <c r="AE244" s="134" t="s">
        <v>174</v>
      </c>
      <c r="AF244" s="134">
        <v>1</v>
      </c>
      <c r="AG244" s="134">
        <v>56</v>
      </c>
      <c r="AH244" s="134">
        <v>36</v>
      </c>
      <c r="AI244" s="134">
        <v>11</v>
      </c>
      <c r="AJ244" s="134">
        <v>8</v>
      </c>
      <c r="AK244" s="134">
        <v>1</v>
      </c>
      <c r="AL244" s="134">
        <v>6</v>
      </c>
      <c r="AM244" s="134">
        <v>9</v>
      </c>
      <c r="AN244" s="134">
        <v>27</v>
      </c>
      <c r="AO244" s="134">
        <v>8</v>
      </c>
      <c r="AP244" s="134">
        <v>34</v>
      </c>
      <c r="AQ244" s="136">
        <v>0.23529411764705882</v>
      </c>
      <c r="AR244" s="134">
        <v>22</v>
      </c>
      <c r="AS244" s="134">
        <v>65</v>
      </c>
      <c r="AT244" s="136">
        <v>0.33846153846153848</v>
      </c>
      <c r="AU244" s="134">
        <v>4</v>
      </c>
      <c r="AV244" s="134">
        <v>6</v>
      </c>
      <c r="AW244" s="136">
        <v>0.66666666666666663</v>
      </c>
    </row>
    <row r="245" spans="1:75" x14ac:dyDescent="0.25">
      <c r="A245" s="131" t="s">
        <v>46</v>
      </c>
      <c r="B245" s="131" t="s">
        <v>56</v>
      </c>
      <c r="C245" s="132">
        <v>1830.8125</v>
      </c>
      <c r="D245" s="131" t="s">
        <v>65</v>
      </c>
      <c r="E245" s="131" t="s">
        <v>29</v>
      </c>
      <c r="F245" s="131" t="s">
        <v>42</v>
      </c>
      <c r="G245" s="131">
        <v>1</v>
      </c>
      <c r="H245" s="131">
        <v>2</v>
      </c>
      <c r="I245" s="131">
        <v>6</v>
      </c>
      <c r="J245" s="131">
        <v>2</v>
      </c>
      <c r="K245" s="131">
        <v>1</v>
      </c>
      <c r="L245" s="131">
        <v>0</v>
      </c>
      <c r="M245" s="131">
        <v>2</v>
      </c>
      <c r="N245" s="131">
        <v>3</v>
      </c>
      <c r="O245" s="131">
        <v>3</v>
      </c>
      <c r="P245" s="131">
        <v>0</v>
      </c>
      <c r="Q245" s="131">
        <v>1</v>
      </c>
      <c r="R245" s="133">
        <v>0</v>
      </c>
      <c r="S245" s="131">
        <v>1</v>
      </c>
      <c r="T245" s="131">
        <v>5</v>
      </c>
      <c r="U245" s="133">
        <v>0.2</v>
      </c>
      <c r="V245" s="131">
        <v>0</v>
      </c>
      <c r="W245" s="131">
        <v>2</v>
      </c>
      <c r="X245" s="133">
        <v>0</v>
      </c>
    </row>
    <row r="246" spans="1:75" x14ac:dyDescent="0.25">
      <c r="A246" s="131" t="s">
        <v>46</v>
      </c>
      <c r="B246" s="131" t="s">
        <v>56</v>
      </c>
      <c r="C246" s="132">
        <v>1830.8125</v>
      </c>
      <c r="D246" s="131" t="s">
        <v>65</v>
      </c>
      <c r="E246" s="131" t="s">
        <v>27</v>
      </c>
      <c r="F246" s="131" t="s">
        <v>42</v>
      </c>
      <c r="G246" s="131">
        <v>1</v>
      </c>
      <c r="H246" s="131">
        <v>10</v>
      </c>
      <c r="I246" s="131">
        <v>9</v>
      </c>
      <c r="J246" s="131">
        <v>0</v>
      </c>
      <c r="K246" s="131">
        <v>0</v>
      </c>
      <c r="L246" s="131">
        <v>0</v>
      </c>
      <c r="M246" s="131">
        <v>3</v>
      </c>
      <c r="N246" s="131">
        <v>2</v>
      </c>
      <c r="O246" s="131">
        <v>7</v>
      </c>
      <c r="P246" s="131">
        <v>2</v>
      </c>
      <c r="Q246" s="131">
        <v>3</v>
      </c>
      <c r="R246" s="133">
        <v>0.66666666666666663</v>
      </c>
      <c r="S246" s="131">
        <v>4</v>
      </c>
      <c r="T246" s="131">
        <v>13</v>
      </c>
      <c r="U246" s="133">
        <v>0.30769230769230771</v>
      </c>
      <c r="V246" s="131">
        <v>0</v>
      </c>
      <c r="W246" s="131">
        <v>0</v>
      </c>
      <c r="X246" s="133" t="s">
        <v>120</v>
      </c>
    </row>
    <row r="247" spans="1:75" x14ac:dyDescent="0.25">
      <c r="A247" s="131" t="s">
        <v>46</v>
      </c>
      <c r="B247" s="131" t="s">
        <v>56</v>
      </c>
      <c r="C247" s="132">
        <v>1830.8125</v>
      </c>
      <c r="D247" s="131" t="s">
        <v>65</v>
      </c>
      <c r="E247" s="131" t="s">
        <v>28</v>
      </c>
      <c r="F247" s="131" t="s">
        <v>42</v>
      </c>
      <c r="G247" s="131">
        <v>1</v>
      </c>
      <c r="H247" s="131">
        <v>5</v>
      </c>
      <c r="I247" s="131">
        <v>4</v>
      </c>
      <c r="J247" s="131">
        <v>0</v>
      </c>
      <c r="K247" s="131">
        <v>1</v>
      </c>
      <c r="L247" s="131">
        <v>0</v>
      </c>
      <c r="M247" s="131">
        <v>0</v>
      </c>
      <c r="N247" s="131">
        <v>2</v>
      </c>
      <c r="O247" s="131">
        <v>2</v>
      </c>
      <c r="P247" s="131">
        <v>1</v>
      </c>
      <c r="Q247" s="131">
        <v>3</v>
      </c>
      <c r="R247" s="133">
        <v>0.33333333333333331</v>
      </c>
      <c r="S247" s="131">
        <v>2</v>
      </c>
      <c r="T247" s="131">
        <v>5</v>
      </c>
      <c r="U247" s="133">
        <v>0.4</v>
      </c>
      <c r="V247" s="131">
        <v>0</v>
      </c>
      <c r="W247" s="131">
        <v>0</v>
      </c>
      <c r="X247" s="133" t="s">
        <v>120</v>
      </c>
    </row>
    <row r="248" spans="1:75" x14ac:dyDescent="0.25">
      <c r="A248" s="131" t="s">
        <v>46</v>
      </c>
      <c r="B248" s="131" t="s">
        <v>56</v>
      </c>
      <c r="C248" s="132">
        <v>1830.8125</v>
      </c>
      <c r="D248" s="131" t="s">
        <v>65</v>
      </c>
      <c r="E248" s="131" t="s">
        <v>30</v>
      </c>
      <c r="F248" s="131" t="s">
        <v>42</v>
      </c>
      <c r="G248" s="131">
        <v>1</v>
      </c>
      <c r="H248" s="131">
        <v>0</v>
      </c>
      <c r="I248" s="131">
        <v>3</v>
      </c>
      <c r="J248" s="131">
        <v>1</v>
      </c>
      <c r="K248" s="131">
        <v>0</v>
      </c>
      <c r="L248" s="131">
        <v>0</v>
      </c>
      <c r="M248" s="131">
        <v>1</v>
      </c>
      <c r="N248" s="131">
        <v>0</v>
      </c>
      <c r="O248" s="131">
        <v>3</v>
      </c>
      <c r="P248" s="131">
        <v>0</v>
      </c>
      <c r="Q248" s="131">
        <v>0</v>
      </c>
      <c r="R248" s="133" t="s">
        <v>120</v>
      </c>
      <c r="S248" s="131">
        <v>0</v>
      </c>
      <c r="T248" s="131">
        <v>0</v>
      </c>
      <c r="U248" s="133" t="s">
        <v>120</v>
      </c>
      <c r="V248" s="131">
        <v>0</v>
      </c>
      <c r="W248" s="131">
        <v>0</v>
      </c>
      <c r="X248" s="133" t="s">
        <v>120</v>
      </c>
    </row>
    <row r="249" spans="1:75" x14ac:dyDescent="0.25">
      <c r="A249" s="131" t="s">
        <v>46</v>
      </c>
      <c r="B249" s="131" t="s">
        <v>56</v>
      </c>
      <c r="C249" s="132">
        <v>1830.8125</v>
      </c>
      <c r="D249" s="131" t="s">
        <v>65</v>
      </c>
      <c r="E249" s="131" t="s">
        <v>1</v>
      </c>
      <c r="F249" s="131" t="s">
        <v>39</v>
      </c>
      <c r="G249" s="131">
        <v>1</v>
      </c>
      <c r="H249" s="131">
        <v>16</v>
      </c>
      <c r="I249" s="131">
        <v>5</v>
      </c>
      <c r="J249" s="131">
        <v>3</v>
      </c>
      <c r="K249" s="131">
        <v>2</v>
      </c>
      <c r="L249" s="131">
        <v>0</v>
      </c>
      <c r="M249" s="131">
        <v>1</v>
      </c>
      <c r="N249" s="131">
        <v>0</v>
      </c>
      <c r="O249" s="131">
        <v>5</v>
      </c>
      <c r="P249" s="131">
        <v>4</v>
      </c>
      <c r="Q249" s="131">
        <v>8</v>
      </c>
      <c r="R249" s="133">
        <v>0.5</v>
      </c>
      <c r="S249" s="131">
        <v>6</v>
      </c>
      <c r="T249" s="131">
        <v>15</v>
      </c>
      <c r="U249" s="133">
        <v>0.4</v>
      </c>
      <c r="V249" s="131">
        <v>0</v>
      </c>
      <c r="W249" s="131">
        <v>0</v>
      </c>
      <c r="X249" s="133" t="s">
        <v>120</v>
      </c>
    </row>
    <row r="250" spans="1:75" x14ac:dyDescent="0.25">
      <c r="A250" s="131" t="s">
        <v>46</v>
      </c>
      <c r="B250" s="131" t="s">
        <v>56</v>
      </c>
      <c r="C250" s="132">
        <v>1830.8125</v>
      </c>
      <c r="D250" s="131" t="s">
        <v>65</v>
      </c>
      <c r="E250" s="131" t="s">
        <v>3</v>
      </c>
      <c r="F250" s="131" t="s">
        <v>39</v>
      </c>
      <c r="G250" s="131">
        <v>1</v>
      </c>
      <c r="H250" s="131">
        <v>8</v>
      </c>
      <c r="I250" s="131">
        <v>5</v>
      </c>
      <c r="J250" s="131">
        <v>2</v>
      </c>
      <c r="K250" s="131">
        <v>1</v>
      </c>
      <c r="L250" s="131">
        <v>1</v>
      </c>
      <c r="M250" s="131">
        <v>0</v>
      </c>
      <c r="N250" s="131">
        <v>1</v>
      </c>
      <c r="O250" s="131">
        <v>4</v>
      </c>
      <c r="P250" s="131">
        <v>0</v>
      </c>
      <c r="Q250" s="131">
        <v>4</v>
      </c>
      <c r="R250" s="133">
        <v>0</v>
      </c>
      <c r="S250" s="131">
        <v>4</v>
      </c>
      <c r="T250" s="131">
        <v>11</v>
      </c>
      <c r="U250" s="133">
        <v>0.36363636363636365</v>
      </c>
      <c r="V250" s="131">
        <v>0</v>
      </c>
      <c r="W250" s="131">
        <v>0</v>
      </c>
      <c r="X250" s="133" t="s">
        <v>120</v>
      </c>
    </row>
    <row r="251" spans="1:75" x14ac:dyDescent="0.25">
      <c r="A251" s="131" t="s">
        <v>46</v>
      </c>
      <c r="B251" s="131" t="s">
        <v>56</v>
      </c>
      <c r="C251" s="132">
        <v>1830.8125</v>
      </c>
      <c r="D251" s="131" t="s">
        <v>65</v>
      </c>
      <c r="E251" s="131" t="s">
        <v>4</v>
      </c>
      <c r="F251" s="131" t="s">
        <v>39</v>
      </c>
      <c r="G251" s="131">
        <v>1</v>
      </c>
      <c r="H251" s="131">
        <v>6</v>
      </c>
      <c r="I251" s="131">
        <v>4</v>
      </c>
      <c r="J251" s="131">
        <v>0</v>
      </c>
      <c r="K251" s="131">
        <v>0</v>
      </c>
      <c r="L251" s="131">
        <v>0</v>
      </c>
      <c r="M251" s="131">
        <v>1</v>
      </c>
      <c r="N251" s="131">
        <v>0</v>
      </c>
      <c r="O251" s="131">
        <v>4</v>
      </c>
      <c r="P251" s="131">
        <v>2</v>
      </c>
      <c r="Q251" s="131">
        <v>6</v>
      </c>
      <c r="R251" s="133">
        <v>0.33333333333333331</v>
      </c>
      <c r="S251" s="131">
        <v>2</v>
      </c>
      <c r="T251" s="131">
        <v>6</v>
      </c>
      <c r="U251" s="133">
        <v>0.33333333333333331</v>
      </c>
      <c r="V251" s="131">
        <v>0</v>
      </c>
      <c r="W251" s="131">
        <v>1</v>
      </c>
      <c r="X251" s="133">
        <v>0</v>
      </c>
    </row>
    <row r="252" spans="1:75" x14ac:dyDescent="0.25">
      <c r="A252" s="131" t="s">
        <v>46</v>
      </c>
      <c r="B252" s="131" t="s">
        <v>56</v>
      </c>
      <c r="C252" s="132">
        <v>1830.8125</v>
      </c>
      <c r="D252" s="131" t="s">
        <v>65</v>
      </c>
      <c r="E252" s="131" t="s">
        <v>5</v>
      </c>
      <c r="F252" s="131" t="s">
        <v>39</v>
      </c>
      <c r="G252" s="131">
        <v>1</v>
      </c>
      <c r="H252" s="131">
        <v>7</v>
      </c>
      <c r="I252" s="131">
        <v>2</v>
      </c>
      <c r="J252" s="131">
        <v>0</v>
      </c>
      <c r="K252" s="131">
        <v>1</v>
      </c>
      <c r="L252" s="131">
        <v>0</v>
      </c>
      <c r="M252" s="131">
        <v>0</v>
      </c>
      <c r="N252" s="131">
        <v>2</v>
      </c>
      <c r="O252" s="131">
        <v>0</v>
      </c>
      <c r="P252" s="131">
        <v>0</v>
      </c>
      <c r="Q252" s="131">
        <v>2</v>
      </c>
      <c r="R252" s="133">
        <v>0</v>
      </c>
      <c r="S252" s="131">
        <v>3</v>
      </c>
      <c r="T252" s="131">
        <v>8</v>
      </c>
      <c r="U252" s="133">
        <v>0.375</v>
      </c>
      <c r="V252" s="131">
        <v>1</v>
      </c>
      <c r="W252" s="131">
        <v>2</v>
      </c>
      <c r="X252" s="133">
        <v>0.5</v>
      </c>
    </row>
    <row r="253" spans="1:75" x14ac:dyDescent="0.25">
      <c r="A253" s="131" t="s">
        <v>46</v>
      </c>
      <c r="B253" s="131" t="s">
        <v>56</v>
      </c>
      <c r="C253" s="132">
        <v>1830.8125</v>
      </c>
      <c r="D253" s="131" t="s">
        <v>65</v>
      </c>
      <c r="E253" s="131" t="s">
        <v>2</v>
      </c>
      <c r="F253" s="131" t="s">
        <v>39</v>
      </c>
      <c r="G253" s="131">
        <v>1</v>
      </c>
      <c r="H253" s="131">
        <v>17</v>
      </c>
      <c r="I253" s="131">
        <v>12</v>
      </c>
      <c r="J253" s="131">
        <v>3</v>
      </c>
      <c r="K253" s="131">
        <v>3</v>
      </c>
      <c r="L253" s="131">
        <v>0</v>
      </c>
      <c r="M253" s="131">
        <v>3</v>
      </c>
      <c r="N253" s="131">
        <v>4</v>
      </c>
      <c r="O253" s="131">
        <v>8</v>
      </c>
      <c r="P253" s="131">
        <v>2</v>
      </c>
      <c r="Q253" s="131">
        <v>10</v>
      </c>
      <c r="R253" s="133">
        <v>0.2</v>
      </c>
      <c r="S253" s="131">
        <v>6</v>
      </c>
      <c r="T253" s="131">
        <v>19</v>
      </c>
      <c r="U253" s="133">
        <v>0.31578947368421051</v>
      </c>
      <c r="V253" s="131">
        <v>3</v>
      </c>
      <c r="W253" s="131">
        <v>3</v>
      </c>
      <c r="X253" s="133">
        <v>1</v>
      </c>
    </row>
    <row r="254" spans="1:75" x14ac:dyDescent="0.25">
      <c r="A254" s="131" t="s">
        <v>46</v>
      </c>
      <c r="B254" s="131" t="s">
        <v>56</v>
      </c>
      <c r="C254" s="132">
        <v>1830.8125</v>
      </c>
      <c r="D254" s="131" t="s">
        <v>65</v>
      </c>
      <c r="E254" s="131" t="s">
        <v>6</v>
      </c>
      <c r="F254" s="131" t="s">
        <v>39</v>
      </c>
      <c r="G254" s="131">
        <v>1</v>
      </c>
      <c r="H254" s="131">
        <v>2</v>
      </c>
      <c r="I254" s="131">
        <v>8</v>
      </c>
      <c r="J254" s="131">
        <v>3</v>
      </c>
      <c r="K254" s="131">
        <v>1</v>
      </c>
      <c r="L254" s="131">
        <v>0</v>
      </c>
      <c r="M254" s="131">
        <v>1</v>
      </c>
      <c r="N254" s="131">
        <v>2</v>
      </c>
      <c r="O254" s="131">
        <v>6</v>
      </c>
      <c r="P254" s="131">
        <v>0</v>
      </c>
      <c r="Q254" s="131">
        <v>4</v>
      </c>
      <c r="R254" s="133">
        <v>0</v>
      </c>
      <c r="S254" s="131">
        <v>1</v>
      </c>
      <c r="T254" s="131">
        <v>6</v>
      </c>
      <c r="U254" s="133">
        <v>0.16666666666666666</v>
      </c>
      <c r="V254" s="131">
        <v>0</v>
      </c>
      <c r="W254" s="131">
        <v>0</v>
      </c>
      <c r="X254" s="133" t="s">
        <v>120</v>
      </c>
    </row>
    <row r="255" spans="1:75" x14ac:dyDescent="0.25">
      <c r="A255" s="131" t="s">
        <v>157</v>
      </c>
      <c r="B255" s="131" t="s">
        <v>157</v>
      </c>
      <c r="C255" s="132" t="s">
        <v>157</v>
      </c>
      <c r="D255" s="131" t="s">
        <v>157</v>
      </c>
      <c r="E255" s="131" t="s">
        <v>157</v>
      </c>
      <c r="F255" s="131" t="s">
        <v>157</v>
      </c>
      <c r="G255" s="131" t="s">
        <v>157</v>
      </c>
      <c r="H255" s="131" t="s">
        <v>157</v>
      </c>
      <c r="I255" s="131" t="s">
        <v>157</v>
      </c>
      <c r="J255" s="131" t="s">
        <v>157</v>
      </c>
      <c r="K255" s="131" t="s">
        <v>157</v>
      </c>
      <c r="L255" s="131" t="s">
        <v>157</v>
      </c>
      <c r="M255" s="131" t="s">
        <v>157</v>
      </c>
      <c r="N255" s="131" t="s">
        <v>157</v>
      </c>
      <c r="O255" s="131" t="s">
        <v>157</v>
      </c>
      <c r="P255" s="131" t="s">
        <v>157</v>
      </c>
      <c r="Q255" s="131" t="s">
        <v>157</v>
      </c>
      <c r="R255" s="133" t="s">
        <v>157</v>
      </c>
      <c r="S255" s="131" t="s">
        <v>157</v>
      </c>
      <c r="T255" s="131" t="s">
        <v>157</v>
      </c>
      <c r="U255" s="133" t="s">
        <v>157</v>
      </c>
      <c r="V255" s="131" t="s">
        <v>157</v>
      </c>
      <c r="W255" s="131" t="s">
        <v>157</v>
      </c>
      <c r="X255" s="133" t="s">
        <v>157</v>
      </c>
    </row>
    <row r="256" spans="1:75" x14ac:dyDescent="0.25">
      <c r="A256" s="131" t="s">
        <v>157</v>
      </c>
      <c r="B256" s="131" t="s">
        <v>157</v>
      </c>
      <c r="C256" s="132" t="s">
        <v>157</v>
      </c>
      <c r="D256" s="131" t="s">
        <v>157</v>
      </c>
      <c r="E256" s="131" t="s">
        <v>157</v>
      </c>
      <c r="F256" s="131" t="s">
        <v>157</v>
      </c>
      <c r="G256" s="131" t="s">
        <v>157</v>
      </c>
      <c r="H256" s="131" t="s">
        <v>157</v>
      </c>
      <c r="I256" s="131" t="s">
        <v>157</v>
      </c>
      <c r="J256" s="131" t="s">
        <v>157</v>
      </c>
      <c r="K256" s="131" t="s">
        <v>157</v>
      </c>
      <c r="L256" s="131" t="s">
        <v>157</v>
      </c>
      <c r="M256" s="131" t="s">
        <v>157</v>
      </c>
      <c r="N256" s="131" t="s">
        <v>157</v>
      </c>
      <c r="O256" s="131" t="s">
        <v>157</v>
      </c>
      <c r="P256" s="131" t="s">
        <v>157</v>
      </c>
      <c r="Q256" s="131" t="s">
        <v>157</v>
      </c>
      <c r="R256" s="133" t="s">
        <v>157</v>
      </c>
      <c r="S256" s="131" t="s">
        <v>157</v>
      </c>
      <c r="T256" s="131" t="s">
        <v>157</v>
      </c>
      <c r="U256" s="133" t="s">
        <v>157</v>
      </c>
      <c r="V256" s="131" t="s">
        <v>157</v>
      </c>
      <c r="W256" s="131" t="s">
        <v>157</v>
      </c>
      <c r="X256" s="133" t="s">
        <v>157</v>
      </c>
    </row>
    <row r="257" spans="1:75" x14ac:dyDescent="0.25">
      <c r="A257" s="131" t="s">
        <v>157</v>
      </c>
      <c r="B257" s="131" t="s">
        <v>157</v>
      </c>
      <c r="C257" s="132" t="s">
        <v>157</v>
      </c>
      <c r="D257" s="131" t="s">
        <v>157</v>
      </c>
      <c r="E257" s="131" t="s">
        <v>157</v>
      </c>
      <c r="F257" s="131" t="s">
        <v>157</v>
      </c>
      <c r="G257" s="131" t="s">
        <v>157</v>
      </c>
      <c r="H257" s="131" t="s">
        <v>157</v>
      </c>
      <c r="I257" s="131" t="s">
        <v>157</v>
      </c>
      <c r="J257" s="131" t="s">
        <v>157</v>
      </c>
      <c r="K257" s="131" t="s">
        <v>157</v>
      </c>
      <c r="L257" s="131" t="s">
        <v>157</v>
      </c>
      <c r="M257" s="131" t="s">
        <v>157</v>
      </c>
      <c r="N257" s="131" t="s">
        <v>157</v>
      </c>
      <c r="O257" s="131" t="s">
        <v>157</v>
      </c>
      <c r="P257" s="131" t="s">
        <v>157</v>
      </c>
      <c r="Q257" s="131" t="s">
        <v>157</v>
      </c>
      <c r="R257" s="133" t="s">
        <v>157</v>
      </c>
      <c r="S257" s="131" t="s">
        <v>157</v>
      </c>
      <c r="T257" s="131" t="s">
        <v>157</v>
      </c>
      <c r="U257" s="133" t="s">
        <v>157</v>
      </c>
      <c r="V257" s="131" t="s">
        <v>157</v>
      </c>
      <c r="W257" s="131" t="s">
        <v>157</v>
      </c>
      <c r="X257" s="133" t="s">
        <v>157</v>
      </c>
    </row>
    <row r="258" spans="1:75" x14ac:dyDescent="0.25">
      <c r="A258" s="131" t="s">
        <v>46</v>
      </c>
      <c r="B258" s="131" t="s">
        <v>56</v>
      </c>
      <c r="C258" s="132">
        <v>1830.8541666666699</v>
      </c>
      <c r="D258" s="131" t="s">
        <v>65</v>
      </c>
      <c r="E258" s="131" t="s">
        <v>8</v>
      </c>
      <c r="F258" s="131" t="s">
        <v>40</v>
      </c>
      <c r="G258" s="131">
        <v>1</v>
      </c>
      <c r="H258" s="131">
        <v>20</v>
      </c>
      <c r="I258" s="131">
        <v>2</v>
      </c>
      <c r="J258" s="131">
        <v>4</v>
      </c>
      <c r="K258" s="131">
        <v>2</v>
      </c>
      <c r="L258" s="131">
        <v>0</v>
      </c>
      <c r="M258" s="131">
        <v>5</v>
      </c>
      <c r="N258" s="131">
        <v>2</v>
      </c>
      <c r="O258" s="131">
        <v>0</v>
      </c>
      <c r="P258" s="131">
        <v>3</v>
      </c>
      <c r="Q258" s="131">
        <v>9</v>
      </c>
      <c r="R258" s="133">
        <v>0.33333333333333331</v>
      </c>
      <c r="S258" s="131">
        <v>8</v>
      </c>
      <c r="T258" s="131">
        <v>23</v>
      </c>
      <c r="U258" s="133">
        <v>0.34782608695652173</v>
      </c>
      <c r="V258" s="131">
        <v>1</v>
      </c>
      <c r="W258" s="131">
        <v>2</v>
      </c>
      <c r="X258" s="133">
        <v>0.5</v>
      </c>
      <c r="Z258" s="134" t="s">
        <v>46</v>
      </c>
      <c r="AA258" s="134" t="s">
        <v>56</v>
      </c>
      <c r="AB258" s="135">
        <v>1830.8541666666699</v>
      </c>
      <c r="AC258" s="134" t="s">
        <v>65</v>
      </c>
      <c r="AD258" s="134" t="s">
        <v>40</v>
      </c>
      <c r="AE258" s="134" t="s">
        <v>175</v>
      </c>
      <c r="AF258" s="134">
        <v>1</v>
      </c>
      <c r="AG258" s="134">
        <v>47</v>
      </c>
      <c r="AH258" s="134">
        <v>31</v>
      </c>
      <c r="AI258" s="134">
        <v>12</v>
      </c>
      <c r="AJ258" s="134">
        <v>6</v>
      </c>
      <c r="AK258" s="134">
        <v>2</v>
      </c>
      <c r="AL258" s="134">
        <v>12</v>
      </c>
      <c r="AM258" s="134">
        <v>11</v>
      </c>
      <c r="AN258" s="134">
        <v>20</v>
      </c>
      <c r="AO258" s="134">
        <v>8</v>
      </c>
      <c r="AP258" s="134">
        <v>30</v>
      </c>
      <c r="AQ258" s="136">
        <v>0.26666666666666666</v>
      </c>
      <c r="AR258" s="134">
        <v>19</v>
      </c>
      <c r="AS258" s="134">
        <v>65</v>
      </c>
      <c r="AT258" s="136">
        <v>0.29230769230769232</v>
      </c>
      <c r="AU258" s="134">
        <v>1</v>
      </c>
      <c r="AV258" s="134">
        <v>2</v>
      </c>
      <c r="AW258" s="136">
        <v>0.5</v>
      </c>
      <c r="AY258" s="134" t="s">
        <v>46</v>
      </c>
      <c r="AZ258" s="134" t="s">
        <v>56</v>
      </c>
      <c r="BA258" s="135">
        <v>1830.8541666666699</v>
      </c>
      <c r="BB258" s="134" t="s">
        <v>65</v>
      </c>
      <c r="BC258" s="134" t="s">
        <v>89</v>
      </c>
      <c r="BD258" s="134"/>
      <c r="BE258" s="134">
        <v>1</v>
      </c>
      <c r="BF258" s="134">
        <v>106</v>
      </c>
      <c r="BG258" s="134">
        <v>70</v>
      </c>
      <c r="BH258" s="134">
        <v>23</v>
      </c>
      <c r="BI258" s="134">
        <v>18</v>
      </c>
      <c r="BJ258" s="134">
        <v>11</v>
      </c>
      <c r="BK258" s="134">
        <v>20</v>
      </c>
      <c r="BL258" s="134">
        <v>24</v>
      </c>
      <c r="BM258" s="134">
        <v>48</v>
      </c>
      <c r="BN258" s="134">
        <v>10</v>
      </c>
      <c r="BO258" s="134">
        <v>43</v>
      </c>
      <c r="BP258" s="136">
        <v>0.23300000000000001</v>
      </c>
      <c r="BQ258" s="134">
        <v>45</v>
      </c>
      <c r="BR258" s="134">
        <v>127</v>
      </c>
      <c r="BS258" s="136">
        <v>0.35399999999999998</v>
      </c>
      <c r="BT258" s="134">
        <v>6</v>
      </c>
      <c r="BU258" s="134">
        <v>14</v>
      </c>
      <c r="BV258" s="136">
        <v>0.42857142857142855</v>
      </c>
      <c r="BW258" s="174" t="s">
        <v>209</v>
      </c>
    </row>
    <row r="259" spans="1:75" x14ac:dyDescent="0.25">
      <c r="A259" s="131" t="s">
        <v>46</v>
      </c>
      <c r="B259" s="131" t="s">
        <v>56</v>
      </c>
      <c r="C259" s="132">
        <v>1830.8541666666699</v>
      </c>
      <c r="D259" s="131" t="s">
        <v>65</v>
      </c>
      <c r="E259" s="131" t="s">
        <v>7</v>
      </c>
      <c r="F259" s="131" t="s">
        <v>40</v>
      </c>
      <c r="G259" s="131">
        <v>1</v>
      </c>
      <c r="H259" s="131">
        <v>4</v>
      </c>
      <c r="I259" s="131">
        <v>10</v>
      </c>
      <c r="J259" s="131">
        <v>3</v>
      </c>
      <c r="K259" s="131">
        <v>1</v>
      </c>
      <c r="L259" s="131">
        <v>0</v>
      </c>
      <c r="M259" s="131">
        <v>1</v>
      </c>
      <c r="N259" s="131">
        <v>3</v>
      </c>
      <c r="O259" s="131">
        <v>7</v>
      </c>
      <c r="P259" s="131">
        <v>0</v>
      </c>
      <c r="Q259" s="131">
        <v>4</v>
      </c>
      <c r="R259" s="133">
        <v>0</v>
      </c>
      <c r="S259" s="131">
        <v>2</v>
      </c>
      <c r="T259" s="131">
        <v>9</v>
      </c>
      <c r="U259" s="133">
        <v>0.22222222222222221</v>
      </c>
      <c r="V259" s="131">
        <v>0</v>
      </c>
      <c r="W259" s="131">
        <v>0</v>
      </c>
      <c r="X259" s="133" t="s">
        <v>120</v>
      </c>
      <c r="Z259" s="134" t="s">
        <v>46</v>
      </c>
      <c r="AA259" s="134" t="s">
        <v>56</v>
      </c>
      <c r="AB259" s="135">
        <v>1830.8541666666699</v>
      </c>
      <c r="AC259" s="134" t="s">
        <v>65</v>
      </c>
      <c r="AD259" s="134" t="s">
        <v>38</v>
      </c>
      <c r="AE259" s="134" t="s">
        <v>174</v>
      </c>
      <c r="AF259" s="134">
        <v>1</v>
      </c>
      <c r="AG259" s="134">
        <v>59</v>
      </c>
      <c r="AH259" s="134">
        <v>39</v>
      </c>
      <c r="AI259" s="134">
        <v>11</v>
      </c>
      <c r="AJ259" s="134">
        <v>12</v>
      </c>
      <c r="AK259" s="134">
        <v>9</v>
      </c>
      <c r="AL259" s="134">
        <v>8</v>
      </c>
      <c r="AM259" s="134">
        <v>13</v>
      </c>
      <c r="AN259" s="134">
        <v>26</v>
      </c>
      <c r="AO259" s="134">
        <v>2</v>
      </c>
      <c r="AP259" s="134">
        <v>13</v>
      </c>
      <c r="AQ259" s="136">
        <v>0.15</v>
      </c>
      <c r="AR259" s="134">
        <v>26</v>
      </c>
      <c r="AS259" s="134">
        <v>62</v>
      </c>
      <c r="AT259" s="136">
        <v>0.41899999999999998</v>
      </c>
      <c r="AU259" s="134">
        <v>5</v>
      </c>
      <c r="AV259" s="134">
        <v>12</v>
      </c>
      <c r="AW259" s="136">
        <v>0.41666666666666669</v>
      </c>
    </row>
    <row r="260" spans="1:75" x14ac:dyDescent="0.25">
      <c r="A260" s="131" t="s">
        <v>46</v>
      </c>
      <c r="B260" s="131" t="s">
        <v>56</v>
      </c>
      <c r="C260" s="132">
        <v>1830.8541666666699</v>
      </c>
      <c r="D260" s="131" t="s">
        <v>65</v>
      </c>
      <c r="E260" s="131" t="s">
        <v>10</v>
      </c>
      <c r="F260" s="131" t="s">
        <v>40</v>
      </c>
      <c r="G260" s="131">
        <v>1</v>
      </c>
      <c r="H260" s="131">
        <v>9</v>
      </c>
      <c r="I260" s="131">
        <v>3</v>
      </c>
      <c r="J260" s="131">
        <v>1</v>
      </c>
      <c r="K260" s="131">
        <v>1</v>
      </c>
      <c r="L260" s="131">
        <v>0</v>
      </c>
      <c r="M260" s="131">
        <v>1</v>
      </c>
      <c r="N260" s="131">
        <v>0</v>
      </c>
      <c r="O260" s="131">
        <v>3</v>
      </c>
      <c r="P260" s="131">
        <v>3</v>
      </c>
      <c r="Q260" s="131">
        <v>10</v>
      </c>
      <c r="R260" s="133">
        <v>0.3</v>
      </c>
      <c r="S260" s="131">
        <v>3</v>
      </c>
      <c r="T260" s="131">
        <v>13</v>
      </c>
      <c r="U260" s="133">
        <v>0.23076923076923078</v>
      </c>
      <c r="V260" s="131">
        <v>0</v>
      </c>
      <c r="W260" s="131">
        <v>0</v>
      </c>
      <c r="X260" s="133" t="s">
        <v>120</v>
      </c>
      <c r="AQ260" s="275"/>
    </row>
    <row r="261" spans="1:75" x14ac:dyDescent="0.25">
      <c r="A261" s="131" t="s">
        <v>46</v>
      </c>
      <c r="B261" s="131" t="s">
        <v>56</v>
      </c>
      <c r="C261" s="132">
        <v>1830.8541666666699</v>
      </c>
      <c r="D261" s="131" t="s">
        <v>65</v>
      </c>
      <c r="E261" s="131" t="s">
        <v>11</v>
      </c>
      <c r="F261" s="131" t="s">
        <v>40</v>
      </c>
      <c r="G261" s="131">
        <v>1</v>
      </c>
      <c r="H261" s="131">
        <v>3</v>
      </c>
      <c r="I261" s="131">
        <v>3</v>
      </c>
      <c r="J261" s="131">
        <v>1</v>
      </c>
      <c r="K261" s="131">
        <v>1</v>
      </c>
      <c r="L261" s="131">
        <v>1</v>
      </c>
      <c r="M261" s="131">
        <v>1</v>
      </c>
      <c r="N261" s="131">
        <v>1</v>
      </c>
      <c r="O261" s="131">
        <v>2</v>
      </c>
      <c r="P261" s="131">
        <v>1</v>
      </c>
      <c r="Q261" s="131">
        <v>2</v>
      </c>
      <c r="R261" s="133">
        <v>0.5</v>
      </c>
      <c r="S261" s="131">
        <v>1</v>
      </c>
      <c r="T261" s="131">
        <v>3</v>
      </c>
      <c r="U261" s="133">
        <v>0.33333333333333331</v>
      </c>
      <c r="V261" s="131">
        <v>0</v>
      </c>
      <c r="W261" s="131">
        <v>0</v>
      </c>
      <c r="X261" s="133" t="s">
        <v>120</v>
      </c>
    </row>
    <row r="262" spans="1:75" x14ac:dyDescent="0.25">
      <c r="A262" s="131" t="s">
        <v>46</v>
      </c>
      <c r="B262" s="131" t="s">
        <v>56</v>
      </c>
      <c r="C262" s="132">
        <v>1830.8541666666699</v>
      </c>
      <c r="D262" s="131" t="s">
        <v>65</v>
      </c>
      <c r="E262" s="131" t="s">
        <v>12</v>
      </c>
      <c r="F262" s="131" t="s">
        <v>40</v>
      </c>
      <c r="G262" s="131">
        <v>1</v>
      </c>
      <c r="H262" s="131">
        <v>0</v>
      </c>
      <c r="I262" s="131">
        <v>4</v>
      </c>
      <c r="J262" s="131">
        <v>1</v>
      </c>
      <c r="K262" s="131">
        <v>0</v>
      </c>
      <c r="L262" s="131">
        <v>1</v>
      </c>
      <c r="M262" s="131">
        <v>2</v>
      </c>
      <c r="N262" s="131">
        <v>2</v>
      </c>
      <c r="O262" s="131">
        <v>2</v>
      </c>
      <c r="P262" s="131">
        <v>0</v>
      </c>
      <c r="Q262" s="131">
        <v>1</v>
      </c>
      <c r="R262" s="133">
        <v>0</v>
      </c>
      <c r="S262" s="131">
        <v>0</v>
      </c>
      <c r="T262" s="131">
        <v>4</v>
      </c>
      <c r="U262" s="133">
        <v>0</v>
      </c>
      <c r="V262" s="131">
        <v>0</v>
      </c>
      <c r="W262" s="131">
        <v>0</v>
      </c>
      <c r="X262" s="133" t="s">
        <v>120</v>
      </c>
    </row>
    <row r="263" spans="1:75" x14ac:dyDescent="0.25">
      <c r="A263" s="131" t="s">
        <v>46</v>
      </c>
      <c r="B263" s="131" t="s">
        <v>56</v>
      </c>
      <c r="C263" s="132">
        <v>1830.8541666666699</v>
      </c>
      <c r="D263" s="131" t="s">
        <v>65</v>
      </c>
      <c r="E263" s="131" t="s">
        <v>9</v>
      </c>
      <c r="F263" s="131" t="s">
        <v>40</v>
      </c>
      <c r="G263" s="131">
        <v>1</v>
      </c>
      <c r="H263" s="131">
        <v>11</v>
      </c>
      <c r="I263" s="131">
        <v>9</v>
      </c>
      <c r="J263" s="131">
        <v>2</v>
      </c>
      <c r="K263" s="131">
        <v>1</v>
      </c>
      <c r="L263" s="131">
        <v>0</v>
      </c>
      <c r="M263" s="131">
        <v>2</v>
      </c>
      <c r="N263" s="131">
        <v>3</v>
      </c>
      <c r="O263" s="131">
        <v>6</v>
      </c>
      <c r="P263" s="131">
        <v>1</v>
      </c>
      <c r="Q263" s="131">
        <v>4</v>
      </c>
      <c r="R263" s="133">
        <v>0.25</v>
      </c>
      <c r="S263" s="131">
        <v>5</v>
      </c>
      <c r="T263" s="131">
        <v>13</v>
      </c>
      <c r="U263" s="133">
        <v>0.38461538461538464</v>
      </c>
      <c r="V263" s="131">
        <v>0</v>
      </c>
      <c r="W263" s="131">
        <v>0</v>
      </c>
      <c r="X263" s="133" t="s">
        <v>120</v>
      </c>
    </row>
    <row r="264" spans="1:75" x14ac:dyDescent="0.25">
      <c r="A264" s="131" t="s">
        <v>46</v>
      </c>
      <c r="B264" s="131" t="s">
        <v>56</v>
      </c>
      <c r="C264" s="132">
        <v>1830.8541666666699</v>
      </c>
      <c r="D264" s="131" t="s">
        <v>65</v>
      </c>
      <c r="E264" s="131" t="s">
        <v>20</v>
      </c>
      <c r="F264" s="131" t="s">
        <v>38</v>
      </c>
      <c r="G264" s="131">
        <v>1</v>
      </c>
      <c r="H264" s="131">
        <v>19</v>
      </c>
      <c r="I264" s="131">
        <v>7</v>
      </c>
      <c r="J264" s="131">
        <v>4</v>
      </c>
      <c r="K264" s="131">
        <v>5</v>
      </c>
      <c r="L264" s="131">
        <v>1</v>
      </c>
      <c r="M264" s="131">
        <v>1</v>
      </c>
      <c r="N264" s="131">
        <v>4</v>
      </c>
      <c r="O264" s="131">
        <v>3</v>
      </c>
      <c r="P264" s="131">
        <v>1</v>
      </c>
      <c r="Q264" s="131">
        <v>7</v>
      </c>
      <c r="R264" s="133">
        <v>0.14285714285714285</v>
      </c>
      <c r="S264" s="131">
        <v>9</v>
      </c>
      <c r="T264" s="131">
        <v>24</v>
      </c>
      <c r="U264" s="133">
        <v>0.375</v>
      </c>
      <c r="V264" s="131">
        <v>0</v>
      </c>
      <c r="W264" s="131">
        <v>0</v>
      </c>
      <c r="X264" s="133" t="s">
        <v>120</v>
      </c>
    </row>
    <row r="265" spans="1:75" x14ac:dyDescent="0.25">
      <c r="A265" s="131" t="s">
        <v>46</v>
      </c>
      <c r="B265" s="131" t="s">
        <v>56</v>
      </c>
      <c r="C265" s="132">
        <v>1830.8541666666699</v>
      </c>
      <c r="D265" s="131" t="s">
        <v>65</v>
      </c>
      <c r="E265" s="131" t="s">
        <v>19</v>
      </c>
      <c r="F265" s="131" t="s">
        <v>38</v>
      </c>
      <c r="G265" s="131">
        <v>1</v>
      </c>
      <c r="H265" s="131">
        <v>24</v>
      </c>
      <c r="I265" s="131">
        <v>13</v>
      </c>
      <c r="J265" s="131">
        <v>5</v>
      </c>
      <c r="K265" s="131">
        <v>1</v>
      </c>
      <c r="L265" s="131">
        <v>5</v>
      </c>
      <c r="M265" s="131">
        <v>2</v>
      </c>
      <c r="N265" s="131">
        <v>4</v>
      </c>
      <c r="O265" s="131">
        <v>9</v>
      </c>
      <c r="P265" s="131">
        <v>1</v>
      </c>
      <c r="Q265" s="131">
        <v>2</v>
      </c>
      <c r="R265" s="133">
        <v>0.5</v>
      </c>
      <c r="S265" s="131">
        <v>9</v>
      </c>
      <c r="T265" s="131">
        <v>13</v>
      </c>
      <c r="U265" s="133">
        <v>0.69230769230769229</v>
      </c>
      <c r="V265" s="131">
        <v>5</v>
      </c>
      <c r="W265" s="131">
        <v>12</v>
      </c>
      <c r="X265" s="133">
        <v>0.41666666666666669</v>
      </c>
    </row>
    <row r="266" spans="1:75" x14ac:dyDescent="0.25">
      <c r="A266" s="131" t="s">
        <v>46</v>
      </c>
      <c r="B266" s="131" t="s">
        <v>56</v>
      </c>
      <c r="C266" s="132">
        <v>1830.8541666666699</v>
      </c>
      <c r="D266" s="131" t="s">
        <v>65</v>
      </c>
      <c r="E266" s="131" t="s">
        <v>23</v>
      </c>
      <c r="F266" s="131" t="s">
        <v>38</v>
      </c>
      <c r="G266" s="131">
        <v>1</v>
      </c>
      <c r="H266" s="131">
        <v>6</v>
      </c>
      <c r="I266" s="131">
        <v>5</v>
      </c>
      <c r="J266" s="131">
        <v>2</v>
      </c>
      <c r="K266" s="131">
        <v>2</v>
      </c>
      <c r="L266" s="131">
        <v>0</v>
      </c>
      <c r="M266" s="131">
        <v>2</v>
      </c>
      <c r="N266" s="131">
        <v>1</v>
      </c>
      <c r="O266" s="131">
        <v>4</v>
      </c>
      <c r="P266" s="131">
        <v>0</v>
      </c>
      <c r="Q266" s="131">
        <v>2</v>
      </c>
      <c r="R266" s="133">
        <v>0</v>
      </c>
      <c r="S266" s="131">
        <v>3</v>
      </c>
      <c r="T266" s="131">
        <v>10</v>
      </c>
      <c r="U266" s="133">
        <v>0.3</v>
      </c>
      <c r="V266" s="131">
        <v>0</v>
      </c>
      <c r="W266" s="131">
        <v>0</v>
      </c>
      <c r="X266" s="133" t="s">
        <v>120</v>
      </c>
    </row>
    <row r="267" spans="1:75" x14ac:dyDescent="0.25">
      <c r="A267" s="131" t="s">
        <v>46</v>
      </c>
      <c r="B267" s="131" t="s">
        <v>56</v>
      </c>
      <c r="C267" s="132">
        <v>1830.8541666666699</v>
      </c>
      <c r="D267" s="131" t="s">
        <v>65</v>
      </c>
      <c r="E267" s="131" t="s">
        <v>21</v>
      </c>
      <c r="F267" s="131" t="s">
        <v>38</v>
      </c>
      <c r="G267" s="131">
        <v>1</v>
      </c>
      <c r="H267" s="131">
        <v>6</v>
      </c>
      <c r="I267" s="131">
        <v>9</v>
      </c>
      <c r="J267" s="131">
        <v>0</v>
      </c>
      <c r="K267" s="131">
        <v>1</v>
      </c>
      <c r="L267" s="131">
        <v>0</v>
      </c>
      <c r="M267" s="131">
        <v>2</v>
      </c>
      <c r="N267" s="131">
        <v>3</v>
      </c>
      <c r="O267" s="131">
        <v>6</v>
      </c>
      <c r="P267" s="131">
        <v>0</v>
      </c>
      <c r="Q267" s="131">
        <v>1</v>
      </c>
      <c r="R267" s="133">
        <v>0</v>
      </c>
      <c r="S267" s="131">
        <v>3</v>
      </c>
      <c r="T267" s="131">
        <v>11</v>
      </c>
      <c r="U267" s="133">
        <v>0.27272727272727271</v>
      </c>
      <c r="V267" s="131">
        <v>0</v>
      </c>
      <c r="W267" s="131">
        <v>0</v>
      </c>
      <c r="X267" s="133" t="s">
        <v>120</v>
      </c>
    </row>
    <row r="268" spans="1:75" x14ac:dyDescent="0.25">
      <c r="A268" s="131" t="s">
        <v>46</v>
      </c>
      <c r="B268" s="131" t="s">
        <v>56</v>
      </c>
      <c r="C268" s="132">
        <v>1830.8541666666699</v>
      </c>
      <c r="D268" s="131" t="s">
        <v>65</v>
      </c>
      <c r="E268" s="131" t="s">
        <v>100</v>
      </c>
      <c r="F268" s="131" t="s">
        <v>38</v>
      </c>
      <c r="G268" s="131">
        <v>1</v>
      </c>
      <c r="H268" s="131">
        <v>4</v>
      </c>
      <c r="I268" s="131">
        <v>5</v>
      </c>
      <c r="J268" s="131">
        <v>0</v>
      </c>
      <c r="K268" s="131">
        <v>3</v>
      </c>
      <c r="L268" s="131">
        <v>3</v>
      </c>
      <c r="M268" s="131">
        <v>1</v>
      </c>
      <c r="N268" s="131">
        <v>1</v>
      </c>
      <c r="O268" s="131">
        <v>4</v>
      </c>
      <c r="P268" s="131">
        <v>0</v>
      </c>
      <c r="Q268" s="131">
        <v>1</v>
      </c>
      <c r="R268" s="133">
        <v>0</v>
      </c>
      <c r="S268" s="131">
        <v>2</v>
      </c>
      <c r="T268" s="131">
        <v>4</v>
      </c>
      <c r="U268" s="133">
        <v>0.5</v>
      </c>
      <c r="V268" s="131">
        <v>0</v>
      </c>
      <c r="W268" s="131">
        <v>0</v>
      </c>
      <c r="X268" s="133" t="s">
        <v>120</v>
      </c>
    </row>
    <row r="269" spans="1:75" x14ac:dyDescent="0.25">
      <c r="A269" s="131" t="s">
        <v>157</v>
      </c>
      <c r="B269" s="131" t="s">
        <v>157</v>
      </c>
      <c r="C269" s="132" t="s">
        <v>157</v>
      </c>
      <c r="D269" s="131" t="s">
        <v>157</v>
      </c>
      <c r="E269" s="131" t="s">
        <v>157</v>
      </c>
      <c r="F269" s="131"/>
      <c r="G269" s="131" t="s">
        <v>157</v>
      </c>
      <c r="H269" s="131" t="s">
        <v>157</v>
      </c>
      <c r="I269" s="131" t="s">
        <v>157</v>
      </c>
      <c r="J269" s="131" t="s">
        <v>157</v>
      </c>
      <c r="K269" s="131" t="s">
        <v>157</v>
      </c>
      <c r="L269" s="131" t="s">
        <v>157</v>
      </c>
      <c r="M269" s="131" t="s">
        <v>157</v>
      </c>
      <c r="N269" s="131" t="s">
        <v>157</v>
      </c>
      <c r="O269" s="131" t="s">
        <v>157</v>
      </c>
      <c r="P269" s="131" t="s">
        <v>157</v>
      </c>
      <c r="Q269" s="131" t="s">
        <v>157</v>
      </c>
      <c r="R269" s="133" t="s">
        <v>157</v>
      </c>
      <c r="S269" s="131" t="s">
        <v>157</v>
      </c>
      <c r="T269" s="131" t="s">
        <v>157</v>
      </c>
      <c r="U269" s="133" t="s">
        <v>157</v>
      </c>
      <c r="V269" s="131" t="s">
        <v>157</v>
      </c>
      <c r="W269" s="131" t="s">
        <v>157</v>
      </c>
      <c r="X269" s="133" t="s">
        <v>157</v>
      </c>
    </row>
    <row r="270" spans="1:75" x14ac:dyDescent="0.25">
      <c r="A270" s="131" t="s">
        <v>157</v>
      </c>
      <c r="B270" s="131" t="s">
        <v>157</v>
      </c>
      <c r="C270" s="132" t="s">
        <v>157</v>
      </c>
      <c r="D270" s="131" t="s">
        <v>157</v>
      </c>
      <c r="E270" s="131" t="s">
        <v>157</v>
      </c>
      <c r="F270" s="131" t="s">
        <v>157</v>
      </c>
      <c r="G270" s="131" t="s">
        <v>157</v>
      </c>
      <c r="H270" s="131" t="s">
        <v>157</v>
      </c>
      <c r="I270" s="131" t="s">
        <v>157</v>
      </c>
      <c r="J270" s="131" t="s">
        <v>157</v>
      </c>
      <c r="K270" s="131" t="s">
        <v>157</v>
      </c>
      <c r="L270" s="131" t="s">
        <v>157</v>
      </c>
      <c r="M270" s="131" t="s">
        <v>157</v>
      </c>
      <c r="N270" s="131" t="s">
        <v>157</v>
      </c>
      <c r="O270" s="131" t="s">
        <v>157</v>
      </c>
      <c r="P270" s="131" t="s">
        <v>157</v>
      </c>
      <c r="Q270" s="131" t="s">
        <v>157</v>
      </c>
      <c r="R270" s="133" t="s">
        <v>157</v>
      </c>
      <c r="S270" s="131" t="s">
        <v>157</v>
      </c>
      <c r="T270" s="131" t="s">
        <v>157</v>
      </c>
      <c r="U270" s="133" t="s">
        <v>157</v>
      </c>
      <c r="V270" s="131" t="s">
        <v>157</v>
      </c>
      <c r="W270" s="131" t="s">
        <v>157</v>
      </c>
      <c r="X270" s="133" t="s">
        <v>157</v>
      </c>
    </row>
    <row r="271" spans="1:75" x14ac:dyDescent="0.25">
      <c r="A271" s="131" t="s">
        <v>157</v>
      </c>
      <c r="B271" s="131" t="s">
        <v>157</v>
      </c>
      <c r="C271" s="132" t="s">
        <v>157</v>
      </c>
      <c r="D271" s="131" t="s">
        <v>157</v>
      </c>
      <c r="E271" s="131" t="s">
        <v>157</v>
      </c>
      <c r="F271" s="131" t="s">
        <v>157</v>
      </c>
      <c r="G271" s="131" t="s">
        <v>157</v>
      </c>
      <c r="H271" s="131" t="s">
        <v>157</v>
      </c>
      <c r="I271" s="131" t="s">
        <v>157</v>
      </c>
      <c r="J271" s="131" t="s">
        <v>157</v>
      </c>
      <c r="K271" s="131" t="s">
        <v>157</v>
      </c>
      <c r="L271" s="131" t="s">
        <v>157</v>
      </c>
      <c r="M271" s="131" t="s">
        <v>157</v>
      </c>
      <c r="N271" s="131" t="s">
        <v>157</v>
      </c>
      <c r="O271" s="131" t="s">
        <v>157</v>
      </c>
      <c r="P271" s="131" t="s">
        <v>157</v>
      </c>
      <c r="Q271" s="131" t="s">
        <v>157</v>
      </c>
      <c r="R271" s="133" t="s">
        <v>157</v>
      </c>
      <c r="S271" s="131" t="s">
        <v>157</v>
      </c>
      <c r="T271" s="131" t="s">
        <v>157</v>
      </c>
      <c r="U271" s="133" t="s">
        <v>157</v>
      </c>
      <c r="V271" s="131" t="s">
        <v>157</v>
      </c>
      <c r="W271" s="131" t="s">
        <v>157</v>
      </c>
      <c r="X271" s="133" t="s">
        <v>157</v>
      </c>
    </row>
    <row r="272" spans="1:75" x14ac:dyDescent="0.25">
      <c r="A272" s="131" t="s">
        <v>157</v>
      </c>
      <c r="B272" s="131" t="s">
        <v>157</v>
      </c>
      <c r="C272" s="132" t="s">
        <v>157</v>
      </c>
      <c r="D272" s="131" t="s">
        <v>157</v>
      </c>
      <c r="E272" s="131" t="s">
        <v>157</v>
      </c>
      <c r="F272" s="131" t="s">
        <v>157</v>
      </c>
      <c r="G272" s="131" t="s">
        <v>157</v>
      </c>
      <c r="H272" s="131" t="s">
        <v>157</v>
      </c>
      <c r="I272" s="131" t="s">
        <v>157</v>
      </c>
      <c r="J272" s="131" t="s">
        <v>157</v>
      </c>
      <c r="K272" s="131" t="s">
        <v>157</v>
      </c>
      <c r="L272" s="131" t="s">
        <v>157</v>
      </c>
      <c r="M272" s="131" t="s">
        <v>157</v>
      </c>
      <c r="N272" s="131" t="s">
        <v>157</v>
      </c>
      <c r="O272" s="131" t="s">
        <v>157</v>
      </c>
      <c r="P272" s="131" t="s">
        <v>157</v>
      </c>
      <c r="Q272" s="131" t="s">
        <v>157</v>
      </c>
      <c r="R272" s="133" t="s">
        <v>157</v>
      </c>
      <c r="S272" s="131" t="s">
        <v>157</v>
      </c>
      <c r="T272" s="131" t="s">
        <v>157</v>
      </c>
      <c r="U272" s="133" t="s">
        <v>157</v>
      </c>
      <c r="V272" s="131" t="s">
        <v>157</v>
      </c>
      <c r="W272" s="131" t="s">
        <v>157</v>
      </c>
      <c r="X272" s="133" t="s">
        <v>157</v>
      </c>
    </row>
    <row r="273" spans="1:75" x14ac:dyDescent="0.25">
      <c r="A273" s="131" t="s">
        <v>46</v>
      </c>
      <c r="B273" s="131" t="s">
        <v>57</v>
      </c>
      <c r="C273" s="132">
        <v>1830.7708333333333</v>
      </c>
      <c r="D273" s="131" t="s">
        <v>65</v>
      </c>
      <c r="E273" s="131" t="s">
        <v>13</v>
      </c>
      <c r="F273" s="131" t="s">
        <v>222</v>
      </c>
      <c r="G273" s="131">
        <v>1</v>
      </c>
      <c r="H273" s="131">
        <v>6</v>
      </c>
      <c r="I273" s="131">
        <v>5</v>
      </c>
      <c r="J273" s="131">
        <v>2</v>
      </c>
      <c r="K273" s="131">
        <v>1</v>
      </c>
      <c r="L273" s="131">
        <v>0</v>
      </c>
      <c r="M273" s="131">
        <v>4</v>
      </c>
      <c r="N273" s="131">
        <v>0</v>
      </c>
      <c r="O273" s="131">
        <v>5</v>
      </c>
      <c r="P273" s="131">
        <v>0</v>
      </c>
      <c r="Q273" s="131">
        <v>2</v>
      </c>
      <c r="R273" s="133">
        <v>0</v>
      </c>
      <c r="S273" s="131">
        <v>3</v>
      </c>
      <c r="T273" s="131">
        <v>11</v>
      </c>
      <c r="U273" s="133">
        <v>0.27272727272727271</v>
      </c>
      <c r="V273" s="131">
        <v>0</v>
      </c>
      <c r="W273" s="131">
        <v>0</v>
      </c>
      <c r="X273" s="133" t="s">
        <v>120</v>
      </c>
      <c r="Z273" s="134" t="s">
        <v>46</v>
      </c>
      <c r="AA273" s="134" t="s">
        <v>57</v>
      </c>
      <c r="AB273" s="135">
        <v>1830.7708333333333</v>
      </c>
      <c r="AC273" s="134" t="s">
        <v>65</v>
      </c>
      <c r="AD273" s="134" t="s">
        <v>222</v>
      </c>
      <c r="AE273" s="134" t="s">
        <v>175</v>
      </c>
      <c r="AF273" s="134">
        <v>1</v>
      </c>
      <c r="AG273" s="134">
        <v>38</v>
      </c>
      <c r="AH273" s="134">
        <v>29</v>
      </c>
      <c r="AI273" s="134">
        <v>4</v>
      </c>
      <c r="AJ273" s="134">
        <v>7</v>
      </c>
      <c r="AK273" s="134">
        <v>0</v>
      </c>
      <c r="AL273" s="134">
        <v>12</v>
      </c>
      <c r="AM273" s="134">
        <v>3</v>
      </c>
      <c r="AN273" s="134">
        <v>26</v>
      </c>
      <c r="AO273" s="134">
        <v>5</v>
      </c>
      <c r="AP273" s="134">
        <v>23</v>
      </c>
      <c r="AQ273" s="136">
        <v>0.21739130434782608</v>
      </c>
      <c r="AR273" s="134">
        <v>16</v>
      </c>
      <c r="AS273" s="134">
        <v>53</v>
      </c>
      <c r="AT273" s="136">
        <v>0.30188679245283018</v>
      </c>
      <c r="AU273" s="134">
        <v>1</v>
      </c>
      <c r="AV273" s="134">
        <v>2</v>
      </c>
      <c r="AW273" s="136">
        <v>0.5</v>
      </c>
      <c r="AY273" s="134" t="s">
        <v>46</v>
      </c>
      <c r="AZ273" s="134" t="s">
        <v>57</v>
      </c>
      <c r="BA273" s="135">
        <v>1830.7708333333333</v>
      </c>
      <c r="BB273" s="134" t="s">
        <v>65</v>
      </c>
      <c r="BC273" s="134" t="s">
        <v>89</v>
      </c>
      <c r="BD273" s="134"/>
      <c r="BE273" s="134">
        <v>1</v>
      </c>
      <c r="BF273" s="134">
        <v>107</v>
      </c>
      <c r="BG273" s="134">
        <v>65</v>
      </c>
      <c r="BH273" s="134">
        <v>16</v>
      </c>
      <c r="BI273" s="134">
        <v>18</v>
      </c>
      <c r="BJ273" s="134">
        <v>1</v>
      </c>
      <c r="BK273" s="134">
        <v>22</v>
      </c>
      <c r="BL273" s="134">
        <v>8</v>
      </c>
      <c r="BM273" s="134">
        <v>57</v>
      </c>
      <c r="BN273" s="134">
        <v>14</v>
      </c>
      <c r="BO273" s="134">
        <v>49</v>
      </c>
      <c r="BP273" s="136">
        <v>0.2857142857142857</v>
      </c>
      <c r="BQ273" s="134">
        <v>46</v>
      </c>
      <c r="BR273" s="134">
        <v>115</v>
      </c>
      <c r="BS273" s="136">
        <v>0.4</v>
      </c>
      <c r="BT273" s="134">
        <v>1</v>
      </c>
      <c r="BU273" s="134">
        <v>2</v>
      </c>
      <c r="BV273" s="136">
        <v>0.5</v>
      </c>
      <c r="BW273" s="174" t="s">
        <v>225</v>
      </c>
    </row>
    <row r="274" spans="1:75" x14ac:dyDescent="0.25">
      <c r="A274" s="131" t="s">
        <v>46</v>
      </c>
      <c r="B274" s="131" t="s">
        <v>57</v>
      </c>
      <c r="C274" s="132">
        <v>1830.7708333333333</v>
      </c>
      <c r="D274" s="131" t="s">
        <v>65</v>
      </c>
      <c r="E274" s="131" t="s">
        <v>14</v>
      </c>
      <c r="F274" s="131" t="s">
        <v>222</v>
      </c>
      <c r="G274" s="131">
        <v>1</v>
      </c>
      <c r="H274" s="131">
        <v>12</v>
      </c>
      <c r="I274" s="131">
        <v>2</v>
      </c>
      <c r="J274" s="131">
        <v>0</v>
      </c>
      <c r="K274" s="131">
        <v>1</v>
      </c>
      <c r="L274" s="131">
        <v>0</v>
      </c>
      <c r="M274" s="131">
        <v>0</v>
      </c>
      <c r="N274" s="131">
        <v>1</v>
      </c>
      <c r="O274" s="131">
        <v>1</v>
      </c>
      <c r="P274" s="131">
        <v>4</v>
      </c>
      <c r="Q274" s="131">
        <v>9</v>
      </c>
      <c r="R274" s="133">
        <v>0.44444444444444442</v>
      </c>
      <c r="S274" s="131">
        <v>4</v>
      </c>
      <c r="T274" s="131">
        <v>11</v>
      </c>
      <c r="U274" s="133">
        <v>0.36363636363636365</v>
      </c>
      <c r="V274" s="131">
        <v>0</v>
      </c>
      <c r="W274" s="131">
        <v>0</v>
      </c>
      <c r="X274" s="133" t="s">
        <v>120</v>
      </c>
      <c r="Z274" s="134" t="s">
        <v>46</v>
      </c>
      <c r="AA274" s="134" t="s">
        <v>57</v>
      </c>
      <c r="AB274" s="135">
        <v>1830.7708333333333</v>
      </c>
      <c r="AC274" s="134" t="s">
        <v>65</v>
      </c>
      <c r="AD274" s="134" t="s">
        <v>39</v>
      </c>
      <c r="AE274" s="134" t="s">
        <v>174</v>
      </c>
      <c r="AF274" s="134">
        <v>1</v>
      </c>
      <c r="AG274" s="134">
        <v>69</v>
      </c>
      <c r="AH274" s="134">
        <v>36</v>
      </c>
      <c r="AI274" s="134">
        <v>12</v>
      </c>
      <c r="AJ274" s="134">
        <v>11</v>
      </c>
      <c r="AK274" s="134">
        <v>1</v>
      </c>
      <c r="AL274" s="134">
        <v>10</v>
      </c>
      <c r="AM274" s="134">
        <v>5</v>
      </c>
      <c r="AN274" s="134">
        <v>31</v>
      </c>
      <c r="AO274" s="134">
        <v>9</v>
      </c>
      <c r="AP274" s="134">
        <v>26</v>
      </c>
      <c r="AQ274" s="136">
        <v>0.34615384615384615</v>
      </c>
      <c r="AR274" s="134">
        <v>30</v>
      </c>
      <c r="AS274" s="134">
        <v>62</v>
      </c>
      <c r="AT274" s="136">
        <v>0.4838709677419355</v>
      </c>
      <c r="AU274" s="134">
        <v>0</v>
      </c>
      <c r="AV274" s="134">
        <v>0</v>
      </c>
      <c r="AW274" s="136" t="s">
        <v>120</v>
      </c>
    </row>
    <row r="275" spans="1:75" x14ac:dyDescent="0.25">
      <c r="A275" s="131" t="s">
        <v>46</v>
      </c>
      <c r="B275" s="131" t="s">
        <v>57</v>
      </c>
      <c r="C275" s="132">
        <v>1830.7708333333333</v>
      </c>
      <c r="D275" s="131" t="s">
        <v>65</v>
      </c>
      <c r="E275" s="131" t="s">
        <v>15</v>
      </c>
      <c r="F275" s="131" t="s">
        <v>222</v>
      </c>
      <c r="G275" s="131">
        <v>1</v>
      </c>
      <c r="H275" s="131">
        <v>7</v>
      </c>
      <c r="I275" s="131">
        <v>3</v>
      </c>
      <c r="J275" s="131">
        <v>0</v>
      </c>
      <c r="K275" s="131">
        <v>2</v>
      </c>
      <c r="L275" s="131">
        <v>0</v>
      </c>
      <c r="M275" s="131">
        <v>3</v>
      </c>
      <c r="N275" s="131">
        <v>0</v>
      </c>
      <c r="O275" s="131">
        <v>3</v>
      </c>
      <c r="P275" s="131">
        <v>0</v>
      </c>
      <c r="Q275" s="131">
        <v>6</v>
      </c>
      <c r="R275" s="133">
        <v>0</v>
      </c>
      <c r="S275" s="131">
        <v>3</v>
      </c>
      <c r="T275" s="131">
        <v>11</v>
      </c>
      <c r="U275" s="133">
        <v>0.27272727272727271</v>
      </c>
      <c r="V275" s="131">
        <v>1</v>
      </c>
      <c r="W275" s="131">
        <v>2</v>
      </c>
      <c r="X275" s="133">
        <v>0.5</v>
      </c>
    </row>
    <row r="276" spans="1:75" x14ac:dyDescent="0.25">
      <c r="A276" s="131" t="s">
        <v>46</v>
      </c>
      <c r="B276" s="131" t="s">
        <v>57</v>
      </c>
      <c r="C276" s="132">
        <v>1830.7708333333333</v>
      </c>
      <c r="D276" s="131" t="s">
        <v>65</v>
      </c>
      <c r="E276" s="131" t="s">
        <v>16</v>
      </c>
      <c r="F276" s="131" t="s">
        <v>222</v>
      </c>
      <c r="G276" s="131">
        <v>1</v>
      </c>
      <c r="H276" s="131">
        <v>9</v>
      </c>
      <c r="I276" s="131">
        <v>5</v>
      </c>
      <c r="J276" s="131">
        <v>2</v>
      </c>
      <c r="K276" s="131">
        <v>2</v>
      </c>
      <c r="L276" s="131">
        <v>0</v>
      </c>
      <c r="M276" s="131">
        <v>1</v>
      </c>
      <c r="N276" s="131">
        <v>1</v>
      </c>
      <c r="O276" s="131">
        <v>4</v>
      </c>
      <c r="P276" s="131">
        <v>1</v>
      </c>
      <c r="Q276" s="131">
        <v>2</v>
      </c>
      <c r="R276" s="133">
        <v>0.5</v>
      </c>
      <c r="S276" s="131">
        <v>4</v>
      </c>
      <c r="T276" s="131">
        <v>9</v>
      </c>
      <c r="U276" s="133">
        <v>0.44444444444444442</v>
      </c>
      <c r="V276" s="131">
        <v>0</v>
      </c>
      <c r="W276" s="131">
        <v>0</v>
      </c>
      <c r="X276" s="133" t="s">
        <v>120</v>
      </c>
    </row>
    <row r="277" spans="1:75" x14ac:dyDescent="0.25">
      <c r="A277" s="131" t="s">
        <v>46</v>
      </c>
      <c r="B277" s="131" t="s">
        <v>57</v>
      </c>
      <c r="C277" s="132">
        <v>1830.7708333333333</v>
      </c>
      <c r="D277" s="131" t="s">
        <v>65</v>
      </c>
      <c r="E277" s="131" t="s">
        <v>17</v>
      </c>
      <c r="F277" s="131" t="s">
        <v>222</v>
      </c>
      <c r="G277" s="131">
        <v>1</v>
      </c>
      <c r="H277" s="131">
        <v>0</v>
      </c>
      <c r="I277" s="131">
        <v>9</v>
      </c>
      <c r="J277" s="131">
        <v>0</v>
      </c>
      <c r="K277" s="131">
        <v>1</v>
      </c>
      <c r="L277" s="131">
        <v>0</v>
      </c>
      <c r="M277" s="131">
        <v>0</v>
      </c>
      <c r="N277" s="131">
        <v>0</v>
      </c>
      <c r="O277" s="131">
        <v>9</v>
      </c>
      <c r="P277" s="131">
        <v>0</v>
      </c>
      <c r="Q277" s="131">
        <v>2</v>
      </c>
      <c r="R277" s="133">
        <v>0</v>
      </c>
      <c r="S277" s="131">
        <v>0</v>
      </c>
      <c r="T277" s="131">
        <v>4</v>
      </c>
      <c r="U277" s="133">
        <v>0</v>
      </c>
      <c r="V277" s="131">
        <v>0</v>
      </c>
      <c r="W277" s="131">
        <v>0</v>
      </c>
      <c r="X277" s="133" t="s">
        <v>120</v>
      </c>
    </row>
    <row r="278" spans="1:75" x14ac:dyDescent="0.25">
      <c r="A278" s="131" t="s">
        <v>46</v>
      </c>
      <c r="B278" s="131" t="s">
        <v>57</v>
      </c>
      <c r="C278" s="132">
        <v>1830.7708333333333</v>
      </c>
      <c r="D278" s="131" t="s">
        <v>65</v>
      </c>
      <c r="E278" s="131" t="s">
        <v>18</v>
      </c>
      <c r="F278" s="131" t="s">
        <v>222</v>
      </c>
      <c r="G278" s="131">
        <v>1</v>
      </c>
      <c r="H278" s="131">
        <v>4</v>
      </c>
      <c r="I278" s="131">
        <v>5</v>
      </c>
      <c r="J278" s="131">
        <v>0</v>
      </c>
      <c r="K278" s="131">
        <v>0</v>
      </c>
      <c r="L278" s="131">
        <v>0</v>
      </c>
      <c r="M278" s="131">
        <v>4</v>
      </c>
      <c r="N278" s="131">
        <v>1</v>
      </c>
      <c r="O278" s="131">
        <v>4</v>
      </c>
      <c r="P278" s="131">
        <v>0</v>
      </c>
      <c r="Q278" s="131">
        <v>2</v>
      </c>
      <c r="R278" s="133">
        <v>0</v>
      </c>
      <c r="S278" s="131">
        <v>2</v>
      </c>
      <c r="T278" s="131">
        <v>7</v>
      </c>
      <c r="U278" s="133">
        <v>0.2857142857142857</v>
      </c>
      <c r="V278" s="131">
        <v>0</v>
      </c>
      <c r="W278" s="131">
        <v>0</v>
      </c>
      <c r="X278" s="133" t="s">
        <v>120</v>
      </c>
    </row>
    <row r="279" spans="1:75" x14ac:dyDescent="0.25">
      <c r="A279" s="131" t="s">
        <v>46</v>
      </c>
      <c r="B279" s="131" t="s">
        <v>57</v>
      </c>
      <c r="C279" s="132">
        <v>1830.7708333333333</v>
      </c>
      <c r="D279" s="131" t="s">
        <v>65</v>
      </c>
      <c r="E279" s="131" t="s">
        <v>1</v>
      </c>
      <c r="F279" s="131" t="s">
        <v>39</v>
      </c>
      <c r="G279" s="131">
        <v>1</v>
      </c>
      <c r="H279" s="131">
        <v>18</v>
      </c>
      <c r="I279" s="131">
        <v>7</v>
      </c>
      <c r="J279" s="131">
        <v>2</v>
      </c>
      <c r="K279" s="131">
        <v>4</v>
      </c>
      <c r="L279" s="131">
        <v>0</v>
      </c>
      <c r="M279" s="131">
        <v>3</v>
      </c>
      <c r="N279" s="131">
        <v>0</v>
      </c>
      <c r="O279" s="131">
        <v>7</v>
      </c>
      <c r="P279" s="131">
        <v>2</v>
      </c>
      <c r="Q279" s="131">
        <v>5</v>
      </c>
      <c r="R279" s="133">
        <v>0.4</v>
      </c>
      <c r="S279" s="131">
        <v>8</v>
      </c>
      <c r="T279" s="131">
        <v>14</v>
      </c>
      <c r="U279" s="133">
        <v>0.5714285714285714</v>
      </c>
      <c r="V279" s="131">
        <v>0</v>
      </c>
      <c r="W279" s="131">
        <v>0</v>
      </c>
      <c r="X279" s="133" t="s">
        <v>120</v>
      </c>
    </row>
    <row r="280" spans="1:75" x14ac:dyDescent="0.25">
      <c r="A280" s="131" t="s">
        <v>46</v>
      </c>
      <c r="B280" s="131" t="s">
        <v>57</v>
      </c>
      <c r="C280" s="132">
        <v>1830.7708333333333</v>
      </c>
      <c r="D280" s="131" t="s">
        <v>65</v>
      </c>
      <c r="E280" s="131" t="s">
        <v>2</v>
      </c>
      <c r="F280" s="131" t="s">
        <v>39</v>
      </c>
      <c r="G280" s="131">
        <v>1</v>
      </c>
      <c r="H280" s="131">
        <v>13</v>
      </c>
      <c r="I280" s="131">
        <v>3</v>
      </c>
      <c r="J280" s="131">
        <v>7</v>
      </c>
      <c r="K280" s="131">
        <v>4</v>
      </c>
      <c r="L280" s="131">
        <v>0</v>
      </c>
      <c r="M280" s="131">
        <v>5</v>
      </c>
      <c r="N280" s="131">
        <v>0</v>
      </c>
      <c r="O280" s="131">
        <v>3</v>
      </c>
      <c r="P280" s="131">
        <v>1</v>
      </c>
      <c r="Q280" s="131">
        <v>6</v>
      </c>
      <c r="R280" s="133">
        <v>0.16666666666666666</v>
      </c>
      <c r="S280" s="131">
        <v>6</v>
      </c>
      <c r="T280" s="131">
        <v>15</v>
      </c>
      <c r="U280" s="133">
        <v>0.4</v>
      </c>
      <c r="V280" s="131">
        <v>0</v>
      </c>
      <c r="W280" s="131">
        <v>0</v>
      </c>
      <c r="X280" s="133" t="s">
        <v>120</v>
      </c>
    </row>
    <row r="281" spans="1:75" x14ac:dyDescent="0.25">
      <c r="A281" s="131" t="s">
        <v>46</v>
      </c>
      <c r="B281" s="131" t="s">
        <v>57</v>
      </c>
      <c r="C281" s="132">
        <v>1830.7708333333333</v>
      </c>
      <c r="D281" s="131" t="s">
        <v>65</v>
      </c>
      <c r="E281" s="131" t="s">
        <v>3</v>
      </c>
      <c r="F281" s="131" t="s">
        <v>39</v>
      </c>
      <c r="G281" s="131">
        <v>1</v>
      </c>
      <c r="H281" s="131">
        <v>20</v>
      </c>
      <c r="I281" s="131">
        <v>7</v>
      </c>
      <c r="J281" s="131">
        <v>1</v>
      </c>
      <c r="K281" s="131">
        <v>2</v>
      </c>
      <c r="L281" s="131">
        <v>0</v>
      </c>
      <c r="M281" s="131">
        <v>0</v>
      </c>
      <c r="N281" s="131">
        <v>0</v>
      </c>
      <c r="O281" s="131">
        <v>7</v>
      </c>
      <c r="P281" s="131">
        <v>4</v>
      </c>
      <c r="Q281" s="131">
        <v>10</v>
      </c>
      <c r="R281" s="133">
        <v>0.4</v>
      </c>
      <c r="S281" s="131">
        <v>8</v>
      </c>
      <c r="T281" s="131">
        <v>16</v>
      </c>
      <c r="U281" s="133">
        <v>0.5</v>
      </c>
      <c r="V281" s="131">
        <v>0</v>
      </c>
      <c r="W281" s="131">
        <v>0</v>
      </c>
      <c r="X281" s="133" t="s">
        <v>120</v>
      </c>
    </row>
    <row r="282" spans="1:75" x14ac:dyDescent="0.25">
      <c r="A282" s="131" t="s">
        <v>46</v>
      </c>
      <c r="B282" s="131" t="s">
        <v>57</v>
      </c>
      <c r="C282" s="132">
        <v>1830.7708333333333</v>
      </c>
      <c r="D282" s="131" t="s">
        <v>65</v>
      </c>
      <c r="E282" s="131" t="s">
        <v>4</v>
      </c>
      <c r="F282" s="131" t="s">
        <v>39</v>
      </c>
      <c r="G282" s="131">
        <v>1</v>
      </c>
      <c r="H282" s="131">
        <v>10</v>
      </c>
      <c r="I282" s="131">
        <v>7</v>
      </c>
      <c r="J282" s="131">
        <v>1</v>
      </c>
      <c r="K282" s="131">
        <v>0</v>
      </c>
      <c r="L282" s="131">
        <v>0</v>
      </c>
      <c r="M282" s="131">
        <v>1</v>
      </c>
      <c r="N282" s="131">
        <v>2</v>
      </c>
      <c r="O282" s="131">
        <v>5</v>
      </c>
      <c r="P282" s="131">
        <v>2</v>
      </c>
      <c r="Q282" s="131">
        <v>3</v>
      </c>
      <c r="R282" s="133">
        <v>0.66666666666666663</v>
      </c>
      <c r="S282" s="131">
        <v>4</v>
      </c>
      <c r="T282" s="131">
        <v>5</v>
      </c>
      <c r="U282" s="133">
        <v>0.8</v>
      </c>
      <c r="V282" s="131">
        <v>0</v>
      </c>
      <c r="W282" s="131">
        <v>0</v>
      </c>
      <c r="X282" s="133" t="s">
        <v>120</v>
      </c>
    </row>
    <row r="283" spans="1:75" x14ac:dyDescent="0.25">
      <c r="A283" s="131" t="s">
        <v>46</v>
      </c>
      <c r="B283" s="131" t="s">
        <v>57</v>
      </c>
      <c r="C283" s="132">
        <v>1830.7708333333333</v>
      </c>
      <c r="D283" s="131" t="s">
        <v>65</v>
      </c>
      <c r="E283" s="131" t="s">
        <v>5</v>
      </c>
      <c r="F283" s="131" t="s">
        <v>39</v>
      </c>
      <c r="G283" s="131">
        <v>1</v>
      </c>
      <c r="H283" s="131">
        <v>2</v>
      </c>
      <c r="I283" s="131">
        <v>5</v>
      </c>
      <c r="J283" s="131">
        <v>0</v>
      </c>
      <c r="K283" s="131">
        <v>1</v>
      </c>
      <c r="L283" s="131">
        <v>1</v>
      </c>
      <c r="M283" s="131">
        <v>0</v>
      </c>
      <c r="N283" s="131">
        <v>0</v>
      </c>
      <c r="O283" s="131">
        <v>5</v>
      </c>
      <c r="P283" s="131">
        <v>0</v>
      </c>
      <c r="Q283" s="131">
        <v>1</v>
      </c>
      <c r="R283" s="133">
        <v>0</v>
      </c>
      <c r="S283" s="131">
        <v>1</v>
      </c>
      <c r="T283" s="131">
        <v>6</v>
      </c>
      <c r="U283" s="133">
        <v>0.16666666666666666</v>
      </c>
      <c r="V283" s="131">
        <v>0</v>
      </c>
      <c r="W283" s="131">
        <v>0</v>
      </c>
      <c r="X283" s="133" t="s">
        <v>120</v>
      </c>
    </row>
    <row r="284" spans="1:75" x14ac:dyDescent="0.25">
      <c r="A284" s="131" t="s">
        <v>46</v>
      </c>
      <c r="B284" s="131" t="s">
        <v>57</v>
      </c>
      <c r="C284" s="132">
        <v>1830.7708333333333</v>
      </c>
      <c r="D284" s="131" t="s">
        <v>65</v>
      </c>
      <c r="E284" s="131" t="s">
        <v>6</v>
      </c>
      <c r="F284" s="131" t="s">
        <v>39</v>
      </c>
      <c r="G284" s="131">
        <v>1</v>
      </c>
      <c r="H284" s="131">
        <v>6</v>
      </c>
      <c r="I284" s="131">
        <v>7</v>
      </c>
      <c r="J284" s="131">
        <v>1</v>
      </c>
      <c r="K284" s="131">
        <v>0</v>
      </c>
      <c r="L284" s="131">
        <v>0</v>
      </c>
      <c r="M284" s="131">
        <v>1</v>
      </c>
      <c r="N284" s="131">
        <v>3</v>
      </c>
      <c r="O284" s="131">
        <v>4</v>
      </c>
      <c r="P284" s="131">
        <v>0</v>
      </c>
      <c r="Q284" s="131">
        <v>1</v>
      </c>
      <c r="R284" s="133">
        <v>0</v>
      </c>
      <c r="S284" s="131">
        <v>3</v>
      </c>
      <c r="T284" s="131">
        <v>6</v>
      </c>
      <c r="U284" s="133">
        <v>0.5</v>
      </c>
      <c r="V284" s="131">
        <v>0</v>
      </c>
      <c r="W284" s="131">
        <v>0</v>
      </c>
      <c r="X284" s="133" t="s">
        <v>120</v>
      </c>
    </row>
    <row r="285" spans="1:75" x14ac:dyDescent="0.25">
      <c r="A285" s="131" t="s">
        <v>157</v>
      </c>
      <c r="B285" s="131" t="s">
        <v>157</v>
      </c>
      <c r="C285" s="132" t="s">
        <v>157</v>
      </c>
      <c r="D285" s="131" t="s">
        <v>157</v>
      </c>
      <c r="E285" s="131" t="s">
        <v>157</v>
      </c>
      <c r="F285" s="131" t="s">
        <v>157</v>
      </c>
      <c r="G285" s="131" t="s">
        <v>157</v>
      </c>
      <c r="H285" s="131" t="s">
        <v>157</v>
      </c>
      <c r="I285" s="131" t="s">
        <v>157</v>
      </c>
      <c r="J285" s="131" t="s">
        <v>157</v>
      </c>
      <c r="K285" s="131" t="s">
        <v>157</v>
      </c>
      <c r="L285" s="131" t="s">
        <v>157</v>
      </c>
      <c r="M285" s="131" t="s">
        <v>157</v>
      </c>
      <c r="N285" s="131" t="s">
        <v>157</v>
      </c>
      <c r="O285" s="131" t="s">
        <v>157</v>
      </c>
      <c r="P285" s="131" t="s">
        <v>157</v>
      </c>
      <c r="Q285" s="131" t="s">
        <v>157</v>
      </c>
      <c r="R285" s="133" t="s">
        <v>157</v>
      </c>
      <c r="S285" s="131" t="s">
        <v>157</v>
      </c>
      <c r="T285" s="131" t="s">
        <v>157</v>
      </c>
      <c r="U285" s="133" t="s">
        <v>157</v>
      </c>
      <c r="V285" s="131" t="s">
        <v>157</v>
      </c>
      <c r="W285" s="131" t="s">
        <v>157</v>
      </c>
      <c r="X285" s="133" t="s">
        <v>157</v>
      </c>
    </row>
    <row r="286" spans="1:75" x14ac:dyDescent="0.25">
      <c r="A286" s="131" t="s">
        <v>157</v>
      </c>
      <c r="B286" s="131" t="s">
        <v>157</v>
      </c>
      <c r="C286" s="132" t="s">
        <v>157</v>
      </c>
      <c r="D286" s="131" t="s">
        <v>157</v>
      </c>
      <c r="E286" s="131" t="s">
        <v>157</v>
      </c>
      <c r="F286" s="131" t="s">
        <v>157</v>
      </c>
      <c r="G286" s="131" t="s">
        <v>157</v>
      </c>
      <c r="H286" s="131" t="s">
        <v>157</v>
      </c>
      <c r="I286" s="131" t="s">
        <v>157</v>
      </c>
      <c r="J286" s="131" t="s">
        <v>157</v>
      </c>
      <c r="K286" s="131" t="s">
        <v>157</v>
      </c>
      <c r="L286" s="131" t="s">
        <v>157</v>
      </c>
      <c r="M286" s="131" t="s">
        <v>157</v>
      </c>
      <c r="N286" s="131" t="s">
        <v>157</v>
      </c>
      <c r="O286" s="131" t="s">
        <v>157</v>
      </c>
      <c r="P286" s="131" t="s">
        <v>157</v>
      </c>
      <c r="Q286" s="131" t="s">
        <v>157</v>
      </c>
      <c r="R286" s="133" t="s">
        <v>157</v>
      </c>
      <c r="S286" s="131" t="s">
        <v>157</v>
      </c>
      <c r="T286" s="131" t="s">
        <v>157</v>
      </c>
      <c r="U286" s="133" t="s">
        <v>157</v>
      </c>
      <c r="V286" s="131" t="s">
        <v>157</v>
      </c>
      <c r="W286" s="131" t="s">
        <v>157</v>
      </c>
      <c r="X286" s="133" t="s">
        <v>157</v>
      </c>
    </row>
    <row r="287" spans="1:75" x14ac:dyDescent="0.25">
      <c r="A287" s="131" t="s">
        <v>157</v>
      </c>
      <c r="B287" s="131" t="s">
        <v>157</v>
      </c>
      <c r="C287" s="132" t="s">
        <v>157</v>
      </c>
      <c r="D287" s="131" t="s">
        <v>157</v>
      </c>
      <c r="E287" s="131" t="s">
        <v>157</v>
      </c>
      <c r="F287" s="131" t="s">
        <v>157</v>
      </c>
      <c r="G287" s="131" t="s">
        <v>157</v>
      </c>
      <c r="H287" s="131" t="s">
        <v>157</v>
      </c>
      <c r="I287" s="131" t="s">
        <v>157</v>
      </c>
      <c r="J287" s="131" t="s">
        <v>157</v>
      </c>
      <c r="K287" s="131" t="s">
        <v>157</v>
      </c>
      <c r="L287" s="131" t="s">
        <v>157</v>
      </c>
      <c r="M287" s="131" t="s">
        <v>157</v>
      </c>
      <c r="N287" s="131" t="s">
        <v>157</v>
      </c>
      <c r="O287" s="131" t="s">
        <v>157</v>
      </c>
      <c r="P287" s="131" t="s">
        <v>157</v>
      </c>
      <c r="Q287" s="131" t="s">
        <v>157</v>
      </c>
      <c r="R287" s="133" t="s">
        <v>157</v>
      </c>
      <c r="S287" s="131" t="s">
        <v>157</v>
      </c>
      <c r="T287" s="131" t="s">
        <v>157</v>
      </c>
      <c r="U287" s="133" t="s">
        <v>157</v>
      </c>
      <c r="V287" s="131" t="s">
        <v>157</v>
      </c>
      <c r="W287" s="131" t="s">
        <v>157</v>
      </c>
      <c r="X287" s="133" t="s">
        <v>157</v>
      </c>
    </row>
    <row r="288" spans="1:75" x14ac:dyDescent="0.25">
      <c r="A288" s="131" t="s">
        <v>46</v>
      </c>
      <c r="B288" s="131" t="s">
        <v>57</v>
      </c>
      <c r="C288" s="132">
        <v>1830.8125</v>
      </c>
      <c r="D288" s="131" t="s">
        <v>65</v>
      </c>
      <c r="E288" s="131" t="s">
        <v>7</v>
      </c>
      <c r="F288" s="131" t="s">
        <v>40</v>
      </c>
      <c r="G288" s="131">
        <v>1</v>
      </c>
      <c r="H288" s="131">
        <v>11</v>
      </c>
      <c r="I288" s="131">
        <v>8</v>
      </c>
      <c r="J288" s="131">
        <v>1</v>
      </c>
      <c r="K288" s="131">
        <v>0</v>
      </c>
      <c r="L288" s="131">
        <v>0</v>
      </c>
      <c r="M288" s="131">
        <v>2</v>
      </c>
      <c r="N288" s="131">
        <v>0</v>
      </c>
      <c r="O288" s="131">
        <v>8</v>
      </c>
      <c r="P288" s="131">
        <v>2</v>
      </c>
      <c r="Q288" s="131">
        <v>6</v>
      </c>
      <c r="R288" s="133">
        <v>0.33333333333333331</v>
      </c>
      <c r="S288" s="131">
        <v>4</v>
      </c>
      <c r="T288" s="131">
        <v>12</v>
      </c>
      <c r="U288" s="133">
        <v>0.33333333333333331</v>
      </c>
      <c r="V288" s="131">
        <v>1</v>
      </c>
      <c r="W288" s="131">
        <v>2</v>
      </c>
      <c r="X288" s="133">
        <v>0.5</v>
      </c>
      <c r="Z288" s="134" t="s">
        <v>46</v>
      </c>
      <c r="AA288" s="134" t="s">
        <v>57</v>
      </c>
      <c r="AB288" s="135">
        <v>1830.8125</v>
      </c>
      <c r="AC288" s="134" t="s">
        <v>65</v>
      </c>
      <c r="AD288" s="134" t="s">
        <v>40</v>
      </c>
      <c r="AE288" s="134" t="s">
        <v>175</v>
      </c>
      <c r="AF288" s="134">
        <v>1</v>
      </c>
      <c r="AG288" s="134">
        <v>50</v>
      </c>
      <c r="AH288" s="134">
        <v>28</v>
      </c>
      <c r="AI288" s="134">
        <v>8</v>
      </c>
      <c r="AJ288" s="134">
        <v>6</v>
      </c>
      <c r="AK288" s="134">
        <v>2</v>
      </c>
      <c r="AL288" s="134">
        <v>13</v>
      </c>
      <c r="AM288" s="134">
        <v>9</v>
      </c>
      <c r="AN288" s="134">
        <v>19</v>
      </c>
      <c r="AO288" s="134">
        <v>8</v>
      </c>
      <c r="AP288" s="134">
        <v>34</v>
      </c>
      <c r="AQ288" s="136">
        <v>0.23529411764705882</v>
      </c>
      <c r="AR288" s="134">
        <v>19</v>
      </c>
      <c r="AS288" s="134">
        <v>66</v>
      </c>
      <c r="AT288" s="136">
        <v>0.2878787878787879</v>
      </c>
      <c r="AU288" s="134">
        <v>4</v>
      </c>
      <c r="AV288" s="134">
        <v>7</v>
      </c>
      <c r="AW288" s="136">
        <v>0.5714285714285714</v>
      </c>
      <c r="AY288" s="134" t="s">
        <v>46</v>
      </c>
      <c r="AZ288" s="134" t="s">
        <v>57</v>
      </c>
      <c r="BA288" s="135">
        <v>1830.8125</v>
      </c>
      <c r="BB288" s="134" t="s">
        <v>65</v>
      </c>
      <c r="BC288" s="134" t="s">
        <v>89</v>
      </c>
      <c r="BD288" s="134"/>
      <c r="BE288" s="134">
        <v>1</v>
      </c>
      <c r="BF288" s="134">
        <v>121</v>
      </c>
      <c r="BG288" s="134">
        <v>74</v>
      </c>
      <c r="BH288" s="134">
        <v>17</v>
      </c>
      <c r="BI288" s="134">
        <v>15</v>
      </c>
      <c r="BJ288" s="134">
        <v>5</v>
      </c>
      <c r="BK288" s="134">
        <v>28</v>
      </c>
      <c r="BL288" s="134">
        <v>18</v>
      </c>
      <c r="BM288" s="134">
        <v>56</v>
      </c>
      <c r="BN288" s="134">
        <v>13</v>
      </c>
      <c r="BO288" s="134">
        <v>53</v>
      </c>
      <c r="BP288" s="136">
        <v>0.24528301886792453</v>
      </c>
      <c r="BQ288" s="134">
        <v>51</v>
      </c>
      <c r="BR288" s="134">
        <v>138</v>
      </c>
      <c r="BS288" s="136">
        <v>0.36956521739130432</v>
      </c>
      <c r="BT288" s="134">
        <v>7</v>
      </c>
      <c r="BU288" s="134">
        <v>12</v>
      </c>
      <c r="BV288" s="136">
        <v>0.58333333333333337</v>
      </c>
      <c r="BW288" s="174" t="s">
        <v>210</v>
      </c>
    </row>
    <row r="289" spans="1:75" x14ac:dyDescent="0.25">
      <c r="A289" s="131" t="s">
        <v>46</v>
      </c>
      <c r="B289" s="131" t="s">
        <v>57</v>
      </c>
      <c r="C289" s="132">
        <v>1830.8125</v>
      </c>
      <c r="D289" s="131" t="s">
        <v>65</v>
      </c>
      <c r="E289" s="131" t="s">
        <v>8</v>
      </c>
      <c r="F289" s="131" t="s">
        <v>40</v>
      </c>
      <c r="G289" s="131">
        <v>1</v>
      </c>
      <c r="H289" s="131">
        <v>22</v>
      </c>
      <c r="I289" s="131">
        <v>5</v>
      </c>
      <c r="J289" s="131">
        <v>2</v>
      </c>
      <c r="K289" s="131">
        <v>0</v>
      </c>
      <c r="L289" s="131">
        <v>0</v>
      </c>
      <c r="M289" s="131">
        <v>3</v>
      </c>
      <c r="N289" s="131">
        <v>2</v>
      </c>
      <c r="O289" s="131">
        <v>3</v>
      </c>
      <c r="P289" s="131">
        <v>3</v>
      </c>
      <c r="Q289" s="131">
        <v>12</v>
      </c>
      <c r="R289" s="133">
        <v>0.25</v>
      </c>
      <c r="S289" s="131">
        <v>8</v>
      </c>
      <c r="T289" s="131">
        <v>27</v>
      </c>
      <c r="U289" s="133">
        <v>0.29629629629629628</v>
      </c>
      <c r="V289" s="131">
        <v>3</v>
      </c>
      <c r="W289" s="131">
        <v>5</v>
      </c>
      <c r="X289" s="133">
        <v>0.6</v>
      </c>
      <c r="Z289" s="134" t="s">
        <v>46</v>
      </c>
      <c r="AA289" s="134" t="s">
        <v>57</v>
      </c>
      <c r="AB289" s="135">
        <v>1830.8125</v>
      </c>
      <c r="AC289" s="134" t="s">
        <v>65</v>
      </c>
      <c r="AD289" s="134" t="s">
        <v>43</v>
      </c>
      <c r="AE289" s="134" t="s">
        <v>174</v>
      </c>
      <c r="AF289" s="134">
        <v>1</v>
      </c>
      <c r="AG289" s="134">
        <v>71</v>
      </c>
      <c r="AH289" s="134">
        <v>46</v>
      </c>
      <c r="AI289" s="134">
        <v>9</v>
      </c>
      <c r="AJ289" s="134">
        <v>9</v>
      </c>
      <c r="AK289" s="134">
        <v>3</v>
      </c>
      <c r="AL289" s="134">
        <v>15</v>
      </c>
      <c r="AM289" s="134">
        <v>9</v>
      </c>
      <c r="AN289" s="134">
        <v>37</v>
      </c>
      <c r="AO289" s="134">
        <v>5</v>
      </c>
      <c r="AP289" s="134">
        <v>19</v>
      </c>
      <c r="AQ289" s="136">
        <v>0.26315789473684209</v>
      </c>
      <c r="AR289" s="134">
        <v>32</v>
      </c>
      <c r="AS289" s="134">
        <v>72</v>
      </c>
      <c r="AT289" s="136">
        <v>0.44444444444444442</v>
      </c>
      <c r="AU289" s="134">
        <v>3</v>
      </c>
      <c r="AV289" s="134">
        <v>5</v>
      </c>
      <c r="AW289" s="136">
        <v>0.6</v>
      </c>
    </row>
    <row r="290" spans="1:75" x14ac:dyDescent="0.25">
      <c r="A290" s="131" t="s">
        <v>46</v>
      </c>
      <c r="B290" s="131" t="s">
        <v>57</v>
      </c>
      <c r="C290" s="132">
        <v>1830.8125</v>
      </c>
      <c r="D290" s="131" t="s">
        <v>65</v>
      </c>
      <c r="E290" s="131" t="s">
        <v>9</v>
      </c>
      <c r="F290" s="131" t="s">
        <v>40</v>
      </c>
      <c r="G290" s="131">
        <v>1</v>
      </c>
      <c r="H290" s="131">
        <v>7</v>
      </c>
      <c r="I290" s="131">
        <v>5</v>
      </c>
      <c r="J290" s="131">
        <v>1</v>
      </c>
      <c r="K290" s="131">
        <v>2</v>
      </c>
      <c r="L290" s="131">
        <v>0</v>
      </c>
      <c r="M290" s="131">
        <v>1</v>
      </c>
      <c r="N290" s="131">
        <v>1</v>
      </c>
      <c r="O290" s="131">
        <v>4</v>
      </c>
      <c r="P290" s="131">
        <v>1</v>
      </c>
      <c r="Q290" s="131">
        <v>11</v>
      </c>
      <c r="R290" s="133">
        <v>9.0909090909090912E-2</v>
      </c>
      <c r="S290" s="131">
        <v>3</v>
      </c>
      <c r="T290" s="131">
        <v>14</v>
      </c>
      <c r="U290" s="133">
        <v>0.21428571428571427</v>
      </c>
      <c r="V290" s="131">
        <v>0</v>
      </c>
      <c r="W290" s="131">
        <v>0</v>
      </c>
      <c r="X290" s="133" t="s">
        <v>120</v>
      </c>
    </row>
    <row r="291" spans="1:75" x14ac:dyDescent="0.25">
      <c r="A291" s="131" t="s">
        <v>46</v>
      </c>
      <c r="B291" s="131" t="s">
        <v>57</v>
      </c>
      <c r="C291" s="132">
        <v>1830.8125</v>
      </c>
      <c r="D291" s="131" t="s">
        <v>65</v>
      </c>
      <c r="E291" s="131" t="s">
        <v>10</v>
      </c>
      <c r="F291" s="131" t="s">
        <v>40</v>
      </c>
      <c r="G291" s="131">
        <v>1</v>
      </c>
      <c r="H291" s="131">
        <v>6</v>
      </c>
      <c r="I291" s="131">
        <v>1</v>
      </c>
      <c r="J291" s="131">
        <v>2</v>
      </c>
      <c r="K291" s="131">
        <v>1</v>
      </c>
      <c r="L291" s="131">
        <v>0</v>
      </c>
      <c r="M291" s="131">
        <v>1</v>
      </c>
      <c r="N291" s="131">
        <v>1</v>
      </c>
      <c r="O291" s="131">
        <v>0</v>
      </c>
      <c r="P291" s="131">
        <v>2</v>
      </c>
      <c r="Q291" s="131">
        <v>4</v>
      </c>
      <c r="R291" s="133">
        <v>0.5</v>
      </c>
      <c r="S291" s="131">
        <v>2</v>
      </c>
      <c r="T291" s="131">
        <v>6</v>
      </c>
      <c r="U291" s="133">
        <v>0.33333333333333331</v>
      </c>
      <c r="V291" s="131">
        <v>0</v>
      </c>
      <c r="W291" s="131">
        <v>0</v>
      </c>
      <c r="X291" s="133" t="s">
        <v>120</v>
      </c>
    </row>
    <row r="292" spans="1:75" x14ac:dyDescent="0.25">
      <c r="A292" s="131" t="s">
        <v>46</v>
      </c>
      <c r="B292" s="131" t="s">
        <v>57</v>
      </c>
      <c r="C292" s="132">
        <v>1830.8125</v>
      </c>
      <c r="D292" s="131" t="s">
        <v>65</v>
      </c>
      <c r="E292" s="131" t="s">
        <v>11</v>
      </c>
      <c r="F292" s="131" t="s">
        <v>40</v>
      </c>
      <c r="G292" s="131">
        <v>1</v>
      </c>
      <c r="H292" s="131">
        <v>2</v>
      </c>
      <c r="I292" s="131">
        <v>3</v>
      </c>
      <c r="J292" s="131">
        <v>1</v>
      </c>
      <c r="K292" s="131">
        <v>3</v>
      </c>
      <c r="L292" s="131">
        <v>0</v>
      </c>
      <c r="M292" s="131">
        <v>1</v>
      </c>
      <c r="N292" s="131">
        <v>1</v>
      </c>
      <c r="O292" s="131">
        <v>2</v>
      </c>
      <c r="P292" s="131">
        <v>0</v>
      </c>
      <c r="Q292" s="131">
        <v>1</v>
      </c>
      <c r="R292" s="133">
        <v>0</v>
      </c>
      <c r="S292" s="131">
        <v>1</v>
      </c>
      <c r="T292" s="131">
        <v>3</v>
      </c>
      <c r="U292" s="133">
        <v>0.33333333333333331</v>
      </c>
      <c r="V292" s="131">
        <v>0</v>
      </c>
      <c r="W292" s="131">
        <v>0</v>
      </c>
      <c r="X292" s="133" t="s">
        <v>120</v>
      </c>
    </row>
    <row r="293" spans="1:75" x14ac:dyDescent="0.25">
      <c r="A293" s="131" t="s">
        <v>46</v>
      </c>
      <c r="B293" s="131" t="s">
        <v>57</v>
      </c>
      <c r="C293" s="132">
        <v>1830.8125</v>
      </c>
      <c r="D293" s="131" t="s">
        <v>65</v>
      </c>
      <c r="E293" s="131" t="s">
        <v>12</v>
      </c>
      <c r="F293" s="131" t="s">
        <v>40</v>
      </c>
      <c r="G293" s="131">
        <v>1</v>
      </c>
      <c r="H293" s="131">
        <v>2</v>
      </c>
      <c r="I293" s="131">
        <v>6</v>
      </c>
      <c r="J293" s="131">
        <v>1</v>
      </c>
      <c r="K293" s="131">
        <v>0</v>
      </c>
      <c r="L293" s="131">
        <v>2</v>
      </c>
      <c r="M293" s="131">
        <v>5</v>
      </c>
      <c r="N293" s="131">
        <v>4</v>
      </c>
      <c r="O293" s="131">
        <v>2</v>
      </c>
      <c r="P293" s="131">
        <v>0</v>
      </c>
      <c r="Q293" s="131">
        <v>0</v>
      </c>
      <c r="R293" s="133" t="s">
        <v>120</v>
      </c>
      <c r="S293" s="131">
        <v>1</v>
      </c>
      <c r="T293" s="131">
        <v>4</v>
      </c>
      <c r="U293" s="133">
        <v>0.25</v>
      </c>
      <c r="V293" s="131">
        <v>0</v>
      </c>
      <c r="W293" s="131">
        <v>0</v>
      </c>
      <c r="X293" s="133" t="s">
        <v>120</v>
      </c>
    </row>
    <row r="294" spans="1:75" x14ac:dyDescent="0.25">
      <c r="A294" s="131" t="s">
        <v>46</v>
      </c>
      <c r="B294" s="131" t="s">
        <v>57</v>
      </c>
      <c r="C294" s="132">
        <v>1830.8125</v>
      </c>
      <c r="D294" s="131" t="s">
        <v>65</v>
      </c>
      <c r="E294" s="131" t="s">
        <v>31</v>
      </c>
      <c r="F294" s="131" t="s">
        <v>43</v>
      </c>
      <c r="G294" s="131">
        <v>1</v>
      </c>
      <c r="H294" s="131">
        <v>21</v>
      </c>
      <c r="I294" s="131">
        <v>6</v>
      </c>
      <c r="J294" s="131">
        <v>1</v>
      </c>
      <c r="K294" s="131">
        <v>0</v>
      </c>
      <c r="L294" s="131">
        <v>0</v>
      </c>
      <c r="M294" s="131">
        <v>3</v>
      </c>
      <c r="N294" s="131">
        <v>1</v>
      </c>
      <c r="O294" s="131">
        <v>5</v>
      </c>
      <c r="P294" s="131">
        <v>0</v>
      </c>
      <c r="Q294" s="131">
        <v>5</v>
      </c>
      <c r="R294" s="133">
        <v>0</v>
      </c>
      <c r="S294" s="131">
        <v>10</v>
      </c>
      <c r="T294" s="131">
        <v>21</v>
      </c>
      <c r="U294" s="133">
        <v>0.47619047619047616</v>
      </c>
      <c r="V294" s="131">
        <v>1</v>
      </c>
      <c r="W294" s="131">
        <v>2</v>
      </c>
      <c r="X294" s="133">
        <v>0.5</v>
      </c>
    </row>
    <row r="295" spans="1:75" x14ac:dyDescent="0.25">
      <c r="A295" s="131" t="s">
        <v>46</v>
      </c>
      <c r="B295" s="131" t="s">
        <v>57</v>
      </c>
      <c r="C295" s="132">
        <v>1830.8125</v>
      </c>
      <c r="D295" s="131" t="s">
        <v>65</v>
      </c>
      <c r="E295" s="131" t="s">
        <v>32</v>
      </c>
      <c r="F295" s="131" t="s">
        <v>43</v>
      </c>
      <c r="G295" s="131">
        <v>1</v>
      </c>
      <c r="H295" s="131">
        <v>12</v>
      </c>
      <c r="I295" s="131">
        <v>7</v>
      </c>
      <c r="J295" s="131">
        <v>3</v>
      </c>
      <c r="K295" s="131">
        <v>4</v>
      </c>
      <c r="L295" s="131">
        <v>1</v>
      </c>
      <c r="M295" s="131">
        <v>3</v>
      </c>
      <c r="N295" s="131">
        <v>3</v>
      </c>
      <c r="O295" s="131">
        <v>4</v>
      </c>
      <c r="P295" s="131">
        <v>1</v>
      </c>
      <c r="Q295" s="131">
        <v>3</v>
      </c>
      <c r="R295" s="133">
        <v>0.33333333333333331</v>
      </c>
      <c r="S295" s="131">
        <v>5</v>
      </c>
      <c r="T295" s="131">
        <v>14</v>
      </c>
      <c r="U295" s="133">
        <v>0.35714285714285715</v>
      </c>
      <c r="V295" s="131">
        <v>1</v>
      </c>
      <c r="W295" s="131">
        <v>2</v>
      </c>
      <c r="X295" s="133">
        <v>0.5</v>
      </c>
    </row>
    <row r="296" spans="1:75" x14ac:dyDescent="0.25">
      <c r="A296" s="131" t="s">
        <v>46</v>
      </c>
      <c r="B296" s="131" t="s">
        <v>57</v>
      </c>
      <c r="C296" s="132">
        <v>1830.8125</v>
      </c>
      <c r="D296" s="131" t="s">
        <v>65</v>
      </c>
      <c r="E296" s="131" t="s">
        <v>33</v>
      </c>
      <c r="F296" s="131" t="s">
        <v>43</v>
      </c>
      <c r="G296" s="131">
        <v>1</v>
      </c>
      <c r="H296" s="131">
        <v>19</v>
      </c>
      <c r="I296" s="131">
        <v>17</v>
      </c>
      <c r="J296" s="131">
        <v>3</v>
      </c>
      <c r="K296" s="131">
        <v>2</v>
      </c>
      <c r="L296" s="131">
        <v>2</v>
      </c>
      <c r="M296" s="131">
        <v>3</v>
      </c>
      <c r="N296" s="131">
        <v>1</v>
      </c>
      <c r="O296" s="131">
        <v>16</v>
      </c>
      <c r="P296" s="131">
        <v>3</v>
      </c>
      <c r="Q296" s="131">
        <v>6</v>
      </c>
      <c r="R296" s="133">
        <v>0.5</v>
      </c>
      <c r="S296" s="131">
        <v>8</v>
      </c>
      <c r="T296" s="131">
        <v>15</v>
      </c>
      <c r="U296" s="133">
        <v>0.53333333333333333</v>
      </c>
      <c r="V296" s="131">
        <v>0</v>
      </c>
      <c r="W296" s="131">
        <v>0</v>
      </c>
      <c r="X296" s="133" t="s">
        <v>120</v>
      </c>
    </row>
    <row r="297" spans="1:75" x14ac:dyDescent="0.25">
      <c r="A297" s="131" t="s">
        <v>46</v>
      </c>
      <c r="B297" s="131" t="s">
        <v>57</v>
      </c>
      <c r="C297" s="132">
        <v>1830.8125</v>
      </c>
      <c r="D297" s="131" t="s">
        <v>65</v>
      </c>
      <c r="E297" s="131" t="s">
        <v>34</v>
      </c>
      <c r="F297" s="131" t="s">
        <v>43</v>
      </c>
      <c r="G297" s="131">
        <v>1</v>
      </c>
      <c r="H297" s="131">
        <v>17</v>
      </c>
      <c r="I297" s="131">
        <v>9</v>
      </c>
      <c r="J297" s="131">
        <v>0</v>
      </c>
      <c r="K297" s="131">
        <v>2</v>
      </c>
      <c r="L297" s="131">
        <v>0</v>
      </c>
      <c r="M297" s="131">
        <v>4</v>
      </c>
      <c r="N297" s="131">
        <v>4</v>
      </c>
      <c r="O297" s="131">
        <v>5</v>
      </c>
      <c r="P297" s="131">
        <v>0</v>
      </c>
      <c r="Q297" s="131">
        <v>1</v>
      </c>
      <c r="R297" s="133">
        <v>0</v>
      </c>
      <c r="S297" s="131">
        <v>8</v>
      </c>
      <c r="T297" s="131">
        <v>15</v>
      </c>
      <c r="U297" s="133">
        <v>0.53333333333333333</v>
      </c>
      <c r="V297" s="131">
        <v>1</v>
      </c>
      <c r="W297" s="131">
        <v>1</v>
      </c>
      <c r="X297" s="133">
        <v>1</v>
      </c>
    </row>
    <row r="298" spans="1:75" x14ac:dyDescent="0.25">
      <c r="A298" s="131" t="s">
        <v>46</v>
      </c>
      <c r="B298" s="131" t="s">
        <v>57</v>
      </c>
      <c r="C298" s="132">
        <v>1830.8125</v>
      </c>
      <c r="D298" s="131" t="s">
        <v>65</v>
      </c>
      <c r="E298" s="131" t="s">
        <v>35</v>
      </c>
      <c r="F298" s="131" t="s">
        <v>43</v>
      </c>
      <c r="G298" s="131">
        <v>1</v>
      </c>
      <c r="H298" s="131">
        <v>2</v>
      </c>
      <c r="I298" s="131">
        <v>2</v>
      </c>
      <c r="J298" s="131">
        <v>1</v>
      </c>
      <c r="K298" s="131">
        <v>0</v>
      </c>
      <c r="L298" s="131">
        <v>0</v>
      </c>
      <c r="M298" s="131">
        <v>1</v>
      </c>
      <c r="N298" s="131">
        <v>0</v>
      </c>
      <c r="O298" s="131">
        <v>2</v>
      </c>
      <c r="P298" s="131">
        <v>1</v>
      </c>
      <c r="Q298" s="131">
        <v>3</v>
      </c>
      <c r="R298" s="133">
        <v>0.33333333333333331</v>
      </c>
      <c r="S298" s="131">
        <v>1</v>
      </c>
      <c r="T298" s="131">
        <v>6</v>
      </c>
      <c r="U298" s="133">
        <v>0.16666666666666666</v>
      </c>
      <c r="V298" s="131">
        <v>0</v>
      </c>
      <c r="W298" s="131">
        <v>0</v>
      </c>
      <c r="X298" s="133" t="s">
        <v>120</v>
      </c>
    </row>
    <row r="299" spans="1:75" x14ac:dyDescent="0.25">
      <c r="A299" s="131" t="s">
        <v>46</v>
      </c>
      <c r="B299" s="131" t="s">
        <v>57</v>
      </c>
      <c r="C299" s="132">
        <v>1830.8125</v>
      </c>
      <c r="D299" s="131" t="s">
        <v>65</v>
      </c>
      <c r="E299" s="131" t="s">
        <v>36</v>
      </c>
      <c r="F299" s="131" t="s">
        <v>43</v>
      </c>
      <c r="G299" s="131">
        <v>1</v>
      </c>
      <c r="H299" s="131">
        <v>0</v>
      </c>
      <c r="I299" s="131">
        <v>5</v>
      </c>
      <c r="J299" s="131">
        <v>1</v>
      </c>
      <c r="K299" s="131">
        <v>1</v>
      </c>
      <c r="L299" s="131">
        <v>0</v>
      </c>
      <c r="M299" s="131">
        <v>1</v>
      </c>
      <c r="N299" s="131">
        <v>0</v>
      </c>
      <c r="O299" s="131">
        <v>5</v>
      </c>
      <c r="P299" s="131">
        <v>0</v>
      </c>
      <c r="Q299" s="131">
        <v>1</v>
      </c>
      <c r="R299" s="133">
        <v>0</v>
      </c>
      <c r="S299" s="131">
        <v>0</v>
      </c>
      <c r="T299" s="131">
        <v>1</v>
      </c>
      <c r="U299" s="133">
        <v>0</v>
      </c>
      <c r="V299" s="131">
        <v>0</v>
      </c>
      <c r="W299" s="131">
        <v>0</v>
      </c>
      <c r="X299" s="133" t="s">
        <v>120</v>
      </c>
    </row>
    <row r="300" spans="1:75" x14ac:dyDescent="0.25">
      <c r="A300" s="131" t="s">
        <v>157</v>
      </c>
      <c r="B300" s="131" t="s">
        <v>157</v>
      </c>
      <c r="C300" s="132" t="s">
        <v>157</v>
      </c>
      <c r="D300" s="131" t="s">
        <v>157</v>
      </c>
      <c r="E300" s="131" t="s">
        <v>157</v>
      </c>
      <c r="F300" s="131" t="s">
        <v>157</v>
      </c>
      <c r="G300" s="131" t="s">
        <v>157</v>
      </c>
      <c r="H300" s="131" t="s">
        <v>157</v>
      </c>
      <c r="I300" s="131" t="s">
        <v>157</v>
      </c>
      <c r="J300" s="131" t="s">
        <v>157</v>
      </c>
      <c r="K300" s="131" t="s">
        <v>157</v>
      </c>
      <c r="L300" s="131" t="s">
        <v>157</v>
      </c>
      <c r="M300" s="131" t="s">
        <v>157</v>
      </c>
      <c r="N300" s="131" t="s">
        <v>157</v>
      </c>
      <c r="O300" s="131" t="s">
        <v>157</v>
      </c>
      <c r="P300" s="131" t="s">
        <v>157</v>
      </c>
      <c r="Q300" s="131" t="s">
        <v>157</v>
      </c>
      <c r="R300" s="133" t="s">
        <v>157</v>
      </c>
      <c r="S300" s="131" t="s">
        <v>157</v>
      </c>
      <c r="T300" s="131" t="s">
        <v>157</v>
      </c>
      <c r="U300" s="133" t="s">
        <v>157</v>
      </c>
      <c r="V300" s="131" t="s">
        <v>157</v>
      </c>
      <c r="W300" s="131" t="s">
        <v>157</v>
      </c>
      <c r="X300" s="133" t="s">
        <v>157</v>
      </c>
    </row>
    <row r="301" spans="1:75" x14ac:dyDescent="0.25">
      <c r="A301" s="131" t="s">
        <v>157</v>
      </c>
      <c r="B301" s="131" t="s">
        <v>157</v>
      </c>
      <c r="C301" s="132" t="s">
        <v>157</v>
      </c>
      <c r="D301" s="131" t="s">
        <v>157</v>
      </c>
      <c r="E301" s="131" t="s">
        <v>157</v>
      </c>
      <c r="F301" s="131" t="s">
        <v>157</v>
      </c>
      <c r="G301" s="131" t="s">
        <v>157</v>
      </c>
      <c r="H301" s="131" t="s">
        <v>157</v>
      </c>
      <c r="I301" s="131" t="s">
        <v>157</v>
      </c>
      <c r="J301" s="131" t="s">
        <v>157</v>
      </c>
      <c r="K301" s="131" t="s">
        <v>157</v>
      </c>
      <c r="L301" s="131" t="s">
        <v>157</v>
      </c>
      <c r="M301" s="131" t="s">
        <v>157</v>
      </c>
      <c r="N301" s="131" t="s">
        <v>157</v>
      </c>
      <c r="O301" s="131" t="s">
        <v>157</v>
      </c>
      <c r="P301" s="131" t="s">
        <v>157</v>
      </c>
      <c r="Q301" s="131" t="s">
        <v>157</v>
      </c>
      <c r="R301" s="133" t="s">
        <v>157</v>
      </c>
      <c r="S301" s="131" t="s">
        <v>157</v>
      </c>
      <c r="T301" s="131" t="s">
        <v>157</v>
      </c>
      <c r="U301" s="133" t="s">
        <v>157</v>
      </c>
      <c r="V301" s="131" t="s">
        <v>157</v>
      </c>
      <c r="W301" s="131" t="s">
        <v>157</v>
      </c>
      <c r="X301" s="133" t="s">
        <v>157</v>
      </c>
    </row>
    <row r="302" spans="1:75" x14ac:dyDescent="0.25">
      <c r="A302" s="131" t="s">
        <v>157</v>
      </c>
      <c r="B302" s="131" t="s">
        <v>157</v>
      </c>
      <c r="C302" s="132" t="s">
        <v>157</v>
      </c>
      <c r="D302" s="131" t="s">
        <v>157</v>
      </c>
      <c r="E302" s="131" t="s">
        <v>157</v>
      </c>
      <c r="F302" s="131" t="s">
        <v>157</v>
      </c>
      <c r="G302" s="131" t="s">
        <v>157</v>
      </c>
      <c r="H302" s="131" t="s">
        <v>157</v>
      </c>
      <c r="I302" s="131" t="s">
        <v>157</v>
      </c>
      <c r="J302" s="131" t="s">
        <v>157</v>
      </c>
      <c r="K302" s="131" t="s">
        <v>157</v>
      </c>
      <c r="L302" s="131" t="s">
        <v>157</v>
      </c>
      <c r="M302" s="131" t="s">
        <v>157</v>
      </c>
      <c r="N302" s="131" t="s">
        <v>157</v>
      </c>
      <c r="O302" s="131" t="s">
        <v>157</v>
      </c>
      <c r="P302" s="131" t="s">
        <v>157</v>
      </c>
      <c r="Q302" s="131" t="s">
        <v>157</v>
      </c>
      <c r="R302" s="133" t="s">
        <v>157</v>
      </c>
      <c r="S302" s="131" t="s">
        <v>157</v>
      </c>
      <c r="T302" s="131" t="s">
        <v>157</v>
      </c>
      <c r="U302" s="133" t="s">
        <v>157</v>
      </c>
      <c r="V302" s="131" t="s">
        <v>157</v>
      </c>
      <c r="W302" s="131" t="s">
        <v>157</v>
      </c>
      <c r="X302" s="133" t="s">
        <v>157</v>
      </c>
    </row>
    <row r="303" spans="1:75" x14ac:dyDescent="0.25">
      <c r="A303" s="131" t="s">
        <v>46</v>
      </c>
      <c r="B303" s="131" t="s">
        <v>57</v>
      </c>
      <c r="C303" s="132">
        <v>1830.8541666666699</v>
      </c>
      <c r="D303" s="131" t="s">
        <v>65</v>
      </c>
      <c r="E303" s="131" t="s">
        <v>19</v>
      </c>
      <c r="F303" s="131" t="s">
        <v>38</v>
      </c>
      <c r="G303" s="131">
        <v>1</v>
      </c>
      <c r="H303" s="131">
        <v>19</v>
      </c>
      <c r="I303" s="131">
        <v>15</v>
      </c>
      <c r="J303" s="131">
        <v>5</v>
      </c>
      <c r="K303" s="131">
        <v>3</v>
      </c>
      <c r="L303" s="131">
        <v>3</v>
      </c>
      <c r="M303" s="131">
        <v>4</v>
      </c>
      <c r="N303" s="131">
        <v>4</v>
      </c>
      <c r="O303" s="131">
        <v>11</v>
      </c>
      <c r="P303" s="131">
        <v>0</v>
      </c>
      <c r="Q303" s="131">
        <v>0</v>
      </c>
      <c r="R303" s="133" t="s">
        <v>120</v>
      </c>
      <c r="S303" s="131">
        <v>9</v>
      </c>
      <c r="T303" s="131">
        <v>16</v>
      </c>
      <c r="U303" s="133">
        <v>0.5625</v>
      </c>
      <c r="V303" s="131">
        <v>1</v>
      </c>
      <c r="W303" s="131">
        <v>2</v>
      </c>
      <c r="X303" s="133">
        <v>0.5</v>
      </c>
      <c r="Z303" s="134" t="s">
        <v>46</v>
      </c>
      <c r="AA303" s="134" t="s">
        <v>57</v>
      </c>
      <c r="AB303" s="135">
        <v>1830.8541666666699</v>
      </c>
      <c r="AC303" s="134" t="s">
        <v>65</v>
      </c>
      <c r="AD303" s="134" t="s">
        <v>38</v>
      </c>
      <c r="AE303" s="134" t="s">
        <v>174</v>
      </c>
      <c r="AF303" s="134">
        <v>1</v>
      </c>
      <c r="AG303" s="134">
        <v>53</v>
      </c>
      <c r="AH303" s="134">
        <v>35</v>
      </c>
      <c r="AI303" s="134">
        <v>13</v>
      </c>
      <c r="AJ303" s="134">
        <v>7</v>
      </c>
      <c r="AK303" s="134">
        <v>4</v>
      </c>
      <c r="AL303" s="134">
        <v>7</v>
      </c>
      <c r="AM303" s="134">
        <v>10</v>
      </c>
      <c r="AN303" s="134">
        <v>25</v>
      </c>
      <c r="AO303" s="134">
        <v>3</v>
      </c>
      <c r="AP303" s="134">
        <v>10</v>
      </c>
      <c r="AQ303" s="136">
        <v>0.3</v>
      </c>
      <c r="AR303" s="134">
        <v>23</v>
      </c>
      <c r="AS303" s="134">
        <v>56</v>
      </c>
      <c r="AT303" s="136">
        <v>0.4107142857142857</v>
      </c>
      <c r="AU303" s="134">
        <v>4</v>
      </c>
      <c r="AV303" s="134">
        <v>5</v>
      </c>
      <c r="AW303" s="136">
        <v>0.8</v>
      </c>
      <c r="AY303" s="134" t="s">
        <v>46</v>
      </c>
      <c r="AZ303" s="134" t="s">
        <v>57</v>
      </c>
      <c r="BA303" s="135">
        <v>1830.8541666666699</v>
      </c>
      <c r="BB303" s="134" t="s">
        <v>65</v>
      </c>
      <c r="BC303" s="134" t="s">
        <v>89</v>
      </c>
      <c r="BD303" s="134"/>
      <c r="BE303" s="134">
        <v>1</v>
      </c>
      <c r="BF303" s="134">
        <v>94</v>
      </c>
      <c r="BG303" s="134">
        <v>66</v>
      </c>
      <c r="BH303" s="134">
        <v>20</v>
      </c>
      <c r="BI303" s="134">
        <v>10</v>
      </c>
      <c r="BJ303" s="134">
        <v>5</v>
      </c>
      <c r="BK303" s="134">
        <v>15</v>
      </c>
      <c r="BL303" s="134">
        <v>22</v>
      </c>
      <c r="BM303" s="134">
        <v>44</v>
      </c>
      <c r="BN303" s="134">
        <v>7</v>
      </c>
      <c r="BO303" s="134">
        <v>40</v>
      </c>
      <c r="BP303" s="136">
        <v>0.17499999999999999</v>
      </c>
      <c r="BQ303" s="134">
        <v>41</v>
      </c>
      <c r="BR303" s="134">
        <v>119</v>
      </c>
      <c r="BS303" s="136">
        <v>0.34453781512605042</v>
      </c>
      <c r="BT303" s="134">
        <v>5</v>
      </c>
      <c r="BU303" s="134">
        <v>7</v>
      </c>
      <c r="BV303" s="136">
        <v>0.7142857142857143</v>
      </c>
      <c r="BW303" s="174" t="s">
        <v>211</v>
      </c>
    </row>
    <row r="304" spans="1:75" x14ac:dyDescent="0.25">
      <c r="A304" s="131" t="s">
        <v>46</v>
      </c>
      <c r="B304" s="131" t="s">
        <v>57</v>
      </c>
      <c r="C304" s="132">
        <v>1830.8541666666699</v>
      </c>
      <c r="D304" s="131" t="s">
        <v>65</v>
      </c>
      <c r="E304" s="131" t="s">
        <v>20</v>
      </c>
      <c r="F304" s="131" t="s">
        <v>38</v>
      </c>
      <c r="G304" s="131">
        <v>1</v>
      </c>
      <c r="H304" s="131">
        <v>4</v>
      </c>
      <c r="I304" s="131">
        <v>3</v>
      </c>
      <c r="J304" s="131">
        <v>0</v>
      </c>
      <c r="K304" s="131">
        <v>1</v>
      </c>
      <c r="L304" s="131">
        <v>0</v>
      </c>
      <c r="M304" s="131">
        <v>0</v>
      </c>
      <c r="N304" s="131">
        <v>1</v>
      </c>
      <c r="O304" s="131">
        <v>2</v>
      </c>
      <c r="P304" s="131">
        <v>0</v>
      </c>
      <c r="Q304" s="131">
        <v>3</v>
      </c>
      <c r="R304" s="133">
        <v>0</v>
      </c>
      <c r="S304" s="131">
        <v>2</v>
      </c>
      <c r="T304" s="131">
        <v>10</v>
      </c>
      <c r="U304" s="133">
        <v>0.2</v>
      </c>
      <c r="V304" s="131">
        <v>0</v>
      </c>
      <c r="W304" s="131">
        <v>0</v>
      </c>
      <c r="X304" s="133" t="s">
        <v>120</v>
      </c>
      <c r="Z304" s="134" t="s">
        <v>46</v>
      </c>
      <c r="AA304" s="134" t="s">
        <v>57</v>
      </c>
      <c r="AB304" s="135">
        <v>1830.8541666666699</v>
      </c>
      <c r="AC304" s="134" t="s">
        <v>65</v>
      </c>
      <c r="AD304" s="134" t="s">
        <v>42</v>
      </c>
      <c r="AE304" s="134" t="s">
        <v>175</v>
      </c>
      <c r="AF304" s="134">
        <v>1</v>
      </c>
      <c r="AG304" s="134">
        <v>41</v>
      </c>
      <c r="AH304" s="134">
        <v>31</v>
      </c>
      <c r="AI304" s="134">
        <v>7</v>
      </c>
      <c r="AJ304" s="134">
        <v>3</v>
      </c>
      <c r="AK304" s="134">
        <v>1</v>
      </c>
      <c r="AL304" s="134">
        <v>8</v>
      </c>
      <c r="AM304" s="134">
        <v>12</v>
      </c>
      <c r="AN304" s="134">
        <v>19</v>
      </c>
      <c r="AO304" s="134">
        <v>4</v>
      </c>
      <c r="AP304" s="134">
        <v>30</v>
      </c>
      <c r="AQ304" s="136">
        <v>0.13333333333333333</v>
      </c>
      <c r="AR304" s="134">
        <v>18</v>
      </c>
      <c r="AS304" s="134">
        <v>63</v>
      </c>
      <c r="AT304" s="136">
        <v>0.2857142857142857</v>
      </c>
      <c r="AU304" s="134">
        <v>1</v>
      </c>
      <c r="AV304" s="134">
        <v>2</v>
      </c>
      <c r="AW304" s="136">
        <v>0.5</v>
      </c>
    </row>
    <row r="305" spans="1:75" x14ac:dyDescent="0.25">
      <c r="A305" s="131" t="s">
        <v>46</v>
      </c>
      <c r="B305" s="131" t="s">
        <v>57</v>
      </c>
      <c r="C305" s="132">
        <v>1830.8541666666699</v>
      </c>
      <c r="D305" s="131" t="s">
        <v>65</v>
      </c>
      <c r="E305" s="131" t="s">
        <v>21</v>
      </c>
      <c r="F305" s="131" t="s">
        <v>38</v>
      </c>
      <c r="G305" s="131">
        <v>1</v>
      </c>
      <c r="H305" s="131">
        <v>15</v>
      </c>
      <c r="I305" s="131">
        <v>7</v>
      </c>
      <c r="J305" s="131">
        <v>1</v>
      </c>
      <c r="K305" s="131">
        <v>0</v>
      </c>
      <c r="L305" s="131">
        <v>0</v>
      </c>
      <c r="M305" s="131">
        <v>1</v>
      </c>
      <c r="N305" s="131">
        <v>2</v>
      </c>
      <c r="O305" s="131">
        <v>5</v>
      </c>
      <c r="P305" s="131">
        <v>0</v>
      </c>
      <c r="Q305" s="131">
        <v>0</v>
      </c>
      <c r="R305" s="133" t="s">
        <v>120</v>
      </c>
      <c r="S305" s="131">
        <v>6</v>
      </c>
      <c r="T305" s="131">
        <v>16</v>
      </c>
      <c r="U305" s="133">
        <v>0.375</v>
      </c>
      <c r="V305" s="131">
        <v>3</v>
      </c>
      <c r="W305" s="131">
        <v>3</v>
      </c>
      <c r="X305" s="133">
        <v>1</v>
      </c>
    </row>
    <row r="306" spans="1:75" x14ac:dyDescent="0.25">
      <c r="A306" s="131" t="s">
        <v>46</v>
      </c>
      <c r="B306" s="131" t="s">
        <v>57</v>
      </c>
      <c r="C306" s="132">
        <v>1830.8541666666699</v>
      </c>
      <c r="D306" s="131" t="s">
        <v>65</v>
      </c>
      <c r="E306" s="131" t="s">
        <v>23</v>
      </c>
      <c r="F306" s="131" t="s">
        <v>38</v>
      </c>
      <c r="G306" s="131">
        <v>1</v>
      </c>
      <c r="H306" s="131">
        <v>15</v>
      </c>
      <c r="I306" s="131">
        <v>7</v>
      </c>
      <c r="J306" s="131">
        <v>4</v>
      </c>
      <c r="K306" s="131">
        <v>3</v>
      </c>
      <c r="L306" s="131">
        <v>0</v>
      </c>
      <c r="M306" s="131">
        <v>1</v>
      </c>
      <c r="N306" s="131">
        <v>1</v>
      </c>
      <c r="O306" s="131">
        <v>6</v>
      </c>
      <c r="P306" s="131">
        <v>3</v>
      </c>
      <c r="Q306" s="131">
        <v>7</v>
      </c>
      <c r="R306" s="133">
        <v>0.42857142857142855</v>
      </c>
      <c r="S306" s="131">
        <v>6</v>
      </c>
      <c r="T306" s="131">
        <v>12</v>
      </c>
      <c r="U306" s="133">
        <v>0.5</v>
      </c>
      <c r="V306" s="131">
        <v>0</v>
      </c>
      <c r="W306" s="131">
        <v>0</v>
      </c>
      <c r="X306" s="133" t="s">
        <v>120</v>
      </c>
    </row>
    <row r="307" spans="1:75" x14ac:dyDescent="0.25">
      <c r="A307" s="131" t="s">
        <v>46</v>
      </c>
      <c r="B307" s="131" t="s">
        <v>57</v>
      </c>
      <c r="C307" s="132">
        <v>1830.8541666666699</v>
      </c>
      <c r="D307" s="131" t="s">
        <v>65</v>
      </c>
      <c r="E307" s="131" t="s">
        <v>24</v>
      </c>
      <c r="F307" s="131" t="s">
        <v>38</v>
      </c>
      <c r="G307" s="131">
        <v>1</v>
      </c>
      <c r="H307" s="131">
        <v>0</v>
      </c>
      <c r="I307" s="131">
        <v>3</v>
      </c>
      <c r="J307" s="131">
        <v>3</v>
      </c>
      <c r="K307" s="131">
        <v>0</v>
      </c>
      <c r="L307" s="131">
        <v>1</v>
      </c>
      <c r="M307" s="131">
        <v>1</v>
      </c>
      <c r="N307" s="131">
        <v>2</v>
      </c>
      <c r="O307" s="131">
        <v>1</v>
      </c>
      <c r="P307" s="131">
        <v>0</v>
      </c>
      <c r="Q307" s="131">
        <v>0</v>
      </c>
      <c r="R307" s="133" t="s">
        <v>120</v>
      </c>
      <c r="S307" s="131">
        <v>0</v>
      </c>
      <c r="T307" s="131">
        <v>2</v>
      </c>
      <c r="U307" s="133">
        <v>0</v>
      </c>
      <c r="V307" s="131">
        <v>0</v>
      </c>
      <c r="W307" s="131">
        <v>0</v>
      </c>
      <c r="X307" s="133" t="s">
        <v>120</v>
      </c>
    </row>
    <row r="308" spans="1:75" x14ac:dyDescent="0.25">
      <c r="A308" s="131" t="s">
        <v>46</v>
      </c>
      <c r="B308" s="131" t="s">
        <v>57</v>
      </c>
      <c r="C308" s="132">
        <v>1830.8541666666699</v>
      </c>
      <c r="D308" s="131" t="s">
        <v>65</v>
      </c>
      <c r="E308" s="131" t="s">
        <v>26</v>
      </c>
      <c r="F308" s="131" t="s">
        <v>42</v>
      </c>
      <c r="G308" s="131">
        <v>1</v>
      </c>
      <c r="H308" s="131">
        <v>2</v>
      </c>
      <c r="I308" s="131">
        <v>3</v>
      </c>
      <c r="J308" s="131">
        <v>4</v>
      </c>
      <c r="K308" s="131">
        <v>0</v>
      </c>
      <c r="L308" s="131">
        <v>0</v>
      </c>
      <c r="M308" s="131">
        <v>2</v>
      </c>
      <c r="N308" s="131">
        <v>1</v>
      </c>
      <c r="O308" s="131">
        <v>2</v>
      </c>
      <c r="P308" s="131">
        <v>0</v>
      </c>
      <c r="Q308" s="131">
        <v>3</v>
      </c>
      <c r="R308" s="133">
        <v>0</v>
      </c>
      <c r="S308" s="131">
        <v>1</v>
      </c>
      <c r="T308" s="131">
        <v>7</v>
      </c>
      <c r="U308" s="133">
        <v>0.14285714285714285</v>
      </c>
      <c r="V308" s="131">
        <v>0</v>
      </c>
      <c r="W308" s="131">
        <v>0</v>
      </c>
      <c r="X308" s="133" t="s">
        <v>120</v>
      </c>
    </row>
    <row r="309" spans="1:75" x14ac:dyDescent="0.25">
      <c r="A309" s="131" t="s">
        <v>46</v>
      </c>
      <c r="B309" s="131" t="s">
        <v>57</v>
      </c>
      <c r="C309" s="132">
        <v>1830.8541666666699</v>
      </c>
      <c r="D309" s="131" t="s">
        <v>65</v>
      </c>
      <c r="E309" s="131" t="s">
        <v>27</v>
      </c>
      <c r="F309" s="131" t="s">
        <v>42</v>
      </c>
      <c r="G309" s="131">
        <v>1</v>
      </c>
      <c r="H309" s="131">
        <v>25</v>
      </c>
      <c r="I309" s="131">
        <v>2</v>
      </c>
      <c r="J309" s="131">
        <v>0</v>
      </c>
      <c r="K309" s="131">
        <v>1</v>
      </c>
      <c r="L309" s="131">
        <v>0</v>
      </c>
      <c r="M309" s="131">
        <v>2</v>
      </c>
      <c r="N309" s="131">
        <v>1</v>
      </c>
      <c r="O309" s="131">
        <v>1</v>
      </c>
      <c r="P309" s="131">
        <v>2</v>
      </c>
      <c r="Q309" s="131">
        <v>13</v>
      </c>
      <c r="R309" s="133">
        <v>0.15384615384615385</v>
      </c>
      <c r="S309" s="131">
        <v>11</v>
      </c>
      <c r="T309" s="131">
        <v>29</v>
      </c>
      <c r="U309" s="133">
        <v>0.37931034482758619</v>
      </c>
      <c r="V309" s="131">
        <v>1</v>
      </c>
      <c r="W309" s="131">
        <v>2</v>
      </c>
      <c r="X309" s="133">
        <v>0.5</v>
      </c>
    </row>
    <row r="310" spans="1:75" x14ac:dyDescent="0.25">
      <c r="A310" s="131" t="s">
        <v>46</v>
      </c>
      <c r="B310" s="131" t="s">
        <v>57</v>
      </c>
      <c r="C310" s="132">
        <v>1830.8541666666699</v>
      </c>
      <c r="D310" s="131" t="s">
        <v>65</v>
      </c>
      <c r="E310" s="131" t="s">
        <v>29</v>
      </c>
      <c r="F310" s="131" t="s">
        <v>42</v>
      </c>
      <c r="G310" s="131">
        <v>1</v>
      </c>
      <c r="H310" s="131">
        <v>4</v>
      </c>
      <c r="I310" s="131">
        <v>14</v>
      </c>
      <c r="J310" s="131">
        <v>2</v>
      </c>
      <c r="K310" s="131">
        <v>2</v>
      </c>
      <c r="L310" s="131">
        <v>1</v>
      </c>
      <c r="M310" s="131">
        <v>4</v>
      </c>
      <c r="N310" s="131">
        <v>9</v>
      </c>
      <c r="O310" s="131">
        <v>5</v>
      </c>
      <c r="P310" s="131">
        <v>0</v>
      </c>
      <c r="Q310" s="131">
        <v>2</v>
      </c>
      <c r="R310" s="133">
        <v>0</v>
      </c>
      <c r="S310" s="131">
        <v>2</v>
      </c>
      <c r="T310" s="131">
        <v>11</v>
      </c>
      <c r="U310" s="133">
        <v>0.18181818181818182</v>
      </c>
      <c r="V310" s="131">
        <v>0</v>
      </c>
      <c r="W310" s="131">
        <v>0</v>
      </c>
      <c r="X310" s="133" t="s">
        <v>120</v>
      </c>
    </row>
    <row r="311" spans="1:75" x14ac:dyDescent="0.25">
      <c r="A311" s="131" t="s">
        <v>46</v>
      </c>
      <c r="B311" s="131" t="s">
        <v>57</v>
      </c>
      <c r="C311" s="132">
        <v>1830.8541666666699</v>
      </c>
      <c r="D311" s="131" t="s">
        <v>65</v>
      </c>
      <c r="E311" s="131" t="s">
        <v>30</v>
      </c>
      <c r="F311" s="131" t="s">
        <v>42</v>
      </c>
      <c r="G311" s="131">
        <v>1</v>
      </c>
      <c r="H311" s="131">
        <v>7</v>
      </c>
      <c r="I311" s="131">
        <v>4</v>
      </c>
      <c r="J311" s="131">
        <v>0</v>
      </c>
      <c r="K311" s="131">
        <v>0</v>
      </c>
      <c r="L311" s="131">
        <v>0</v>
      </c>
      <c r="M311" s="131">
        <v>0</v>
      </c>
      <c r="N311" s="131">
        <v>0</v>
      </c>
      <c r="O311" s="131">
        <v>4</v>
      </c>
      <c r="P311" s="131">
        <v>1</v>
      </c>
      <c r="Q311" s="131">
        <v>6</v>
      </c>
      <c r="R311" s="133">
        <v>0.16666666666666666</v>
      </c>
      <c r="S311" s="131">
        <v>3</v>
      </c>
      <c r="T311" s="131">
        <v>9</v>
      </c>
      <c r="U311" s="133">
        <v>0.33333333333333331</v>
      </c>
      <c r="V311" s="131">
        <v>0</v>
      </c>
      <c r="W311" s="131">
        <v>0</v>
      </c>
      <c r="X311" s="133" t="s">
        <v>120</v>
      </c>
    </row>
    <row r="312" spans="1:75" x14ac:dyDescent="0.25">
      <c r="A312" s="131" t="s">
        <v>46</v>
      </c>
      <c r="B312" s="131" t="s">
        <v>57</v>
      </c>
      <c r="C312" s="132">
        <v>1830.8541666666699</v>
      </c>
      <c r="D312" s="131" t="s">
        <v>65</v>
      </c>
      <c r="E312" s="131" t="s">
        <v>28</v>
      </c>
      <c r="F312" s="131" t="s">
        <v>42</v>
      </c>
      <c r="G312" s="131">
        <v>1</v>
      </c>
      <c r="H312" s="131">
        <v>3</v>
      </c>
      <c r="I312" s="131">
        <v>8</v>
      </c>
      <c r="J312" s="131">
        <v>1</v>
      </c>
      <c r="K312" s="131">
        <v>0</v>
      </c>
      <c r="L312" s="131">
        <v>0</v>
      </c>
      <c r="M312" s="131">
        <v>0</v>
      </c>
      <c r="N312" s="131">
        <v>1</v>
      </c>
      <c r="O312" s="131">
        <v>7</v>
      </c>
      <c r="P312" s="131">
        <v>1</v>
      </c>
      <c r="Q312" s="131">
        <v>6</v>
      </c>
      <c r="R312" s="133">
        <v>0.16666666666666666</v>
      </c>
      <c r="S312" s="131">
        <v>1</v>
      </c>
      <c r="T312" s="131">
        <v>7</v>
      </c>
      <c r="U312" s="133">
        <v>0.14285714285714285</v>
      </c>
      <c r="V312" s="131">
        <v>0</v>
      </c>
      <c r="W312" s="131">
        <v>0</v>
      </c>
      <c r="X312" s="133" t="s">
        <v>120</v>
      </c>
    </row>
    <row r="313" spans="1:75" x14ac:dyDescent="0.25">
      <c r="A313" s="131" t="s">
        <v>157</v>
      </c>
      <c r="B313" s="131" t="s">
        <v>157</v>
      </c>
      <c r="C313" s="132" t="s">
        <v>157</v>
      </c>
      <c r="D313" s="131" t="s">
        <v>157</v>
      </c>
      <c r="E313" s="131" t="s">
        <v>157</v>
      </c>
      <c r="F313" s="131" t="s">
        <v>157</v>
      </c>
      <c r="G313" s="131" t="s">
        <v>157</v>
      </c>
      <c r="H313" s="131" t="s">
        <v>157</v>
      </c>
      <c r="I313" s="131" t="s">
        <v>157</v>
      </c>
      <c r="J313" s="131" t="s">
        <v>157</v>
      </c>
      <c r="K313" s="131" t="s">
        <v>157</v>
      </c>
      <c r="L313" s="131" t="s">
        <v>157</v>
      </c>
      <c r="M313" s="131" t="s">
        <v>157</v>
      </c>
      <c r="N313" s="131" t="s">
        <v>157</v>
      </c>
      <c r="O313" s="131" t="s">
        <v>157</v>
      </c>
      <c r="P313" s="131" t="s">
        <v>157</v>
      </c>
      <c r="Q313" s="131" t="s">
        <v>157</v>
      </c>
      <c r="R313" s="133" t="s">
        <v>157</v>
      </c>
      <c r="S313" s="131" t="s">
        <v>157</v>
      </c>
      <c r="T313" s="131" t="s">
        <v>157</v>
      </c>
      <c r="U313" s="133" t="s">
        <v>157</v>
      </c>
      <c r="V313" s="131" t="s">
        <v>157</v>
      </c>
      <c r="W313" s="131" t="s">
        <v>157</v>
      </c>
      <c r="X313" s="133" t="s">
        <v>157</v>
      </c>
    </row>
    <row r="314" spans="1:75" x14ac:dyDescent="0.25">
      <c r="A314" s="131" t="s">
        <v>157</v>
      </c>
      <c r="B314" s="131" t="s">
        <v>157</v>
      </c>
      <c r="C314" s="132" t="s">
        <v>157</v>
      </c>
      <c r="D314" s="131" t="s">
        <v>157</v>
      </c>
      <c r="E314" s="131" t="s">
        <v>157</v>
      </c>
      <c r="F314" s="131" t="s">
        <v>157</v>
      </c>
      <c r="G314" s="131" t="s">
        <v>157</v>
      </c>
      <c r="H314" s="131" t="s">
        <v>157</v>
      </c>
      <c r="I314" s="131" t="s">
        <v>157</v>
      </c>
      <c r="J314" s="131" t="s">
        <v>157</v>
      </c>
      <c r="K314" s="131" t="s">
        <v>157</v>
      </c>
      <c r="L314" s="131" t="s">
        <v>157</v>
      </c>
      <c r="M314" s="131" t="s">
        <v>157</v>
      </c>
      <c r="N314" s="131" t="s">
        <v>157</v>
      </c>
      <c r="O314" s="131" t="s">
        <v>157</v>
      </c>
      <c r="P314" s="131" t="s">
        <v>157</v>
      </c>
      <c r="Q314" s="131" t="s">
        <v>157</v>
      </c>
      <c r="R314" s="133" t="s">
        <v>157</v>
      </c>
      <c r="S314" s="131" t="s">
        <v>157</v>
      </c>
      <c r="T314" s="131" t="s">
        <v>157</v>
      </c>
      <c r="U314" s="133" t="s">
        <v>157</v>
      </c>
      <c r="V314" s="131" t="s">
        <v>157</v>
      </c>
      <c r="W314" s="131" t="s">
        <v>157</v>
      </c>
      <c r="X314" s="133" t="s">
        <v>157</v>
      </c>
    </row>
    <row r="315" spans="1:75" x14ac:dyDescent="0.25">
      <c r="A315" s="131" t="s">
        <v>157</v>
      </c>
      <c r="B315" s="131" t="s">
        <v>157</v>
      </c>
      <c r="C315" s="132" t="s">
        <v>157</v>
      </c>
      <c r="D315" s="131" t="s">
        <v>157</v>
      </c>
      <c r="E315" s="131" t="s">
        <v>157</v>
      </c>
      <c r="F315" s="131" t="s">
        <v>157</v>
      </c>
      <c r="G315" s="131" t="s">
        <v>157</v>
      </c>
      <c r="H315" s="131" t="s">
        <v>157</v>
      </c>
      <c r="I315" s="131" t="s">
        <v>157</v>
      </c>
      <c r="J315" s="131" t="s">
        <v>157</v>
      </c>
      <c r="K315" s="131" t="s">
        <v>157</v>
      </c>
      <c r="L315" s="131" t="s">
        <v>157</v>
      </c>
      <c r="M315" s="131" t="s">
        <v>157</v>
      </c>
      <c r="N315" s="131" t="s">
        <v>157</v>
      </c>
      <c r="O315" s="131" t="s">
        <v>157</v>
      </c>
      <c r="P315" s="131" t="s">
        <v>157</v>
      </c>
      <c r="Q315" s="131" t="s">
        <v>157</v>
      </c>
      <c r="R315" s="133" t="s">
        <v>157</v>
      </c>
      <c r="S315" s="131" t="s">
        <v>157</v>
      </c>
      <c r="T315" s="131" t="s">
        <v>157</v>
      </c>
      <c r="U315" s="133" t="s">
        <v>157</v>
      </c>
      <c r="V315" s="131" t="s">
        <v>157</v>
      </c>
      <c r="W315" s="131" t="s">
        <v>157</v>
      </c>
      <c r="X315" s="133" t="s">
        <v>157</v>
      </c>
    </row>
    <row r="316" spans="1:75" x14ac:dyDescent="0.25">
      <c r="A316" s="131" t="s">
        <v>157</v>
      </c>
      <c r="B316" s="131" t="s">
        <v>157</v>
      </c>
      <c r="C316" s="132" t="s">
        <v>157</v>
      </c>
      <c r="D316" s="131" t="s">
        <v>157</v>
      </c>
      <c r="E316" s="131" t="s">
        <v>157</v>
      </c>
      <c r="F316" s="131" t="s">
        <v>157</v>
      </c>
      <c r="G316" s="131" t="s">
        <v>157</v>
      </c>
      <c r="H316" s="131" t="s">
        <v>157</v>
      </c>
      <c r="I316" s="131" t="s">
        <v>157</v>
      </c>
      <c r="J316" s="131" t="s">
        <v>157</v>
      </c>
      <c r="K316" s="131" t="s">
        <v>157</v>
      </c>
      <c r="L316" s="131" t="s">
        <v>157</v>
      </c>
      <c r="M316" s="131" t="s">
        <v>157</v>
      </c>
      <c r="N316" s="131" t="s">
        <v>157</v>
      </c>
      <c r="O316" s="131" t="s">
        <v>157</v>
      </c>
      <c r="P316" s="131" t="s">
        <v>157</v>
      </c>
      <c r="Q316" s="131" t="s">
        <v>157</v>
      </c>
      <c r="R316" s="133" t="s">
        <v>157</v>
      </c>
      <c r="S316" s="131" t="s">
        <v>157</v>
      </c>
      <c r="T316" s="131" t="s">
        <v>157</v>
      </c>
      <c r="U316" s="133" t="s">
        <v>157</v>
      </c>
      <c r="V316" s="131" t="s">
        <v>157</v>
      </c>
      <c r="W316" s="131" t="s">
        <v>157</v>
      </c>
      <c r="X316" s="133" t="s">
        <v>157</v>
      </c>
    </row>
    <row r="317" spans="1:75" x14ac:dyDescent="0.25">
      <c r="A317" s="131" t="s">
        <v>157</v>
      </c>
      <c r="B317" s="131" t="s">
        <v>157</v>
      </c>
      <c r="C317" s="132" t="s">
        <v>157</v>
      </c>
      <c r="D317" s="131" t="s">
        <v>157</v>
      </c>
      <c r="E317" s="131" t="s">
        <v>157</v>
      </c>
      <c r="F317" s="131" t="s">
        <v>157</v>
      </c>
      <c r="G317" s="131" t="s">
        <v>157</v>
      </c>
      <c r="H317" s="131" t="s">
        <v>157</v>
      </c>
      <c r="I317" s="131" t="s">
        <v>157</v>
      </c>
      <c r="J317" s="131" t="s">
        <v>157</v>
      </c>
      <c r="K317" s="131" t="s">
        <v>157</v>
      </c>
      <c r="L317" s="131" t="s">
        <v>157</v>
      </c>
      <c r="M317" s="131" t="s">
        <v>157</v>
      </c>
      <c r="N317" s="131" t="s">
        <v>157</v>
      </c>
      <c r="O317" s="131" t="s">
        <v>157</v>
      </c>
      <c r="P317" s="131" t="s">
        <v>157</v>
      </c>
      <c r="Q317" s="131" t="s">
        <v>157</v>
      </c>
      <c r="R317" s="133" t="s">
        <v>157</v>
      </c>
      <c r="S317" s="131" t="s">
        <v>157</v>
      </c>
      <c r="T317" s="131" t="s">
        <v>157</v>
      </c>
      <c r="U317" s="133" t="s">
        <v>157</v>
      </c>
      <c r="V317" s="131" t="s">
        <v>157</v>
      </c>
      <c r="W317" s="131" t="s">
        <v>157</v>
      </c>
      <c r="X317" s="133" t="s">
        <v>157</v>
      </c>
    </row>
    <row r="318" spans="1:75" x14ac:dyDescent="0.25">
      <c r="A318" s="131" t="s">
        <v>46</v>
      </c>
      <c r="B318" s="131" t="s">
        <v>58</v>
      </c>
      <c r="C318" s="132">
        <v>1830.7708333333333</v>
      </c>
      <c r="D318" s="131" t="s">
        <v>65</v>
      </c>
      <c r="E318" s="131" t="s">
        <v>19</v>
      </c>
      <c r="F318" s="131" t="s">
        <v>38</v>
      </c>
      <c r="G318" s="131">
        <v>1</v>
      </c>
      <c r="H318" s="131">
        <v>16</v>
      </c>
      <c r="I318" s="131">
        <v>11</v>
      </c>
      <c r="J318" s="131">
        <v>8</v>
      </c>
      <c r="K318" s="131">
        <v>4</v>
      </c>
      <c r="L318" s="131">
        <v>3</v>
      </c>
      <c r="M318" s="131">
        <v>2</v>
      </c>
      <c r="N318" s="131">
        <v>2</v>
      </c>
      <c r="O318" s="131">
        <v>9</v>
      </c>
      <c r="P318" s="131">
        <v>1</v>
      </c>
      <c r="Q318" s="131">
        <v>2</v>
      </c>
      <c r="R318" s="133">
        <v>0.5</v>
      </c>
      <c r="S318" s="131">
        <v>6</v>
      </c>
      <c r="T318" s="131">
        <v>10</v>
      </c>
      <c r="U318" s="133">
        <v>0.6</v>
      </c>
      <c r="V318" s="131">
        <v>3</v>
      </c>
      <c r="W318" s="131">
        <v>4</v>
      </c>
      <c r="X318" s="133">
        <v>0.75</v>
      </c>
      <c r="Z318" s="134" t="s">
        <v>46</v>
      </c>
      <c r="AA318" s="134" t="s">
        <v>58</v>
      </c>
      <c r="AB318" s="135">
        <v>1830.7708333333333</v>
      </c>
      <c r="AC318" s="134" t="s">
        <v>65</v>
      </c>
      <c r="AD318" s="134" t="s">
        <v>222</v>
      </c>
      <c r="AE318" s="134" t="s">
        <v>175</v>
      </c>
      <c r="AF318" s="134">
        <v>1</v>
      </c>
      <c r="AG318" s="134">
        <v>29</v>
      </c>
      <c r="AH318" s="134">
        <v>23</v>
      </c>
      <c r="AI318" s="134">
        <v>3</v>
      </c>
      <c r="AJ318" s="134">
        <v>3</v>
      </c>
      <c r="AK318" s="134">
        <v>2</v>
      </c>
      <c r="AL318" s="134">
        <v>17</v>
      </c>
      <c r="AM318" s="134">
        <v>3</v>
      </c>
      <c r="AN318" s="134">
        <v>20</v>
      </c>
      <c r="AO318" s="134">
        <v>2</v>
      </c>
      <c r="AP318" s="134">
        <v>19</v>
      </c>
      <c r="AQ318" s="136">
        <v>0.10526315789473684</v>
      </c>
      <c r="AR318" s="134">
        <v>12</v>
      </c>
      <c r="AS318" s="134">
        <v>50</v>
      </c>
      <c r="AT318" s="136">
        <v>0.24</v>
      </c>
      <c r="AU318" s="134">
        <v>1</v>
      </c>
      <c r="AV318" s="134">
        <v>2</v>
      </c>
      <c r="AW318" s="136">
        <v>0.5</v>
      </c>
      <c r="AY318" s="134" t="s">
        <v>46</v>
      </c>
      <c r="AZ318" s="134" t="s">
        <v>58</v>
      </c>
      <c r="BA318" s="135">
        <v>1830.7708333333333</v>
      </c>
      <c r="BB318" s="134" t="s">
        <v>65</v>
      </c>
      <c r="BC318" s="134" t="s">
        <v>89</v>
      </c>
      <c r="BD318" s="134"/>
      <c r="BE318" s="134">
        <v>1</v>
      </c>
      <c r="BF318" s="134">
        <v>103</v>
      </c>
      <c r="BG318" s="134">
        <v>63</v>
      </c>
      <c r="BH318" s="134">
        <v>21</v>
      </c>
      <c r="BI318" s="134">
        <v>12</v>
      </c>
      <c r="BJ318" s="134">
        <v>5</v>
      </c>
      <c r="BK318" s="134">
        <v>21</v>
      </c>
      <c r="BL318" s="134">
        <v>15</v>
      </c>
      <c r="BM318" s="134">
        <v>48</v>
      </c>
      <c r="BN318" s="134">
        <v>10</v>
      </c>
      <c r="BO318" s="134">
        <v>44</v>
      </c>
      <c r="BP318" s="136">
        <v>0.22727272727272727</v>
      </c>
      <c r="BQ318" s="134">
        <v>43</v>
      </c>
      <c r="BR318" s="134">
        <v>122</v>
      </c>
      <c r="BS318" s="136">
        <v>0.35245901639344263</v>
      </c>
      <c r="BT318" s="134">
        <v>5</v>
      </c>
      <c r="BU318" s="134">
        <v>7</v>
      </c>
      <c r="BV318" s="136">
        <v>0.7142857142857143</v>
      </c>
      <c r="BW318" s="174" t="s">
        <v>224</v>
      </c>
    </row>
    <row r="319" spans="1:75" x14ac:dyDescent="0.25">
      <c r="A319" s="131" t="s">
        <v>46</v>
      </c>
      <c r="B319" s="131" t="s">
        <v>58</v>
      </c>
      <c r="C319" s="132">
        <v>1830.7708333333333</v>
      </c>
      <c r="D319" s="131" t="s">
        <v>65</v>
      </c>
      <c r="E319" s="131" t="s">
        <v>20</v>
      </c>
      <c r="F319" s="131" t="s">
        <v>38</v>
      </c>
      <c r="G319" s="131">
        <v>1</v>
      </c>
      <c r="H319" s="131">
        <v>15</v>
      </c>
      <c r="I319" s="131">
        <v>9</v>
      </c>
      <c r="J319" s="131">
        <v>3</v>
      </c>
      <c r="K319" s="131">
        <v>1</v>
      </c>
      <c r="L319" s="131">
        <v>0</v>
      </c>
      <c r="M319" s="131">
        <v>0</v>
      </c>
      <c r="N319" s="131">
        <v>3</v>
      </c>
      <c r="O319" s="131">
        <v>6</v>
      </c>
      <c r="P319" s="131">
        <v>0</v>
      </c>
      <c r="Q319" s="131">
        <v>4</v>
      </c>
      <c r="R319" s="133">
        <v>0</v>
      </c>
      <c r="S319" s="131">
        <v>7</v>
      </c>
      <c r="T319" s="131">
        <v>16</v>
      </c>
      <c r="U319" s="133">
        <v>0.4375</v>
      </c>
      <c r="V319" s="131">
        <v>1</v>
      </c>
      <c r="W319" s="131">
        <v>1</v>
      </c>
      <c r="X319" s="133">
        <v>1</v>
      </c>
      <c r="Z319" s="134" t="s">
        <v>46</v>
      </c>
      <c r="AA319" s="134" t="s">
        <v>58</v>
      </c>
      <c r="AB319" s="135">
        <v>1830.7708333333333</v>
      </c>
      <c r="AC319" s="134" t="s">
        <v>65</v>
      </c>
      <c r="AD319" s="134" t="s">
        <v>38</v>
      </c>
      <c r="AE319" s="134" t="s">
        <v>174</v>
      </c>
      <c r="AF319" s="134">
        <v>1</v>
      </c>
      <c r="AG319" s="134">
        <v>74</v>
      </c>
      <c r="AH319" s="134">
        <v>40</v>
      </c>
      <c r="AI319" s="134">
        <v>18</v>
      </c>
      <c r="AJ319" s="134">
        <v>9</v>
      </c>
      <c r="AK319" s="134">
        <v>3</v>
      </c>
      <c r="AL319" s="134">
        <v>4</v>
      </c>
      <c r="AM319" s="134">
        <v>12</v>
      </c>
      <c r="AN319" s="134">
        <v>28</v>
      </c>
      <c r="AO319" s="134">
        <v>8</v>
      </c>
      <c r="AP319" s="134">
        <v>25</v>
      </c>
      <c r="AQ319" s="136">
        <v>0.32</v>
      </c>
      <c r="AR319" s="134">
        <v>31</v>
      </c>
      <c r="AS319" s="134">
        <v>72</v>
      </c>
      <c r="AT319" s="136">
        <v>0.43055555555555558</v>
      </c>
      <c r="AU319" s="134">
        <v>4</v>
      </c>
      <c r="AV319" s="134">
        <v>5</v>
      </c>
      <c r="AW319" s="136">
        <v>0.8</v>
      </c>
    </row>
    <row r="320" spans="1:75" x14ac:dyDescent="0.25">
      <c r="A320" s="131" t="s">
        <v>46</v>
      </c>
      <c r="B320" s="131" t="s">
        <v>58</v>
      </c>
      <c r="C320" s="132">
        <v>1830.7708333333333</v>
      </c>
      <c r="D320" s="131" t="s">
        <v>65</v>
      </c>
      <c r="E320" s="131" t="s">
        <v>23</v>
      </c>
      <c r="F320" s="131" t="s">
        <v>38</v>
      </c>
      <c r="G320" s="131">
        <v>1</v>
      </c>
      <c r="H320" s="131">
        <v>10</v>
      </c>
      <c r="I320" s="131">
        <v>4</v>
      </c>
      <c r="J320" s="131">
        <v>4</v>
      </c>
      <c r="K320" s="131">
        <v>1</v>
      </c>
      <c r="L320" s="131">
        <v>0</v>
      </c>
      <c r="M320" s="131">
        <v>2</v>
      </c>
      <c r="N320" s="131">
        <v>2</v>
      </c>
      <c r="O320" s="131">
        <v>2</v>
      </c>
      <c r="P320" s="131">
        <v>2</v>
      </c>
      <c r="Q320" s="131">
        <v>6</v>
      </c>
      <c r="R320" s="133">
        <v>0.33333333333333331</v>
      </c>
      <c r="S320" s="131">
        <v>4</v>
      </c>
      <c r="T320" s="131">
        <v>11</v>
      </c>
      <c r="U320" s="133">
        <v>0.36363636363636365</v>
      </c>
      <c r="V320" s="131">
        <v>0</v>
      </c>
      <c r="W320" s="131">
        <v>0</v>
      </c>
      <c r="X320" s="133" t="s">
        <v>120</v>
      </c>
    </row>
    <row r="321" spans="1:75" x14ac:dyDescent="0.25">
      <c r="A321" s="131" t="s">
        <v>46</v>
      </c>
      <c r="B321" s="131" t="s">
        <v>58</v>
      </c>
      <c r="C321" s="132">
        <v>1830.7708333333333</v>
      </c>
      <c r="D321" s="131" t="s">
        <v>65</v>
      </c>
      <c r="E321" s="131" t="s">
        <v>21</v>
      </c>
      <c r="F321" s="131" t="s">
        <v>38</v>
      </c>
      <c r="G321" s="131">
        <v>1</v>
      </c>
      <c r="H321" s="131">
        <v>10</v>
      </c>
      <c r="I321" s="131">
        <v>6</v>
      </c>
      <c r="J321" s="131">
        <v>0</v>
      </c>
      <c r="K321" s="131">
        <v>1</v>
      </c>
      <c r="L321" s="131">
        <v>0</v>
      </c>
      <c r="M321" s="131">
        <v>0</v>
      </c>
      <c r="N321" s="131">
        <v>2</v>
      </c>
      <c r="O321" s="131">
        <v>4</v>
      </c>
      <c r="P321" s="131">
        <v>0</v>
      </c>
      <c r="Q321" s="131">
        <v>3</v>
      </c>
      <c r="R321" s="133">
        <v>0</v>
      </c>
      <c r="S321" s="131">
        <v>5</v>
      </c>
      <c r="T321" s="131">
        <v>14</v>
      </c>
      <c r="U321" s="133">
        <v>0.35714285714285715</v>
      </c>
      <c r="V321" s="131">
        <v>0</v>
      </c>
      <c r="W321" s="131">
        <v>0</v>
      </c>
      <c r="X321" s="133" t="s">
        <v>120</v>
      </c>
    </row>
    <row r="322" spans="1:75" x14ac:dyDescent="0.25">
      <c r="A322" s="131" t="s">
        <v>46</v>
      </c>
      <c r="B322" s="131" t="s">
        <v>58</v>
      </c>
      <c r="C322" s="132">
        <v>1830.7708333333333</v>
      </c>
      <c r="D322" s="131" t="s">
        <v>65</v>
      </c>
      <c r="E322" s="131" t="s">
        <v>22</v>
      </c>
      <c r="F322" s="131" t="s">
        <v>38</v>
      </c>
      <c r="G322" s="131">
        <v>1</v>
      </c>
      <c r="H322" s="131">
        <v>21</v>
      </c>
      <c r="I322" s="131">
        <v>8</v>
      </c>
      <c r="J322" s="131">
        <v>1</v>
      </c>
      <c r="K322" s="131">
        <v>0</v>
      </c>
      <c r="L322" s="131">
        <v>0</v>
      </c>
      <c r="M322" s="131">
        <v>0</v>
      </c>
      <c r="N322" s="131">
        <v>1</v>
      </c>
      <c r="O322" s="131">
        <v>7</v>
      </c>
      <c r="P322" s="131">
        <v>5</v>
      </c>
      <c r="Q322" s="131">
        <v>10</v>
      </c>
      <c r="R322" s="133">
        <v>0.5</v>
      </c>
      <c r="S322" s="131">
        <v>8</v>
      </c>
      <c r="T322" s="131">
        <v>17</v>
      </c>
      <c r="U322" s="133">
        <v>0.47058823529411764</v>
      </c>
      <c r="V322" s="131">
        <v>0</v>
      </c>
      <c r="W322" s="131">
        <v>0</v>
      </c>
      <c r="X322" s="133" t="s">
        <v>120</v>
      </c>
    </row>
    <row r="323" spans="1:75" x14ac:dyDescent="0.25">
      <c r="A323" s="131" t="s">
        <v>46</v>
      </c>
      <c r="B323" s="131" t="s">
        <v>58</v>
      </c>
      <c r="C323" s="132">
        <v>1830.7708333333333</v>
      </c>
      <c r="D323" s="131" t="s">
        <v>65</v>
      </c>
      <c r="E323" s="131" t="s">
        <v>24</v>
      </c>
      <c r="F323" s="131" t="s">
        <v>38</v>
      </c>
      <c r="G323" s="131">
        <v>1</v>
      </c>
      <c r="H323" s="131">
        <v>2</v>
      </c>
      <c r="I323" s="131">
        <v>2</v>
      </c>
      <c r="J323" s="131">
        <v>2</v>
      </c>
      <c r="K323" s="131">
        <v>2</v>
      </c>
      <c r="L323" s="131">
        <v>0</v>
      </c>
      <c r="M323" s="131">
        <v>0</v>
      </c>
      <c r="N323" s="131">
        <v>2</v>
      </c>
      <c r="O323" s="131">
        <v>0</v>
      </c>
      <c r="P323" s="131">
        <v>0</v>
      </c>
      <c r="Q323" s="131">
        <v>0</v>
      </c>
      <c r="R323" s="133" t="s">
        <v>120</v>
      </c>
      <c r="S323" s="131">
        <v>1</v>
      </c>
      <c r="T323" s="131">
        <v>4</v>
      </c>
      <c r="U323" s="133">
        <v>0.25</v>
      </c>
      <c r="V323" s="131">
        <v>0</v>
      </c>
      <c r="W323" s="131">
        <v>0</v>
      </c>
      <c r="X323" s="133" t="s">
        <v>120</v>
      </c>
    </row>
    <row r="324" spans="1:75" x14ac:dyDescent="0.25">
      <c r="A324" s="131" t="s">
        <v>46</v>
      </c>
      <c r="B324" s="131" t="s">
        <v>58</v>
      </c>
      <c r="C324" s="132">
        <v>1830.7708333333333</v>
      </c>
      <c r="D324" s="131" t="s">
        <v>65</v>
      </c>
      <c r="E324" s="131" t="s">
        <v>13</v>
      </c>
      <c r="F324" s="131" t="s">
        <v>222</v>
      </c>
      <c r="G324" s="131">
        <v>1</v>
      </c>
      <c r="H324" s="131">
        <v>9</v>
      </c>
      <c r="I324" s="131">
        <v>2</v>
      </c>
      <c r="J324" s="131">
        <v>1</v>
      </c>
      <c r="K324" s="131">
        <v>1</v>
      </c>
      <c r="L324" s="131">
        <v>0</v>
      </c>
      <c r="M324" s="131">
        <v>7</v>
      </c>
      <c r="N324" s="131">
        <v>0</v>
      </c>
      <c r="O324" s="131">
        <v>2</v>
      </c>
      <c r="P324" s="131">
        <v>1</v>
      </c>
      <c r="Q324" s="131">
        <v>5</v>
      </c>
      <c r="R324" s="133">
        <v>0.2</v>
      </c>
      <c r="S324" s="131">
        <v>4</v>
      </c>
      <c r="T324" s="131">
        <v>18</v>
      </c>
      <c r="U324" s="133">
        <v>0.22222222222222221</v>
      </c>
      <c r="V324" s="131">
        <v>0</v>
      </c>
      <c r="W324" s="131">
        <v>0</v>
      </c>
      <c r="X324" s="133" t="s">
        <v>120</v>
      </c>
    </row>
    <row r="325" spans="1:75" x14ac:dyDescent="0.25">
      <c r="A325" s="131" t="s">
        <v>46</v>
      </c>
      <c r="B325" s="131" t="s">
        <v>58</v>
      </c>
      <c r="C325" s="132">
        <v>1830.7708333333333</v>
      </c>
      <c r="D325" s="131" t="s">
        <v>65</v>
      </c>
      <c r="E325" s="131" t="s">
        <v>15</v>
      </c>
      <c r="F325" s="131" t="s">
        <v>222</v>
      </c>
      <c r="G325" s="131">
        <v>1</v>
      </c>
      <c r="H325" s="131">
        <v>12</v>
      </c>
      <c r="I325" s="131">
        <v>5</v>
      </c>
      <c r="J325" s="131">
        <v>2</v>
      </c>
      <c r="K325" s="131">
        <v>1</v>
      </c>
      <c r="L325" s="131">
        <v>1</v>
      </c>
      <c r="M325" s="131">
        <v>0</v>
      </c>
      <c r="N325" s="131">
        <v>2</v>
      </c>
      <c r="O325" s="131">
        <v>3</v>
      </c>
      <c r="P325" s="131">
        <v>1</v>
      </c>
      <c r="Q325" s="131">
        <v>8</v>
      </c>
      <c r="R325" s="133">
        <v>0.125</v>
      </c>
      <c r="S325" s="131">
        <v>4</v>
      </c>
      <c r="T325" s="131">
        <v>19</v>
      </c>
      <c r="U325" s="133">
        <v>0.21052631578947367</v>
      </c>
      <c r="V325" s="131">
        <v>1</v>
      </c>
      <c r="W325" s="131">
        <v>2</v>
      </c>
      <c r="X325" s="133">
        <v>0.5</v>
      </c>
    </row>
    <row r="326" spans="1:75" x14ac:dyDescent="0.25">
      <c r="A326" s="131" t="s">
        <v>46</v>
      </c>
      <c r="B326" s="131" t="s">
        <v>58</v>
      </c>
      <c r="C326" s="132">
        <v>1830.7708333333333</v>
      </c>
      <c r="D326" s="131" t="s">
        <v>65</v>
      </c>
      <c r="E326" s="131" t="s">
        <v>17</v>
      </c>
      <c r="F326" s="131" t="s">
        <v>222</v>
      </c>
      <c r="G326" s="131">
        <v>1</v>
      </c>
      <c r="H326" s="131">
        <v>4</v>
      </c>
      <c r="I326" s="131">
        <v>6</v>
      </c>
      <c r="J326" s="131">
        <v>0</v>
      </c>
      <c r="K326" s="131">
        <v>0</v>
      </c>
      <c r="L326" s="131">
        <v>0</v>
      </c>
      <c r="M326" s="131">
        <v>2</v>
      </c>
      <c r="N326" s="131">
        <v>0</v>
      </c>
      <c r="O326" s="131">
        <v>6</v>
      </c>
      <c r="P326" s="131">
        <v>0</v>
      </c>
      <c r="Q326" s="131">
        <v>3</v>
      </c>
      <c r="R326" s="133">
        <v>0</v>
      </c>
      <c r="S326" s="131">
        <v>2</v>
      </c>
      <c r="T326" s="131">
        <v>6</v>
      </c>
      <c r="U326" s="133">
        <v>0.33333333333333331</v>
      </c>
      <c r="V326" s="131">
        <v>0</v>
      </c>
      <c r="W326" s="131">
        <v>0</v>
      </c>
      <c r="X326" s="133" t="s">
        <v>120</v>
      </c>
    </row>
    <row r="327" spans="1:75" x14ac:dyDescent="0.25">
      <c r="A327" s="131" t="s">
        <v>46</v>
      </c>
      <c r="B327" s="131" t="s">
        <v>58</v>
      </c>
      <c r="C327" s="132">
        <v>1830.7708333333333</v>
      </c>
      <c r="D327" s="131" t="s">
        <v>65</v>
      </c>
      <c r="E327" s="131" t="s">
        <v>18</v>
      </c>
      <c r="F327" s="131" t="s">
        <v>222</v>
      </c>
      <c r="G327" s="131">
        <v>1</v>
      </c>
      <c r="H327" s="131">
        <v>0</v>
      </c>
      <c r="I327" s="131">
        <v>4</v>
      </c>
      <c r="J327" s="131">
        <v>0</v>
      </c>
      <c r="K327" s="131">
        <v>1</v>
      </c>
      <c r="L327" s="131">
        <v>0</v>
      </c>
      <c r="M327" s="131">
        <v>2</v>
      </c>
      <c r="N327" s="131">
        <v>1</v>
      </c>
      <c r="O327" s="131">
        <v>3</v>
      </c>
      <c r="P327" s="131">
        <v>0</v>
      </c>
      <c r="Q327" s="131">
        <v>3</v>
      </c>
      <c r="R327" s="133">
        <v>0</v>
      </c>
      <c r="S327" s="131">
        <v>0</v>
      </c>
      <c r="T327" s="131">
        <v>3</v>
      </c>
      <c r="U327" s="133">
        <v>0</v>
      </c>
      <c r="V327" s="131">
        <v>0</v>
      </c>
      <c r="W327" s="131">
        <v>0</v>
      </c>
      <c r="X327" s="133" t="s">
        <v>120</v>
      </c>
    </row>
    <row r="328" spans="1:75" x14ac:dyDescent="0.25">
      <c r="A328" s="131" t="s">
        <v>46</v>
      </c>
      <c r="B328" s="131" t="s">
        <v>58</v>
      </c>
      <c r="C328" s="132">
        <v>1830.7708333333333</v>
      </c>
      <c r="D328" s="131" t="s">
        <v>65</v>
      </c>
      <c r="E328" s="131" t="s">
        <v>230</v>
      </c>
      <c r="F328" s="131" t="s">
        <v>222</v>
      </c>
      <c r="G328" s="131">
        <v>1</v>
      </c>
      <c r="H328" s="131">
        <v>4</v>
      </c>
      <c r="I328" s="131">
        <v>6</v>
      </c>
      <c r="J328" s="131">
        <v>0</v>
      </c>
      <c r="K328" s="131">
        <v>0</v>
      </c>
      <c r="L328" s="131">
        <v>1</v>
      </c>
      <c r="M328" s="131">
        <v>6</v>
      </c>
      <c r="N328" s="131">
        <v>0</v>
      </c>
      <c r="O328" s="131">
        <v>6</v>
      </c>
      <c r="P328" s="131">
        <v>0</v>
      </c>
      <c r="Q328" s="131">
        <v>0</v>
      </c>
      <c r="R328" s="133" t="s">
        <v>120</v>
      </c>
      <c r="S328" s="131">
        <v>2</v>
      </c>
      <c r="T328" s="131">
        <v>4</v>
      </c>
      <c r="U328" s="133">
        <v>0.5</v>
      </c>
      <c r="V328" s="131">
        <v>0</v>
      </c>
      <c r="W328" s="131">
        <v>0</v>
      </c>
      <c r="X328" s="133" t="s">
        <v>120</v>
      </c>
    </row>
    <row r="329" spans="1:75" x14ac:dyDescent="0.25">
      <c r="A329" s="131" t="s">
        <v>157</v>
      </c>
      <c r="B329" s="131" t="s">
        <v>157</v>
      </c>
      <c r="C329" s="132" t="s">
        <v>157</v>
      </c>
      <c r="D329" s="131" t="s">
        <v>157</v>
      </c>
      <c r="E329" s="131" t="s">
        <v>157</v>
      </c>
      <c r="F329" s="131" t="s">
        <v>157</v>
      </c>
      <c r="G329" s="131" t="s">
        <v>157</v>
      </c>
      <c r="H329" s="131" t="s">
        <v>157</v>
      </c>
      <c r="I329" s="131" t="s">
        <v>157</v>
      </c>
      <c r="J329" s="131" t="s">
        <v>157</v>
      </c>
      <c r="K329" s="131" t="s">
        <v>157</v>
      </c>
      <c r="L329" s="131" t="s">
        <v>157</v>
      </c>
      <c r="M329" s="131" t="s">
        <v>157</v>
      </c>
      <c r="N329" s="131" t="s">
        <v>157</v>
      </c>
      <c r="O329" s="131" t="s">
        <v>157</v>
      </c>
      <c r="P329" s="131" t="s">
        <v>157</v>
      </c>
      <c r="Q329" s="131" t="s">
        <v>157</v>
      </c>
      <c r="R329" s="133" t="s">
        <v>157</v>
      </c>
      <c r="S329" s="131" t="s">
        <v>157</v>
      </c>
      <c r="T329" s="131" t="s">
        <v>157</v>
      </c>
      <c r="U329" s="133" t="s">
        <v>157</v>
      </c>
      <c r="V329" s="131" t="s">
        <v>157</v>
      </c>
      <c r="W329" s="131" t="s">
        <v>157</v>
      </c>
      <c r="X329" s="133" t="s">
        <v>157</v>
      </c>
    </row>
    <row r="330" spans="1:75" x14ac:dyDescent="0.25">
      <c r="A330" s="131" t="s">
        <v>157</v>
      </c>
      <c r="B330" s="131" t="s">
        <v>157</v>
      </c>
      <c r="C330" s="132" t="s">
        <v>157</v>
      </c>
      <c r="D330" s="131" t="s">
        <v>157</v>
      </c>
      <c r="E330" s="131" t="s">
        <v>157</v>
      </c>
      <c r="F330" s="131" t="s">
        <v>157</v>
      </c>
      <c r="G330" s="131" t="s">
        <v>157</v>
      </c>
      <c r="H330" s="131" t="s">
        <v>157</v>
      </c>
      <c r="I330" s="131" t="s">
        <v>157</v>
      </c>
      <c r="J330" s="131" t="s">
        <v>157</v>
      </c>
      <c r="K330" s="131" t="s">
        <v>157</v>
      </c>
      <c r="L330" s="131" t="s">
        <v>157</v>
      </c>
      <c r="M330" s="131" t="s">
        <v>157</v>
      </c>
      <c r="N330" s="131" t="s">
        <v>157</v>
      </c>
      <c r="O330" s="131" t="s">
        <v>157</v>
      </c>
      <c r="P330" s="131" t="s">
        <v>157</v>
      </c>
      <c r="Q330" s="131" t="s">
        <v>157</v>
      </c>
      <c r="R330" s="133" t="s">
        <v>157</v>
      </c>
      <c r="S330" s="131" t="s">
        <v>157</v>
      </c>
      <c r="T330" s="131" t="s">
        <v>157</v>
      </c>
      <c r="U330" s="133" t="s">
        <v>157</v>
      </c>
      <c r="V330" s="131" t="s">
        <v>157</v>
      </c>
      <c r="W330" s="131" t="s">
        <v>157</v>
      </c>
      <c r="X330" s="133" t="s">
        <v>157</v>
      </c>
    </row>
    <row r="331" spans="1:75" x14ac:dyDescent="0.25">
      <c r="A331" s="131" t="s">
        <v>157</v>
      </c>
      <c r="B331" s="131" t="s">
        <v>157</v>
      </c>
      <c r="C331" s="132" t="s">
        <v>157</v>
      </c>
      <c r="D331" s="131" t="s">
        <v>157</v>
      </c>
      <c r="E331" s="131" t="s">
        <v>157</v>
      </c>
      <c r="F331" s="131" t="s">
        <v>157</v>
      </c>
      <c r="G331" s="131" t="s">
        <v>157</v>
      </c>
      <c r="H331" s="131" t="s">
        <v>157</v>
      </c>
      <c r="I331" s="131" t="s">
        <v>157</v>
      </c>
      <c r="J331" s="131" t="s">
        <v>157</v>
      </c>
      <c r="K331" s="131" t="s">
        <v>157</v>
      </c>
      <c r="L331" s="131" t="s">
        <v>157</v>
      </c>
      <c r="M331" s="131" t="s">
        <v>157</v>
      </c>
      <c r="N331" s="131" t="s">
        <v>157</v>
      </c>
      <c r="O331" s="131" t="s">
        <v>157</v>
      </c>
      <c r="P331" s="131" t="s">
        <v>157</v>
      </c>
      <c r="Q331" s="131" t="s">
        <v>157</v>
      </c>
      <c r="R331" s="133" t="s">
        <v>157</v>
      </c>
      <c r="S331" s="131" t="s">
        <v>157</v>
      </c>
      <c r="T331" s="131" t="s">
        <v>157</v>
      </c>
      <c r="U331" s="133" t="s">
        <v>157</v>
      </c>
      <c r="V331" s="131" t="s">
        <v>157</v>
      </c>
      <c r="W331" s="131" t="s">
        <v>157</v>
      </c>
      <c r="X331" s="133" t="s">
        <v>157</v>
      </c>
    </row>
    <row r="332" spans="1:75" x14ac:dyDescent="0.25">
      <c r="A332" s="131" t="s">
        <v>157</v>
      </c>
      <c r="B332" s="131" t="s">
        <v>157</v>
      </c>
      <c r="C332" s="132" t="s">
        <v>157</v>
      </c>
      <c r="D332" s="131" t="s">
        <v>157</v>
      </c>
      <c r="E332" s="131" t="s">
        <v>157</v>
      </c>
      <c r="F332" s="131" t="s">
        <v>157</v>
      </c>
      <c r="G332" s="131" t="s">
        <v>157</v>
      </c>
      <c r="H332" s="131" t="s">
        <v>157</v>
      </c>
      <c r="I332" s="131" t="s">
        <v>157</v>
      </c>
      <c r="J332" s="131" t="s">
        <v>157</v>
      </c>
      <c r="K332" s="131" t="s">
        <v>157</v>
      </c>
      <c r="L332" s="131" t="s">
        <v>157</v>
      </c>
      <c r="M332" s="131" t="s">
        <v>157</v>
      </c>
      <c r="N332" s="131" t="s">
        <v>157</v>
      </c>
      <c r="O332" s="131" t="s">
        <v>157</v>
      </c>
      <c r="P332" s="131" t="s">
        <v>157</v>
      </c>
      <c r="Q332" s="131" t="s">
        <v>157</v>
      </c>
      <c r="R332" s="133" t="s">
        <v>157</v>
      </c>
      <c r="S332" s="131" t="s">
        <v>157</v>
      </c>
      <c r="T332" s="131" t="s">
        <v>157</v>
      </c>
      <c r="U332" s="133" t="s">
        <v>157</v>
      </c>
      <c r="V332" s="131" t="s">
        <v>157</v>
      </c>
      <c r="W332" s="131" t="s">
        <v>157</v>
      </c>
      <c r="X332" s="133" t="s">
        <v>157</v>
      </c>
    </row>
    <row r="333" spans="1:75" x14ac:dyDescent="0.25">
      <c r="A333" s="131" t="s">
        <v>46</v>
      </c>
      <c r="B333" s="131" t="s">
        <v>58</v>
      </c>
      <c r="C333" s="132">
        <v>1830.8125</v>
      </c>
      <c r="D333" s="131" t="s">
        <v>65</v>
      </c>
      <c r="E333" s="131" t="s">
        <v>25</v>
      </c>
      <c r="F333" s="131" t="s">
        <v>42</v>
      </c>
      <c r="G333" s="131">
        <v>1</v>
      </c>
      <c r="H333" s="131">
        <v>10</v>
      </c>
      <c r="I333" s="131">
        <v>8</v>
      </c>
      <c r="J333" s="131">
        <v>2</v>
      </c>
      <c r="K333" s="131">
        <v>3</v>
      </c>
      <c r="L333" s="131">
        <v>0</v>
      </c>
      <c r="M333" s="131">
        <v>2</v>
      </c>
      <c r="N333" s="131">
        <v>1</v>
      </c>
      <c r="O333" s="131">
        <v>7</v>
      </c>
      <c r="P333" s="131">
        <v>2</v>
      </c>
      <c r="Q333" s="131">
        <v>6</v>
      </c>
      <c r="R333" s="133">
        <v>0.33333333333333331</v>
      </c>
      <c r="S333" s="131">
        <v>4</v>
      </c>
      <c r="T333" s="131">
        <v>12</v>
      </c>
      <c r="U333" s="133">
        <v>0.33333333333333331</v>
      </c>
      <c r="V333" s="131">
        <v>0</v>
      </c>
      <c r="W333" s="131">
        <v>0</v>
      </c>
      <c r="X333" s="133" t="s">
        <v>120</v>
      </c>
      <c r="Z333" s="134" t="s">
        <v>46</v>
      </c>
      <c r="AA333" s="134" t="s">
        <v>58</v>
      </c>
      <c r="AB333" s="135">
        <v>1830.8125</v>
      </c>
      <c r="AC333" s="134" t="s">
        <v>65</v>
      </c>
      <c r="AD333" s="134" t="s">
        <v>42</v>
      </c>
      <c r="AE333" s="134" t="s">
        <v>174</v>
      </c>
      <c r="AF333" s="134">
        <v>1</v>
      </c>
      <c r="AG333" s="134">
        <v>87</v>
      </c>
      <c r="AH333" s="134">
        <v>46</v>
      </c>
      <c r="AI333" s="134">
        <v>9</v>
      </c>
      <c r="AJ333" s="134">
        <v>10</v>
      </c>
      <c r="AK333" s="134">
        <v>0</v>
      </c>
      <c r="AL333" s="134">
        <v>7</v>
      </c>
      <c r="AM333" s="134">
        <v>17</v>
      </c>
      <c r="AN333" s="134">
        <v>29</v>
      </c>
      <c r="AO333" s="134">
        <v>12</v>
      </c>
      <c r="AP333" s="134">
        <v>30</v>
      </c>
      <c r="AQ333" s="136">
        <v>0.4</v>
      </c>
      <c r="AR333" s="134">
        <v>37</v>
      </c>
      <c r="AS333" s="134">
        <v>81</v>
      </c>
      <c r="AT333" s="136">
        <v>0.4567901234567901</v>
      </c>
      <c r="AU333" s="134">
        <v>1</v>
      </c>
      <c r="AV333" s="134">
        <v>7</v>
      </c>
      <c r="AW333" s="136">
        <v>0.14285714285714285</v>
      </c>
      <c r="AY333" s="134" t="s">
        <v>46</v>
      </c>
      <c r="AZ333" s="134" t="s">
        <v>58</v>
      </c>
      <c r="BA333" s="135">
        <v>1830.8125</v>
      </c>
      <c r="BB333" s="134" t="s">
        <v>65</v>
      </c>
      <c r="BC333" s="134" t="s">
        <v>89</v>
      </c>
      <c r="BD333" s="134"/>
      <c r="BE333" s="134">
        <v>1</v>
      </c>
      <c r="BF333" s="134">
        <v>150</v>
      </c>
      <c r="BG333" s="134">
        <v>85</v>
      </c>
      <c r="BH333" s="134">
        <v>20</v>
      </c>
      <c r="BI333" s="134">
        <v>13</v>
      </c>
      <c r="BJ333" s="134">
        <v>2</v>
      </c>
      <c r="BK333" s="134">
        <v>19</v>
      </c>
      <c r="BL333" s="134">
        <v>31</v>
      </c>
      <c r="BM333" s="134">
        <v>54</v>
      </c>
      <c r="BN333" s="134">
        <v>20</v>
      </c>
      <c r="BO333" s="134">
        <v>58</v>
      </c>
      <c r="BP333" s="136">
        <v>0.34482758620689657</v>
      </c>
      <c r="BQ333" s="134">
        <v>62</v>
      </c>
      <c r="BR333" s="134">
        <v>148</v>
      </c>
      <c r="BS333" s="136">
        <v>0.41891891891891891</v>
      </c>
      <c r="BT333" s="134">
        <v>6</v>
      </c>
      <c r="BU333" s="134">
        <v>21</v>
      </c>
      <c r="BV333" s="136">
        <v>0.2857142857142857</v>
      </c>
      <c r="BW333" s="174" t="s">
        <v>213</v>
      </c>
    </row>
    <row r="334" spans="1:75" x14ac:dyDescent="0.25">
      <c r="A334" s="131" t="s">
        <v>46</v>
      </c>
      <c r="B334" s="131" t="s">
        <v>58</v>
      </c>
      <c r="C334" s="132">
        <v>1830.8125</v>
      </c>
      <c r="D334" s="131" t="s">
        <v>65</v>
      </c>
      <c r="E334" s="131" t="s">
        <v>26</v>
      </c>
      <c r="F334" s="131" t="s">
        <v>42</v>
      </c>
      <c r="G334" s="131">
        <v>1</v>
      </c>
      <c r="H334" s="131">
        <v>38</v>
      </c>
      <c r="I334" s="131">
        <v>15</v>
      </c>
      <c r="J334" s="131">
        <v>3</v>
      </c>
      <c r="K334" s="131">
        <v>2</v>
      </c>
      <c r="L334" s="131">
        <v>0</v>
      </c>
      <c r="M334" s="131">
        <v>1</v>
      </c>
      <c r="N334" s="131">
        <v>8</v>
      </c>
      <c r="O334" s="131">
        <v>7</v>
      </c>
      <c r="P334" s="131">
        <v>7</v>
      </c>
      <c r="Q334" s="131">
        <v>14</v>
      </c>
      <c r="R334" s="133">
        <v>0.5</v>
      </c>
      <c r="S334" s="131">
        <v>15</v>
      </c>
      <c r="T334" s="131">
        <v>29</v>
      </c>
      <c r="U334" s="133">
        <v>0.51724137931034486</v>
      </c>
      <c r="V334" s="131">
        <v>1</v>
      </c>
      <c r="W334" s="131">
        <v>2</v>
      </c>
      <c r="X334" s="133">
        <v>0.5</v>
      </c>
      <c r="Z334" s="134" t="s">
        <v>46</v>
      </c>
      <c r="AA334" s="134" t="s">
        <v>58</v>
      </c>
      <c r="AB334" s="135">
        <v>1830.8125</v>
      </c>
      <c r="AC334" s="134" t="s">
        <v>65</v>
      </c>
      <c r="AD334" s="134" t="s">
        <v>40</v>
      </c>
      <c r="AE334" s="134" t="s">
        <v>175</v>
      </c>
      <c r="AF334" s="134">
        <v>1</v>
      </c>
      <c r="AG334" s="134">
        <v>63</v>
      </c>
      <c r="AH334" s="134">
        <v>39</v>
      </c>
      <c r="AI334" s="134">
        <v>11</v>
      </c>
      <c r="AJ334" s="134">
        <v>3</v>
      </c>
      <c r="AK334" s="134">
        <v>2</v>
      </c>
      <c r="AL334" s="134">
        <v>12</v>
      </c>
      <c r="AM334" s="134">
        <v>14</v>
      </c>
      <c r="AN334" s="134">
        <v>25</v>
      </c>
      <c r="AO334" s="134">
        <v>8</v>
      </c>
      <c r="AP334" s="134">
        <v>28</v>
      </c>
      <c r="AQ334" s="136">
        <v>0.2857142857142857</v>
      </c>
      <c r="AR334" s="134">
        <v>25</v>
      </c>
      <c r="AS334" s="134">
        <v>67</v>
      </c>
      <c r="AT334" s="136">
        <v>0.37313432835820898</v>
      </c>
      <c r="AU334" s="134">
        <v>5</v>
      </c>
      <c r="AV334" s="134">
        <v>14</v>
      </c>
      <c r="AW334" s="136">
        <v>0.35714285714285715</v>
      </c>
    </row>
    <row r="335" spans="1:75" x14ac:dyDescent="0.25">
      <c r="A335" s="131" t="s">
        <v>46</v>
      </c>
      <c r="B335" s="131" t="s">
        <v>58</v>
      </c>
      <c r="C335" s="132">
        <v>1830.8125</v>
      </c>
      <c r="D335" s="131" t="s">
        <v>65</v>
      </c>
      <c r="E335" s="131" t="s">
        <v>27</v>
      </c>
      <c r="F335" s="131" t="s">
        <v>42</v>
      </c>
      <c r="G335" s="131">
        <v>1</v>
      </c>
      <c r="H335" s="131">
        <v>22</v>
      </c>
      <c r="I335" s="131">
        <v>10</v>
      </c>
      <c r="J335" s="131">
        <v>1</v>
      </c>
      <c r="K335" s="131">
        <v>4</v>
      </c>
      <c r="L335" s="131">
        <v>0</v>
      </c>
      <c r="M335" s="131">
        <v>1</v>
      </c>
      <c r="N335" s="131">
        <v>5</v>
      </c>
      <c r="O335" s="131">
        <v>5</v>
      </c>
      <c r="P335" s="131">
        <v>0</v>
      </c>
      <c r="Q335" s="131">
        <v>2</v>
      </c>
      <c r="R335" s="133">
        <v>0</v>
      </c>
      <c r="S335" s="131">
        <v>11</v>
      </c>
      <c r="T335" s="131">
        <v>22</v>
      </c>
      <c r="U335" s="133">
        <v>0.5</v>
      </c>
      <c r="V335" s="131">
        <v>0</v>
      </c>
      <c r="W335" s="131">
        <v>3</v>
      </c>
      <c r="X335" s="133">
        <v>0</v>
      </c>
    </row>
    <row r="336" spans="1:75" x14ac:dyDescent="0.25">
      <c r="A336" s="131" t="s">
        <v>46</v>
      </c>
      <c r="B336" s="131" t="s">
        <v>58</v>
      </c>
      <c r="C336" s="132">
        <v>1830.8125</v>
      </c>
      <c r="D336" s="131" t="s">
        <v>65</v>
      </c>
      <c r="E336" s="131" t="s">
        <v>28</v>
      </c>
      <c r="F336" s="131" t="s">
        <v>42</v>
      </c>
      <c r="G336" s="131">
        <v>1</v>
      </c>
      <c r="H336" s="131">
        <v>8</v>
      </c>
      <c r="I336" s="131">
        <v>5</v>
      </c>
      <c r="J336" s="131">
        <v>1</v>
      </c>
      <c r="K336" s="131">
        <v>0</v>
      </c>
      <c r="L336" s="131">
        <v>0</v>
      </c>
      <c r="M336" s="131">
        <v>0</v>
      </c>
      <c r="N336" s="131">
        <v>1</v>
      </c>
      <c r="O336" s="131">
        <v>4</v>
      </c>
      <c r="P336" s="131">
        <v>2</v>
      </c>
      <c r="Q336" s="131">
        <v>4</v>
      </c>
      <c r="R336" s="133">
        <v>0.5</v>
      </c>
      <c r="S336" s="131">
        <v>3</v>
      </c>
      <c r="T336" s="131">
        <v>6</v>
      </c>
      <c r="U336" s="133">
        <v>0.5</v>
      </c>
      <c r="V336" s="131">
        <v>0</v>
      </c>
      <c r="W336" s="131">
        <v>0</v>
      </c>
      <c r="X336" s="133" t="s">
        <v>120</v>
      </c>
    </row>
    <row r="337" spans="1:75" x14ac:dyDescent="0.25">
      <c r="A337" s="131" t="s">
        <v>46</v>
      </c>
      <c r="B337" s="131" t="s">
        <v>58</v>
      </c>
      <c r="C337" s="132">
        <v>1830.8125</v>
      </c>
      <c r="D337" s="131" t="s">
        <v>65</v>
      </c>
      <c r="E337" s="131" t="s">
        <v>29</v>
      </c>
      <c r="F337" s="131" t="s">
        <v>42</v>
      </c>
      <c r="G337" s="131">
        <v>1</v>
      </c>
      <c r="H337" s="131">
        <v>9</v>
      </c>
      <c r="I337" s="131">
        <v>8</v>
      </c>
      <c r="J337" s="131">
        <v>2</v>
      </c>
      <c r="K337" s="131">
        <v>1</v>
      </c>
      <c r="L337" s="131">
        <v>0</v>
      </c>
      <c r="M337" s="131">
        <v>3</v>
      </c>
      <c r="N337" s="131">
        <v>2</v>
      </c>
      <c r="O337" s="131">
        <v>6</v>
      </c>
      <c r="P337" s="131">
        <v>1</v>
      </c>
      <c r="Q337" s="131">
        <v>4</v>
      </c>
      <c r="R337" s="133">
        <v>0.25</v>
      </c>
      <c r="S337" s="131">
        <v>4</v>
      </c>
      <c r="T337" s="131">
        <v>12</v>
      </c>
      <c r="U337" s="133">
        <v>0.33333333333333331</v>
      </c>
      <c r="V337" s="131">
        <v>0</v>
      </c>
      <c r="W337" s="131">
        <v>2</v>
      </c>
      <c r="X337" s="133">
        <v>0</v>
      </c>
    </row>
    <row r="338" spans="1:75" x14ac:dyDescent="0.25">
      <c r="A338" s="131" t="s">
        <v>46</v>
      </c>
      <c r="B338" s="131" t="s">
        <v>58</v>
      </c>
      <c r="C338" s="132">
        <v>1830.8125</v>
      </c>
      <c r="D338" s="131" t="s">
        <v>65</v>
      </c>
      <c r="E338" s="131" t="s">
        <v>8</v>
      </c>
      <c r="F338" s="131" t="s">
        <v>40</v>
      </c>
      <c r="G338" s="131">
        <v>1</v>
      </c>
      <c r="H338" s="131">
        <v>21</v>
      </c>
      <c r="I338" s="131">
        <v>9</v>
      </c>
      <c r="J338" s="131">
        <v>3</v>
      </c>
      <c r="K338" s="131">
        <v>0</v>
      </c>
      <c r="L338" s="131">
        <v>0</v>
      </c>
      <c r="M338" s="131">
        <v>4</v>
      </c>
      <c r="N338" s="131">
        <v>4</v>
      </c>
      <c r="O338" s="131">
        <v>5</v>
      </c>
      <c r="P338" s="131">
        <v>1</v>
      </c>
      <c r="Q338" s="131">
        <v>8</v>
      </c>
      <c r="R338" s="133">
        <v>0.125</v>
      </c>
      <c r="S338" s="131">
        <v>8</v>
      </c>
      <c r="T338" s="131">
        <v>22</v>
      </c>
      <c r="U338" s="133">
        <v>0.36363636363636365</v>
      </c>
      <c r="V338" s="131">
        <v>4</v>
      </c>
      <c r="W338" s="131">
        <v>10</v>
      </c>
      <c r="X338" s="133">
        <v>0.4</v>
      </c>
    </row>
    <row r="339" spans="1:75" x14ac:dyDescent="0.25">
      <c r="A339" s="131" t="s">
        <v>46</v>
      </c>
      <c r="B339" s="131" t="s">
        <v>58</v>
      </c>
      <c r="C339" s="132">
        <v>1830.8125</v>
      </c>
      <c r="D339" s="131" t="s">
        <v>65</v>
      </c>
      <c r="E339" s="131" t="s">
        <v>7</v>
      </c>
      <c r="F339" s="131" t="s">
        <v>40</v>
      </c>
      <c r="G339" s="131">
        <v>1</v>
      </c>
      <c r="H339" s="131">
        <v>10</v>
      </c>
      <c r="I339" s="131">
        <v>7</v>
      </c>
      <c r="J339" s="131">
        <v>3</v>
      </c>
      <c r="K339" s="131">
        <v>0</v>
      </c>
      <c r="L339" s="131">
        <v>1</v>
      </c>
      <c r="M339" s="131">
        <v>4</v>
      </c>
      <c r="N339" s="131">
        <v>3</v>
      </c>
      <c r="O339" s="131">
        <v>4</v>
      </c>
      <c r="P339" s="131">
        <v>1</v>
      </c>
      <c r="Q339" s="131">
        <v>2</v>
      </c>
      <c r="R339" s="133">
        <v>0.5</v>
      </c>
      <c r="S339" s="131">
        <v>4</v>
      </c>
      <c r="T339" s="131">
        <v>13</v>
      </c>
      <c r="U339" s="133">
        <v>0.30769230769230771</v>
      </c>
      <c r="V339" s="131">
        <v>1</v>
      </c>
      <c r="W339" s="131">
        <v>3</v>
      </c>
      <c r="X339" s="133">
        <v>0.33333333333333331</v>
      </c>
    </row>
    <row r="340" spans="1:75" x14ac:dyDescent="0.25">
      <c r="A340" s="131" t="s">
        <v>46</v>
      </c>
      <c r="B340" s="131" t="s">
        <v>58</v>
      </c>
      <c r="C340" s="132">
        <v>1830.8125</v>
      </c>
      <c r="D340" s="131" t="s">
        <v>65</v>
      </c>
      <c r="E340" s="131" t="s">
        <v>9</v>
      </c>
      <c r="F340" s="131" t="s">
        <v>40</v>
      </c>
      <c r="G340" s="131">
        <v>1</v>
      </c>
      <c r="H340" s="131">
        <v>23</v>
      </c>
      <c r="I340" s="131">
        <v>9</v>
      </c>
      <c r="J340" s="131">
        <v>3</v>
      </c>
      <c r="K340" s="131">
        <v>1</v>
      </c>
      <c r="L340" s="131">
        <v>0</v>
      </c>
      <c r="M340" s="131">
        <v>1</v>
      </c>
      <c r="N340" s="131">
        <v>2</v>
      </c>
      <c r="O340" s="131">
        <v>7</v>
      </c>
      <c r="P340" s="131">
        <v>5</v>
      </c>
      <c r="Q340" s="131">
        <v>13</v>
      </c>
      <c r="R340" s="133">
        <v>0.38461538461538464</v>
      </c>
      <c r="S340" s="131">
        <v>9</v>
      </c>
      <c r="T340" s="131">
        <v>18</v>
      </c>
      <c r="U340" s="133">
        <v>0.5</v>
      </c>
      <c r="V340" s="131">
        <v>0</v>
      </c>
      <c r="W340" s="131">
        <v>1</v>
      </c>
      <c r="X340" s="133">
        <v>0</v>
      </c>
    </row>
    <row r="341" spans="1:75" x14ac:dyDescent="0.25">
      <c r="A341" s="131" t="s">
        <v>46</v>
      </c>
      <c r="B341" s="131" t="s">
        <v>58</v>
      </c>
      <c r="C341" s="132">
        <v>1830.8125</v>
      </c>
      <c r="D341" s="131" t="s">
        <v>65</v>
      </c>
      <c r="E341" s="131" t="s">
        <v>10</v>
      </c>
      <c r="F341" s="131" t="s">
        <v>40</v>
      </c>
      <c r="G341" s="131">
        <v>1</v>
      </c>
      <c r="H341" s="131">
        <v>0</v>
      </c>
      <c r="I341" s="131">
        <v>8</v>
      </c>
      <c r="J341" s="131">
        <v>1</v>
      </c>
      <c r="K341" s="131">
        <v>1</v>
      </c>
      <c r="L341" s="131">
        <v>0</v>
      </c>
      <c r="M341" s="131">
        <v>3</v>
      </c>
      <c r="N341" s="131">
        <v>3</v>
      </c>
      <c r="O341" s="131">
        <v>5</v>
      </c>
      <c r="P341" s="131">
        <v>0</v>
      </c>
      <c r="Q341" s="131">
        <v>1</v>
      </c>
      <c r="R341" s="133">
        <v>0</v>
      </c>
      <c r="S341" s="131">
        <v>0</v>
      </c>
      <c r="T341" s="131">
        <v>6</v>
      </c>
      <c r="U341" s="133">
        <v>0</v>
      </c>
      <c r="V341" s="131">
        <v>0</v>
      </c>
      <c r="W341" s="131">
        <v>0</v>
      </c>
      <c r="X341" s="133" t="s">
        <v>120</v>
      </c>
    </row>
    <row r="342" spans="1:75" x14ac:dyDescent="0.25">
      <c r="A342" s="131" t="s">
        <v>46</v>
      </c>
      <c r="B342" s="131" t="s">
        <v>58</v>
      </c>
      <c r="C342" s="132">
        <v>1830.8125</v>
      </c>
      <c r="D342" s="131" t="s">
        <v>65</v>
      </c>
      <c r="E342" s="131" t="s">
        <v>12</v>
      </c>
      <c r="F342" s="131" t="s">
        <v>40</v>
      </c>
      <c r="G342" s="131">
        <v>1</v>
      </c>
      <c r="H342" s="131">
        <v>9</v>
      </c>
      <c r="I342" s="131">
        <v>6</v>
      </c>
      <c r="J342" s="131">
        <v>1</v>
      </c>
      <c r="K342" s="131">
        <v>1</v>
      </c>
      <c r="L342" s="131">
        <v>1</v>
      </c>
      <c r="M342" s="131">
        <v>0</v>
      </c>
      <c r="N342" s="131">
        <v>2</v>
      </c>
      <c r="O342" s="131">
        <v>4</v>
      </c>
      <c r="P342" s="131">
        <v>1</v>
      </c>
      <c r="Q342" s="131">
        <v>4</v>
      </c>
      <c r="R342" s="133">
        <v>0.25</v>
      </c>
      <c r="S342" s="131">
        <v>4</v>
      </c>
      <c r="T342" s="131">
        <v>8</v>
      </c>
      <c r="U342" s="133">
        <v>0.5</v>
      </c>
      <c r="V342" s="131">
        <v>0</v>
      </c>
      <c r="W342" s="131">
        <v>0</v>
      </c>
      <c r="X342" s="133" t="s">
        <v>120</v>
      </c>
    </row>
    <row r="343" spans="1:75" x14ac:dyDescent="0.25">
      <c r="A343" s="131" t="s">
        <v>157</v>
      </c>
      <c r="B343" s="131" t="s">
        <v>157</v>
      </c>
      <c r="C343" s="132" t="s">
        <v>157</v>
      </c>
      <c r="D343" s="131" t="s">
        <v>157</v>
      </c>
      <c r="E343" s="131" t="s">
        <v>157</v>
      </c>
      <c r="F343" s="131" t="s">
        <v>157</v>
      </c>
      <c r="G343" s="131" t="s">
        <v>157</v>
      </c>
      <c r="H343" s="131" t="s">
        <v>157</v>
      </c>
      <c r="I343" s="131" t="s">
        <v>157</v>
      </c>
      <c r="J343" s="131" t="s">
        <v>157</v>
      </c>
      <c r="K343" s="131" t="s">
        <v>157</v>
      </c>
      <c r="L343" s="131" t="s">
        <v>157</v>
      </c>
      <c r="M343" s="131" t="s">
        <v>157</v>
      </c>
      <c r="N343" s="131" t="s">
        <v>157</v>
      </c>
      <c r="O343" s="131" t="s">
        <v>157</v>
      </c>
      <c r="P343" s="131" t="s">
        <v>157</v>
      </c>
      <c r="Q343" s="131" t="s">
        <v>157</v>
      </c>
      <c r="R343" s="133" t="s">
        <v>157</v>
      </c>
      <c r="S343" s="131" t="s">
        <v>157</v>
      </c>
      <c r="T343" s="131" t="s">
        <v>157</v>
      </c>
      <c r="U343" s="133" t="s">
        <v>157</v>
      </c>
      <c r="V343" s="131" t="s">
        <v>157</v>
      </c>
      <c r="W343" s="131" t="s">
        <v>157</v>
      </c>
      <c r="X343" s="133" t="s">
        <v>157</v>
      </c>
    </row>
    <row r="344" spans="1:75" x14ac:dyDescent="0.25">
      <c r="A344" s="131" t="s">
        <v>157</v>
      </c>
      <c r="B344" s="131" t="s">
        <v>157</v>
      </c>
      <c r="C344" s="132" t="s">
        <v>157</v>
      </c>
      <c r="D344" s="131" t="s">
        <v>157</v>
      </c>
      <c r="E344" s="131" t="s">
        <v>157</v>
      </c>
      <c r="F344" s="131" t="s">
        <v>157</v>
      </c>
      <c r="G344" s="131" t="s">
        <v>157</v>
      </c>
      <c r="H344" s="131" t="s">
        <v>157</v>
      </c>
      <c r="I344" s="131" t="s">
        <v>157</v>
      </c>
      <c r="J344" s="131" t="s">
        <v>157</v>
      </c>
      <c r="K344" s="131" t="s">
        <v>157</v>
      </c>
      <c r="L344" s="131" t="s">
        <v>157</v>
      </c>
      <c r="M344" s="131" t="s">
        <v>157</v>
      </c>
      <c r="N344" s="131" t="s">
        <v>157</v>
      </c>
      <c r="O344" s="131" t="s">
        <v>157</v>
      </c>
      <c r="P344" s="131" t="s">
        <v>157</v>
      </c>
      <c r="Q344" s="131" t="s">
        <v>157</v>
      </c>
      <c r="R344" s="133" t="s">
        <v>157</v>
      </c>
      <c r="S344" s="131" t="s">
        <v>157</v>
      </c>
      <c r="T344" s="131" t="s">
        <v>157</v>
      </c>
      <c r="U344" s="133" t="s">
        <v>157</v>
      </c>
      <c r="V344" s="131" t="s">
        <v>157</v>
      </c>
      <c r="W344" s="131" t="s">
        <v>157</v>
      </c>
      <c r="X344" s="133" t="s">
        <v>157</v>
      </c>
    </row>
    <row r="345" spans="1:75" x14ac:dyDescent="0.25">
      <c r="A345" s="131" t="s">
        <v>157</v>
      </c>
      <c r="B345" s="131" t="s">
        <v>157</v>
      </c>
      <c r="C345" s="132" t="s">
        <v>157</v>
      </c>
      <c r="D345" s="131" t="s">
        <v>157</v>
      </c>
      <c r="E345" s="131" t="s">
        <v>157</v>
      </c>
      <c r="F345" s="131" t="s">
        <v>157</v>
      </c>
      <c r="G345" s="131" t="s">
        <v>157</v>
      </c>
      <c r="H345" s="131" t="s">
        <v>157</v>
      </c>
      <c r="I345" s="131" t="s">
        <v>157</v>
      </c>
      <c r="J345" s="131" t="s">
        <v>157</v>
      </c>
      <c r="K345" s="131" t="s">
        <v>157</v>
      </c>
      <c r="L345" s="131" t="s">
        <v>157</v>
      </c>
      <c r="M345" s="131" t="s">
        <v>157</v>
      </c>
      <c r="N345" s="131" t="s">
        <v>157</v>
      </c>
      <c r="O345" s="131" t="s">
        <v>157</v>
      </c>
      <c r="P345" s="131" t="s">
        <v>157</v>
      </c>
      <c r="Q345" s="131" t="s">
        <v>157</v>
      </c>
      <c r="R345" s="133" t="s">
        <v>157</v>
      </c>
      <c r="S345" s="131" t="s">
        <v>157</v>
      </c>
      <c r="T345" s="131" t="s">
        <v>157</v>
      </c>
      <c r="U345" s="133" t="s">
        <v>157</v>
      </c>
      <c r="V345" s="131" t="s">
        <v>157</v>
      </c>
      <c r="W345" s="131" t="s">
        <v>157</v>
      </c>
      <c r="X345" s="133" t="s">
        <v>157</v>
      </c>
    </row>
    <row r="346" spans="1:75" x14ac:dyDescent="0.25">
      <c r="A346" s="131" t="s">
        <v>157</v>
      </c>
      <c r="B346" s="131" t="s">
        <v>157</v>
      </c>
      <c r="C346" s="132" t="s">
        <v>157</v>
      </c>
      <c r="D346" s="131" t="s">
        <v>157</v>
      </c>
      <c r="E346" s="131" t="s">
        <v>157</v>
      </c>
      <c r="F346" s="131" t="s">
        <v>157</v>
      </c>
      <c r="G346" s="131" t="s">
        <v>157</v>
      </c>
      <c r="H346" s="131" t="s">
        <v>157</v>
      </c>
      <c r="I346" s="131" t="s">
        <v>157</v>
      </c>
      <c r="J346" s="131" t="s">
        <v>157</v>
      </c>
      <c r="K346" s="131" t="s">
        <v>157</v>
      </c>
      <c r="L346" s="131" t="s">
        <v>157</v>
      </c>
      <c r="M346" s="131" t="s">
        <v>157</v>
      </c>
      <c r="N346" s="131" t="s">
        <v>157</v>
      </c>
      <c r="O346" s="131" t="s">
        <v>157</v>
      </c>
      <c r="P346" s="131" t="s">
        <v>157</v>
      </c>
      <c r="Q346" s="131" t="s">
        <v>157</v>
      </c>
      <c r="R346" s="133" t="s">
        <v>157</v>
      </c>
      <c r="S346" s="131" t="s">
        <v>157</v>
      </c>
      <c r="T346" s="131" t="s">
        <v>157</v>
      </c>
      <c r="U346" s="133" t="s">
        <v>157</v>
      </c>
      <c r="V346" s="131" t="s">
        <v>157</v>
      </c>
      <c r="W346" s="131" t="s">
        <v>157</v>
      </c>
      <c r="X346" s="133" t="s">
        <v>157</v>
      </c>
    </row>
    <row r="347" spans="1:75" x14ac:dyDescent="0.25">
      <c r="A347" s="131" t="s">
        <v>157</v>
      </c>
      <c r="B347" s="131" t="s">
        <v>157</v>
      </c>
      <c r="C347" s="132" t="s">
        <v>157</v>
      </c>
      <c r="D347" s="131" t="s">
        <v>157</v>
      </c>
      <c r="E347" s="131" t="s">
        <v>157</v>
      </c>
      <c r="F347" s="131" t="s">
        <v>157</v>
      </c>
      <c r="G347" s="131" t="s">
        <v>157</v>
      </c>
      <c r="H347" s="131" t="s">
        <v>157</v>
      </c>
      <c r="I347" s="131" t="s">
        <v>157</v>
      </c>
      <c r="J347" s="131" t="s">
        <v>157</v>
      </c>
      <c r="K347" s="131" t="s">
        <v>157</v>
      </c>
      <c r="L347" s="131" t="s">
        <v>157</v>
      </c>
      <c r="M347" s="131" t="s">
        <v>157</v>
      </c>
      <c r="N347" s="131" t="s">
        <v>157</v>
      </c>
      <c r="O347" s="131" t="s">
        <v>157</v>
      </c>
      <c r="P347" s="131" t="s">
        <v>157</v>
      </c>
      <c r="Q347" s="131" t="s">
        <v>157</v>
      </c>
      <c r="R347" s="133" t="s">
        <v>157</v>
      </c>
      <c r="S347" s="131" t="s">
        <v>157</v>
      </c>
      <c r="T347" s="131" t="s">
        <v>157</v>
      </c>
      <c r="U347" s="133" t="s">
        <v>157</v>
      </c>
      <c r="V347" s="131" t="s">
        <v>157</v>
      </c>
      <c r="W347" s="131" t="s">
        <v>157</v>
      </c>
      <c r="X347" s="133" t="s">
        <v>157</v>
      </c>
    </row>
    <row r="348" spans="1:75" x14ac:dyDescent="0.25">
      <c r="A348" s="131" t="s">
        <v>46</v>
      </c>
      <c r="B348" s="131" t="s">
        <v>58</v>
      </c>
      <c r="C348" s="132">
        <v>1830.8541666666699</v>
      </c>
      <c r="D348" s="131" t="s">
        <v>65</v>
      </c>
      <c r="E348" s="131" t="s">
        <v>31</v>
      </c>
      <c r="F348" s="131" t="s">
        <v>43</v>
      </c>
      <c r="G348" s="131">
        <v>1</v>
      </c>
      <c r="H348" s="131">
        <v>21</v>
      </c>
      <c r="I348" s="131">
        <v>4</v>
      </c>
      <c r="J348" s="131">
        <v>3</v>
      </c>
      <c r="K348" s="131">
        <v>2</v>
      </c>
      <c r="L348" s="131">
        <v>0</v>
      </c>
      <c r="M348" s="131">
        <v>6</v>
      </c>
      <c r="N348" s="131">
        <v>0</v>
      </c>
      <c r="O348" s="131">
        <v>0</v>
      </c>
      <c r="P348" s="131">
        <v>2</v>
      </c>
      <c r="Q348" s="131">
        <v>6</v>
      </c>
      <c r="R348" s="133">
        <v>0.33333333333333331</v>
      </c>
      <c r="S348" s="131">
        <v>7</v>
      </c>
      <c r="T348" s="131">
        <v>17</v>
      </c>
      <c r="U348" s="133">
        <v>0.41176470588235292</v>
      </c>
      <c r="V348" s="131">
        <v>5</v>
      </c>
      <c r="W348" s="131">
        <v>5</v>
      </c>
      <c r="X348" s="133">
        <v>1</v>
      </c>
      <c r="Z348" s="134" t="s">
        <v>46</v>
      </c>
      <c r="AA348" s="134" t="s">
        <v>58</v>
      </c>
      <c r="AB348" s="135">
        <v>1830.8541666666699</v>
      </c>
      <c r="AC348" s="134" t="s">
        <v>65</v>
      </c>
      <c r="AD348" s="134" t="s">
        <v>39</v>
      </c>
      <c r="AE348" s="134" t="s">
        <v>175</v>
      </c>
      <c r="AF348" s="134">
        <v>1</v>
      </c>
      <c r="AG348" s="134">
        <v>44</v>
      </c>
      <c r="AH348" s="134">
        <v>37</v>
      </c>
      <c r="AI348" s="134">
        <v>11</v>
      </c>
      <c r="AJ348" s="134">
        <v>13</v>
      </c>
      <c r="AK348" s="134">
        <v>1</v>
      </c>
      <c r="AL348" s="134">
        <v>22</v>
      </c>
      <c r="AM348" s="134">
        <v>0</v>
      </c>
      <c r="AN348" s="134">
        <v>0</v>
      </c>
      <c r="AO348" s="134">
        <v>7</v>
      </c>
      <c r="AP348" s="134">
        <v>39</v>
      </c>
      <c r="AQ348" s="136">
        <v>0.17948717948717949</v>
      </c>
      <c r="AR348" s="134">
        <v>17</v>
      </c>
      <c r="AS348" s="134">
        <v>65</v>
      </c>
      <c r="AT348" s="136">
        <v>0.26153846153846155</v>
      </c>
      <c r="AU348" s="134">
        <v>3</v>
      </c>
      <c r="AV348" s="134">
        <v>3</v>
      </c>
      <c r="AW348" s="136">
        <v>1</v>
      </c>
      <c r="AY348" s="134" t="s">
        <v>46</v>
      </c>
      <c r="AZ348" s="134" t="s">
        <v>58</v>
      </c>
      <c r="BA348" s="135">
        <v>1830.8541666666699</v>
      </c>
      <c r="BB348" s="134" t="s">
        <v>65</v>
      </c>
      <c r="BC348" s="134" t="s">
        <v>89</v>
      </c>
      <c r="BD348" s="134"/>
      <c r="BE348" s="134">
        <v>1</v>
      </c>
      <c r="BF348" s="134">
        <v>98</v>
      </c>
      <c r="BG348" s="134">
        <v>71</v>
      </c>
      <c r="BH348" s="134">
        <v>21</v>
      </c>
      <c r="BI348" s="134">
        <v>27</v>
      </c>
      <c r="BJ348" s="134">
        <v>2</v>
      </c>
      <c r="BK348" s="134">
        <v>41</v>
      </c>
      <c r="BL348" s="134">
        <v>0</v>
      </c>
      <c r="BM348" s="134">
        <v>0</v>
      </c>
      <c r="BN348" s="134">
        <v>11</v>
      </c>
      <c r="BO348" s="134">
        <v>61</v>
      </c>
      <c r="BP348" s="136">
        <v>0.18032786885245902</v>
      </c>
      <c r="BQ348" s="134">
        <v>37</v>
      </c>
      <c r="BR348" s="134">
        <v>120</v>
      </c>
      <c r="BS348" s="136">
        <v>0.30833333333333335</v>
      </c>
      <c r="BT348" s="134">
        <v>13</v>
      </c>
      <c r="BU348" s="134">
        <v>14</v>
      </c>
      <c r="BV348" s="136">
        <v>0.9285714285714286</v>
      </c>
      <c r="BW348" s="174" t="s">
        <v>214</v>
      </c>
    </row>
    <row r="349" spans="1:75" x14ac:dyDescent="0.25">
      <c r="A349" s="131" t="s">
        <v>46</v>
      </c>
      <c r="B349" s="131" t="s">
        <v>58</v>
      </c>
      <c r="C349" s="132">
        <v>1830.8541666666699</v>
      </c>
      <c r="D349" s="131" t="s">
        <v>65</v>
      </c>
      <c r="E349" s="131" t="s">
        <v>33</v>
      </c>
      <c r="F349" s="131" t="s">
        <v>43</v>
      </c>
      <c r="G349" s="131">
        <v>1</v>
      </c>
      <c r="H349" s="131">
        <v>10</v>
      </c>
      <c r="I349" s="131">
        <v>11</v>
      </c>
      <c r="J349" s="131">
        <v>2</v>
      </c>
      <c r="K349" s="131">
        <v>9</v>
      </c>
      <c r="L349" s="131">
        <v>1</v>
      </c>
      <c r="M349" s="131">
        <v>2</v>
      </c>
      <c r="N349" s="131">
        <v>0</v>
      </c>
      <c r="O349" s="131">
        <v>0</v>
      </c>
      <c r="P349" s="131">
        <v>0</v>
      </c>
      <c r="Q349" s="131">
        <v>5</v>
      </c>
      <c r="R349" s="133">
        <v>0</v>
      </c>
      <c r="S349" s="131">
        <v>5</v>
      </c>
      <c r="T349" s="131">
        <v>15</v>
      </c>
      <c r="U349" s="133">
        <v>0.33333333333333331</v>
      </c>
      <c r="V349" s="131">
        <v>0</v>
      </c>
      <c r="W349" s="131">
        <v>0</v>
      </c>
      <c r="X349" s="133" t="s">
        <v>120</v>
      </c>
      <c r="Z349" s="134" t="s">
        <v>46</v>
      </c>
      <c r="AA349" s="134" t="s">
        <v>58</v>
      </c>
      <c r="AB349" s="135">
        <v>1830.8541666666699</v>
      </c>
      <c r="AC349" s="134" t="s">
        <v>65</v>
      </c>
      <c r="AD349" s="134" t="s">
        <v>43</v>
      </c>
      <c r="AE349" s="134" t="s">
        <v>174</v>
      </c>
      <c r="AF349" s="134">
        <v>1</v>
      </c>
      <c r="AG349" s="134">
        <v>54</v>
      </c>
      <c r="AH349" s="134">
        <v>34</v>
      </c>
      <c r="AI349" s="134">
        <v>10</v>
      </c>
      <c r="AJ349" s="134">
        <v>14</v>
      </c>
      <c r="AK349" s="134">
        <v>1</v>
      </c>
      <c r="AL349" s="134">
        <v>19</v>
      </c>
      <c r="AM349" s="134">
        <v>0</v>
      </c>
      <c r="AN349" s="134">
        <v>0</v>
      </c>
      <c r="AO349" s="134">
        <v>4</v>
      </c>
      <c r="AP349" s="134">
        <v>22</v>
      </c>
      <c r="AQ349" s="136">
        <v>0.18181818181818182</v>
      </c>
      <c r="AR349" s="134">
        <v>20</v>
      </c>
      <c r="AS349" s="134">
        <v>55</v>
      </c>
      <c r="AT349" s="136">
        <v>0.36363636363636365</v>
      </c>
      <c r="AU349" s="134">
        <v>10</v>
      </c>
      <c r="AV349" s="134">
        <v>11</v>
      </c>
      <c r="AW349" s="136">
        <v>0.90909090909090906</v>
      </c>
    </row>
    <row r="350" spans="1:75" x14ac:dyDescent="0.25">
      <c r="A350" s="131" t="s">
        <v>46</v>
      </c>
      <c r="B350" s="131" t="s">
        <v>58</v>
      </c>
      <c r="C350" s="132">
        <v>1830.8541666666699</v>
      </c>
      <c r="D350" s="131" t="s">
        <v>65</v>
      </c>
      <c r="E350" s="131" t="s">
        <v>35</v>
      </c>
      <c r="F350" s="131" t="s">
        <v>43</v>
      </c>
      <c r="G350" s="131">
        <v>1</v>
      </c>
      <c r="H350" s="131">
        <v>6</v>
      </c>
      <c r="I350" s="131">
        <v>2</v>
      </c>
      <c r="J350" s="131">
        <v>0</v>
      </c>
      <c r="K350" s="131">
        <v>0</v>
      </c>
      <c r="L350" s="131">
        <v>0</v>
      </c>
      <c r="M350" s="131">
        <v>0</v>
      </c>
      <c r="N350" s="131">
        <v>0</v>
      </c>
      <c r="O350" s="131">
        <v>0</v>
      </c>
      <c r="P350" s="131">
        <v>0</v>
      </c>
      <c r="Q350" s="131">
        <v>2</v>
      </c>
      <c r="R350" s="133">
        <v>0</v>
      </c>
      <c r="S350" s="131">
        <v>3</v>
      </c>
      <c r="T350" s="131">
        <v>5</v>
      </c>
      <c r="U350" s="133">
        <v>0.6</v>
      </c>
      <c r="V350" s="131">
        <v>0</v>
      </c>
      <c r="W350" s="131">
        <v>0</v>
      </c>
      <c r="X350" s="133" t="s">
        <v>120</v>
      </c>
    </row>
    <row r="351" spans="1:75" x14ac:dyDescent="0.25">
      <c r="A351" s="131" t="s">
        <v>46</v>
      </c>
      <c r="B351" s="131" t="s">
        <v>58</v>
      </c>
      <c r="C351" s="132">
        <v>1830.8541666666699</v>
      </c>
      <c r="D351" s="131" t="s">
        <v>65</v>
      </c>
      <c r="E351" s="131" t="s">
        <v>34</v>
      </c>
      <c r="F351" s="131" t="s">
        <v>43</v>
      </c>
      <c r="G351" s="131">
        <v>1</v>
      </c>
      <c r="H351" s="131">
        <v>17</v>
      </c>
      <c r="I351" s="131">
        <v>11</v>
      </c>
      <c r="J351" s="131">
        <v>2</v>
      </c>
      <c r="K351" s="131">
        <v>3</v>
      </c>
      <c r="L351" s="131">
        <v>0</v>
      </c>
      <c r="M351" s="131">
        <v>7</v>
      </c>
      <c r="N351" s="131">
        <v>0</v>
      </c>
      <c r="O351" s="131">
        <v>0</v>
      </c>
      <c r="P351" s="131">
        <v>2</v>
      </c>
      <c r="Q351" s="131">
        <v>5</v>
      </c>
      <c r="R351" s="133">
        <v>0.4</v>
      </c>
      <c r="S351" s="131">
        <v>5</v>
      </c>
      <c r="T351" s="131">
        <v>13</v>
      </c>
      <c r="U351" s="133">
        <v>0.38461538461538464</v>
      </c>
      <c r="V351" s="131">
        <v>5</v>
      </c>
      <c r="W351" s="131">
        <v>6</v>
      </c>
      <c r="X351" s="133">
        <v>0.83333333333333337</v>
      </c>
    </row>
    <row r="352" spans="1:75" x14ac:dyDescent="0.25">
      <c r="A352" s="131" t="s">
        <v>46</v>
      </c>
      <c r="B352" s="131" t="s">
        <v>58</v>
      </c>
      <c r="C352" s="132">
        <v>1830.8541666666699</v>
      </c>
      <c r="D352" s="131" t="s">
        <v>65</v>
      </c>
      <c r="E352" s="131" t="s">
        <v>36</v>
      </c>
      <c r="F352" s="131" t="s">
        <v>43</v>
      </c>
      <c r="G352" s="131">
        <v>1</v>
      </c>
      <c r="H352" s="131">
        <v>0</v>
      </c>
      <c r="I352" s="131">
        <v>6</v>
      </c>
      <c r="J352" s="131">
        <v>3</v>
      </c>
      <c r="K352" s="131">
        <v>0</v>
      </c>
      <c r="L352" s="131">
        <v>0</v>
      </c>
      <c r="M352" s="131">
        <v>4</v>
      </c>
      <c r="N352" s="131">
        <v>0</v>
      </c>
      <c r="O352" s="131">
        <v>0</v>
      </c>
      <c r="P352" s="131">
        <v>0</v>
      </c>
      <c r="Q352" s="131">
        <v>4</v>
      </c>
      <c r="R352" s="133">
        <v>0</v>
      </c>
      <c r="S352" s="131">
        <v>0</v>
      </c>
      <c r="T352" s="131">
        <v>5</v>
      </c>
      <c r="U352" s="133">
        <v>0</v>
      </c>
      <c r="V352" s="131">
        <v>0</v>
      </c>
      <c r="W352" s="131">
        <v>0</v>
      </c>
      <c r="X352" s="133" t="s">
        <v>120</v>
      </c>
    </row>
    <row r="353" spans="1:75" x14ac:dyDescent="0.25">
      <c r="A353" s="131" t="s">
        <v>46</v>
      </c>
      <c r="B353" s="131" t="s">
        <v>58</v>
      </c>
      <c r="C353" s="132">
        <v>1830.8541666666699</v>
      </c>
      <c r="D353" s="131" t="s">
        <v>65</v>
      </c>
      <c r="E353" s="131" t="s">
        <v>1</v>
      </c>
      <c r="F353" s="131" t="s">
        <v>39</v>
      </c>
      <c r="G353" s="131">
        <v>1</v>
      </c>
      <c r="H353" s="131">
        <v>11</v>
      </c>
      <c r="I353" s="131">
        <v>17</v>
      </c>
      <c r="J353" s="131">
        <v>2</v>
      </c>
      <c r="K353" s="131">
        <v>2</v>
      </c>
      <c r="L353" s="131">
        <v>0</v>
      </c>
      <c r="M353" s="131">
        <v>7</v>
      </c>
      <c r="N353" s="131">
        <v>0</v>
      </c>
      <c r="O353" s="131">
        <v>0</v>
      </c>
      <c r="P353" s="131">
        <v>1</v>
      </c>
      <c r="Q353" s="131">
        <v>11</v>
      </c>
      <c r="R353" s="133">
        <v>9.0909090909090912E-2</v>
      </c>
      <c r="S353" s="131">
        <v>5</v>
      </c>
      <c r="T353" s="131">
        <v>20</v>
      </c>
      <c r="U353" s="133">
        <v>0.25</v>
      </c>
      <c r="V353" s="131">
        <v>0</v>
      </c>
      <c r="W353" s="131">
        <v>0</v>
      </c>
      <c r="X353" s="133" t="s">
        <v>120</v>
      </c>
    </row>
    <row r="354" spans="1:75" x14ac:dyDescent="0.25">
      <c r="A354" s="131" t="s">
        <v>46</v>
      </c>
      <c r="B354" s="131" t="s">
        <v>58</v>
      </c>
      <c r="C354" s="132">
        <v>1830.8541666666699</v>
      </c>
      <c r="D354" s="131" t="s">
        <v>65</v>
      </c>
      <c r="E354" s="131" t="s">
        <v>2</v>
      </c>
      <c r="F354" s="131" t="s">
        <v>39</v>
      </c>
      <c r="G354" s="131">
        <v>1</v>
      </c>
      <c r="H354" s="131">
        <v>21</v>
      </c>
      <c r="I354" s="131">
        <v>3</v>
      </c>
      <c r="J354" s="131">
        <v>2</v>
      </c>
      <c r="K354" s="131">
        <v>5</v>
      </c>
      <c r="L354" s="131">
        <v>0</v>
      </c>
      <c r="M354" s="131">
        <v>7</v>
      </c>
      <c r="N354" s="131">
        <v>0</v>
      </c>
      <c r="O354" s="131">
        <v>0</v>
      </c>
      <c r="P354" s="131">
        <v>5</v>
      </c>
      <c r="Q354" s="131">
        <v>11</v>
      </c>
      <c r="R354" s="133">
        <v>0.45454545454545453</v>
      </c>
      <c r="S354" s="131">
        <v>7</v>
      </c>
      <c r="T354" s="131">
        <v>18</v>
      </c>
      <c r="U354" s="133">
        <v>0.3888888888888889</v>
      </c>
      <c r="V354" s="131">
        <v>2</v>
      </c>
      <c r="W354" s="131">
        <v>2</v>
      </c>
      <c r="X354" s="133">
        <v>1</v>
      </c>
    </row>
    <row r="355" spans="1:75" x14ac:dyDescent="0.25">
      <c r="A355" s="131" t="s">
        <v>46</v>
      </c>
      <c r="B355" s="131" t="s">
        <v>58</v>
      </c>
      <c r="C355" s="132">
        <v>1830.8541666666699</v>
      </c>
      <c r="D355" s="131" t="s">
        <v>65</v>
      </c>
      <c r="E355" s="131" t="s">
        <v>5</v>
      </c>
      <c r="F355" s="131" t="s">
        <v>39</v>
      </c>
      <c r="G355" s="131">
        <v>1</v>
      </c>
      <c r="H355" s="131">
        <v>5</v>
      </c>
      <c r="I355" s="131">
        <v>4</v>
      </c>
      <c r="J355" s="131">
        <v>0</v>
      </c>
      <c r="K355" s="131">
        <v>2</v>
      </c>
      <c r="L355" s="131">
        <v>1</v>
      </c>
      <c r="M355" s="131">
        <v>2</v>
      </c>
      <c r="N355" s="131">
        <v>0</v>
      </c>
      <c r="O355" s="131">
        <v>0</v>
      </c>
      <c r="P355" s="131">
        <v>0</v>
      </c>
      <c r="Q355" s="131">
        <v>2</v>
      </c>
      <c r="R355" s="133">
        <v>0</v>
      </c>
      <c r="S355" s="131">
        <v>2</v>
      </c>
      <c r="T355" s="131">
        <v>7</v>
      </c>
      <c r="U355" s="133">
        <v>0.2857142857142857</v>
      </c>
      <c r="V355" s="131">
        <v>1</v>
      </c>
      <c r="W355" s="131">
        <v>1</v>
      </c>
      <c r="X355" s="133">
        <v>1</v>
      </c>
    </row>
    <row r="356" spans="1:75" x14ac:dyDescent="0.25">
      <c r="A356" s="131" t="s">
        <v>46</v>
      </c>
      <c r="B356" s="131" t="s">
        <v>58</v>
      </c>
      <c r="C356" s="132">
        <v>1830.8541666666699</v>
      </c>
      <c r="D356" s="131" t="s">
        <v>65</v>
      </c>
      <c r="E356" s="131" t="s">
        <v>3</v>
      </c>
      <c r="F356" s="131" t="s">
        <v>39</v>
      </c>
      <c r="G356" s="131">
        <v>1</v>
      </c>
      <c r="H356" s="131">
        <v>7</v>
      </c>
      <c r="I356" s="131">
        <v>4</v>
      </c>
      <c r="J356" s="131">
        <v>3</v>
      </c>
      <c r="K356" s="131">
        <v>4</v>
      </c>
      <c r="L356" s="131">
        <v>0</v>
      </c>
      <c r="M356" s="131">
        <v>4</v>
      </c>
      <c r="N356" s="131">
        <v>0</v>
      </c>
      <c r="O356" s="131">
        <v>0</v>
      </c>
      <c r="P356" s="131">
        <v>1</v>
      </c>
      <c r="Q356" s="131">
        <v>10</v>
      </c>
      <c r="R356" s="133">
        <v>0.1</v>
      </c>
      <c r="S356" s="131">
        <v>3</v>
      </c>
      <c r="T356" s="131">
        <v>15</v>
      </c>
      <c r="U356" s="133">
        <v>0.2</v>
      </c>
      <c r="V356" s="131">
        <v>0</v>
      </c>
      <c r="W356" s="131">
        <v>0</v>
      </c>
      <c r="X356" s="133" t="s">
        <v>120</v>
      </c>
    </row>
    <row r="357" spans="1:75" x14ac:dyDescent="0.25">
      <c r="A357" s="131" t="s">
        <v>46</v>
      </c>
      <c r="B357" s="131" t="s">
        <v>58</v>
      </c>
      <c r="C357" s="132">
        <v>1830.8541666666699</v>
      </c>
      <c r="D357" s="131" t="s">
        <v>65</v>
      </c>
      <c r="E357" s="131" t="s">
        <v>4</v>
      </c>
      <c r="F357" s="131" t="s">
        <v>39</v>
      </c>
      <c r="G357" s="131">
        <v>1</v>
      </c>
      <c r="H357" s="131">
        <v>0</v>
      </c>
      <c r="I357" s="131">
        <v>9</v>
      </c>
      <c r="J357" s="131">
        <v>4</v>
      </c>
      <c r="K357" s="131">
        <v>0</v>
      </c>
      <c r="L357" s="131">
        <v>0</v>
      </c>
      <c r="M357" s="131">
        <v>2</v>
      </c>
      <c r="N357" s="131">
        <v>0</v>
      </c>
      <c r="O357" s="131">
        <v>0</v>
      </c>
      <c r="P357" s="131">
        <v>0</v>
      </c>
      <c r="Q357" s="131">
        <v>5</v>
      </c>
      <c r="R357" s="133">
        <v>0</v>
      </c>
      <c r="S357" s="131">
        <v>0</v>
      </c>
      <c r="T357" s="131">
        <v>5</v>
      </c>
      <c r="U357" s="133">
        <v>0</v>
      </c>
      <c r="V357" s="131">
        <v>0</v>
      </c>
      <c r="W357" s="131">
        <v>0</v>
      </c>
      <c r="X357" s="133" t="s">
        <v>120</v>
      </c>
    </row>
    <row r="358" spans="1:75" x14ac:dyDescent="0.25">
      <c r="A358" s="131" t="s">
        <v>157</v>
      </c>
      <c r="B358" s="131" t="s">
        <v>157</v>
      </c>
      <c r="C358" s="132" t="s">
        <v>157</v>
      </c>
      <c r="D358" s="131" t="s">
        <v>157</v>
      </c>
      <c r="E358" s="131" t="s">
        <v>157</v>
      </c>
      <c r="F358" s="131" t="s">
        <v>157</v>
      </c>
      <c r="G358" s="131" t="s">
        <v>157</v>
      </c>
      <c r="H358" s="131" t="s">
        <v>157</v>
      </c>
      <c r="I358" s="131" t="s">
        <v>157</v>
      </c>
      <c r="J358" s="131" t="s">
        <v>157</v>
      </c>
      <c r="K358" s="131" t="s">
        <v>157</v>
      </c>
      <c r="L358" s="131" t="s">
        <v>157</v>
      </c>
      <c r="M358" s="131" t="s">
        <v>157</v>
      </c>
      <c r="N358" s="131" t="s">
        <v>157</v>
      </c>
      <c r="O358" s="131" t="s">
        <v>157</v>
      </c>
      <c r="P358" s="131" t="s">
        <v>157</v>
      </c>
      <c r="Q358" s="131" t="s">
        <v>157</v>
      </c>
      <c r="R358" s="133" t="s">
        <v>157</v>
      </c>
      <c r="S358" s="131" t="s">
        <v>157</v>
      </c>
      <c r="T358" s="131" t="s">
        <v>157</v>
      </c>
      <c r="U358" s="133" t="s">
        <v>157</v>
      </c>
      <c r="V358" s="131" t="s">
        <v>157</v>
      </c>
      <c r="W358" s="131" t="s">
        <v>157</v>
      </c>
      <c r="X358" s="133" t="s">
        <v>157</v>
      </c>
    </row>
    <row r="359" spans="1:75" x14ac:dyDescent="0.25">
      <c r="A359" s="131" t="s">
        <v>157</v>
      </c>
      <c r="B359" s="131" t="s">
        <v>157</v>
      </c>
      <c r="C359" s="132" t="s">
        <v>157</v>
      </c>
      <c r="D359" s="131" t="s">
        <v>157</v>
      </c>
      <c r="E359" s="131" t="s">
        <v>157</v>
      </c>
      <c r="F359" s="131" t="s">
        <v>157</v>
      </c>
      <c r="G359" s="131" t="s">
        <v>157</v>
      </c>
      <c r="H359" s="131" t="s">
        <v>157</v>
      </c>
      <c r="I359" s="131" t="s">
        <v>157</v>
      </c>
      <c r="J359" s="131" t="s">
        <v>157</v>
      </c>
      <c r="K359" s="131" t="s">
        <v>157</v>
      </c>
      <c r="L359" s="131" t="s">
        <v>157</v>
      </c>
      <c r="M359" s="131" t="s">
        <v>157</v>
      </c>
      <c r="N359" s="131" t="s">
        <v>157</v>
      </c>
      <c r="O359" s="131" t="s">
        <v>157</v>
      </c>
      <c r="P359" s="131" t="s">
        <v>157</v>
      </c>
      <c r="Q359" s="131" t="s">
        <v>157</v>
      </c>
      <c r="R359" s="133" t="s">
        <v>157</v>
      </c>
      <c r="S359" s="131" t="s">
        <v>157</v>
      </c>
      <c r="T359" s="131" t="s">
        <v>157</v>
      </c>
      <c r="U359" s="133" t="s">
        <v>157</v>
      </c>
      <c r="V359" s="131" t="s">
        <v>157</v>
      </c>
      <c r="W359" s="131" t="s">
        <v>157</v>
      </c>
      <c r="X359" s="133" t="s">
        <v>157</v>
      </c>
    </row>
    <row r="360" spans="1:75" x14ac:dyDescent="0.25">
      <c r="A360" s="131" t="s">
        <v>157</v>
      </c>
      <c r="B360" s="131" t="s">
        <v>157</v>
      </c>
      <c r="C360" s="132" t="s">
        <v>157</v>
      </c>
      <c r="D360" s="131" t="s">
        <v>157</v>
      </c>
      <c r="E360" s="131" t="s">
        <v>157</v>
      </c>
      <c r="F360" s="131" t="s">
        <v>157</v>
      </c>
      <c r="G360" s="131" t="s">
        <v>157</v>
      </c>
      <c r="H360" s="131" t="s">
        <v>157</v>
      </c>
      <c r="I360" s="131" t="s">
        <v>157</v>
      </c>
      <c r="J360" s="131" t="s">
        <v>157</v>
      </c>
      <c r="K360" s="131" t="s">
        <v>157</v>
      </c>
      <c r="L360" s="131" t="s">
        <v>157</v>
      </c>
      <c r="M360" s="131" t="s">
        <v>157</v>
      </c>
      <c r="N360" s="131" t="s">
        <v>157</v>
      </c>
      <c r="O360" s="131" t="s">
        <v>157</v>
      </c>
      <c r="P360" s="131" t="s">
        <v>157</v>
      </c>
      <c r="Q360" s="131" t="s">
        <v>157</v>
      </c>
      <c r="R360" s="133" t="s">
        <v>157</v>
      </c>
      <c r="S360" s="131" t="s">
        <v>157</v>
      </c>
      <c r="T360" s="131" t="s">
        <v>157</v>
      </c>
      <c r="U360" s="133" t="s">
        <v>157</v>
      </c>
      <c r="V360" s="131" t="s">
        <v>157</v>
      </c>
      <c r="W360" s="131" t="s">
        <v>157</v>
      </c>
      <c r="X360" s="133" t="s">
        <v>157</v>
      </c>
    </row>
    <row r="361" spans="1:75" x14ac:dyDescent="0.25">
      <c r="A361" s="131" t="s">
        <v>157</v>
      </c>
      <c r="B361" s="131" t="s">
        <v>157</v>
      </c>
      <c r="C361" s="132" t="s">
        <v>157</v>
      </c>
      <c r="D361" s="131" t="s">
        <v>157</v>
      </c>
      <c r="E361" s="131" t="s">
        <v>157</v>
      </c>
      <c r="F361" s="131" t="s">
        <v>157</v>
      </c>
      <c r="G361" s="131" t="s">
        <v>157</v>
      </c>
      <c r="H361" s="131" t="s">
        <v>157</v>
      </c>
      <c r="I361" s="131" t="s">
        <v>157</v>
      </c>
      <c r="J361" s="131" t="s">
        <v>157</v>
      </c>
      <c r="K361" s="131" t="s">
        <v>157</v>
      </c>
      <c r="L361" s="131" t="s">
        <v>157</v>
      </c>
      <c r="M361" s="131" t="s">
        <v>157</v>
      </c>
      <c r="N361" s="131" t="s">
        <v>157</v>
      </c>
      <c r="O361" s="131" t="s">
        <v>157</v>
      </c>
      <c r="P361" s="131" t="s">
        <v>157</v>
      </c>
      <c r="Q361" s="131" t="s">
        <v>157</v>
      </c>
      <c r="R361" s="133" t="s">
        <v>157</v>
      </c>
      <c r="S361" s="131" t="s">
        <v>157</v>
      </c>
      <c r="T361" s="131" t="s">
        <v>157</v>
      </c>
      <c r="U361" s="133" t="s">
        <v>157</v>
      </c>
      <c r="V361" s="131" t="s">
        <v>157</v>
      </c>
      <c r="W361" s="131" t="s">
        <v>157</v>
      </c>
      <c r="X361" s="133" t="s">
        <v>157</v>
      </c>
    </row>
    <row r="362" spans="1:75" x14ac:dyDescent="0.25">
      <c r="A362" s="131" t="s">
        <v>157</v>
      </c>
      <c r="B362" s="131" t="s">
        <v>157</v>
      </c>
      <c r="C362" s="132" t="s">
        <v>157</v>
      </c>
      <c r="D362" s="131" t="s">
        <v>157</v>
      </c>
      <c r="E362" s="131" t="s">
        <v>157</v>
      </c>
      <c r="F362" s="131" t="s">
        <v>157</v>
      </c>
      <c r="G362" s="131" t="s">
        <v>157</v>
      </c>
      <c r="H362" s="131" t="s">
        <v>157</v>
      </c>
      <c r="I362" s="131" t="s">
        <v>157</v>
      </c>
      <c r="J362" s="131" t="s">
        <v>157</v>
      </c>
      <c r="K362" s="131" t="s">
        <v>157</v>
      </c>
      <c r="L362" s="131" t="s">
        <v>157</v>
      </c>
      <c r="M362" s="131" t="s">
        <v>157</v>
      </c>
      <c r="N362" s="131" t="s">
        <v>157</v>
      </c>
      <c r="O362" s="131" t="s">
        <v>157</v>
      </c>
      <c r="P362" s="131" t="s">
        <v>157</v>
      </c>
      <c r="Q362" s="131" t="s">
        <v>157</v>
      </c>
      <c r="R362" s="133" t="s">
        <v>157</v>
      </c>
      <c r="S362" s="131" t="s">
        <v>157</v>
      </c>
      <c r="T362" s="131" t="s">
        <v>157</v>
      </c>
      <c r="U362" s="133" t="s">
        <v>157</v>
      </c>
      <c r="V362" s="131" t="s">
        <v>157</v>
      </c>
      <c r="W362" s="131" t="s">
        <v>157</v>
      </c>
      <c r="X362" s="133" t="s">
        <v>157</v>
      </c>
    </row>
    <row r="363" spans="1:75" x14ac:dyDescent="0.25">
      <c r="A363" s="131" t="s">
        <v>46</v>
      </c>
      <c r="B363" s="131" t="s">
        <v>59</v>
      </c>
      <c r="C363" s="132">
        <v>1830.8125</v>
      </c>
      <c r="D363" s="131" t="s">
        <v>65</v>
      </c>
      <c r="E363" s="131" t="s">
        <v>19</v>
      </c>
      <c r="F363" s="131" t="s">
        <v>38</v>
      </c>
      <c r="G363" s="131">
        <v>1</v>
      </c>
      <c r="H363" s="131">
        <v>8</v>
      </c>
      <c r="I363" s="131">
        <v>10</v>
      </c>
      <c r="J363" s="131">
        <v>5</v>
      </c>
      <c r="K363" s="131">
        <v>5</v>
      </c>
      <c r="L363" s="131">
        <v>3</v>
      </c>
      <c r="M363" s="131">
        <v>0</v>
      </c>
      <c r="N363" s="131">
        <v>1</v>
      </c>
      <c r="O363" s="131">
        <v>9</v>
      </c>
      <c r="P363" s="131">
        <v>0</v>
      </c>
      <c r="Q363" s="131">
        <v>0</v>
      </c>
      <c r="R363" s="133" t="s">
        <v>120</v>
      </c>
      <c r="S363" s="131">
        <v>4</v>
      </c>
      <c r="T363" s="131">
        <v>10</v>
      </c>
      <c r="U363" s="133">
        <v>0.4</v>
      </c>
      <c r="V363" s="131">
        <v>0</v>
      </c>
      <c r="W363" s="131">
        <v>2</v>
      </c>
      <c r="X363" s="133">
        <v>0</v>
      </c>
      <c r="Z363" s="134" t="s">
        <v>46</v>
      </c>
      <c r="AA363" s="134" t="s">
        <v>59</v>
      </c>
      <c r="AB363" s="135">
        <v>1830.8125</v>
      </c>
      <c r="AC363" s="134" t="s">
        <v>65</v>
      </c>
      <c r="AD363" s="134" t="s">
        <v>43</v>
      </c>
      <c r="AE363" s="134" t="s">
        <v>175</v>
      </c>
      <c r="AF363" s="134">
        <v>1</v>
      </c>
      <c r="AG363" s="134">
        <v>56</v>
      </c>
      <c r="AH363" s="134">
        <v>34</v>
      </c>
      <c r="AI363" s="134">
        <v>12</v>
      </c>
      <c r="AJ363" s="134">
        <v>6</v>
      </c>
      <c r="AK363" s="134">
        <v>1</v>
      </c>
      <c r="AL363" s="134">
        <v>16</v>
      </c>
      <c r="AM363" s="134">
        <v>7</v>
      </c>
      <c r="AN363" s="134">
        <v>27</v>
      </c>
      <c r="AO363" s="134">
        <v>8</v>
      </c>
      <c r="AP363" s="134">
        <v>29</v>
      </c>
      <c r="AQ363" s="136">
        <v>0.27586206896551724</v>
      </c>
      <c r="AR363" s="134">
        <v>22</v>
      </c>
      <c r="AS363" s="134">
        <v>63</v>
      </c>
      <c r="AT363" s="136">
        <v>0.34920634920634919</v>
      </c>
      <c r="AU363" s="134">
        <v>4</v>
      </c>
      <c r="AV363" s="134">
        <v>5</v>
      </c>
      <c r="AW363" s="136">
        <v>0.8</v>
      </c>
      <c r="AY363" s="134" t="s">
        <v>46</v>
      </c>
      <c r="AZ363" s="134" t="s">
        <v>59</v>
      </c>
      <c r="BA363" s="135">
        <v>1830.8125</v>
      </c>
      <c r="BB363" s="134" t="s">
        <v>65</v>
      </c>
      <c r="BC363" s="134" t="s">
        <v>89</v>
      </c>
      <c r="BD363" s="134"/>
      <c r="BE363" s="134">
        <v>1</v>
      </c>
      <c r="BF363" s="134">
        <v>117</v>
      </c>
      <c r="BG363" s="134">
        <v>66</v>
      </c>
      <c r="BH363" s="134">
        <v>25</v>
      </c>
      <c r="BI363" s="134">
        <v>19</v>
      </c>
      <c r="BJ363" s="134">
        <v>4</v>
      </c>
      <c r="BK363" s="134">
        <v>28</v>
      </c>
      <c r="BL363" s="134">
        <v>12</v>
      </c>
      <c r="BM363" s="134">
        <v>54</v>
      </c>
      <c r="BN363" s="134">
        <v>18</v>
      </c>
      <c r="BO363" s="134">
        <v>57</v>
      </c>
      <c r="BP363" s="136">
        <v>0.31578947368421051</v>
      </c>
      <c r="BQ363" s="134">
        <v>47</v>
      </c>
      <c r="BR363" s="134">
        <v>127</v>
      </c>
      <c r="BS363" s="136">
        <v>0.37007874015748032</v>
      </c>
      <c r="BT363" s="134">
        <v>5</v>
      </c>
      <c r="BU363" s="134">
        <v>11</v>
      </c>
      <c r="BV363" s="136">
        <v>0.45454545454545453</v>
      </c>
      <c r="BW363" s="174" t="s">
        <v>220</v>
      </c>
    </row>
    <row r="364" spans="1:75" x14ac:dyDescent="0.25">
      <c r="A364" s="131" t="s">
        <v>46</v>
      </c>
      <c r="B364" s="131" t="s">
        <v>59</v>
      </c>
      <c r="C364" s="132">
        <v>1830.8125</v>
      </c>
      <c r="D364" s="131" t="s">
        <v>65</v>
      </c>
      <c r="E364" s="131" t="s">
        <v>20</v>
      </c>
      <c r="F364" s="131" t="s">
        <v>38</v>
      </c>
      <c r="G364" s="131">
        <v>1</v>
      </c>
      <c r="H364" s="131">
        <v>24</v>
      </c>
      <c r="I364" s="131">
        <v>2</v>
      </c>
      <c r="J364" s="131">
        <v>1</v>
      </c>
      <c r="K364" s="131">
        <v>1</v>
      </c>
      <c r="L364" s="131">
        <v>0</v>
      </c>
      <c r="M364" s="131">
        <v>2</v>
      </c>
      <c r="N364" s="131">
        <v>0</v>
      </c>
      <c r="O364" s="131">
        <v>2</v>
      </c>
      <c r="P364" s="131">
        <v>6</v>
      </c>
      <c r="Q364" s="131">
        <v>11</v>
      </c>
      <c r="R364" s="133">
        <v>0.54545454545454541</v>
      </c>
      <c r="S364" s="131">
        <v>9</v>
      </c>
      <c r="T364" s="131">
        <v>20</v>
      </c>
      <c r="U364" s="133">
        <v>0.45</v>
      </c>
      <c r="V364" s="131">
        <v>0</v>
      </c>
      <c r="W364" s="131">
        <v>0</v>
      </c>
      <c r="X364" s="133" t="s">
        <v>120</v>
      </c>
      <c r="Z364" s="134" t="s">
        <v>46</v>
      </c>
      <c r="AA364" s="134" t="s">
        <v>59</v>
      </c>
      <c r="AB364" s="135">
        <v>1830.8125</v>
      </c>
      <c r="AC364" s="134" t="s">
        <v>65</v>
      </c>
      <c r="AD364" s="134" t="s">
        <v>38</v>
      </c>
      <c r="AE364" s="134" t="s">
        <v>174</v>
      </c>
      <c r="AF364" s="134">
        <v>1</v>
      </c>
      <c r="AG364" s="134">
        <v>61</v>
      </c>
      <c r="AH364" s="134">
        <v>32</v>
      </c>
      <c r="AI364" s="134">
        <v>13</v>
      </c>
      <c r="AJ364" s="134">
        <v>13</v>
      </c>
      <c r="AK364" s="134">
        <v>3</v>
      </c>
      <c r="AL364" s="134">
        <v>12</v>
      </c>
      <c r="AM364" s="134">
        <v>5</v>
      </c>
      <c r="AN364" s="134">
        <v>27</v>
      </c>
      <c r="AO364" s="134">
        <v>10</v>
      </c>
      <c r="AP364" s="134">
        <v>28</v>
      </c>
      <c r="AQ364" s="136">
        <v>0.35714285714285715</v>
      </c>
      <c r="AR364" s="134">
        <v>25</v>
      </c>
      <c r="AS364" s="134">
        <v>64</v>
      </c>
      <c r="AT364" s="136">
        <v>0.390625</v>
      </c>
      <c r="AU364" s="134">
        <v>1</v>
      </c>
      <c r="AV364" s="134">
        <v>6</v>
      </c>
      <c r="AW364" s="136">
        <v>0.16666666666666666</v>
      </c>
    </row>
    <row r="365" spans="1:75" x14ac:dyDescent="0.25">
      <c r="A365" s="131" t="s">
        <v>46</v>
      </c>
      <c r="B365" s="131" t="s">
        <v>59</v>
      </c>
      <c r="C365" s="132">
        <v>1830.8125</v>
      </c>
      <c r="D365" s="131" t="s">
        <v>65</v>
      </c>
      <c r="E365" s="131" t="s">
        <v>22</v>
      </c>
      <c r="F365" s="131" t="s">
        <v>38</v>
      </c>
      <c r="G365" s="131">
        <v>1</v>
      </c>
      <c r="H365" s="131">
        <v>14</v>
      </c>
      <c r="I365" s="131">
        <v>6</v>
      </c>
      <c r="J365" s="131">
        <v>5</v>
      </c>
      <c r="K365" s="131">
        <v>5</v>
      </c>
      <c r="L365" s="131">
        <v>0</v>
      </c>
      <c r="M365" s="131">
        <v>5</v>
      </c>
      <c r="N365" s="131">
        <v>1</v>
      </c>
      <c r="O365" s="131">
        <v>5</v>
      </c>
      <c r="P365" s="131">
        <v>3</v>
      </c>
      <c r="Q365" s="131">
        <v>12</v>
      </c>
      <c r="R365" s="133">
        <v>0.25</v>
      </c>
      <c r="S365" s="131">
        <v>5</v>
      </c>
      <c r="T365" s="131">
        <v>15</v>
      </c>
      <c r="U365" s="133">
        <v>0.33333333333333331</v>
      </c>
      <c r="V365" s="131">
        <v>1</v>
      </c>
      <c r="W365" s="131">
        <v>2</v>
      </c>
      <c r="X365" s="133">
        <v>0.5</v>
      </c>
    </row>
    <row r="366" spans="1:75" x14ac:dyDescent="0.25">
      <c r="A366" s="131" t="s">
        <v>46</v>
      </c>
      <c r="B366" s="131" t="s">
        <v>59</v>
      </c>
      <c r="C366" s="132">
        <v>1830.8125</v>
      </c>
      <c r="D366" s="131" t="s">
        <v>65</v>
      </c>
      <c r="E366" s="131" t="s">
        <v>23</v>
      </c>
      <c r="F366" s="131" t="s">
        <v>38</v>
      </c>
      <c r="G366" s="131">
        <v>1</v>
      </c>
      <c r="H366" s="131">
        <v>6</v>
      </c>
      <c r="I366" s="131">
        <v>5</v>
      </c>
      <c r="J366" s="131">
        <v>1</v>
      </c>
      <c r="K366" s="131">
        <v>2</v>
      </c>
      <c r="L366" s="131">
        <v>0</v>
      </c>
      <c r="M366" s="131">
        <v>4</v>
      </c>
      <c r="N366" s="131">
        <v>0</v>
      </c>
      <c r="O366" s="131">
        <v>5</v>
      </c>
      <c r="P366" s="131">
        <v>0</v>
      </c>
      <c r="Q366" s="131">
        <v>4</v>
      </c>
      <c r="R366" s="133">
        <v>0</v>
      </c>
      <c r="S366" s="131">
        <v>3</v>
      </c>
      <c r="T366" s="131">
        <v>8</v>
      </c>
      <c r="U366" s="133">
        <v>0.375</v>
      </c>
      <c r="V366" s="131">
        <v>0</v>
      </c>
      <c r="W366" s="131">
        <v>0</v>
      </c>
      <c r="X366" s="133" t="s">
        <v>120</v>
      </c>
    </row>
    <row r="367" spans="1:75" x14ac:dyDescent="0.25">
      <c r="A367" s="131" t="s">
        <v>46</v>
      </c>
      <c r="B367" s="131" t="s">
        <v>59</v>
      </c>
      <c r="C367" s="132">
        <v>1830.8125</v>
      </c>
      <c r="D367" s="131" t="s">
        <v>65</v>
      </c>
      <c r="E367" s="131" t="s">
        <v>21</v>
      </c>
      <c r="F367" s="131" t="s">
        <v>38</v>
      </c>
      <c r="G367" s="131">
        <v>1</v>
      </c>
      <c r="H367" s="131">
        <v>5</v>
      </c>
      <c r="I367" s="131">
        <v>6</v>
      </c>
      <c r="J367" s="131">
        <v>1</v>
      </c>
      <c r="K367" s="131">
        <v>0</v>
      </c>
      <c r="L367" s="131">
        <v>0</v>
      </c>
      <c r="M367" s="131">
        <v>1</v>
      </c>
      <c r="N367" s="131">
        <v>3</v>
      </c>
      <c r="O367" s="131">
        <v>3</v>
      </c>
      <c r="P367" s="131">
        <v>1</v>
      </c>
      <c r="Q367" s="131">
        <v>1</v>
      </c>
      <c r="R367" s="133">
        <v>1</v>
      </c>
      <c r="S367" s="131">
        <v>2</v>
      </c>
      <c r="T367" s="131">
        <v>8</v>
      </c>
      <c r="U367" s="133">
        <v>0.25</v>
      </c>
      <c r="V367" s="131">
        <v>0</v>
      </c>
      <c r="W367" s="131">
        <v>0</v>
      </c>
      <c r="X367" s="133" t="s">
        <v>120</v>
      </c>
    </row>
    <row r="368" spans="1:75" x14ac:dyDescent="0.25">
      <c r="A368" s="131" t="s">
        <v>46</v>
      </c>
      <c r="B368" s="131" t="s">
        <v>59</v>
      </c>
      <c r="C368" s="132">
        <v>1830.8125</v>
      </c>
      <c r="D368" s="131" t="s">
        <v>65</v>
      </c>
      <c r="E368" s="131" t="s">
        <v>24</v>
      </c>
      <c r="F368" s="131" t="s">
        <v>38</v>
      </c>
      <c r="G368" s="131">
        <v>1</v>
      </c>
      <c r="H368" s="131">
        <v>4</v>
      </c>
      <c r="I368" s="131">
        <v>3</v>
      </c>
      <c r="J368" s="131">
        <v>0</v>
      </c>
      <c r="K368" s="131">
        <v>0</v>
      </c>
      <c r="L368" s="131">
        <v>0</v>
      </c>
      <c r="M368" s="131">
        <v>0</v>
      </c>
      <c r="N368" s="131">
        <v>0</v>
      </c>
      <c r="O368" s="131">
        <v>3</v>
      </c>
      <c r="P368" s="131">
        <v>0</v>
      </c>
      <c r="Q368" s="131">
        <v>0</v>
      </c>
      <c r="R368" s="133" t="s">
        <v>120</v>
      </c>
      <c r="S368" s="131">
        <v>2</v>
      </c>
      <c r="T368" s="131">
        <v>3</v>
      </c>
      <c r="U368" s="133">
        <v>0.66666666666666663</v>
      </c>
      <c r="V368" s="131">
        <v>0</v>
      </c>
      <c r="W368" s="131">
        <v>2</v>
      </c>
      <c r="X368" s="133">
        <v>0</v>
      </c>
    </row>
    <row r="369" spans="1:75" x14ac:dyDescent="0.25">
      <c r="A369" s="131" t="s">
        <v>46</v>
      </c>
      <c r="B369" s="131" t="s">
        <v>59</v>
      </c>
      <c r="C369" s="132">
        <v>1830.8125</v>
      </c>
      <c r="D369" s="131" t="s">
        <v>65</v>
      </c>
      <c r="E369" s="131" t="s">
        <v>31</v>
      </c>
      <c r="F369" s="131" t="s">
        <v>43</v>
      </c>
      <c r="G369" s="131">
        <v>1</v>
      </c>
      <c r="H369" s="131">
        <v>22</v>
      </c>
      <c r="I369" s="131">
        <v>3</v>
      </c>
      <c r="J369" s="131">
        <v>3</v>
      </c>
      <c r="K369" s="131">
        <v>0</v>
      </c>
      <c r="L369" s="131">
        <v>1</v>
      </c>
      <c r="M369" s="131">
        <v>5</v>
      </c>
      <c r="N369" s="131">
        <v>1</v>
      </c>
      <c r="O369" s="131">
        <v>2</v>
      </c>
      <c r="P369" s="131">
        <v>2</v>
      </c>
      <c r="Q369" s="131">
        <v>7</v>
      </c>
      <c r="R369" s="133">
        <v>0.2857142857142857</v>
      </c>
      <c r="S369" s="131">
        <v>8</v>
      </c>
      <c r="T369" s="131">
        <v>23</v>
      </c>
      <c r="U369" s="133">
        <v>0.34782608695652173</v>
      </c>
      <c r="V369" s="131">
        <v>4</v>
      </c>
      <c r="W369" s="131">
        <v>5</v>
      </c>
      <c r="X369" s="133">
        <v>0.8</v>
      </c>
    </row>
    <row r="370" spans="1:75" x14ac:dyDescent="0.25">
      <c r="A370" s="131" t="s">
        <v>46</v>
      </c>
      <c r="B370" s="131" t="s">
        <v>59</v>
      </c>
      <c r="C370" s="132">
        <v>1830.8125</v>
      </c>
      <c r="D370" s="131" t="s">
        <v>65</v>
      </c>
      <c r="E370" s="131" t="s">
        <v>32</v>
      </c>
      <c r="F370" s="131" t="s">
        <v>43</v>
      </c>
      <c r="G370" s="131">
        <v>1</v>
      </c>
      <c r="H370" s="131">
        <v>16</v>
      </c>
      <c r="I370" s="131">
        <v>6</v>
      </c>
      <c r="J370" s="131">
        <v>5</v>
      </c>
      <c r="K370" s="131">
        <v>1</v>
      </c>
      <c r="L370" s="131">
        <v>0</v>
      </c>
      <c r="M370" s="131">
        <v>3</v>
      </c>
      <c r="N370" s="131">
        <v>2</v>
      </c>
      <c r="O370" s="131">
        <v>4</v>
      </c>
      <c r="P370" s="131">
        <v>2</v>
      </c>
      <c r="Q370" s="131">
        <v>7</v>
      </c>
      <c r="R370" s="133">
        <v>0.2857142857142857</v>
      </c>
      <c r="S370" s="131">
        <v>7</v>
      </c>
      <c r="T370" s="131">
        <v>16</v>
      </c>
      <c r="U370" s="133">
        <v>0.4375</v>
      </c>
      <c r="V370" s="131">
        <v>0</v>
      </c>
      <c r="W370" s="131">
        <v>0</v>
      </c>
      <c r="X370" s="133" t="s">
        <v>120</v>
      </c>
    </row>
    <row r="371" spans="1:75" x14ac:dyDescent="0.25">
      <c r="A371" s="131" t="s">
        <v>46</v>
      </c>
      <c r="B371" s="131" t="s">
        <v>59</v>
      </c>
      <c r="C371" s="132">
        <v>1830.8125</v>
      </c>
      <c r="D371" s="131" t="s">
        <v>65</v>
      </c>
      <c r="E371" s="131" t="s">
        <v>33</v>
      </c>
      <c r="F371" s="131" t="s">
        <v>43</v>
      </c>
      <c r="G371" s="131">
        <v>1</v>
      </c>
      <c r="H371" s="131">
        <v>12</v>
      </c>
      <c r="I371" s="131">
        <v>16</v>
      </c>
      <c r="J371" s="131">
        <v>2</v>
      </c>
      <c r="K371" s="131">
        <v>5</v>
      </c>
      <c r="L371" s="131">
        <v>0</v>
      </c>
      <c r="M371" s="131">
        <v>4</v>
      </c>
      <c r="N371" s="131">
        <v>3</v>
      </c>
      <c r="O371" s="131">
        <v>13</v>
      </c>
      <c r="P371" s="131">
        <v>2</v>
      </c>
      <c r="Q371" s="131">
        <v>7</v>
      </c>
      <c r="R371" s="133">
        <v>0.2857142857142857</v>
      </c>
      <c r="S371" s="131">
        <v>5</v>
      </c>
      <c r="T371" s="131">
        <v>16</v>
      </c>
      <c r="U371" s="133">
        <v>0.3125</v>
      </c>
      <c r="V371" s="131">
        <v>0</v>
      </c>
      <c r="W371" s="131">
        <v>0</v>
      </c>
      <c r="X371" s="133" t="s">
        <v>120</v>
      </c>
    </row>
    <row r="372" spans="1:75" x14ac:dyDescent="0.25">
      <c r="A372" s="131" t="s">
        <v>46</v>
      </c>
      <c r="B372" s="131" t="s">
        <v>59</v>
      </c>
      <c r="C372" s="132">
        <v>1830.8125</v>
      </c>
      <c r="D372" s="131" t="s">
        <v>65</v>
      </c>
      <c r="E372" s="131" t="s">
        <v>35</v>
      </c>
      <c r="F372" s="131" t="s">
        <v>43</v>
      </c>
      <c r="G372" s="131">
        <v>1</v>
      </c>
      <c r="H372" s="131">
        <v>3</v>
      </c>
      <c r="I372" s="131">
        <v>7</v>
      </c>
      <c r="J372" s="131">
        <v>1</v>
      </c>
      <c r="K372" s="131">
        <v>0</v>
      </c>
      <c r="L372" s="131">
        <v>0</v>
      </c>
      <c r="M372" s="131">
        <v>2</v>
      </c>
      <c r="N372" s="131">
        <v>0</v>
      </c>
      <c r="O372" s="131">
        <v>7</v>
      </c>
      <c r="P372" s="131">
        <v>1</v>
      </c>
      <c r="Q372" s="131">
        <v>4</v>
      </c>
      <c r="R372" s="133">
        <v>0.25</v>
      </c>
      <c r="S372" s="131">
        <v>1</v>
      </c>
      <c r="T372" s="131">
        <v>4</v>
      </c>
      <c r="U372" s="133">
        <v>0.25</v>
      </c>
      <c r="V372" s="131">
        <v>0</v>
      </c>
      <c r="W372" s="131">
        <v>0</v>
      </c>
      <c r="X372" s="133" t="s">
        <v>120</v>
      </c>
    </row>
    <row r="373" spans="1:75" x14ac:dyDescent="0.25">
      <c r="A373" s="131" t="s">
        <v>46</v>
      </c>
      <c r="B373" s="131" t="s">
        <v>59</v>
      </c>
      <c r="C373" s="132">
        <v>1830.8125</v>
      </c>
      <c r="D373" s="131" t="s">
        <v>65</v>
      </c>
      <c r="E373" s="131" t="s">
        <v>36</v>
      </c>
      <c r="F373" s="131" t="s">
        <v>43</v>
      </c>
      <c r="G373" s="131">
        <v>1</v>
      </c>
      <c r="H373" s="131">
        <v>3</v>
      </c>
      <c r="I373" s="131">
        <v>2</v>
      </c>
      <c r="J373" s="131">
        <v>1</v>
      </c>
      <c r="K373" s="131">
        <v>0</v>
      </c>
      <c r="L373" s="131">
        <v>0</v>
      </c>
      <c r="M373" s="131">
        <v>2</v>
      </c>
      <c r="N373" s="131">
        <v>1</v>
      </c>
      <c r="O373" s="131">
        <v>1</v>
      </c>
      <c r="P373" s="131">
        <v>1</v>
      </c>
      <c r="Q373" s="131">
        <v>4</v>
      </c>
      <c r="R373" s="133">
        <v>0.25</v>
      </c>
      <c r="S373" s="131">
        <v>1</v>
      </c>
      <c r="T373" s="131">
        <v>4</v>
      </c>
      <c r="U373" s="133">
        <v>0.25</v>
      </c>
      <c r="V373" s="131">
        <v>0</v>
      </c>
      <c r="W373" s="131">
        <v>0</v>
      </c>
      <c r="X373" s="133" t="s">
        <v>120</v>
      </c>
    </row>
    <row r="374" spans="1:75" x14ac:dyDescent="0.25">
      <c r="A374" s="131" t="s">
        <v>157</v>
      </c>
      <c r="B374" s="131" t="s">
        <v>157</v>
      </c>
      <c r="C374" s="132" t="s">
        <v>157</v>
      </c>
      <c r="D374" s="131" t="s">
        <v>157</v>
      </c>
      <c r="E374" s="131" t="s">
        <v>157</v>
      </c>
      <c r="F374" s="131" t="s">
        <v>157</v>
      </c>
      <c r="G374" s="131" t="s">
        <v>157</v>
      </c>
      <c r="H374" s="131" t="s">
        <v>157</v>
      </c>
      <c r="I374" s="131" t="s">
        <v>157</v>
      </c>
      <c r="J374" s="131" t="s">
        <v>157</v>
      </c>
      <c r="K374" s="131" t="s">
        <v>157</v>
      </c>
      <c r="L374" s="131" t="s">
        <v>157</v>
      </c>
      <c r="M374" s="131" t="s">
        <v>157</v>
      </c>
      <c r="N374" s="131" t="s">
        <v>157</v>
      </c>
      <c r="O374" s="131" t="s">
        <v>157</v>
      </c>
      <c r="P374" s="131" t="s">
        <v>157</v>
      </c>
      <c r="Q374" s="131" t="s">
        <v>157</v>
      </c>
      <c r="R374" s="133" t="s">
        <v>157</v>
      </c>
      <c r="S374" s="131" t="s">
        <v>157</v>
      </c>
      <c r="T374" s="131" t="s">
        <v>157</v>
      </c>
      <c r="U374" s="133" t="s">
        <v>157</v>
      </c>
      <c r="V374" s="131" t="s">
        <v>157</v>
      </c>
      <c r="W374" s="131" t="s">
        <v>157</v>
      </c>
      <c r="X374" s="133" t="s">
        <v>157</v>
      </c>
    </row>
    <row r="375" spans="1:75" x14ac:dyDescent="0.25">
      <c r="A375" s="131" t="s">
        <v>157</v>
      </c>
      <c r="B375" s="131" t="s">
        <v>157</v>
      </c>
      <c r="C375" s="132" t="s">
        <v>157</v>
      </c>
      <c r="D375" s="131" t="s">
        <v>157</v>
      </c>
      <c r="E375" s="131" t="s">
        <v>157</v>
      </c>
      <c r="F375" s="131" t="s">
        <v>157</v>
      </c>
      <c r="G375" s="131" t="s">
        <v>157</v>
      </c>
      <c r="H375" s="131" t="s">
        <v>157</v>
      </c>
      <c r="I375" s="131" t="s">
        <v>157</v>
      </c>
      <c r="J375" s="131" t="s">
        <v>157</v>
      </c>
      <c r="K375" s="131" t="s">
        <v>157</v>
      </c>
      <c r="L375" s="131" t="s">
        <v>157</v>
      </c>
      <c r="M375" s="131" t="s">
        <v>157</v>
      </c>
      <c r="N375" s="131" t="s">
        <v>157</v>
      </c>
      <c r="O375" s="131" t="s">
        <v>157</v>
      </c>
      <c r="P375" s="131" t="s">
        <v>157</v>
      </c>
      <c r="Q375" s="131" t="s">
        <v>157</v>
      </c>
      <c r="R375" s="133" t="s">
        <v>157</v>
      </c>
      <c r="S375" s="131" t="s">
        <v>157</v>
      </c>
      <c r="T375" s="131" t="s">
        <v>157</v>
      </c>
      <c r="U375" s="133" t="s">
        <v>157</v>
      </c>
      <c r="V375" s="131" t="s">
        <v>157</v>
      </c>
      <c r="W375" s="131" t="s">
        <v>157</v>
      </c>
      <c r="X375" s="133" t="s">
        <v>157</v>
      </c>
    </row>
    <row r="376" spans="1:75" x14ac:dyDescent="0.25">
      <c r="A376" s="131" t="s">
        <v>157</v>
      </c>
      <c r="B376" s="131" t="s">
        <v>157</v>
      </c>
      <c r="C376" s="132" t="s">
        <v>157</v>
      </c>
      <c r="D376" s="131" t="s">
        <v>157</v>
      </c>
      <c r="E376" s="131" t="s">
        <v>157</v>
      </c>
      <c r="F376" s="131" t="s">
        <v>157</v>
      </c>
      <c r="G376" s="131" t="s">
        <v>157</v>
      </c>
      <c r="H376" s="131" t="s">
        <v>157</v>
      </c>
      <c r="I376" s="131" t="s">
        <v>157</v>
      </c>
      <c r="J376" s="131" t="s">
        <v>157</v>
      </c>
      <c r="K376" s="131" t="s">
        <v>157</v>
      </c>
      <c r="L376" s="131" t="s">
        <v>157</v>
      </c>
      <c r="M376" s="131" t="s">
        <v>157</v>
      </c>
      <c r="N376" s="131" t="s">
        <v>157</v>
      </c>
      <c r="O376" s="131" t="s">
        <v>157</v>
      </c>
      <c r="P376" s="131" t="s">
        <v>157</v>
      </c>
      <c r="Q376" s="131" t="s">
        <v>157</v>
      </c>
      <c r="R376" s="133" t="s">
        <v>157</v>
      </c>
      <c r="S376" s="131" t="s">
        <v>157</v>
      </c>
      <c r="T376" s="131" t="s">
        <v>157</v>
      </c>
      <c r="U376" s="133" t="s">
        <v>157</v>
      </c>
      <c r="V376" s="131" t="s">
        <v>157</v>
      </c>
      <c r="W376" s="131" t="s">
        <v>157</v>
      </c>
      <c r="X376" s="133" t="s">
        <v>157</v>
      </c>
    </row>
    <row r="377" spans="1:75" x14ac:dyDescent="0.25">
      <c r="A377" s="131" t="s">
        <v>157</v>
      </c>
      <c r="B377" s="131" t="s">
        <v>157</v>
      </c>
      <c r="C377" s="132" t="s">
        <v>157</v>
      </c>
      <c r="D377" s="131" t="s">
        <v>157</v>
      </c>
      <c r="E377" s="131" t="s">
        <v>157</v>
      </c>
      <c r="F377" s="131" t="s">
        <v>157</v>
      </c>
      <c r="G377" s="131" t="s">
        <v>157</v>
      </c>
      <c r="H377" s="131" t="s">
        <v>157</v>
      </c>
      <c r="I377" s="131" t="s">
        <v>157</v>
      </c>
      <c r="J377" s="131" t="s">
        <v>157</v>
      </c>
      <c r="K377" s="131" t="s">
        <v>157</v>
      </c>
      <c r="L377" s="131" t="s">
        <v>157</v>
      </c>
      <c r="M377" s="131" t="s">
        <v>157</v>
      </c>
      <c r="N377" s="131" t="s">
        <v>157</v>
      </c>
      <c r="O377" s="131" t="s">
        <v>157</v>
      </c>
      <c r="P377" s="131" t="s">
        <v>157</v>
      </c>
      <c r="Q377" s="131" t="s">
        <v>157</v>
      </c>
      <c r="R377" s="133" t="s">
        <v>157</v>
      </c>
      <c r="S377" s="131" t="s">
        <v>157</v>
      </c>
      <c r="T377" s="131" t="s">
        <v>157</v>
      </c>
      <c r="U377" s="133" t="s">
        <v>157</v>
      </c>
      <c r="V377" s="131" t="s">
        <v>157</v>
      </c>
      <c r="W377" s="131" t="s">
        <v>157</v>
      </c>
      <c r="X377" s="133" t="s">
        <v>157</v>
      </c>
    </row>
    <row r="378" spans="1:75" x14ac:dyDescent="0.25">
      <c r="A378" s="131" t="s">
        <v>46</v>
      </c>
      <c r="B378" s="131" t="s">
        <v>59</v>
      </c>
      <c r="C378" s="132">
        <v>1830.8541666666699</v>
      </c>
      <c r="D378" s="131" t="s">
        <v>65</v>
      </c>
      <c r="E378" s="131" t="s">
        <v>8</v>
      </c>
      <c r="F378" s="131" t="s">
        <v>40</v>
      </c>
      <c r="G378" s="131">
        <v>1</v>
      </c>
      <c r="H378" s="131">
        <v>32</v>
      </c>
      <c r="I378" s="131">
        <v>6</v>
      </c>
      <c r="J378" s="131">
        <v>5</v>
      </c>
      <c r="K378" s="131">
        <v>0</v>
      </c>
      <c r="L378" s="131">
        <v>0</v>
      </c>
      <c r="M378" s="131">
        <v>3</v>
      </c>
      <c r="N378" s="131">
        <v>2</v>
      </c>
      <c r="O378" s="131">
        <v>4</v>
      </c>
      <c r="P378" s="131">
        <v>5</v>
      </c>
      <c r="Q378" s="131">
        <v>10</v>
      </c>
      <c r="R378" s="133">
        <v>0.5</v>
      </c>
      <c r="S378" s="131">
        <v>12</v>
      </c>
      <c r="T378" s="131">
        <v>23</v>
      </c>
      <c r="U378" s="133">
        <v>0.52173913043478259</v>
      </c>
      <c r="V378" s="131">
        <v>3</v>
      </c>
      <c r="W378" s="131">
        <v>4</v>
      </c>
      <c r="X378" s="133">
        <v>0.75</v>
      </c>
      <c r="Z378" s="134" t="s">
        <v>46</v>
      </c>
      <c r="AA378" s="134" t="s">
        <v>59</v>
      </c>
      <c r="AB378" s="135">
        <v>1830.8541666666699</v>
      </c>
      <c r="AC378" s="134" t="s">
        <v>65</v>
      </c>
      <c r="AD378" s="134" t="s">
        <v>40</v>
      </c>
      <c r="AE378" s="134" t="s">
        <v>175</v>
      </c>
      <c r="AF378" s="134">
        <v>1</v>
      </c>
      <c r="AG378" s="134">
        <v>72</v>
      </c>
      <c r="AH378" s="134">
        <v>23</v>
      </c>
      <c r="AI378" s="134">
        <v>12</v>
      </c>
      <c r="AJ378" s="134">
        <v>1</v>
      </c>
      <c r="AK378" s="134">
        <v>1</v>
      </c>
      <c r="AL378" s="134">
        <v>11</v>
      </c>
      <c r="AM378" s="134">
        <v>8</v>
      </c>
      <c r="AN378" s="134">
        <v>15</v>
      </c>
      <c r="AO378" s="134">
        <v>14</v>
      </c>
      <c r="AP378" s="134">
        <v>35</v>
      </c>
      <c r="AQ378" s="136">
        <v>0.4</v>
      </c>
      <c r="AR378" s="134">
        <v>26</v>
      </c>
      <c r="AS378" s="134">
        <v>63</v>
      </c>
      <c r="AT378" s="136">
        <v>0.41269841269841268</v>
      </c>
      <c r="AU378" s="134">
        <v>6</v>
      </c>
      <c r="AV378" s="134">
        <v>8</v>
      </c>
      <c r="AW378" s="136">
        <v>0.75</v>
      </c>
      <c r="AY378" s="134" t="s">
        <v>46</v>
      </c>
      <c r="AZ378" s="134" t="s">
        <v>59</v>
      </c>
      <c r="BA378" s="135">
        <v>1830.8541666666699</v>
      </c>
      <c r="BB378" s="134" t="s">
        <v>65</v>
      </c>
      <c r="BC378" s="134" t="s">
        <v>89</v>
      </c>
      <c r="BD378" s="134"/>
      <c r="BE378" s="134">
        <v>1</v>
      </c>
      <c r="BF378" s="134">
        <v>185</v>
      </c>
      <c r="BG378" s="134">
        <v>59</v>
      </c>
      <c r="BH378" s="134">
        <v>34</v>
      </c>
      <c r="BI378" s="134">
        <v>6</v>
      </c>
      <c r="BJ378" s="134">
        <v>3</v>
      </c>
      <c r="BK378" s="134">
        <v>14</v>
      </c>
      <c r="BL378" s="134">
        <v>30</v>
      </c>
      <c r="BM378" s="134">
        <v>29</v>
      </c>
      <c r="BN378" s="134">
        <v>35</v>
      </c>
      <c r="BO378" s="134">
        <v>79</v>
      </c>
      <c r="BP378" s="136">
        <v>0.44303797468354428</v>
      </c>
      <c r="BQ378" s="134">
        <v>70</v>
      </c>
      <c r="BR378" s="134">
        <v>140</v>
      </c>
      <c r="BS378" s="136">
        <v>0.5</v>
      </c>
      <c r="BT378" s="134">
        <v>10</v>
      </c>
      <c r="BU378" s="134">
        <v>14</v>
      </c>
      <c r="BV378" s="136">
        <v>0.7142857142857143</v>
      </c>
      <c r="BW378" s="174" t="s">
        <v>221</v>
      </c>
    </row>
    <row r="379" spans="1:75" x14ac:dyDescent="0.25">
      <c r="A379" s="131" t="s">
        <v>46</v>
      </c>
      <c r="B379" s="131" t="s">
        <v>59</v>
      </c>
      <c r="C379" s="132">
        <v>1830.8541666666699</v>
      </c>
      <c r="D379" s="131" t="s">
        <v>65</v>
      </c>
      <c r="E379" s="131" t="s">
        <v>9</v>
      </c>
      <c r="F379" s="131" t="s">
        <v>40</v>
      </c>
      <c r="G379" s="131">
        <v>1</v>
      </c>
      <c r="H379" s="131">
        <v>11</v>
      </c>
      <c r="I379" s="131">
        <v>3</v>
      </c>
      <c r="J379" s="131">
        <v>2</v>
      </c>
      <c r="K379" s="131">
        <v>0</v>
      </c>
      <c r="L379" s="131">
        <v>0</v>
      </c>
      <c r="M379" s="131">
        <v>1</v>
      </c>
      <c r="N379" s="131">
        <v>1</v>
      </c>
      <c r="O379" s="131">
        <v>2</v>
      </c>
      <c r="P379" s="131">
        <v>3</v>
      </c>
      <c r="Q379" s="131">
        <v>6</v>
      </c>
      <c r="R379" s="133">
        <v>0.5</v>
      </c>
      <c r="S379" s="131">
        <v>4</v>
      </c>
      <c r="T379" s="131">
        <v>9</v>
      </c>
      <c r="U379" s="133">
        <v>0.44444444444444442</v>
      </c>
      <c r="V379" s="131">
        <v>0</v>
      </c>
      <c r="W379" s="131">
        <v>0</v>
      </c>
      <c r="X379" s="133" t="s">
        <v>120</v>
      </c>
      <c r="Z379" s="134" t="s">
        <v>46</v>
      </c>
      <c r="AA379" s="134" t="s">
        <v>59</v>
      </c>
      <c r="AB379" s="135">
        <v>1830.8541666666699</v>
      </c>
      <c r="AC379" s="134" t="s">
        <v>65</v>
      </c>
      <c r="AD379" s="134" t="s">
        <v>39</v>
      </c>
      <c r="AE379" s="134" t="s">
        <v>174</v>
      </c>
      <c r="AF379" s="134">
        <v>1</v>
      </c>
      <c r="AG379" s="134">
        <v>113</v>
      </c>
      <c r="AH379" s="134">
        <v>36</v>
      </c>
      <c r="AI379" s="134">
        <v>22</v>
      </c>
      <c r="AJ379" s="134">
        <v>5</v>
      </c>
      <c r="AK379" s="134">
        <v>2</v>
      </c>
      <c r="AL379" s="134">
        <v>3</v>
      </c>
      <c r="AM379" s="134">
        <v>22</v>
      </c>
      <c r="AN379" s="134">
        <v>14</v>
      </c>
      <c r="AO379" s="134">
        <v>21</v>
      </c>
      <c r="AP379" s="134">
        <v>44</v>
      </c>
      <c r="AQ379" s="136">
        <v>0.47727272727272729</v>
      </c>
      <c r="AR379" s="134">
        <v>44</v>
      </c>
      <c r="AS379" s="134">
        <v>77</v>
      </c>
      <c r="AT379" s="136">
        <v>0.5714285714285714</v>
      </c>
      <c r="AU379" s="134">
        <v>4</v>
      </c>
      <c r="AV379" s="134">
        <v>6</v>
      </c>
      <c r="AW379" s="136">
        <v>0.66666666666666663</v>
      </c>
    </row>
    <row r="380" spans="1:75" x14ac:dyDescent="0.25">
      <c r="A380" s="131" t="s">
        <v>46</v>
      </c>
      <c r="B380" s="131" t="s">
        <v>59</v>
      </c>
      <c r="C380" s="132">
        <v>1830.8541666666699</v>
      </c>
      <c r="D380" s="131" t="s">
        <v>65</v>
      </c>
      <c r="E380" s="131" t="s">
        <v>7</v>
      </c>
      <c r="F380" s="131" t="s">
        <v>40</v>
      </c>
      <c r="G380" s="131">
        <v>1</v>
      </c>
      <c r="H380" s="131">
        <v>21</v>
      </c>
      <c r="I380" s="131">
        <v>6</v>
      </c>
      <c r="J380" s="131">
        <v>5</v>
      </c>
      <c r="K380" s="131">
        <v>0</v>
      </c>
      <c r="L380" s="131">
        <v>0</v>
      </c>
      <c r="M380" s="131">
        <v>2</v>
      </c>
      <c r="N380" s="131">
        <v>3</v>
      </c>
      <c r="O380" s="131">
        <v>3</v>
      </c>
      <c r="P380" s="131">
        <v>4</v>
      </c>
      <c r="Q380" s="131">
        <v>6</v>
      </c>
      <c r="R380" s="133">
        <v>0.66666666666666663</v>
      </c>
      <c r="S380" s="131">
        <v>7</v>
      </c>
      <c r="T380" s="131">
        <v>14</v>
      </c>
      <c r="U380" s="133">
        <v>0.5</v>
      </c>
      <c r="V380" s="131">
        <v>3</v>
      </c>
      <c r="W380" s="131">
        <v>4</v>
      </c>
      <c r="X380" s="133">
        <v>0.75</v>
      </c>
    </row>
    <row r="381" spans="1:75" x14ac:dyDescent="0.25">
      <c r="A381" s="131" t="s">
        <v>46</v>
      </c>
      <c r="B381" s="131" t="s">
        <v>59</v>
      </c>
      <c r="C381" s="132">
        <v>1830.8541666666699</v>
      </c>
      <c r="D381" s="131" t="s">
        <v>65</v>
      </c>
      <c r="E381" s="131" t="s">
        <v>10</v>
      </c>
      <c r="F381" s="131" t="s">
        <v>40</v>
      </c>
      <c r="G381" s="131">
        <v>1</v>
      </c>
      <c r="H381" s="131">
        <v>3</v>
      </c>
      <c r="I381" s="131">
        <v>3</v>
      </c>
      <c r="J381" s="131">
        <v>0</v>
      </c>
      <c r="K381" s="131">
        <v>0</v>
      </c>
      <c r="L381" s="131">
        <v>0</v>
      </c>
      <c r="M381" s="131">
        <v>2</v>
      </c>
      <c r="N381" s="131">
        <v>0</v>
      </c>
      <c r="O381" s="131">
        <v>3</v>
      </c>
      <c r="P381" s="131">
        <v>1</v>
      </c>
      <c r="Q381" s="131">
        <v>4</v>
      </c>
      <c r="R381" s="133">
        <v>0.25</v>
      </c>
      <c r="S381" s="131">
        <v>1</v>
      </c>
      <c r="T381" s="131">
        <v>4</v>
      </c>
      <c r="U381" s="133">
        <v>0.25</v>
      </c>
      <c r="V381" s="131">
        <v>0</v>
      </c>
      <c r="W381" s="131">
        <v>0</v>
      </c>
      <c r="X381" s="133" t="s">
        <v>120</v>
      </c>
    </row>
    <row r="382" spans="1:75" x14ac:dyDescent="0.25">
      <c r="A382" s="131" t="s">
        <v>46</v>
      </c>
      <c r="B382" s="131" t="s">
        <v>59</v>
      </c>
      <c r="C382" s="132">
        <v>1830.8541666666699</v>
      </c>
      <c r="D382" s="131" t="s">
        <v>65</v>
      </c>
      <c r="E382" s="131" t="s">
        <v>11</v>
      </c>
      <c r="F382" s="131" t="s">
        <v>40</v>
      </c>
      <c r="G382" s="131">
        <v>1</v>
      </c>
      <c r="H382" s="131">
        <v>5</v>
      </c>
      <c r="I382" s="131">
        <v>3</v>
      </c>
      <c r="J382" s="131">
        <v>0</v>
      </c>
      <c r="K382" s="131">
        <v>0</v>
      </c>
      <c r="L382" s="131">
        <v>0</v>
      </c>
      <c r="M382" s="131">
        <v>0</v>
      </c>
      <c r="N382" s="131">
        <v>1</v>
      </c>
      <c r="O382" s="131">
        <v>2</v>
      </c>
      <c r="P382" s="131">
        <v>1</v>
      </c>
      <c r="Q382" s="131">
        <v>2</v>
      </c>
      <c r="R382" s="133">
        <v>0.5</v>
      </c>
      <c r="S382" s="131">
        <v>2</v>
      </c>
      <c r="T382" s="131">
        <v>4</v>
      </c>
      <c r="U382" s="133">
        <v>0.5</v>
      </c>
      <c r="V382" s="131">
        <v>0</v>
      </c>
      <c r="W382" s="131">
        <v>0</v>
      </c>
      <c r="X382" s="133" t="s">
        <v>120</v>
      </c>
    </row>
    <row r="383" spans="1:75" x14ac:dyDescent="0.25">
      <c r="A383" s="131" t="s">
        <v>46</v>
      </c>
      <c r="B383" s="131" t="s">
        <v>59</v>
      </c>
      <c r="C383" s="132">
        <v>1830.8541666666699</v>
      </c>
      <c r="D383" s="131" t="s">
        <v>65</v>
      </c>
      <c r="E383" s="131" t="s">
        <v>30</v>
      </c>
      <c r="F383" s="131" t="s">
        <v>40</v>
      </c>
      <c r="G383" s="131">
        <v>1</v>
      </c>
      <c r="H383" s="131">
        <v>0</v>
      </c>
      <c r="I383" s="131">
        <v>2</v>
      </c>
      <c r="J383" s="131">
        <v>0</v>
      </c>
      <c r="K383" s="131">
        <v>1</v>
      </c>
      <c r="L383" s="131">
        <v>1</v>
      </c>
      <c r="M383" s="131">
        <v>3</v>
      </c>
      <c r="N383" s="131">
        <v>1</v>
      </c>
      <c r="O383" s="131">
        <v>1</v>
      </c>
      <c r="P383" s="131">
        <v>0</v>
      </c>
      <c r="Q383" s="131">
        <v>7</v>
      </c>
      <c r="R383" s="133">
        <v>0</v>
      </c>
      <c r="S383" s="131">
        <v>0</v>
      </c>
      <c r="T383" s="131">
        <v>9</v>
      </c>
      <c r="U383" s="133">
        <v>0</v>
      </c>
      <c r="V383" s="131">
        <v>0</v>
      </c>
      <c r="W383" s="131">
        <v>0</v>
      </c>
      <c r="X383" s="133" t="s">
        <v>120</v>
      </c>
    </row>
    <row r="384" spans="1:75" x14ac:dyDescent="0.25">
      <c r="A384" s="131" t="s">
        <v>46</v>
      </c>
      <c r="B384" s="131" t="s">
        <v>59</v>
      </c>
      <c r="C384" s="132">
        <v>1830.8541666666699</v>
      </c>
      <c r="D384" s="131" t="s">
        <v>65</v>
      </c>
      <c r="E384" s="131" t="s">
        <v>2</v>
      </c>
      <c r="F384" s="131" t="s">
        <v>39</v>
      </c>
      <c r="G384" s="131">
        <v>1</v>
      </c>
      <c r="H384" s="131">
        <v>49</v>
      </c>
      <c r="I384" s="131">
        <v>5</v>
      </c>
      <c r="J384" s="131">
        <v>2</v>
      </c>
      <c r="K384" s="131">
        <v>2</v>
      </c>
      <c r="L384" s="131">
        <v>0</v>
      </c>
      <c r="M384" s="131">
        <v>0</v>
      </c>
      <c r="N384" s="131">
        <v>3</v>
      </c>
      <c r="O384" s="131">
        <v>2</v>
      </c>
      <c r="P384" s="131">
        <v>11</v>
      </c>
      <c r="Q384" s="131">
        <v>18</v>
      </c>
      <c r="R384" s="133">
        <v>0.61111111111111116</v>
      </c>
      <c r="S384" s="131">
        <v>19</v>
      </c>
      <c r="T384" s="131">
        <v>30</v>
      </c>
      <c r="U384" s="133">
        <v>0.6333333333333333</v>
      </c>
      <c r="V384" s="131">
        <v>0</v>
      </c>
      <c r="W384" s="131">
        <v>0</v>
      </c>
      <c r="X384" s="133" t="s">
        <v>120</v>
      </c>
    </row>
    <row r="385" spans="1:75" x14ac:dyDescent="0.25">
      <c r="A385" s="131" t="s">
        <v>46</v>
      </c>
      <c r="B385" s="131" t="s">
        <v>59</v>
      </c>
      <c r="C385" s="132">
        <v>1830.8541666666699</v>
      </c>
      <c r="D385" s="131" t="s">
        <v>65</v>
      </c>
      <c r="E385" s="131" t="s">
        <v>1</v>
      </c>
      <c r="F385" s="131" t="s">
        <v>39</v>
      </c>
      <c r="G385" s="131">
        <v>1</v>
      </c>
      <c r="H385" s="131">
        <v>25</v>
      </c>
      <c r="I385" s="131">
        <v>12</v>
      </c>
      <c r="J385" s="131">
        <v>10</v>
      </c>
      <c r="K385" s="131">
        <v>1</v>
      </c>
      <c r="L385" s="131">
        <v>1</v>
      </c>
      <c r="M385" s="131">
        <v>1</v>
      </c>
      <c r="N385" s="131">
        <v>11</v>
      </c>
      <c r="O385" s="131">
        <v>1</v>
      </c>
      <c r="P385" s="131">
        <v>5</v>
      </c>
      <c r="Q385" s="131">
        <v>12</v>
      </c>
      <c r="R385" s="133">
        <v>0.41666666666666669</v>
      </c>
      <c r="S385" s="131">
        <v>9</v>
      </c>
      <c r="T385" s="131">
        <v>16</v>
      </c>
      <c r="U385" s="133">
        <v>0.5625</v>
      </c>
      <c r="V385" s="131">
        <v>2</v>
      </c>
      <c r="W385" s="131">
        <v>4</v>
      </c>
      <c r="X385" s="133">
        <v>0.5</v>
      </c>
    </row>
    <row r="386" spans="1:75" x14ac:dyDescent="0.25">
      <c r="A386" s="131" t="s">
        <v>46</v>
      </c>
      <c r="B386" s="131" t="s">
        <v>59</v>
      </c>
      <c r="C386" s="132">
        <v>1830.8541666666699</v>
      </c>
      <c r="D386" s="131" t="s">
        <v>65</v>
      </c>
      <c r="E386" s="131" t="s">
        <v>4</v>
      </c>
      <c r="F386" s="131" t="s">
        <v>39</v>
      </c>
      <c r="G386" s="131">
        <v>1</v>
      </c>
      <c r="H386" s="131">
        <v>9</v>
      </c>
      <c r="I386" s="131">
        <v>7</v>
      </c>
      <c r="J386" s="131">
        <v>6</v>
      </c>
      <c r="K386" s="131">
        <v>0</v>
      </c>
      <c r="L386" s="131">
        <v>0</v>
      </c>
      <c r="M386" s="131">
        <v>1</v>
      </c>
      <c r="N386" s="131">
        <v>4</v>
      </c>
      <c r="O386" s="131">
        <v>3</v>
      </c>
      <c r="P386" s="131">
        <v>1</v>
      </c>
      <c r="Q386" s="131">
        <v>5</v>
      </c>
      <c r="R386" s="133">
        <v>0.2</v>
      </c>
      <c r="S386" s="131">
        <v>4</v>
      </c>
      <c r="T386" s="131">
        <v>10</v>
      </c>
      <c r="U386" s="133">
        <v>0.4</v>
      </c>
      <c r="V386" s="131">
        <v>0</v>
      </c>
      <c r="W386" s="131">
        <v>0</v>
      </c>
      <c r="X386" s="133" t="s">
        <v>120</v>
      </c>
    </row>
    <row r="387" spans="1:75" x14ac:dyDescent="0.25">
      <c r="A387" s="131" t="s">
        <v>46</v>
      </c>
      <c r="B387" s="131" t="s">
        <v>59</v>
      </c>
      <c r="C387" s="132">
        <v>1830.8541666666699</v>
      </c>
      <c r="D387" s="131" t="s">
        <v>65</v>
      </c>
      <c r="E387" s="131" t="s">
        <v>5</v>
      </c>
      <c r="F387" s="131" t="s">
        <v>39</v>
      </c>
      <c r="G387" s="131">
        <v>1</v>
      </c>
      <c r="H387" s="131">
        <v>16</v>
      </c>
      <c r="I387" s="131">
        <v>6</v>
      </c>
      <c r="J387" s="131">
        <v>0</v>
      </c>
      <c r="K387" s="131">
        <v>2</v>
      </c>
      <c r="L387" s="131">
        <v>1</v>
      </c>
      <c r="M387" s="131">
        <v>0</v>
      </c>
      <c r="N387" s="131">
        <v>1</v>
      </c>
      <c r="O387" s="131">
        <v>5</v>
      </c>
      <c r="P387" s="131">
        <v>2</v>
      </c>
      <c r="Q387" s="131">
        <v>3</v>
      </c>
      <c r="R387" s="133">
        <v>0.66666666666666663</v>
      </c>
      <c r="S387" s="131">
        <v>6</v>
      </c>
      <c r="T387" s="131">
        <v>7</v>
      </c>
      <c r="U387" s="133">
        <v>0.8571428571428571</v>
      </c>
      <c r="V387" s="131">
        <v>2</v>
      </c>
      <c r="W387" s="131">
        <v>2</v>
      </c>
      <c r="X387" s="133">
        <v>1</v>
      </c>
    </row>
    <row r="388" spans="1:75" x14ac:dyDescent="0.25">
      <c r="A388" s="131" t="s">
        <v>46</v>
      </c>
      <c r="B388" s="131" t="s">
        <v>59</v>
      </c>
      <c r="C388" s="132">
        <v>1830.8541666666699</v>
      </c>
      <c r="D388" s="131" t="s">
        <v>65</v>
      </c>
      <c r="E388" s="131" t="s">
        <v>6</v>
      </c>
      <c r="F388" s="131" t="s">
        <v>39</v>
      </c>
      <c r="G388" s="131">
        <v>1</v>
      </c>
      <c r="H388" s="131">
        <v>14</v>
      </c>
      <c r="I388" s="131">
        <v>6</v>
      </c>
      <c r="J388" s="131">
        <v>4</v>
      </c>
      <c r="K388" s="131">
        <v>0</v>
      </c>
      <c r="L388" s="131">
        <v>0</v>
      </c>
      <c r="M388" s="131">
        <v>1</v>
      </c>
      <c r="N388" s="131">
        <v>3</v>
      </c>
      <c r="O388" s="131">
        <v>3</v>
      </c>
      <c r="P388" s="131">
        <v>2</v>
      </c>
      <c r="Q388" s="131">
        <v>6</v>
      </c>
      <c r="R388" s="133">
        <v>0.33333333333333331</v>
      </c>
      <c r="S388" s="131">
        <v>6</v>
      </c>
      <c r="T388" s="131">
        <v>14</v>
      </c>
      <c r="U388" s="133">
        <v>0.42857142857142855</v>
      </c>
      <c r="V388" s="131">
        <v>0</v>
      </c>
      <c r="W388" s="131">
        <v>0</v>
      </c>
      <c r="X388" s="133" t="s">
        <v>120</v>
      </c>
    </row>
    <row r="389" spans="1:75" x14ac:dyDescent="0.25">
      <c r="A389" s="131" t="s">
        <v>157</v>
      </c>
      <c r="B389" s="131" t="s">
        <v>157</v>
      </c>
      <c r="C389" s="132" t="s">
        <v>157</v>
      </c>
      <c r="D389" s="131" t="s">
        <v>157</v>
      </c>
      <c r="E389" s="131" t="s">
        <v>157</v>
      </c>
      <c r="F389" s="131" t="s">
        <v>157</v>
      </c>
      <c r="G389" s="131" t="s">
        <v>157</v>
      </c>
      <c r="H389" s="131" t="s">
        <v>157</v>
      </c>
      <c r="I389" s="131" t="s">
        <v>157</v>
      </c>
      <c r="J389" s="131" t="s">
        <v>157</v>
      </c>
      <c r="K389" s="131" t="s">
        <v>157</v>
      </c>
      <c r="L389" s="131" t="s">
        <v>157</v>
      </c>
      <c r="M389" s="131" t="s">
        <v>157</v>
      </c>
      <c r="N389" s="131" t="s">
        <v>157</v>
      </c>
      <c r="O389" s="131" t="s">
        <v>157</v>
      </c>
      <c r="P389" s="131" t="s">
        <v>157</v>
      </c>
      <c r="Q389" s="131" t="s">
        <v>157</v>
      </c>
      <c r="R389" s="133" t="s">
        <v>157</v>
      </c>
      <c r="S389" s="131" t="s">
        <v>157</v>
      </c>
      <c r="T389" s="131" t="s">
        <v>157</v>
      </c>
      <c r="U389" s="133" t="s">
        <v>157</v>
      </c>
      <c r="V389" s="131" t="s">
        <v>157</v>
      </c>
      <c r="W389" s="131" t="s">
        <v>157</v>
      </c>
      <c r="X389" s="133" t="s">
        <v>157</v>
      </c>
    </row>
    <row r="390" spans="1:75" x14ac:dyDescent="0.25">
      <c r="A390" s="131" t="s">
        <v>157</v>
      </c>
      <c r="B390" s="131" t="s">
        <v>157</v>
      </c>
      <c r="C390" s="132" t="s">
        <v>157</v>
      </c>
      <c r="D390" s="131" t="s">
        <v>157</v>
      </c>
      <c r="E390" s="131" t="s">
        <v>157</v>
      </c>
      <c r="F390" s="131" t="s">
        <v>157</v>
      </c>
      <c r="G390" s="131" t="s">
        <v>157</v>
      </c>
      <c r="H390" s="131" t="s">
        <v>157</v>
      </c>
      <c r="I390" s="131" t="s">
        <v>157</v>
      </c>
      <c r="J390" s="131" t="s">
        <v>157</v>
      </c>
      <c r="K390" s="131" t="s">
        <v>157</v>
      </c>
      <c r="L390" s="131" t="s">
        <v>157</v>
      </c>
      <c r="M390" s="131" t="s">
        <v>157</v>
      </c>
      <c r="N390" s="131" t="s">
        <v>157</v>
      </c>
      <c r="O390" s="131" t="s">
        <v>157</v>
      </c>
      <c r="P390" s="131" t="s">
        <v>157</v>
      </c>
      <c r="Q390" s="131" t="s">
        <v>157</v>
      </c>
      <c r="R390" s="133" t="s">
        <v>157</v>
      </c>
      <c r="S390" s="131" t="s">
        <v>157</v>
      </c>
      <c r="T390" s="131" t="s">
        <v>157</v>
      </c>
      <c r="U390" s="133" t="s">
        <v>157</v>
      </c>
      <c r="V390" s="131" t="s">
        <v>157</v>
      </c>
      <c r="W390" s="131" t="s">
        <v>157</v>
      </c>
      <c r="X390" s="133" t="s">
        <v>157</v>
      </c>
    </row>
    <row r="391" spans="1:75" x14ac:dyDescent="0.25">
      <c r="A391" s="131" t="s">
        <v>157</v>
      </c>
      <c r="B391" s="131" t="s">
        <v>157</v>
      </c>
      <c r="C391" s="132" t="s">
        <v>157</v>
      </c>
      <c r="D391" s="131" t="s">
        <v>157</v>
      </c>
      <c r="E391" s="131" t="s">
        <v>157</v>
      </c>
      <c r="F391" s="131" t="s">
        <v>157</v>
      </c>
      <c r="G391" s="131" t="s">
        <v>157</v>
      </c>
      <c r="H391" s="131" t="s">
        <v>157</v>
      </c>
      <c r="I391" s="131" t="s">
        <v>157</v>
      </c>
      <c r="J391" s="131" t="s">
        <v>157</v>
      </c>
      <c r="K391" s="131" t="s">
        <v>157</v>
      </c>
      <c r="L391" s="131" t="s">
        <v>157</v>
      </c>
      <c r="M391" s="131" t="s">
        <v>157</v>
      </c>
      <c r="N391" s="131" t="s">
        <v>157</v>
      </c>
      <c r="O391" s="131" t="s">
        <v>157</v>
      </c>
      <c r="P391" s="131" t="s">
        <v>157</v>
      </c>
      <c r="Q391" s="131" t="s">
        <v>157</v>
      </c>
      <c r="R391" s="133" t="s">
        <v>157</v>
      </c>
      <c r="S391" s="131" t="s">
        <v>157</v>
      </c>
      <c r="T391" s="131" t="s">
        <v>157</v>
      </c>
      <c r="U391" s="133" t="s">
        <v>157</v>
      </c>
      <c r="V391" s="131" t="s">
        <v>157</v>
      </c>
      <c r="W391" s="131" t="s">
        <v>157</v>
      </c>
      <c r="X391" s="133" t="s">
        <v>157</v>
      </c>
    </row>
    <row r="392" spans="1:75" x14ac:dyDescent="0.25">
      <c r="A392" s="131" t="s">
        <v>157</v>
      </c>
      <c r="B392" s="131" t="s">
        <v>157</v>
      </c>
      <c r="C392" s="132" t="s">
        <v>157</v>
      </c>
      <c r="D392" s="131" t="s">
        <v>157</v>
      </c>
      <c r="E392" s="131" t="s">
        <v>157</v>
      </c>
      <c r="F392" s="131" t="s">
        <v>157</v>
      </c>
      <c r="G392" s="131" t="s">
        <v>157</v>
      </c>
      <c r="H392" s="131" t="s">
        <v>157</v>
      </c>
      <c r="I392" s="131" t="s">
        <v>157</v>
      </c>
      <c r="J392" s="131" t="s">
        <v>157</v>
      </c>
      <c r="K392" s="131" t="s">
        <v>157</v>
      </c>
      <c r="L392" s="131" t="s">
        <v>157</v>
      </c>
      <c r="M392" s="131" t="s">
        <v>157</v>
      </c>
      <c r="N392" s="131" t="s">
        <v>157</v>
      </c>
      <c r="O392" s="131" t="s">
        <v>157</v>
      </c>
      <c r="P392" s="131" t="s">
        <v>157</v>
      </c>
      <c r="Q392" s="131" t="s">
        <v>157</v>
      </c>
      <c r="R392" s="133" t="s">
        <v>157</v>
      </c>
      <c r="S392" s="131" t="s">
        <v>157</v>
      </c>
      <c r="T392" s="131" t="s">
        <v>157</v>
      </c>
      <c r="U392" s="133" t="s">
        <v>157</v>
      </c>
      <c r="V392" s="131" t="s">
        <v>157</v>
      </c>
      <c r="W392" s="131" t="s">
        <v>157</v>
      </c>
      <c r="X392" s="133" t="s">
        <v>157</v>
      </c>
    </row>
    <row r="393" spans="1:75" x14ac:dyDescent="0.25">
      <c r="A393" s="131" t="s">
        <v>46</v>
      </c>
      <c r="B393" s="131" t="s">
        <v>59</v>
      </c>
      <c r="C393" s="132">
        <v>1830.7708333333333</v>
      </c>
      <c r="D393" s="131" t="s">
        <v>65</v>
      </c>
      <c r="E393" s="131" t="s">
        <v>25</v>
      </c>
      <c r="F393" s="131" t="s">
        <v>42</v>
      </c>
      <c r="G393" s="131">
        <v>1</v>
      </c>
      <c r="H393" s="131">
        <v>11</v>
      </c>
      <c r="I393" s="131">
        <v>8</v>
      </c>
      <c r="J393" s="131">
        <v>4</v>
      </c>
      <c r="K393" s="131">
        <v>3</v>
      </c>
      <c r="L393" s="131">
        <v>0</v>
      </c>
      <c r="M393" s="131">
        <v>1</v>
      </c>
      <c r="N393" s="131">
        <v>0</v>
      </c>
      <c r="O393" s="131">
        <v>8</v>
      </c>
      <c r="P393" s="131">
        <v>2</v>
      </c>
      <c r="Q393" s="131">
        <v>5</v>
      </c>
      <c r="R393" s="133">
        <v>0.4</v>
      </c>
      <c r="S393" s="131">
        <v>4</v>
      </c>
      <c r="T393" s="131">
        <v>11</v>
      </c>
      <c r="U393" s="133">
        <v>0.36363636363636365</v>
      </c>
      <c r="V393" s="131">
        <v>1</v>
      </c>
      <c r="W393" s="131">
        <v>2</v>
      </c>
      <c r="X393" s="133">
        <v>0.5</v>
      </c>
      <c r="Z393" s="134" t="s">
        <v>46</v>
      </c>
      <c r="AA393" s="134" t="s">
        <v>59</v>
      </c>
      <c r="AB393" s="135">
        <v>1830.7708333333333</v>
      </c>
      <c r="AC393" s="134" t="s">
        <v>65</v>
      </c>
      <c r="AD393" s="134" t="s">
        <v>42</v>
      </c>
      <c r="AE393" s="134" t="s">
        <v>175</v>
      </c>
      <c r="AF393" s="134">
        <v>1</v>
      </c>
      <c r="AG393" s="134">
        <v>46</v>
      </c>
      <c r="AH393" s="134">
        <v>26</v>
      </c>
      <c r="AI393" s="134">
        <v>5</v>
      </c>
      <c r="AJ393" s="134">
        <v>7</v>
      </c>
      <c r="AK393" s="134">
        <v>3</v>
      </c>
      <c r="AL393" s="134">
        <v>6</v>
      </c>
      <c r="AM393" s="134">
        <v>7</v>
      </c>
      <c r="AN393" s="134">
        <v>19</v>
      </c>
      <c r="AO393" s="134">
        <v>11</v>
      </c>
      <c r="AP393" s="134">
        <v>27</v>
      </c>
      <c r="AQ393" s="136">
        <v>0.40740740740740738</v>
      </c>
      <c r="AR393" s="134">
        <v>17</v>
      </c>
      <c r="AS393" s="134">
        <v>64</v>
      </c>
      <c r="AT393" s="136">
        <v>0.265625</v>
      </c>
      <c r="AU393" s="134">
        <v>1</v>
      </c>
      <c r="AV393" s="134">
        <v>4</v>
      </c>
      <c r="AW393" s="136">
        <v>0.25</v>
      </c>
      <c r="AY393" s="134" t="s">
        <v>46</v>
      </c>
      <c r="AZ393" s="134" t="s">
        <v>59</v>
      </c>
      <c r="BA393" s="135">
        <v>1830.7708333333333</v>
      </c>
      <c r="BB393" s="134" t="s">
        <v>65</v>
      </c>
      <c r="BC393" s="134" t="s">
        <v>89</v>
      </c>
      <c r="BD393" s="134"/>
      <c r="BE393" s="134">
        <v>1</v>
      </c>
      <c r="BF393" s="134">
        <v>105</v>
      </c>
      <c r="BG393" s="134">
        <v>84</v>
      </c>
      <c r="BH393" s="134">
        <v>17</v>
      </c>
      <c r="BI393" s="134">
        <v>11</v>
      </c>
      <c r="BJ393" s="134">
        <v>6</v>
      </c>
      <c r="BK393" s="134">
        <v>17</v>
      </c>
      <c r="BL393" s="134">
        <v>28</v>
      </c>
      <c r="BM393" s="134">
        <v>56</v>
      </c>
      <c r="BN393" s="134">
        <v>18</v>
      </c>
      <c r="BO393" s="134">
        <v>59</v>
      </c>
      <c r="BP393" s="136">
        <v>0.30508474576271188</v>
      </c>
      <c r="BQ393" s="134">
        <v>43</v>
      </c>
      <c r="BR393" s="134">
        <v>140</v>
      </c>
      <c r="BS393" s="136">
        <v>0.30714285714285716</v>
      </c>
      <c r="BT393" s="134">
        <v>1</v>
      </c>
      <c r="BU393" s="134">
        <v>6</v>
      </c>
      <c r="BV393" s="136">
        <v>0.16666666666666666</v>
      </c>
      <c r="BW393" s="174" t="s">
        <v>223</v>
      </c>
    </row>
    <row r="394" spans="1:75" x14ac:dyDescent="0.25">
      <c r="A394" s="131" t="s">
        <v>46</v>
      </c>
      <c r="B394" s="131" t="s">
        <v>59</v>
      </c>
      <c r="C394" s="132">
        <v>1830.7708333333333</v>
      </c>
      <c r="D394" s="131" t="s">
        <v>65</v>
      </c>
      <c r="E394" s="131" t="s">
        <v>26</v>
      </c>
      <c r="F394" s="131" t="s">
        <v>42</v>
      </c>
      <c r="G394" s="131">
        <v>1</v>
      </c>
      <c r="H394" s="131">
        <v>22</v>
      </c>
      <c r="I394" s="131">
        <v>5</v>
      </c>
      <c r="J394" s="131">
        <v>1</v>
      </c>
      <c r="K394" s="131">
        <v>0</v>
      </c>
      <c r="L394" s="131">
        <v>0</v>
      </c>
      <c r="M394" s="131">
        <v>0</v>
      </c>
      <c r="N394" s="131">
        <v>3</v>
      </c>
      <c r="O394" s="131">
        <v>2</v>
      </c>
      <c r="P394" s="131">
        <v>6</v>
      </c>
      <c r="Q394" s="131">
        <v>11</v>
      </c>
      <c r="R394" s="133">
        <v>0.54545454545454541</v>
      </c>
      <c r="S394" s="131">
        <v>8</v>
      </c>
      <c r="T394" s="131">
        <v>26</v>
      </c>
      <c r="U394" s="133">
        <v>0.30769230769230771</v>
      </c>
      <c r="V394" s="131">
        <v>0</v>
      </c>
      <c r="W394" s="131">
        <v>0</v>
      </c>
      <c r="X394" s="133" t="s">
        <v>120</v>
      </c>
      <c r="Z394" s="134" t="s">
        <v>46</v>
      </c>
      <c r="AA394" s="134" t="s">
        <v>59</v>
      </c>
      <c r="AB394" s="135">
        <v>1830.7708333333333</v>
      </c>
      <c r="AC394" s="134" t="s">
        <v>65</v>
      </c>
      <c r="AD394" s="134" t="s">
        <v>222</v>
      </c>
      <c r="AE394" s="134" t="s">
        <v>174</v>
      </c>
      <c r="AF394" s="134">
        <v>1</v>
      </c>
      <c r="AG394" s="134">
        <v>59</v>
      </c>
      <c r="AH394" s="134">
        <v>58</v>
      </c>
      <c r="AI394" s="134">
        <v>12</v>
      </c>
      <c r="AJ394" s="134">
        <v>4</v>
      </c>
      <c r="AK394" s="134">
        <v>3</v>
      </c>
      <c r="AL394" s="134">
        <v>11</v>
      </c>
      <c r="AM394" s="134">
        <v>21</v>
      </c>
      <c r="AN394" s="134">
        <v>37</v>
      </c>
      <c r="AO394" s="134">
        <v>7</v>
      </c>
      <c r="AP394" s="134">
        <v>32</v>
      </c>
      <c r="AQ394" s="136">
        <v>0.21875</v>
      </c>
      <c r="AR394" s="134">
        <v>26</v>
      </c>
      <c r="AS394" s="134">
        <v>76</v>
      </c>
      <c r="AT394" s="136">
        <v>0.34210526315789475</v>
      </c>
      <c r="AU394" s="134">
        <v>0</v>
      </c>
      <c r="AV394" s="134">
        <v>2</v>
      </c>
      <c r="AW394" s="136">
        <v>0</v>
      </c>
    </row>
    <row r="395" spans="1:75" x14ac:dyDescent="0.25">
      <c r="A395" s="131" t="s">
        <v>46</v>
      </c>
      <c r="B395" s="131" t="s">
        <v>59</v>
      </c>
      <c r="C395" s="132">
        <v>1830.7708333333333</v>
      </c>
      <c r="D395" s="131" t="s">
        <v>65</v>
      </c>
      <c r="E395" s="131" t="s">
        <v>27</v>
      </c>
      <c r="F395" s="131" t="s">
        <v>42</v>
      </c>
      <c r="G395" s="131">
        <v>1</v>
      </c>
      <c r="H395" s="131">
        <v>4</v>
      </c>
      <c r="I395" s="131">
        <v>4</v>
      </c>
      <c r="J395" s="131">
        <v>0</v>
      </c>
      <c r="K395" s="131">
        <v>0</v>
      </c>
      <c r="L395" s="131">
        <v>0</v>
      </c>
      <c r="M395" s="131">
        <v>0</v>
      </c>
      <c r="N395" s="131">
        <v>1</v>
      </c>
      <c r="O395" s="131">
        <v>3</v>
      </c>
      <c r="P395" s="131">
        <v>0</v>
      </c>
      <c r="Q395" s="131">
        <v>4</v>
      </c>
      <c r="R395" s="133">
        <v>0</v>
      </c>
      <c r="S395" s="131">
        <v>2</v>
      </c>
      <c r="T395" s="131">
        <v>16</v>
      </c>
      <c r="U395" s="133">
        <v>0.125</v>
      </c>
      <c r="V395" s="131">
        <v>0</v>
      </c>
      <c r="W395" s="131">
        <v>2</v>
      </c>
      <c r="X395" s="133">
        <v>0</v>
      </c>
    </row>
    <row r="396" spans="1:75" x14ac:dyDescent="0.25">
      <c r="A396" s="131" t="s">
        <v>46</v>
      </c>
      <c r="B396" s="131" t="s">
        <v>59</v>
      </c>
      <c r="C396" s="132">
        <v>1830.7708333333333</v>
      </c>
      <c r="D396" s="131" t="s">
        <v>65</v>
      </c>
      <c r="E396" s="131" t="s">
        <v>28</v>
      </c>
      <c r="F396" s="131" t="s">
        <v>42</v>
      </c>
      <c r="G396" s="131">
        <v>1</v>
      </c>
      <c r="H396" s="131">
        <v>9</v>
      </c>
      <c r="I396" s="131">
        <v>2</v>
      </c>
      <c r="J396" s="131">
        <v>0</v>
      </c>
      <c r="K396" s="131">
        <v>2</v>
      </c>
      <c r="L396" s="131">
        <v>1</v>
      </c>
      <c r="M396" s="131">
        <v>2</v>
      </c>
      <c r="N396" s="131">
        <v>0</v>
      </c>
      <c r="O396" s="131">
        <v>2</v>
      </c>
      <c r="P396" s="131">
        <v>3</v>
      </c>
      <c r="Q396" s="131">
        <v>7</v>
      </c>
      <c r="R396" s="133">
        <v>0.42857142857142855</v>
      </c>
      <c r="S396" s="131">
        <v>3</v>
      </c>
      <c r="T396" s="131">
        <v>8</v>
      </c>
      <c r="U396" s="133">
        <v>0.375</v>
      </c>
      <c r="V396" s="131">
        <v>0</v>
      </c>
      <c r="W396" s="131">
        <v>0</v>
      </c>
      <c r="X396" s="133" t="s">
        <v>120</v>
      </c>
    </row>
    <row r="397" spans="1:75" x14ac:dyDescent="0.25">
      <c r="A397" s="131" t="s">
        <v>46</v>
      </c>
      <c r="B397" s="131" t="s">
        <v>59</v>
      </c>
      <c r="C397" s="132">
        <v>1830.7708333333333</v>
      </c>
      <c r="D397" s="131" t="s">
        <v>65</v>
      </c>
      <c r="E397" s="131" t="s">
        <v>12</v>
      </c>
      <c r="F397" s="131" t="s">
        <v>42</v>
      </c>
      <c r="G397" s="131">
        <v>1</v>
      </c>
      <c r="H397" s="131">
        <v>0</v>
      </c>
      <c r="I397" s="131">
        <v>7</v>
      </c>
      <c r="J397" s="131">
        <v>0</v>
      </c>
      <c r="K397" s="131">
        <v>2</v>
      </c>
      <c r="L397" s="131">
        <v>2</v>
      </c>
      <c r="M397" s="131">
        <v>3</v>
      </c>
      <c r="N397" s="131">
        <v>3</v>
      </c>
      <c r="O397" s="131">
        <v>4</v>
      </c>
      <c r="P397" s="131">
        <v>0</v>
      </c>
      <c r="Q397" s="131">
        <v>0</v>
      </c>
      <c r="R397" s="133" t="s">
        <v>120</v>
      </c>
      <c r="S397" s="131">
        <v>0</v>
      </c>
      <c r="T397" s="131">
        <v>3</v>
      </c>
      <c r="U397" s="133">
        <v>0</v>
      </c>
      <c r="V397" s="131">
        <v>0</v>
      </c>
      <c r="W397" s="131">
        <v>0</v>
      </c>
      <c r="X397" s="133" t="s">
        <v>120</v>
      </c>
    </row>
    <row r="398" spans="1:75" x14ac:dyDescent="0.25">
      <c r="A398" s="131" t="s">
        <v>46</v>
      </c>
      <c r="B398" s="131" t="s">
        <v>59</v>
      </c>
      <c r="C398" s="132">
        <v>1830.7708333333333</v>
      </c>
      <c r="D398" s="131" t="s">
        <v>65</v>
      </c>
      <c r="E398" s="131" t="s">
        <v>13</v>
      </c>
      <c r="F398" s="131" t="s">
        <v>222</v>
      </c>
      <c r="G398" s="131">
        <v>1</v>
      </c>
      <c r="H398" s="131">
        <v>9</v>
      </c>
      <c r="I398" s="131">
        <v>4</v>
      </c>
      <c r="J398" s="131">
        <v>5</v>
      </c>
      <c r="K398" s="131">
        <v>2</v>
      </c>
      <c r="L398" s="131">
        <v>0</v>
      </c>
      <c r="M398" s="131">
        <v>3</v>
      </c>
      <c r="N398" s="131">
        <v>1</v>
      </c>
      <c r="O398" s="131">
        <v>3</v>
      </c>
      <c r="P398" s="131">
        <v>1</v>
      </c>
      <c r="Q398" s="131">
        <v>5</v>
      </c>
      <c r="R398" s="133">
        <v>0.2</v>
      </c>
      <c r="S398" s="131">
        <v>4</v>
      </c>
      <c r="T398" s="131">
        <v>12</v>
      </c>
      <c r="U398" s="133">
        <v>0.33333333333333331</v>
      </c>
      <c r="V398" s="131">
        <v>0</v>
      </c>
      <c r="W398" s="131">
        <v>0</v>
      </c>
      <c r="X398" s="133" t="s">
        <v>120</v>
      </c>
    </row>
    <row r="399" spans="1:75" x14ac:dyDescent="0.25">
      <c r="A399" s="131" t="s">
        <v>46</v>
      </c>
      <c r="B399" s="131" t="s">
        <v>59</v>
      </c>
      <c r="C399" s="132">
        <v>1830.7708333333333</v>
      </c>
      <c r="D399" s="131" t="s">
        <v>65</v>
      </c>
      <c r="E399" s="131" t="s">
        <v>14</v>
      </c>
      <c r="F399" s="131" t="s">
        <v>222</v>
      </c>
      <c r="G399" s="131">
        <v>1</v>
      </c>
      <c r="H399" s="131">
        <v>16</v>
      </c>
      <c r="I399" s="131">
        <v>16</v>
      </c>
      <c r="J399" s="131">
        <v>3</v>
      </c>
      <c r="K399" s="131">
        <v>1</v>
      </c>
      <c r="L399" s="131">
        <v>1</v>
      </c>
      <c r="M399" s="131">
        <v>2</v>
      </c>
      <c r="N399" s="131">
        <v>6</v>
      </c>
      <c r="O399" s="131">
        <v>10</v>
      </c>
      <c r="P399" s="131">
        <v>2</v>
      </c>
      <c r="Q399" s="131">
        <v>13</v>
      </c>
      <c r="R399" s="133">
        <v>0.15384615384615385</v>
      </c>
      <c r="S399" s="131">
        <v>7</v>
      </c>
      <c r="T399" s="131">
        <v>25</v>
      </c>
      <c r="U399" s="133">
        <v>0.28000000000000003</v>
      </c>
      <c r="V399" s="131">
        <v>0</v>
      </c>
      <c r="W399" s="131">
        <v>0</v>
      </c>
      <c r="X399" s="133" t="s">
        <v>120</v>
      </c>
    </row>
    <row r="400" spans="1:75" x14ac:dyDescent="0.25">
      <c r="A400" s="131" t="s">
        <v>46</v>
      </c>
      <c r="B400" s="131" t="s">
        <v>59</v>
      </c>
      <c r="C400" s="132">
        <v>1830.7708333333333</v>
      </c>
      <c r="D400" s="131" t="s">
        <v>65</v>
      </c>
      <c r="E400" s="131" t="s">
        <v>230</v>
      </c>
      <c r="F400" s="131" t="s">
        <v>222</v>
      </c>
      <c r="G400" s="131">
        <v>1</v>
      </c>
      <c r="H400" s="131">
        <v>6</v>
      </c>
      <c r="I400" s="131">
        <v>14</v>
      </c>
      <c r="J400" s="131">
        <v>0</v>
      </c>
      <c r="K400" s="131">
        <v>0</v>
      </c>
      <c r="L400" s="131">
        <v>0</v>
      </c>
      <c r="M400" s="131">
        <v>1</v>
      </c>
      <c r="N400" s="131">
        <v>8</v>
      </c>
      <c r="O400" s="131">
        <v>6</v>
      </c>
      <c r="P400" s="131">
        <v>0</v>
      </c>
      <c r="Q400" s="131">
        <v>0</v>
      </c>
      <c r="R400" s="133" t="s">
        <v>120</v>
      </c>
      <c r="S400" s="131">
        <v>3</v>
      </c>
      <c r="T400" s="131">
        <v>14</v>
      </c>
      <c r="U400" s="133">
        <v>0.21428571428571427</v>
      </c>
      <c r="V400" s="131">
        <v>0</v>
      </c>
      <c r="W400" s="131">
        <v>2</v>
      </c>
      <c r="X400" s="133">
        <v>0</v>
      </c>
    </row>
    <row r="401" spans="1:24" x14ac:dyDescent="0.25">
      <c r="A401" s="131" t="s">
        <v>46</v>
      </c>
      <c r="B401" s="131" t="s">
        <v>59</v>
      </c>
      <c r="C401" s="132">
        <v>1830.7708333333333</v>
      </c>
      <c r="D401" s="131" t="s">
        <v>65</v>
      </c>
      <c r="E401" s="131" t="s">
        <v>18</v>
      </c>
      <c r="F401" s="131" t="s">
        <v>222</v>
      </c>
      <c r="G401" s="131">
        <v>1</v>
      </c>
      <c r="H401" s="131">
        <v>4</v>
      </c>
      <c r="I401" s="131">
        <v>5</v>
      </c>
      <c r="J401" s="131">
        <v>0</v>
      </c>
      <c r="K401" s="131">
        <v>1</v>
      </c>
      <c r="L401" s="131">
        <v>0</v>
      </c>
      <c r="M401" s="131">
        <v>1</v>
      </c>
      <c r="N401" s="131">
        <v>2</v>
      </c>
      <c r="O401" s="131">
        <v>3</v>
      </c>
      <c r="P401" s="131">
        <v>0</v>
      </c>
      <c r="Q401" s="131">
        <v>3</v>
      </c>
      <c r="R401" s="133">
        <v>0</v>
      </c>
      <c r="S401" s="131">
        <v>2</v>
      </c>
      <c r="T401" s="131">
        <v>5</v>
      </c>
      <c r="U401" s="133">
        <v>0.4</v>
      </c>
      <c r="V401" s="131">
        <v>0</v>
      </c>
      <c r="W401" s="131">
        <v>0</v>
      </c>
      <c r="X401" s="133" t="s">
        <v>120</v>
      </c>
    </row>
    <row r="402" spans="1:24" x14ac:dyDescent="0.25">
      <c r="A402" s="131" t="s">
        <v>46</v>
      </c>
      <c r="B402" s="131" t="s">
        <v>59</v>
      </c>
      <c r="C402" s="132">
        <v>1830.7708333333333</v>
      </c>
      <c r="D402" s="131" t="s">
        <v>65</v>
      </c>
      <c r="E402" s="131" t="s">
        <v>17</v>
      </c>
      <c r="F402" s="131" t="s">
        <v>222</v>
      </c>
      <c r="G402" s="131">
        <v>1</v>
      </c>
      <c r="H402" s="131">
        <v>6</v>
      </c>
      <c r="I402" s="131">
        <v>9</v>
      </c>
      <c r="J402" s="131">
        <v>1</v>
      </c>
      <c r="K402" s="131">
        <v>0</v>
      </c>
      <c r="L402" s="131">
        <v>2</v>
      </c>
      <c r="M402" s="131">
        <v>2</v>
      </c>
      <c r="N402" s="131">
        <v>2</v>
      </c>
      <c r="O402" s="131">
        <v>7</v>
      </c>
      <c r="P402" s="131">
        <v>0</v>
      </c>
      <c r="Q402" s="131">
        <v>0</v>
      </c>
      <c r="R402" s="133" t="s">
        <v>120</v>
      </c>
      <c r="S402" s="131">
        <v>3</v>
      </c>
      <c r="T402" s="131">
        <v>5</v>
      </c>
      <c r="U402" s="133">
        <v>0.6</v>
      </c>
      <c r="V402" s="131">
        <v>0</v>
      </c>
      <c r="W402" s="131">
        <v>0</v>
      </c>
      <c r="X402" s="133" t="s">
        <v>120</v>
      </c>
    </row>
    <row r="403" spans="1:24" x14ac:dyDescent="0.25">
      <c r="A403" s="131" t="s">
        <v>46</v>
      </c>
      <c r="B403" s="131" t="s">
        <v>59</v>
      </c>
      <c r="C403" s="132">
        <v>1830.7708333333333</v>
      </c>
      <c r="D403" s="131" t="s">
        <v>65</v>
      </c>
      <c r="E403" s="131" t="s">
        <v>15</v>
      </c>
      <c r="F403" s="131" t="s">
        <v>222</v>
      </c>
      <c r="G403" s="131">
        <v>1</v>
      </c>
      <c r="H403" s="131">
        <v>18</v>
      </c>
      <c r="I403" s="131">
        <v>10</v>
      </c>
      <c r="J403" s="131">
        <v>3</v>
      </c>
      <c r="K403" s="131">
        <v>0</v>
      </c>
      <c r="L403" s="131">
        <v>0</v>
      </c>
      <c r="M403" s="131">
        <v>2</v>
      </c>
      <c r="N403" s="131">
        <v>2</v>
      </c>
      <c r="O403" s="131">
        <v>8</v>
      </c>
      <c r="P403" s="131">
        <v>4</v>
      </c>
      <c r="Q403" s="131">
        <v>11</v>
      </c>
      <c r="R403" s="133">
        <v>0.36363636363636365</v>
      </c>
      <c r="S403" s="131">
        <v>7</v>
      </c>
      <c r="T403" s="131">
        <v>15</v>
      </c>
      <c r="U403" s="133">
        <v>0.46666666666666667</v>
      </c>
      <c r="V403" s="131">
        <v>0</v>
      </c>
      <c r="W403" s="131">
        <v>0</v>
      </c>
      <c r="X403" s="133" t="s">
        <v>120</v>
      </c>
    </row>
    <row r="404" spans="1:24" x14ac:dyDescent="0.25">
      <c r="A404" s="131" t="s">
        <v>157</v>
      </c>
      <c r="B404" s="131" t="s">
        <v>157</v>
      </c>
      <c r="C404" s="132" t="s">
        <v>157</v>
      </c>
      <c r="D404" s="131" t="s">
        <v>157</v>
      </c>
      <c r="E404" s="131" t="s">
        <v>157</v>
      </c>
      <c r="F404" s="131" t="s">
        <v>157</v>
      </c>
      <c r="G404" s="131" t="s">
        <v>157</v>
      </c>
      <c r="H404" s="131" t="s">
        <v>157</v>
      </c>
      <c r="I404" s="131" t="s">
        <v>157</v>
      </c>
      <c r="J404" s="131" t="s">
        <v>157</v>
      </c>
      <c r="K404" s="131" t="s">
        <v>157</v>
      </c>
      <c r="L404" s="131" t="s">
        <v>157</v>
      </c>
      <c r="M404" s="131" t="s">
        <v>157</v>
      </c>
      <c r="N404" s="131" t="s">
        <v>157</v>
      </c>
      <c r="O404" s="131" t="s">
        <v>157</v>
      </c>
      <c r="P404" s="131" t="s">
        <v>157</v>
      </c>
      <c r="Q404" s="131" t="s">
        <v>157</v>
      </c>
      <c r="R404" s="133" t="s">
        <v>157</v>
      </c>
      <c r="S404" s="131" t="s">
        <v>157</v>
      </c>
      <c r="T404" s="131" t="s">
        <v>157</v>
      </c>
      <c r="U404" s="133" t="s">
        <v>157</v>
      </c>
      <c r="V404" s="131" t="s">
        <v>157</v>
      </c>
      <c r="W404" s="131" t="s">
        <v>157</v>
      </c>
      <c r="X404" s="133" t="s">
        <v>157</v>
      </c>
    </row>
    <row r="405" spans="1:24" x14ac:dyDescent="0.25">
      <c r="A405" s="131" t="s">
        <v>157</v>
      </c>
      <c r="B405" s="131" t="s">
        <v>157</v>
      </c>
      <c r="C405" s="132" t="s">
        <v>157</v>
      </c>
      <c r="D405" s="131" t="s">
        <v>157</v>
      </c>
      <c r="E405" s="131" t="s">
        <v>157</v>
      </c>
      <c r="F405" s="131" t="s">
        <v>157</v>
      </c>
      <c r="G405" s="131" t="s">
        <v>157</v>
      </c>
      <c r="H405" s="131" t="s">
        <v>157</v>
      </c>
      <c r="I405" s="131" t="s">
        <v>157</v>
      </c>
      <c r="J405" s="131" t="s">
        <v>157</v>
      </c>
      <c r="K405" s="131" t="s">
        <v>157</v>
      </c>
      <c r="L405" s="131" t="s">
        <v>157</v>
      </c>
      <c r="M405" s="131" t="s">
        <v>157</v>
      </c>
      <c r="N405" s="131" t="s">
        <v>157</v>
      </c>
      <c r="O405" s="131" t="s">
        <v>157</v>
      </c>
      <c r="P405" s="131" t="s">
        <v>157</v>
      </c>
      <c r="Q405" s="131" t="s">
        <v>157</v>
      </c>
      <c r="R405" s="133" t="s">
        <v>157</v>
      </c>
      <c r="S405" s="131" t="s">
        <v>157</v>
      </c>
      <c r="T405" s="131" t="s">
        <v>157</v>
      </c>
      <c r="U405" s="133" t="s">
        <v>157</v>
      </c>
      <c r="V405" s="131" t="s">
        <v>157</v>
      </c>
      <c r="W405" s="131" t="s">
        <v>157</v>
      </c>
      <c r="X405" s="133" t="s">
        <v>157</v>
      </c>
    </row>
    <row r="406" spans="1:24" x14ac:dyDescent="0.25">
      <c r="A406" s="131" t="s">
        <v>157</v>
      </c>
      <c r="B406" s="131" t="s">
        <v>157</v>
      </c>
      <c r="C406" s="132" t="s">
        <v>157</v>
      </c>
      <c r="D406" s="131" t="s">
        <v>157</v>
      </c>
      <c r="E406" s="131" t="s">
        <v>157</v>
      </c>
      <c r="F406" s="131" t="s">
        <v>157</v>
      </c>
      <c r="G406" s="131" t="s">
        <v>157</v>
      </c>
      <c r="H406" s="131" t="s">
        <v>157</v>
      </c>
      <c r="I406" s="131" t="s">
        <v>157</v>
      </c>
      <c r="J406" s="131" t="s">
        <v>157</v>
      </c>
      <c r="K406" s="131" t="s">
        <v>157</v>
      </c>
      <c r="L406" s="131" t="s">
        <v>157</v>
      </c>
      <c r="M406" s="131" t="s">
        <v>157</v>
      </c>
      <c r="N406" s="131" t="s">
        <v>157</v>
      </c>
      <c r="O406" s="131" t="s">
        <v>157</v>
      </c>
      <c r="P406" s="131" t="s">
        <v>157</v>
      </c>
      <c r="Q406" s="131" t="s">
        <v>157</v>
      </c>
      <c r="R406" s="133" t="s">
        <v>157</v>
      </c>
      <c r="S406" s="131" t="s">
        <v>157</v>
      </c>
      <c r="T406" s="131" t="s">
        <v>157</v>
      </c>
      <c r="U406" s="133" t="s">
        <v>157</v>
      </c>
      <c r="V406" s="131" t="s">
        <v>157</v>
      </c>
      <c r="W406" s="131" t="s">
        <v>157</v>
      </c>
      <c r="X406" s="133" t="s">
        <v>157</v>
      </c>
    </row>
    <row r="407" spans="1:24" x14ac:dyDescent="0.25">
      <c r="A407" s="131" t="s">
        <v>157</v>
      </c>
      <c r="B407" s="131" t="s">
        <v>157</v>
      </c>
      <c r="C407" s="132" t="s">
        <v>157</v>
      </c>
      <c r="D407" s="131" t="s">
        <v>157</v>
      </c>
      <c r="E407" s="131" t="s">
        <v>157</v>
      </c>
      <c r="F407" s="131" t="s">
        <v>157</v>
      </c>
      <c r="G407" s="131" t="s">
        <v>157</v>
      </c>
      <c r="H407" s="131" t="s">
        <v>157</v>
      </c>
      <c r="I407" s="131" t="s">
        <v>157</v>
      </c>
      <c r="J407" s="131" t="s">
        <v>157</v>
      </c>
      <c r="K407" s="131" t="s">
        <v>157</v>
      </c>
      <c r="L407" s="131" t="s">
        <v>157</v>
      </c>
      <c r="M407" s="131" t="s">
        <v>157</v>
      </c>
      <c r="N407" s="131" t="s">
        <v>157</v>
      </c>
      <c r="O407" s="131" t="s">
        <v>157</v>
      </c>
      <c r="P407" s="131" t="s">
        <v>157</v>
      </c>
      <c r="Q407" s="131" t="s">
        <v>157</v>
      </c>
      <c r="R407" s="133" t="s">
        <v>157</v>
      </c>
      <c r="S407" s="131" t="s">
        <v>157</v>
      </c>
      <c r="T407" s="131" t="s">
        <v>157</v>
      </c>
      <c r="U407" s="133" t="s">
        <v>157</v>
      </c>
      <c r="V407" s="131" t="s">
        <v>157</v>
      </c>
      <c r="W407" s="131" t="s">
        <v>157</v>
      </c>
      <c r="X407" s="133" t="s">
        <v>157</v>
      </c>
    </row>
  </sheetData>
  <sheetProtection algorithmName="SHA-512" hashValue="CNR/685Om2KYXunnaabKZ/vjRNCpDjFfW9Mh6L1P+Xig26wued07Am1EiXKlTuTVXNR7yj5KwQ3l0A7hYWrSSg==" saltValue="T1U15C+3D4zCt7RfulGPlQ==" spinCount="100000" sheet="1" objects="1" scenarios="1" selectLockedCells="1"/>
  <mergeCells count="3">
    <mergeCell ref="A1:X1"/>
    <mergeCell ref="Z1:AW1"/>
    <mergeCell ref="AY1:BW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8413E-C867-4D69-B99E-D1D599DE0867}">
  <sheetPr codeName="Sheet18">
    <tabColor rgb="FFFF0000"/>
  </sheetPr>
  <dimension ref="A1:AK50"/>
  <sheetViews>
    <sheetView workbookViewId="0"/>
  </sheetViews>
  <sheetFormatPr defaultColWidth="8.85546875" defaultRowHeight="15" x14ac:dyDescent="0.25"/>
  <cols>
    <col min="1" max="2" width="11.42578125" customWidth="1"/>
    <col min="3" max="4" width="2.85546875" customWidth="1"/>
    <col min="5" max="6" width="12.85546875" customWidth="1"/>
    <col min="7" max="21" width="5.7109375" style="1" customWidth="1"/>
    <col min="23" max="23" width="3" bestFit="1" customWidth="1"/>
    <col min="24" max="24" width="10" customWidth="1"/>
    <col min="25" max="25" width="2.140625" customWidth="1"/>
    <col min="26" max="37" width="14.42578125" style="320" customWidth="1"/>
  </cols>
  <sheetData>
    <row r="1" spans="1:37" ht="45" customHeight="1" x14ac:dyDescent="0.55000000000000004">
      <c r="A1" s="252"/>
      <c r="B1" s="252"/>
      <c r="C1" s="23"/>
      <c r="D1" s="23"/>
      <c r="E1" s="253" t="s">
        <v>179</v>
      </c>
      <c r="F1" s="23"/>
      <c r="G1" s="258"/>
      <c r="H1" s="258"/>
      <c r="I1" s="258"/>
      <c r="J1" s="258"/>
      <c r="K1" s="258"/>
      <c r="L1" s="258"/>
      <c r="M1" s="258"/>
      <c r="N1" s="258"/>
      <c r="O1" s="258"/>
      <c r="P1" s="430" t="s">
        <v>258</v>
      </c>
      <c r="Q1" s="258"/>
      <c r="R1" s="258"/>
      <c r="S1" s="258"/>
      <c r="T1" s="258"/>
      <c r="U1" s="258"/>
      <c r="V1" s="23"/>
      <c r="W1" s="23"/>
      <c r="Z1" s="353" t="s">
        <v>240</v>
      </c>
    </row>
    <row r="2" spans="1:37" x14ac:dyDescent="0.25">
      <c r="A2" s="252"/>
      <c r="B2" s="252"/>
      <c r="C2" s="23"/>
      <c r="D2" s="23"/>
      <c r="E2" s="23"/>
      <c r="F2" s="23"/>
      <c r="G2" s="258">
        <f>COLUMN()</f>
        <v>7</v>
      </c>
      <c r="H2" s="258">
        <f>COLUMN()</f>
        <v>8</v>
      </c>
      <c r="I2" s="258">
        <f>COLUMN()</f>
        <v>9</v>
      </c>
      <c r="J2" s="258">
        <f>COLUMN()</f>
        <v>10</v>
      </c>
      <c r="K2" s="258">
        <f>COLUMN()</f>
        <v>11</v>
      </c>
      <c r="L2" s="258">
        <f>COLUMN()</f>
        <v>12</v>
      </c>
      <c r="M2" s="258">
        <f>COLUMN()</f>
        <v>13</v>
      </c>
      <c r="N2" s="258">
        <f>COLUMN()</f>
        <v>14</v>
      </c>
      <c r="O2" s="258">
        <f>COLUMN()</f>
        <v>15</v>
      </c>
      <c r="P2" s="258">
        <f>COLUMN()</f>
        <v>16</v>
      </c>
      <c r="Q2" s="258">
        <f>COLUMN()</f>
        <v>17</v>
      </c>
      <c r="R2" s="258">
        <f>COLUMN()</f>
        <v>18</v>
      </c>
      <c r="S2" s="258">
        <f>COLUMN()</f>
        <v>19</v>
      </c>
      <c r="T2" s="258">
        <f>COLUMN()</f>
        <v>20</v>
      </c>
      <c r="U2" s="258">
        <f>COLUMN()</f>
        <v>21</v>
      </c>
      <c r="V2" s="23"/>
      <c r="W2" s="23"/>
      <c r="Z2" s="381" t="s">
        <v>243</v>
      </c>
    </row>
    <row r="3" spans="1:37" x14ac:dyDescent="0.25">
      <c r="A3" s="252"/>
      <c r="B3" s="252"/>
      <c r="C3" s="23"/>
      <c r="D3" s="23"/>
      <c r="E3" s="467" t="s">
        <v>195</v>
      </c>
      <c r="F3" s="467"/>
      <c r="G3" s="467" t="s">
        <v>194</v>
      </c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23"/>
      <c r="W3" s="23"/>
      <c r="Z3" s="323">
        <v>1</v>
      </c>
      <c r="AA3" s="323">
        <v>2</v>
      </c>
      <c r="AB3" s="323">
        <v>3</v>
      </c>
      <c r="AC3" s="323">
        <v>4</v>
      </c>
      <c r="AD3" s="323">
        <v>5</v>
      </c>
      <c r="AE3" s="323">
        <v>6</v>
      </c>
      <c r="AF3" s="323">
        <v>7</v>
      </c>
      <c r="AG3" s="323">
        <v>8</v>
      </c>
      <c r="AH3" s="323">
        <v>9</v>
      </c>
      <c r="AI3" s="323">
        <v>10</v>
      </c>
      <c r="AJ3" s="323">
        <v>11</v>
      </c>
      <c r="AK3" s="323">
        <v>12</v>
      </c>
    </row>
    <row r="4" spans="1:37" ht="101.25" x14ac:dyDescent="0.25">
      <c r="A4" s="252"/>
      <c r="B4" s="252"/>
      <c r="C4" s="23"/>
      <c r="D4" s="23"/>
      <c r="E4" s="257" t="s">
        <v>180</v>
      </c>
      <c r="F4" s="257" t="s">
        <v>181</v>
      </c>
      <c r="G4" s="257" t="s">
        <v>184</v>
      </c>
      <c r="H4" s="257" t="s">
        <v>185</v>
      </c>
      <c r="I4" s="257" t="s">
        <v>37</v>
      </c>
      <c r="J4" s="257" t="s">
        <v>186</v>
      </c>
      <c r="K4" s="257" t="s">
        <v>187</v>
      </c>
      <c r="L4" s="257" t="s">
        <v>188</v>
      </c>
      <c r="M4" s="257" t="s">
        <v>189</v>
      </c>
      <c r="N4" s="257" t="s">
        <v>227</v>
      </c>
      <c r="O4" s="257" t="s">
        <v>217</v>
      </c>
      <c r="P4" s="257" t="s">
        <v>237</v>
      </c>
      <c r="Q4" s="257" t="s">
        <v>190</v>
      </c>
      <c r="R4" s="257" t="s">
        <v>191</v>
      </c>
      <c r="S4" s="257" t="s">
        <v>192</v>
      </c>
      <c r="T4" s="257" t="s">
        <v>193</v>
      </c>
      <c r="U4" s="257" t="s">
        <v>196</v>
      </c>
      <c r="V4" s="23"/>
      <c r="W4" s="324"/>
      <c r="X4" s="325" t="s">
        <v>236</v>
      </c>
      <c r="Y4" t="str">
        <f ca="1">IFERROR(CurrentTeams,"")</f>
        <v/>
      </c>
      <c r="Z4" s="321" t="str">
        <f ca="1">IF($X5="","",$X5)</f>
        <v>Pistons</v>
      </c>
      <c r="AA4" s="321" t="str">
        <f ca="1">IF($X6="","",$X6)</f>
        <v>Lightning</v>
      </c>
      <c r="AB4" s="321" t="str">
        <f ca="1">IF($X7="","",$X7)</f>
        <v>Wombats</v>
      </c>
      <c r="AC4" s="321" t="str">
        <f ca="1">IF($X8="","",$X8)</f>
        <v>Mustangs</v>
      </c>
      <c r="AD4" s="321" t="str">
        <f ca="1">IF($X9="","",$X9)</f>
        <v>Vandals</v>
      </c>
      <c r="AE4" s="321" t="str">
        <f ca="1">IF($X10="","",$X10)</f>
        <v>Hoopers</v>
      </c>
      <c r="AF4" s="321" t="str">
        <f ca="1">IF($X11="","",$X11)</f>
        <v/>
      </c>
      <c r="AG4" s="321" t="str">
        <f ca="1">IF($X12="","",$X12)</f>
        <v/>
      </c>
      <c r="AH4" s="321" t="str">
        <f ca="1">IF($X13="","",$X13)</f>
        <v/>
      </c>
      <c r="AI4" s="321" t="str">
        <f ca="1">IF($X14="","",$X14)</f>
        <v/>
      </c>
      <c r="AJ4" s="322"/>
      <c r="AK4" s="322"/>
    </row>
    <row r="5" spans="1:37" x14ac:dyDescent="0.25">
      <c r="A5" s="255" t="s">
        <v>180</v>
      </c>
      <c r="B5" s="256"/>
      <c r="C5" s="23"/>
      <c r="D5" s="23"/>
      <c r="E5" s="259" t="s">
        <v>196</v>
      </c>
      <c r="F5" s="259" t="s">
        <v>197</v>
      </c>
      <c r="G5" s="260" t="s">
        <v>203</v>
      </c>
      <c r="H5" s="261" t="s">
        <v>203</v>
      </c>
      <c r="I5" s="261" t="s">
        <v>203</v>
      </c>
      <c r="J5" s="261" t="s">
        <v>203</v>
      </c>
      <c r="K5" s="261" t="s">
        <v>203</v>
      </c>
      <c r="L5" s="261" t="s">
        <v>203</v>
      </c>
      <c r="M5" s="261" t="s">
        <v>203</v>
      </c>
      <c r="N5" s="261" t="s">
        <v>203</v>
      </c>
      <c r="O5" s="261" t="s">
        <v>203</v>
      </c>
      <c r="P5" s="261" t="s">
        <v>203</v>
      </c>
      <c r="Q5" s="261" t="s">
        <v>203</v>
      </c>
      <c r="R5" s="261" t="s">
        <v>203</v>
      </c>
      <c r="S5" s="261" t="s">
        <v>203</v>
      </c>
      <c r="T5" s="261" t="s">
        <v>203</v>
      </c>
      <c r="U5" s="262" t="s">
        <v>204</v>
      </c>
      <c r="V5" s="23"/>
      <c r="W5" s="324">
        <v>1</v>
      </c>
      <c r="X5" s="177" t="str">
        <f t="shared" ref="X5:X29" ca="1" si="0">IFERROR(CurrentTeams,"")</f>
        <v>Pistons</v>
      </c>
      <c r="Z5" s="322" t="str">
        <f t="array" aca="1" ref="Z5" ca="1">IFERROR(INDEX(IndividualsPerGame!$C$3:$D$80,SMALL(IF(IndividualsPerGame!$D$3:$D80=Z$4,ROW(IndividualsPerGame!$C$3:$D$80)-2),ROW(IndividualsPerGame!1:1)),1),"")</f>
        <v>Alex VanDeBussche</v>
      </c>
      <c r="AA5" s="322" t="str">
        <f t="array" aca="1" ref="AA5" ca="1">IFERROR(INDEX(IndividualsPerGame!$C$3:$D$80,SMALL(IF(IndividualsPerGame!$D$3:$D80=AA$4,ROW(IndividualsPerGame!$C$3:$D$80)-2),ROW(IndividualsPerGame!1:1)),1),"")</f>
        <v>Will Varner</v>
      </c>
      <c r="AB5" s="322" t="str">
        <f t="array" aca="1" ref="AB5" ca="1">IFERROR(INDEX(IndividualsPerGame!$C$3:$D$80,SMALL(IF(IndividualsPerGame!$D$3:$D80=AB$4,ROW(IndividualsPerGame!$C$3:$D$80)-2),ROW(IndividualsPerGame!1:1)),1),"")</f>
        <v>Jake Schmeltz</v>
      </c>
      <c r="AC5" s="322" t="str">
        <f t="array" aca="1" ref="AC5" ca="1">IFERROR(INDEX(IndividualsPerGame!$C$3:$D$80,SMALL(IF(IndividualsPerGame!$D$3:$D80=AC$4,ROW(IndividualsPerGame!$C$3:$D$80)-2),ROW(IndividualsPerGame!1:1)),1),"")</f>
        <v>Josh Williams</v>
      </c>
      <c r="AD5" s="322" t="str">
        <f t="array" aca="1" ref="AD5" ca="1">IFERROR(INDEX(IndividualsPerGame!$C$3:$D$80,SMALL(IF(IndividualsPerGame!$D$3:$D80=AD$4,ROW(IndividualsPerGame!$C$3:$D$80)-2),ROW(IndividualsPerGame!1:1)),1),"")</f>
        <v>Jake Schwiefert</v>
      </c>
      <c r="AE5" s="322" t="str">
        <f t="array" aca="1" ref="AE5" ca="1">IFERROR(INDEX(IndividualsPerGame!$C$3:$D$80,SMALL(IF(IndividualsPerGame!$D$3:$D80=AE$4,ROW(IndividualsPerGame!$C$3:$D$80)-2),ROW(IndividualsPerGame!1:1)),1),"")</f>
        <v>Braden Womack</v>
      </c>
      <c r="AF5" s="322">
        <f t="array" aca="1" ref="AF5" ca="1">IFERROR(INDEX(IndividualsPerGame!$C$3:$D$80,SMALL(IF(IndividualsPerGame!$D$3:$D80=AF$4,ROW(IndividualsPerGame!$C$3:$D$80)-2),ROW(IndividualsPerGame!1:1)),1),"")</f>
        <v>0</v>
      </c>
      <c r="AG5" s="322">
        <f t="array" aca="1" ref="AG5" ca="1">IFERROR(INDEX(IndividualsPerGame!$C$3:$D$80,SMALL(IF(IndividualsPerGame!$D$3:$D80=AG$4,ROW(IndividualsPerGame!$C$3:$D$80)-2),ROW(IndividualsPerGame!1:1)),1),"")</f>
        <v>0</v>
      </c>
      <c r="AH5" s="322">
        <f t="array" aca="1" ref="AH5" ca="1">IFERROR(INDEX(IndividualsPerGame!$C$3:$D$80,SMALL(IF(IndividualsPerGame!$D$3:$D80=AH$4,ROW(IndividualsPerGame!$C$3:$D$80)-2),ROW(IndividualsPerGame!1:1)),1),"")</f>
        <v>0</v>
      </c>
      <c r="AI5" s="322">
        <f t="array" aca="1" ref="AI5" ca="1">IFERROR(INDEX(IndividualsPerGame!$C$3:$D$80,SMALL(IF(IndividualsPerGame!$D$3:$D80=AI$4,ROW(IndividualsPerGame!$C$3:$D$80)-2),ROW(IndividualsPerGame!1:1)),1),"")</f>
        <v>0</v>
      </c>
      <c r="AJ5" s="322">
        <f t="array" ref="AJ5">IFERROR(INDEX(IndividualsPerGame!$C$3:$D$80,SMALL(IF(IndividualsPerGame!$D$3:$D80=AJ$4,ROW(IndividualsPerGame!$C$3:$D$80)-2),ROW(IndividualsPerGame!1:1)),1),"")</f>
        <v>0</v>
      </c>
      <c r="AK5" s="322">
        <f t="array" ref="AK5">IFERROR(INDEX(IndividualsPerGame!$C$3:$D$80,SMALL(IF(IndividualsPerGame!$D$3:$D80=AK$4,ROW(IndividualsPerGame!$C$3:$D$80)-2),ROW(IndividualsPerGame!1:1)),1),"")</f>
        <v>0</v>
      </c>
    </row>
    <row r="6" spans="1:37" x14ac:dyDescent="0.25">
      <c r="A6" s="255" t="s">
        <v>181</v>
      </c>
      <c r="B6" s="256"/>
      <c r="C6" s="23"/>
      <c r="D6" s="23"/>
      <c r="E6" s="259" t="s">
        <v>198</v>
      </c>
      <c r="F6" s="259" t="s">
        <v>199</v>
      </c>
      <c r="G6" s="263" t="s">
        <v>203</v>
      </c>
      <c r="H6" s="264" t="s">
        <v>203</v>
      </c>
      <c r="I6" s="264" t="s">
        <v>203</v>
      </c>
      <c r="J6" s="264" t="s">
        <v>203</v>
      </c>
      <c r="K6" s="264" t="s">
        <v>203</v>
      </c>
      <c r="L6" s="264" t="s">
        <v>203</v>
      </c>
      <c r="M6" s="264" t="s">
        <v>203</v>
      </c>
      <c r="N6" s="264" t="s">
        <v>203</v>
      </c>
      <c r="O6" s="264" t="s">
        <v>203</v>
      </c>
      <c r="P6" s="264" t="s">
        <v>204</v>
      </c>
      <c r="Q6" s="264" t="s">
        <v>204</v>
      </c>
      <c r="R6" s="264" t="s">
        <v>204</v>
      </c>
      <c r="S6" s="264" t="s">
        <v>204</v>
      </c>
      <c r="T6" s="264" t="s">
        <v>203</v>
      </c>
      <c r="U6" s="265" t="s">
        <v>204</v>
      </c>
      <c r="V6" s="23"/>
      <c r="W6" s="324">
        <v>2</v>
      </c>
      <c r="X6" s="177" t="str">
        <f t="shared" ca="1" si="0"/>
        <v>Lightning</v>
      </c>
      <c r="Z6" s="322" t="str">
        <f t="array" aca="1" ref="Z6" ca="1">IFERROR(INDEX(IndividualsPerGame!$C$3:$D$80,SMALL(IF(IndividualsPerGame!$D$3:$D81=Z$4,ROW(IndividualsPerGame!$C$3:$D$80)-2),ROW(IndividualsPerGame!2:2)),1),"")</f>
        <v>Parker Vollmar</v>
      </c>
      <c r="AA6" s="322" t="str">
        <f t="array" aca="1" ref="AA6" ca="1">IFERROR(INDEX(IndividualsPerGame!$C$3:$D$80,SMALL(IF(IndividualsPerGame!$D$3:$D81=AA$4,ROW(IndividualsPerGame!$C$3:$D$80)-2),ROW(IndividualsPerGame!2:2)),1),"")</f>
        <v>Jalen Myers</v>
      </c>
      <c r="AB6" s="322" t="str">
        <f t="array" aca="1" ref="AB6" ca="1">IFERROR(INDEX(IndividualsPerGame!$C$3:$D$80,SMALL(IF(IndividualsPerGame!$D$3:$D81=AB$4,ROW(IndividualsPerGame!$C$3:$D$80)-2),ROW(IndividualsPerGame!2:2)),1),"")</f>
        <v>Dylan Semler</v>
      </c>
      <c r="AC6" s="322" t="str">
        <f t="array" aca="1" ref="AC6" ca="1">IFERROR(INDEX(IndividualsPerGame!$C$3:$D$80,SMALL(IF(IndividualsPerGame!$D$3:$D81=AC$4,ROW(IndividualsPerGame!$C$3:$D$80)-2),ROW(IndividualsPerGame!2:2)),1),"")</f>
        <v>JP Celis</v>
      </c>
      <c r="AD6" s="322" t="str">
        <f t="array" aca="1" ref="AD6" ca="1">IFERROR(INDEX(IndividualsPerGame!$C$3:$D$80,SMALL(IF(IndividualsPerGame!$D$3:$D81=AD$4,ROW(IndividualsPerGame!$C$3:$D$80)-2),ROW(IndividualsPerGame!2:2)),1),"")</f>
        <v>Mike Flipse</v>
      </c>
      <c r="AE6" s="322" t="str">
        <f t="array" aca="1" ref="AE6" ca="1">IFERROR(INDEX(IndividualsPerGame!$C$3:$D$80,SMALL(IF(IndividualsPerGame!$D$3:$D81=AE$4,ROW(IndividualsPerGame!$C$3:$D$80)-2),ROW(IndividualsPerGame!2:2)),1),"")</f>
        <v>Dakota Maher</v>
      </c>
      <c r="AF6" s="322" t="str">
        <f t="array" aca="1" ref="AF6" ca="1">IFERROR(INDEX(IndividualsPerGame!$C$3:$D$80,SMALL(IF(IndividualsPerGame!$D$3:$D81=AF$4,ROW(IndividualsPerGame!$C$3:$D$80)-2),ROW(IndividualsPerGame!2:2)),1),"")</f>
        <v/>
      </c>
      <c r="AG6" s="322" t="str">
        <f t="array" aca="1" ref="AG6" ca="1">IFERROR(INDEX(IndividualsPerGame!$C$3:$D$80,SMALL(IF(IndividualsPerGame!$D$3:$D81=AG$4,ROW(IndividualsPerGame!$C$3:$D$80)-2),ROW(IndividualsPerGame!2:2)),1),"")</f>
        <v/>
      </c>
      <c r="AH6" s="322" t="str">
        <f t="array" aca="1" ref="AH6" ca="1">IFERROR(INDEX(IndividualsPerGame!$C$3:$D$80,SMALL(IF(IndividualsPerGame!$D$3:$D81=AH$4,ROW(IndividualsPerGame!$C$3:$D$80)-2),ROW(IndividualsPerGame!2:2)),1),"")</f>
        <v/>
      </c>
      <c r="AI6" s="322" t="str">
        <f t="array" aca="1" ref="AI6" ca="1">IFERROR(INDEX(IndividualsPerGame!$C$3:$D$80,SMALL(IF(IndividualsPerGame!$D$3:$D81=AI$4,ROW(IndividualsPerGame!$C$3:$D$80)-2),ROW(IndividualsPerGame!2:2)),1),"")</f>
        <v/>
      </c>
      <c r="AJ6" s="322" t="str">
        <f t="array" ref="AJ6">IFERROR(INDEX(IndividualsPerGame!$C$3:$D$80,SMALL(IF(IndividualsPerGame!$D$3:$D81=AJ$4,ROW(IndividualsPerGame!$C$3:$D$80)-2),ROW(IndividualsPerGame!2:2)),1),"")</f>
        <v/>
      </c>
      <c r="AK6" s="322" t="str">
        <f t="array" ref="AK6">IFERROR(INDEX(IndividualsPerGame!$C$3:$D$80,SMALL(IF(IndividualsPerGame!$D$3:$D81=AK$4,ROW(IndividualsPerGame!$C$3:$D$80)-2),ROW(IndividualsPerGame!2:2)),1),"")</f>
        <v/>
      </c>
    </row>
    <row r="7" spans="1:37" x14ac:dyDescent="0.25">
      <c r="A7" s="255" t="s">
        <v>182</v>
      </c>
      <c r="B7" s="254" t="e">
        <f>IF(INDEX(UserTable,MATCH($B$5,UserName,0),2)=$B$6,TRUE,FALSE)</f>
        <v>#N/A</v>
      </c>
      <c r="C7" s="23"/>
      <c r="D7" s="23"/>
      <c r="E7" s="259" t="s">
        <v>201</v>
      </c>
      <c r="F7" s="259" t="s">
        <v>202</v>
      </c>
      <c r="G7" s="263" t="s">
        <v>200</v>
      </c>
      <c r="H7" s="264" t="s">
        <v>200</v>
      </c>
      <c r="I7" s="264" t="s">
        <v>200</v>
      </c>
      <c r="J7" s="264" t="s">
        <v>200</v>
      </c>
      <c r="K7" s="264" t="s">
        <v>200</v>
      </c>
      <c r="L7" s="264" t="s">
        <v>200</v>
      </c>
      <c r="M7" s="264" t="s">
        <v>200</v>
      </c>
      <c r="N7" s="264" t="s">
        <v>200</v>
      </c>
      <c r="O7" s="264" t="s">
        <v>200</v>
      </c>
      <c r="P7" s="264" t="s">
        <v>200</v>
      </c>
      <c r="Q7" s="264" t="s">
        <v>200</v>
      </c>
      <c r="R7" s="264" t="s">
        <v>200</v>
      </c>
      <c r="S7" s="264" t="s">
        <v>200</v>
      </c>
      <c r="T7" s="264" t="s">
        <v>200</v>
      </c>
      <c r="U7" s="265" t="s">
        <v>200</v>
      </c>
      <c r="V7" s="23"/>
      <c r="W7" s="324">
        <v>3</v>
      </c>
      <c r="X7" s="177" t="str">
        <f t="shared" ca="1" si="0"/>
        <v>Wombats</v>
      </c>
      <c r="Z7" s="322" t="str">
        <f t="array" aca="1" ref="Z7" ca="1">IFERROR(INDEX(IndividualsPerGame!$C$3:$D$80,SMALL(IF(IndividualsPerGame!$D$3:$D82=Z$4,ROW(IndividualsPerGame!$C$3:$D$80)-2),ROW(IndividualsPerGame!3:3)),1),"")</f>
        <v>Pat Hackney</v>
      </c>
      <c r="AA7" s="322" t="str">
        <f t="array" aca="1" ref="AA7" ca="1">IFERROR(INDEX(IndividualsPerGame!$C$3:$D$80,SMALL(IF(IndividualsPerGame!$D$3:$D82=AA$4,ROW(IndividualsPerGame!$C$3:$D$80)-2),ROW(IndividualsPerGame!3:3)),1),"")</f>
        <v>AJ Wagner</v>
      </c>
      <c r="AB7" s="322" t="str">
        <f t="array" aca="1" ref="AB7" ca="1">IFERROR(INDEX(IndividualsPerGame!$C$3:$D$80,SMALL(IF(IndividualsPerGame!$D$3:$D82=AB$4,ROW(IndividualsPerGame!$C$3:$D$80)-2),ROW(IndividualsPerGame!3:3)),1),"")</f>
        <v>Dallas Keifer</v>
      </c>
      <c r="AC7" s="322" t="str">
        <f t="array" aca="1" ref="AC7" ca="1">IFERROR(INDEX(IndividualsPerGame!$C$3:$D$80,SMALL(IF(IndividualsPerGame!$D$3:$D82=AC$4,ROW(IndividualsPerGame!$C$3:$D$80)-2),ROW(IndividualsPerGame!3:3)),1),"")</f>
        <v>Logan Frobose</v>
      </c>
      <c r="AD7" s="322" t="str">
        <f t="array" aca="1" ref="AD7" ca="1">IFERROR(INDEX(IndividualsPerGame!$C$3:$D$80,SMALL(IF(IndividualsPerGame!$D$3:$D82=AD$4,ROW(IndividualsPerGame!$C$3:$D$80)-2),ROW(IndividualsPerGame!3:3)),1),"")</f>
        <v>Brett Fitzwater</v>
      </c>
      <c r="AE7" s="322" t="str">
        <f t="array" aca="1" ref="AE7" ca="1">IFERROR(INDEX(IndividualsPerGame!$C$3:$D$80,SMALL(IF(IndividualsPerGame!$D$3:$D82=AE$4,ROW(IndividualsPerGame!$C$3:$D$80)-2),ROW(IndividualsPerGame!3:3)),1),"")</f>
        <v>Luke Beach</v>
      </c>
      <c r="AF7" s="322" t="str">
        <f t="array" aca="1" ref="AF7" ca="1">IFERROR(INDEX(IndividualsPerGame!$C$3:$D$80,SMALL(IF(IndividualsPerGame!$D$3:$D82=AF$4,ROW(IndividualsPerGame!$C$3:$D$80)-2),ROW(IndividualsPerGame!3:3)),1),"")</f>
        <v/>
      </c>
      <c r="AG7" s="322" t="str">
        <f t="array" aca="1" ref="AG7" ca="1">IFERROR(INDEX(IndividualsPerGame!$C$3:$D$80,SMALL(IF(IndividualsPerGame!$D$3:$D82=AG$4,ROW(IndividualsPerGame!$C$3:$D$80)-2),ROW(IndividualsPerGame!3:3)),1),"")</f>
        <v/>
      </c>
      <c r="AH7" s="322" t="str">
        <f t="array" aca="1" ref="AH7" ca="1">IFERROR(INDEX(IndividualsPerGame!$C$3:$D$80,SMALL(IF(IndividualsPerGame!$D$3:$D82=AH$4,ROW(IndividualsPerGame!$C$3:$D$80)-2),ROW(IndividualsPerGame!3:3)),1),"")</f>
        <v/>
      </c>
      <c r="AI7" s="322" t="str">
        <f t="array" aca="1" ref="AI7" ca="1">IFERROR(INDEX(IndividualsPerGame!$C$3:$D$80,SMALL(IF(IndividualsPerGame!$D$3:$D82=AI$4,ROW(IndividualsPerGame!$C$3:$D$80)-2),ROW(IndividualsPerGame!3:3)),1),"")</f>
        <v/>
      </c>
      <c r="AJ7" s="322" t="str">
        <f t="array" ref="AJ7">IFERROR(INDEX(IndividualsPerGame!$C$3:$D$80,SMALL(IF(IndividualsPerGame!$D$3:$D82=AJ$4,ROW(IndividualsPerGame!$C$3:$D$80)-2),ROW(IndividualsPerGame!3:3)),1),"")</f>
        <v/>
      </c>
      <c r="AK7" s="322" t="str">
        <f t="array" ref="AK7">IFERROR(INDEX(IndividualsPerGame!$C$3:$D$80,SMALL(IF(IndividualsPerGame!$D$3:$D82=AK$4,ROW(IndividualsPerGame!$C$3:$D$80)-2),ROW(IndividualsPerGame!3:3)),1),"")</f>
        <v/>
      </c>
    </row>
    <row r="8" spans="1:37" x14ac:dyDescent="0.25">
      <c r="A8" s="255" t="s">
        <v>183</v>
      </c>
      <c r="B8" s="269" t="str">
        <f>IFERROR(MATCH($B$5,UserName,0)+4,"")</f>
        <v/>
      </c>
      <c r="C8" s="23"/>
      <c r="D8" s="23"/>
      <c r="E8" s="259" t="s">
        <v>256</v>
      </c>
      <c r="F8" s="319" t="s">
        <v>257</v>
      </c>
      <c r="G8" s="263" t="s">
        <v>203</v>
      </c>
      <c r="H8" s="264" t="s">
        <v>203</v>
      </c>
      <c r="I8" s="264" t="s">
        <v>203</v>
      </c>
      <c r="J8" s="264" t="s">
        <v>203</v>
      </c>
      <c r="K8" s="264" t="s">
        <v>203</v>
      </c>
      <c r="L8" s="264" t="s">
        <v>203</v>
      </c>
      <c r="M8" s="264" t="s">
        <v>203</v>
      </c>
      <c r="N8" s="264" t="s">
        <v>203</v>
      </c>
      <c r="O8" s="264" t="s">
        <v>203</v>
      </c>
      <c r="P8" s="264" t="s">
        <v>203</v>
      </c>
      <c r="Q8" s="264" t="s">
        <v>203</v>
      </c>
      <c r="R8" s="264" t="s">
        <v>204</v>
      </c>
      <c r="S8" s="264" t="s">
        <v>203</v>
      </c>
      <c r="T8" s="264" t="s">
        <v>203</v>
      </c>
      <c r="U8" s="265" t="s">
        <v>204</v>
      </c>
      <c r="V8" s="23"/>
      <c r="W8" s="324">
        <v>4</v>
      </c>
      <c r="X8" s="177" t="str">
        <f t="shared" ca="1" si="0"/>
        <v>Mustangs</v>
      </c>
      <c r="Z8" s="322" t="str">
        <f t="array" aca="1" ref="Z8" ca="1">IFERROR(INDEX(IndividualsPerGame!$C$3:$D$80,SMALL(IF(IndividualsPerGame!$D$3:$D83=Z$4,ROW(IndividualsPerGame!$C$3:$D$80)-2),ROW(IndividualsPerGame!4:4)),1),"")</f>
        <v>Claudio Pino</v>
      </c>
      <c r="AA8" s="322" t="str">
        <f t="array" aca="1" ref="AA8" ca="1">IFERROR(INDEX(IndividualsPerGame!$C$3:$D$80,SMALL(IF(IndividualsPerGame!$D$3:$D83=AA$4,ROW(IndividualsPerGame!$C$3:$D$80)-2),ROW(IndividualsPerGame!4:4)),1),"")</f>
        <v>Logan Elias</v>
      </c>
      <c r="AB8" s="322" t="str">
        <f t="array" aca="1" ref="AB8" ca="1">IFERROR(INDEX(IndividualsPerGame!$C$3:$D$80,SMALL(IF(IndividualsPerGame!$D$3:$D83=AB$4,ROW(IndividualsPerGame!$C$3:$D$80)-2),ROW(IndividualsPerGame!4:4)),1),"")</f>
        <v>Jacek Kuron</v>
      </c>
      <c r="AC8" s="322" t="str">
        <f t="array" aca="1" ref="AC8" ca="1">IFERROR(INDEX(IndividualsPerGame!$C$3:$D$80,SMALL(IF(IndividualsPerGame!$D$3:$D83=AC$4,ROW(IndividualsPerGame!$C$3:$D$80)-2),ROW(IndividualsPerGame!4:4)),1),"")</f>
        <v>Tanner Greenhagen</v>
      </c>
      <c r="AD8" s="322" t="str">
        <f t="array" aca="1" ref="AD8" ca="1">IFERROR(INDEX(IndividualsPerGame!$C$3:$D$80,SMALL(IF(IndividualsPerGame!$D$3:$D83=AD$4,ROW(IndividualsPerGame!$C$3:$D$80)-2),ROW(IndividualsPerGame!4:4)),1),"")</f>
        <v>Jarid Schwiefert</v>
      </c>
      <c r="AE8" s="322" t="str">
        <f t="array" aca="1" ref="AE8" ca="1">IFERROR(INDEX(IndividualsPerGame!$C$3:$D$80,SMALL(IF(IndividualsPerGame!$D$3:$D83=AE$4,ROW(IndividualsPerGame!$C$3:$D$80)-2),ROW(IndividualsPerGame!4:4)),1),"")</f>
        <v>Matt Paris</v>
      </c>
      <c r="AF8" s="322" t="str">
        <f t="array" aca="1" ref="AF8" ca="1">IFERROR(INDEX(IndividualsPerGame!$C$3:$D$80,SMALL(IF(IndividualsPerGame!$D$3:$D83=AF$4,ROW(IndividualsPerGame!$C$3:$D$80)-2),ROW(IndividualsPerGame!4:4)),1),"")</f>
        <v/>
      </c>
      <c r="AG8" s="322" t="str">
        <f t="array" aca="1" ref="AG8" ca="1">IFERROR(INDEX(IndividualsPerGame!$C$3:$D$80,SMALL(IF(IndividualsPerGame!$D$3:$D83=AG$4,ROW(IndividualsPerGame!$C$3:$D$80)-2),ROW(IndividualsPerGame!4:4)),1),"")</f>
        <v/>
      </c>
      <c r="AH8" s="322" t="str">
        <f t="array" aca="1" ref="AH8" ca="1">IFERROR(INDEX(IndividualsPerGame!$C$3:$D$80,SMALL(IF(IndividualsPerGame!$D$3:$D83=AH$4,ROW(IndividualsPerGame!$C$3:$D$80)-2),ROW(IndividualsPerGame!4:4)),1),"")</f>
        <v/>
      </c>
      <c r="AI8" s="322" t="str">
        <f t="array" aca="1" ref="AI8" ca="1">IFERROR(INDEX(IndividualsPerGame!$C$3:$D$80,SMALL(IF(IndividualsPerGame!$D$3:$D83=AI$4,ROW(IndividualsPerGame!$C$3:$D$80)-2),ROW(IndividualsPerGame!4:4)),1),"")</f>
        <v/>
      </c>
      <c r="AJ8" s="322" t="str">
        <f t="array" ref="AJ8">IFERROR(INDEX(IndividualsPerGame!$C$3:$D$80,SMALL(IF(IndividualsPerGame!$D$3:$D83=AJ$4,ROW(IndividualsPerGame!$C$3:$D$80)-2),ROW(IndividualsPerGame!4:4)),1),"")</f>
        <v/>
      </c>
      <c r="AK8" s="322" t="str">
        <f t="array" ref="AK8">IFERROR(INDEX(IndividualsPerGame!$C$3:$D$80,SMALL(IF(IndividualsPerGame!$D$3:$D83=AK$4,ROW(IndividualsPerGame!$C$3:$D$80)-2),ROW(IndividualsPerGame!4:4)),1),"")</f>
        <v/>
      </c>
    </row>
    <row r="9" spans="1:37" x14ac:dyDescent="0.25">
      <c r="A9" s="252"/>
      <c r="B9" s="252"/>
      <c r="C9" s="23"/>
      <c r="D9" s="23"/>
      <c r="E9" s="259"/>
      <c r="F9" s="259"/>
      <c r="G9" s="263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4"/>
      <c r="U9" s="265"/>
      <c r="V9" s="23"/>
      <c r="W9" s="324">
        <v>5</v>
      </c>
      <c r="X9" s="177" t="str">
        <f t="shared" ca="1" si="0"/>
        <v>Vandals</v>
      </c>
      <c r="Z9" s="322" t="str">
        <f t="array" aca="1" ref="Z9" ca="1">IFERROR(INDEX(IndividualsPerGame!$C$3:$D$80,SMALL(IF(IndividualsPerGame!$D$3:$D84=Z$4,ROW(IndividualsPerGame!$C$3:$D$80)-2),ROW(IndividualsPerGame!5:5)),1),"")</f>
        <v>Kyle Holdridge</v>
      </c>
      <c r="AA9" s="322" t="str">
        <f t="array" aca="1" ref="AA9" ca="1">IFERROR(INDEX(IndividualsPerGame!$C$3:$D$80,SMALL(IF(IndividualsPerGame!$D$3:$D84=AA$4,ROW(IndividualsPerGame!$C$3:$D$80)-2),ROW(IndividualsPerGame!5:5)),1),"")</f>
        <v>Cam Carsey</v>
      </c>
      <c r="AB9" s="322" t="str">
        <f t="array" aca="1" ref="AB9" ca="1">IFERROR(INDEX(IndividualsPerGame!$C$3:$D$80,SMALL(IF(IndividualsPerGame!$D$3:$D84=AB$4,ROW(IndividualsPerGame!$C$3:$D$80)-2),ROW(IndividualsPerGame!5:5)),1),"")</f>
        <v>Zac Gregory</v>
      </c>
      <c r="AC9" s="322" t="str">
        <f t="array" aca="1" ref="AC9" ca="1">IFERROR(INDEX(IndividualsPerGame!$C$3:$D$80,SMALL(IF(IndividualsPerGame!$D$3:$D84=AC$4,ROW(IndividualsPerGame!$C$3:$D$80)-2),ROW(IndividualsPerGame!5:5)),1),"")</f>
        <v>Denzel Johnson</v>
      </c>
      <c r="AD9" s="322" t="str">
        <f t="array" aca="1" ref="AD9" ca="1">IFERROR(INDEX(IndividualsPerGame!$C$3:$D$80,SMALL(IF(IndividualsPerGame!$D$3:$D84=AD$4,ROW(IndividualsPerGame!$C$3:$D$80)-2),ROW(IndividualsPerGame!5:5)),1),"")</f>
        <v>Justen Garmenn</v>
      </c>
      <c r="AE9" s="322" t="str">
        <f t="array" aca="1" ref="AE9" ca="1">IFERROR(INDEX(IndividualsPerGame!$C$3:$D$80,SMALL(IF(IndividualsPerGame!$D$3:$D84=AE$4,ROW(IndividualsPerGame!$C$3:$D$80)-2),ROW(IndividualsPerGame!5:5)),1),"")</f>
        <v>Mason Gonzales</v>
      </c>
      <c r="AF9" s="322" t="str">
        <f t="array" aca="1" ref="AF9" ca="1">IFERROR(INDEX(IndividualsPerGame!$C$3:$D$80,SMALL(IF(IndividualsPerGame!$D$3:$D84=AF$4,ROW(IndividualsPerGame!$C$3:$D$80)-2),ROW(IndividualsPerGame!5:5)),1),"")</f>
        <v/>
      </c>
      <c r="AG9" s="322" t="str">
        <f t="array" aca="1" ref="AG9" ca="1">IFERROR(INDEX(IndividualsPerGame!$C$3:$D$80,SMALL(IF(IndividualsPerGame!$D$3:$D84=AG$4,ROW(IndividualsPerGame!$C$3:$D$80)-2),ROW(IndividualsPerGame!5:5)),1),"")</f>
        <v/>
      </c>
      <c r="AH9" s="322" t="str">
        <f t="array" aca="1" ref="AH9" ca="1">IFERROR(INDEX(IndividualsPerGame!$C$3:$D$80,SMALL(IF(IndividualsPerGame!$D$3:$D84=AH$4,ROW(IndividualsPerGame!$C$3:$D$80)-2),ROW(IndividualsPerGame!5:5)),1),"")</f>
        <v/>
      </c>
      <c r="AI9" s="322" t="str">
        <f t="array" aca="1" ref="AI9" ca="1">IFERROR(INDEX(IndividualsPerGame!$C$3:$D$80,SMALL(IF(IndividualsPerGame!$D$3:$D84=AI$4,ROW(IndividualsPerGame!$C$3:$D$80)-2),ROW(IndividualsPerGame!5:5)),1),"")</f>
        <v/>
      </c>
      <c r="AJ9" s="322" t="str">
        <f t="array" ref="AJ9">IFERROR(INDEX(IndividualsPerGame!$C$3:$D$80,SMALL(IF(IndividualsPerGame!$D$3:$D84=AJ$4,ROW(IndividualsPerGame!$C$3:$D$80)-2),ROW(IndividualsPerGame!5:5)),1),"")</f>
        <v/>
      </c>
      <c r="AK9" s="322" t="str">
        <f t="array" ref="AK9">IFERROR(INDEX(IndividualsPerGame!$C$3:$D$80,SMALL(IF(IndividualsPerGame!$D$3:$D84=AK$4,ROW(IndividualsPerGame!$C$3:$D$80)-2),ROW(IndividualsPerGame!5:5)),1),"")</f>
        <v/>
      </c>
    </row>
    <row r="10" spans="1:37" x14ac:dyDescent="0.25">
      <c r="A10" s="252" t="s">
        <v>207</v>
      </c>
      <c r="B10" s="252"/>
      <c r="C10" s="23"/>
      <c r="D10" s="23"/>
      <c r="E10" s="259"/>
      <c r="F10" s="259"/>
      <c r="G10" s="263"/>
      <c r="H10" s="264"/>
      <c r="I10" s="264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5"/>
      <c r="V10" s="23"/>
      <c r="W10" s="324">
        <v>6</v>
      </c>
      <c r="X10" s="177" t="str">
        <f t="shared" ca="1" si="0"/>
        <v>Hoopers</v>
      </c>
      <c r="Z10" s="322" t="str">
        <f t="array" aca="1" ref="Z10" ca="1">IFERROR(INDEX(IndividualsPerGame!$C$3:$D$80,SMALL(IF(IndividualsPerGame!$D$3:$D85=Z$4,ROW(IndividualsPerGame!$C$3:$D$80)-2),ROW(IndividualsPerGame!6:6)),1),"")</f>
        <v>Aaron Roberts</v>
      </c>
      <c r="AA10" s="322" t="str">
        <f t="array" aca="1" ref="AA10" ca="1">IFERROR(INDEX(IndividualsPerGame!$C$3:$D$80,SMALL(IF(IndividualsPerGame!$D$3:$D85=AA$4,ROW(IndividualsPerGame!$C$3:$D$80)-2),ROW(IndividualsPerGame!6:6)),1),"")</f>
        <v>Andrew Hofbaur</v>
      </c>
      <c r="AB10" s="322" t="str">
        <f t="array" aca="1" ref="AB10" ca="1">IFERROR(INDEX(IndividualsPerGame!$C$3:$D$80,SMALL(IF(IndividualsPerGame!$D$3:$D85=AB$4,ROW(IndividualsPerGame!$C$3:$D$80)-2),ROW(IndividualsPerGame!6:6)),1),"")</f>
        <v>Garry Armstrong</v>
      </c>
      <c r="AC10" s="322" t="str">
        <f t="array" aca="1" ref="AC10" ca="1">IFERROR(INDEX(IndividualsPerGame!$C$3:$D$80,SMALL(IF(IndividualsPerGame!$D$3:$D85=AC$4,ROW(IndividualsPerGame!$C$3:$D$80)-2),ROW(IndividualsPerGame!6:6)),1),"")</f>
        <v>Daniel Moser</v>
      </c>
      <c r="AD10" s="322" t="str">
        <f t="array" aca="1" ref="AD10" ca="1">IFERROR(INDEX(IndividualsPerGame!$C$3:$D$80,SMALL(IF(IndividualsPerGame!$D$3:$D85=AD$4,ROW(IndividualsPerGame!$C$3:$D$80)-2),ROW(IndividualsPerGame!6:6)),1),"")</f>
        <v>PJ Brandel</v>
      </c>
      <c r="AE10" s="322" t="str">
        <f t="array" aca="1" ref="AE10" ca="1">IFERROR(INDEX(IndividualsPerGame!$C$3:$D$80,SMALL(IF(IndividualsPerGame!$D$3:$D85=AE$4,ROW(IndividualsPerGame!$C$3:$D$80)-2),ROW(IndividualsPerGame!6:6)),1),"")</f>
        <v>Seth Harnishfeger</v>
      </c>
      <c r="AF10" s="322" t="str">
        <f t="array" aca="1" ref="AF10" ca="1">IFERROR(INDEX(IndividualsPerGame!$C$3:$D$80,SMALL(IF(IndividualsPerGame!$D$3:$D85=AF$4,ROW(IndividualsPerGame!$C$3:$D$80)-2),ROW(IndividualsPerGame!6:6)),1),"")</f>
        <v/>
      </c>
      <c r="AG10" s="322" t="str">
        <f t="array" aca="1" ref="AG10" ca="1">IFERROR(INDEX(IndividualsPerGame!$C$3:$D$80,SMALL(IF(IndividualsPerGame!$D$3:$D85=AG$4,ROW(IndividualsPerGame!$C$3:$D$80)-2),ROW(IndividualsPerGame!6:6)),1),"")</f>
        <v/>
      </c>
      <c r="AH10" s="322" t="str">
        <f t="array" aca="1" ref="AH10" ca="1">IFERROR(INDEX(IndividualsPerGame!$C$3:$D$80,SMALL(IF(IndividualsPerGame!$D$3:$D85=AH$4,ROW(IndividualsPerGame!$C$3:$D$80)-2),ROW(IndividualsPerGame!6:6)),1),"")</f>
        <v/>
      </c>
      <c r="AI10" s="322" t="str">
        <f t="array" aca="1" ref="AI10" ca="1">IFERROR(INDEX(IndividualsPerGame!$C$3:$D$80,SMALL(IF(IndividualsPerGame!$D$3:$D85=AI$4,ROW(IndividualsPerGame!$C$3:$D$80)-2),ROW(IndividualsPerGame!6:6)),1),"")</f>
        <v/>
      </c>
      <c r="AJ10" s="322" t="str">
        <f t="array" ref="AJ10">IFERROR(INDEX(IndividualsPerGame!$C$3:$D$80,SMALL(IF(IndividualsPerGame!$D$3:$D85=AJ$4,ROW(IndividualsPerGame!$C$3:$D$80)-2),ROW(IndividualsPerGame!6:6)),1),"")</f>
        <v/>
      </c>
      <c r="AK10" s="322" t="str">
        <f t="array" ref="AK10">IFERROR(INDEX(IndividualsPerGame!$C$3:$D$80,SMALL(IF(IndividualsPerGame!$D$3:$D85=AK$4,ROW(IndividualsPerGame!$C$3:$D$80)-2),ROW(IndividualsPerGame!6:6)),1),"")</f>
        <v/>
      </c>
    </row>
    <row r="11" spans="1:37" x14ac:dyDescent="0.25">
      <c r="A11" s="252" t="s">
        <v>205</v>
      </c>
      <c r="B11" s="252"/>
      <c r="C11" s="23"/>
      <c r="D11" s="23"/>
      <c r="E11" s="259"/>
      <c r="F11" s="259"/>
      <c r="G11" s="263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5"/>
      <c r="V11" s="23"/>
      <c r="W11" s="324">
        <v>7</v>
      </c>
      <c r="X11" s="177" t="str">
        <f t="shared" ca="1" si="0"/>
        <v/>
      </c>
      <c r="Z11" s="322" t="str">
        <f t="array" aca="1" ref="Z11" ca="1">IFERROR(INDEX(IndividualsPerGame!$C$3:$D$80,SMALL(IF(IndividualsPerGame!$D$3:$D86=Z$4,ROW(IndividualsPerGame!$C$3:$D$80)-2),ROW(IndividualsPerGame!7:7)),1),"")</f>
        <v>Fred Balmoria</v>
      </c>
      <c r="AA11" s="322" t="str">
        <f t="array" aca="1" ref="AA11" ca="1">IFERROR(INDEX(IndividualsPerGame!$C$3:$D$80,SMALL(IF(IndividualsPerGame!$D$3:$D86=AA$4,ROW(IndividualsPerGame!$C$3:$D$80)-2),ROW(IndividualsPerGame!7:7)),1),"")</f>
        <v>Austin Rohleder</v>
      </c>
      <c r="AB11" s="322" t="str">
        <f t="array" aca="1" ref="AB11" ca="1">IFERROR(INDEX(IndividualsPerGame!$C$3:$D$80,SMALL(IF(IndividualsPerGame!$D$3:$D86=AB$4,ROW(IndividualsPerGame!$C$3:$D$80)-2),ROW(IndividualsPerGame!7:7)),1),"")</f>
        <v/>
      </c>
      <c r="AC11" s="322" t="str">
        <f t="array" aca="1" ref="AC11" ca="1">IFERROR(INDEX(IndividualsPerGame!$C$3:$D$80,SMALL(IF(IndividualsPerGame!$D$3:$D86=AC$4,ROW(IndividualsPerGame!$C$3:$D$80)-2),ROW(IndividualsPerGame!7:7)),1),"")</f>
        <v/>
      </c>
      <c r="AD11" s="322" t="str">
        <f t="array" aca="1" ref="AD11" ca="1">IFERROR(INDEX(IndividualsPerGame!$C$3:$D$80,SMALL(IF(IndividualsPerGame!$D$3:$D86=AD$4,ROW(IndividualsPerGame!$C$3:$D$80)-2),ROW(IndividualsPerGame!7:7)),1),"")</f>
        <v/>
      </c>
      <c r="AE11" s="322" t="str">
        <f t="array" aca="1" ref="AE11" ca="1">IFERROR(INDEX(IndividualsPerGame!$C$3:$D$80,SMALL(IF(IndividualsPerGame!$D$3:$D86=AE$4,ROW(IndividualsPerGame!$C$3:$D$80)-2),ROW(IndividualsPerGame!7:7)),1),"")</f>
        <v/>
      </c>
      <c r="AF11" s="322" t="str">
        <f t="array" aca="1" ref="AF11" ca="1">IFERROR(INDEX(IndividualsPerGame!$C$3:$D$80,SMALL(IF(IndividualsPerGame!$D$3:$D86=AF$4,ROW(IndividualsPerGame!$C$3:$D$80)-2),ROW(IndividualsPerGame!7:7)),1),"")</f>
        <v/>
      </c>
      <c r="AG11" s="322" t="str">
        <f t="array" aca="1" ref="AG11" ca="1">IFERROR(INDEX(IndividualsPerGame!$C$3:$D$80,SMALL(IF(IndividualsPerGame!$D$3:$D86=AG$4,ROW(IndividualsPerGame!$C$3:$D$80)-2),ROW(IndividualsPerGame!7:7)),1),"")</f>
        <v/>
      </c>
      <c r="AH11" s="322" t="str">
        <f t="array" aca="1" ref="AH11" ca="1">IFERROR(INDEX(IndividualsPerGame!$C$3:$D$80,SMALL(IF(IndividualsPerGame!$D$3:$D86=AH$4,ROW(IndividualsPerGame!$C$3:$D$80)-2),ROW(IndividualsPerGame!7:7)),1),"")</f>
        <v/>
      </c>
      <c r="AI11" s="322" t="str">
        <f t="array" aca="1" ref="AI11" ca="1">IFERROR(INDEX(IndividualsPerGame!$C$3:$D$80,SMALL(IF(IndividualsPerGame!$D$3:$D86=AI$4,ROW(IndividualsPerGame!$C$3:$D$80)-2),ROW(IndividualsPerGame!7:7)),1),"")</f>
        <v/>
      </c>
      <c r="AJ11" s="322" t="str">
        <f t="array" ref="AJ11">IFERROR(INDEX(IndividualsPerGame!$C$3:$D$80,SMALL(IF(IndividualsPerGame!$D$3:$D86=AJ$4,ROW(IndividualsPerGame!$C$3:$D$80)-2),ROW(IndividualsPerGame!7:7)),1),"")</f>
        <v/>
      </c>
      <c r="AK11" s="322" t="str">
        <f t="array" ref="AK11">IFERROR(INDEX(IndividualsPerGame!$C$3:$D$80,SMALL(IF(IndividualsPerGame!$D$3:$D86=AK$4,ROW(IndividualsPerGame!$C$3:$D$80)-2),ROW(IndividualsPerGame!7:7)),1),"")</f>
        <v/>
      </c>
    </row>
    <row r="12" spans="1:37" x14ac:dyDescent="0.25">
      <c r="A12" s="252" t="s">
        <v>206</v>
      </c>
      <c r="B12" s="252"/>
      <c r="C12" s="23"/>
      <c r="D12" s="23"/>
      <c r="E12" s="259"/>
      <c r="F12" s="259"/>
      <c r="G12" s="263"/>
      <c r="H12" s="264"/>
      <c r="I12" s="264"/>
      <c r="J12" s="264"/>
      <c r="K12" s="264"/>
      <c r="L12" s="264"/>
      <c r="M12" s="264"/>
      <c r="N12" s="264"/>
      <c r="O12" s="264"/>
      <c r="P12" s="264"/>
      <c r="Q12" s="264"/>
      <c r="R12" s="264"/>
      <c r="S12" s="264"/>
      <c r="T12" s="264"/>
      <c r="U12" s="265"/>
      <c r="V12" s="23"/>
      <c r="W12" s="324">
        <v>8</v>
      </c>
      <c r="X12" s="177" t="str">
        <f t="shared" ca="1" si="0"/>
        <v/>
      </c>
      <c r="Z12" s="322" t="str">
        <f t="array" aca="1" ref="Z12" ca="1">IFERROR(INDEX(IndividualsPerGame!$C$3:$D$80,SMALL(IF(IndividualsPerGame!$D$3:$D87=Z$4,ROW(IndividualsPerGame!$C$3:$D$80)-2),ROW(IndividualsPerGame!8:8)),1),"")</f>
        <v/>
      </c>
      <c r="AA12" s="322" t="str">
        <f t="array" aca="1" ref="AA12" ca="1">IFERROR(INDEX(IndividualsPerGame!$C$3:$D$80,SMALL(IF(IndividualsPerGame!$D$3:$D87=AA$4,ROW(IndividualsPerGame!$C$3:$D$80)-2),ROW(IndividualsPerGame!8:8)),1),"")</f>
        <v/>
      </c>
      <c r="AB12" s="322" t="str">
        <f t="array" aca="1" ref="AB12" ca="1">IFERROR(INDEX(IndividualsPerGame!$C$3:$D$80,SMALL(IF(IndividualsPerGame!$D$3:$D87=AB$4,ROW(IndividualsPerGame!$C$3:$D$80)-2),ROW(IndividualsPerGame!8:8)),1),"")</f>
        <v/>
      </c>
      <c r="AC12" s="322" t="str">
        <f t="array" aca="1" ref="AC12" ca="1">IFERROR(INDEX(IndividualsPerGame!$C$3:$D$80,SMALL(IF(IndividualsPerGame!$D$3:$D87=AC$4,ROW(IndividualsPerGame!$C$3:$D$80)-2),ROW(IndividualsPerGame!8:8)),1),"")</f>
        <v/>
      </c>
      <c r="AD12" s="322" t="str">
        <f t="array" aca="1" ref="AD12" ca="1">IFERROR(INDEX(IndividualsPerGame!$C$3:$D$80,SMALL(IF(IndividualsPerGame!$D$3:$D87=AD$4,ROW(IndividualsPerGame!$C$3:$D$80)-2),ROW(IndividualsPerGame!8:8)),1),"")</f>
        <v/>
      </c>
      <c r="AE12" s="322" t="str">
        <f t="array" aca="1" ref="AE12" ca="1">IFERROR(INDEX(IndividualsPerGame!$C$3:$D$80,SMALL(IF(IndividualsPerGame!$D$3:$D87=AE$4,ROW(IndividualsPerGame!$C$3:$D$80)-2),ROW(IndividualsPerGame!8:8)),1),"")</f>
        <v/>
      </c>
      <c r="AF12" s="322" t="str">
        <f t="array" aca="1" ref="AF12" ca="1">IFERROR(INDEX(IndividualsPerGame!$C$3:$D$80,SMALL(IF(IndividualsPerGame!$D$3:$D87=AF$4,ROW(IndividualsPerGame!$C$3:$D$80)-2),ROW(IndividualsPerGame!8:8)),1),"")</f>
        <v/>
      </c>
      <c r="AG12" s="322" t="str">
        <f t="array" aca="1" ref="AG12" ca="1">IFERROR(INDEX(IndividualsPerGame!$C$3:$D$80,SMALL(IF(IndividualsPerGame!$D$3:$D87=AG$4,ROW(IndividualsPerGame!$C$3:$D$80)-2),ROW(IndividualsPerGame!8:8)),1),"")</f>
        <v/>
      </c>
      <c r="AH12" s="322" t="str">
        <f t="array" aca="1" ref="AH12" ca="1">IFERROR(INDEX(IndividualsPerGame!$C$3:$D$80,SMALL(IF(IndividualsPerGame!$D$3:$D87=AH$4,ROW(IndividualsPerGame!$C$3:$D$80)-2),ROW(IndividualsPerGame!8:8)),1),"")</f>
        <v/>
      </c>
      <c r="AI12" s="322" t="str">
        <f t="array" aca="1" ref="AI12" ca="1">IFERROR(INDEX(IndividualsPerGame!$C$3:$D$80,SMALL(IF(IndividualsPerGame!$D$3:$D87=AI$4,ROW(IndividualsPerGame!$C$3:$D$80)-2),ROW(IndividualsPerGame!8:8)),1),"")</f>
        <v/>
      </c>
      <c r="AJ12" s="322" t="str">
        <f t="array" ref="AJ12">IFERROR(INDEX(IndividualsPerGame!$C$3:$D$80,SMALL(IF(IndividualsPerGame!$D$3:$D87=AJ$4,ROW(IndividualsPerGame!$C$3:$D$80)-2),ROW(IndividualsPerGame!8:8)),1),"")</f>
        <v/>
      </c>
      <c r="AK12" s="322" t="str">
        <f t="array" ref="AK12">IFERROR(INDEX(IndividualsPerGame!$C$3:$D$80,SMALL(IF(IndividualsPerGame!$D$3:$D87=AK$4,ROW(IndividualsPerGame!$C$3:$D$80)-2),ROW(IndividualsPerGame!8:8)),1),"")</f>
        <v/>
      </c>
    </row>
    <row r="13" spans="1:37" x14ac:dyDescent="0.25">
      <c r="A13" s="252"/>
      <c r="B13" s="252"/>
      <c r="C13" s="23"/>
      <c r="D13" s="23"/>
      <c r="E13" s="259"/>
      <c r="F13" s="259"/>
      <c r="G13" s="263"/>
      <c r="H13" s="264"/>
      <c r="I13" s="264"/>
      <c r="J13" s="264"/>
      <c r="K13" s="264"/>
      <c r="L13" s="264"/>
      <c r="M13" s="264"/>
      <c r="N13" s="264"/>
      <c r="O13" s="264"/>
      <c r="P13" s="264"/>
      <c r="Q13" s="264"/>
      <c r="R13" s="264"/>
      <c r="S13" s="264"/>
      <c r="T13" s="264"/>
      <c r="U13" s="265"/>
      <c r="V13" s="23"/>
      <c r="W13" s="324">
        <v>9</v>
      </c>
      <c r="X13" s="177" t="str">
        <f t="shared" ca="1" si="0"/>
        <v/>
      </c>
      <c r="Z13" s="322" t="str">
        <f t="array" aca="1" ref="Z13" ca="1">IFERROR(INDEX(IndividualsPerGame!$C$3:$D$80,SMALL(IF(IndividualsPerGame!$D$3:$D88=Z$4,ROW(IndividualsPerGame!$C$3:$D$80)-2),ROW(IndividualsPerGame!9:9)),1),"")</f>
        <v/>
      </c>
      <c r="AA13" s="322" t="str">
        <f t="array" aca="1" ref="AA13" ca="1">IFERROR(INDEX(IndividualsPerGame!$C$3:$D$80,SMALL(IF(IndividualsPerGame!$D$3:$D88=AA$4,ROW(IndividualsPerGame!$C$3:$D$80)-2),ROW(IndividualsPerGame!9:9)),1),"")</f>
        <v/>
      </c>
      <c r="AB13" s="322" t="str">
        <f t="array" aca="1" ref="AB13" ca="1">IFERROR(INDEX(IndividualsPerGame!$C$3:$D$80,SMALL(IF(IndividualsPerGame!$D$3:$D88=AB$4,ROW(IndividualsPerGame!$C$3:$D$80)-2),ROW(IndividualsPerGame!9:9)),1),"")</f>
        <v/>
      </c>
      <c r="AC13" s="322" t="str">
        <f t="array" aca="1" ref="AC13" ca="1">IFERROR(INDEX(IndividualsPerGame!$C$3:$D$80,SMALL(IF(IndividualsPerGame!$D$3:$D88=AC$4,ROW(IndividualsPerGame!$C$3:$D$80)-2),ROW(IndividualsPerGame!9:9)),1),"")</f>
        <v/>
      </c>
      <c r="AD13" s="322" t="str">
        <f t="array" aca="1" ref="AD13" ca="1">IFERROR(INDEX(IndividualsPerGame!$C$3:$D$80,SMALL(IF(IndividualsPerGame!$D$3:$D88=AD$4,ROW(IndividualsPerGame!$C$3:$D$80)-2),ROW(IndividualsPerGame!9:9)),1),"")</f>
        <v/>
      </c>
      <c r="AE13" s="322" t="str">
        <f t="array" aca="1" ref="AE13" ca="1">IFERROR(INDEX(IndividualsPerGame!$C$3:$D$80,SMALL(IF(IndividualsPerGame!$D$3:$D88=AE$4,ROW(IndividualsPerGame!$C$3:$D$80)-2),ROW(IndividualsPerGame!9:9)),1),"")</f>
        <v/>
      </c>
      <c r="AF13" s="322" t="str">
        <f t="array" aca="1" ref="AF13" ca="1">IFERROR(INDEX(IndividualsPerGame!$C$3:$D$80,SMALL(IF(IndividualsPerGame!$D$3:$D88=AF$4,ROW(IndividualsPerGame!$C$3:$D$80)-2),ROW(IndividualsPerGame!9:9)),1),"")</f>
        <v/>
      </c>
      <c r="AG13" s="322" t="str">
        <f t="array" aca="1" ref="AG13" ca="1">IFERROR(INDEX(IndividualsPerGame!$C$3:$D$80,SMALL(IF(IndividualsPerGame!$D$3:$D88=AG$4,ROW(IndividualsPerGame!$C$3:$D$80)-2),ROW(IndividualsPerGame!9:9)),1),"")</f>
        <v/>
      </c>
      <c r="AH13" s="322" t="str">
        <f t="array" aca="1" ref="AH13" ca="1">IFERROR(INDEX(IndividualsPerGame!$C$3:$D$80,SMALL(IF(IndividualsPerGame!$D$3:$D88=AH$4,ROW(IndividualsPerGame!$C$3:$D$80)-2),ROW(IndividualsPerGame!9:9)),1),"")</f>
        <v/>
      </c>
      <c r="AI13" s="322" t="str">
        <f t="array" aca="1" ref="AI13" ca="1">IFERROR(INDEX(IndividualsPerGame!$C$3:$D$80,SMALL(IF(IndividualsPerGame!$D$3:$D88=AI$4,ROW(IndividualsPerGame!$C$3:$D$80)-2),ROW(IndividualsPerGame!9:9)),1),"")</f>
        <v/>
      </c>
      <c r="AJ13" s="322" t="str">
        <f t="array" ref="AJ13">IFERROR(INDEX(IndividualsPerGame!$C$3:$D$80,SMALL(IF(IndividualsPerGame!$D$3:$D88=AJ$4,ROW(IndividualsPerGame!$C$3:$D$80)-2),ROW(IndividualsPerGame!9:9)),1),"")</f>
        <v/>
      </c>
      <c r="AK13" s="322" t="str">
        <f t="array" ref="AK13">IFERROR(INDEX(IndividualsPerGame!$C$3:$D$80,SMALL(IF(IndividualsPerGame!$D$3:$D88=AK$4,ROW(IndividualsPerGame!$C$3:$D$80)-2),ROW(IndividualsPerGame!9:9)),1),"")</f>
        <v/>
      </c>
    </row>
    <row r="14" spans="1:37" x14ac:dyDescent="0.25">
      <c r="A14" s="252"/>
      <c r="B14" s="252"/>
      <c r="C14" s="23"/>
      <c r="D14" s="23"/>
      <c r="E14" s="259"/>
      <c r="F14" s="259"/>
      <c r="G14" s="263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5"/>
      <c r="V14" s="23"/>
      <c r="W14" s="324">
        <v>10</v>
      </c>
      <c r="X14" s="177" t="str">
        <f t="shared" ca="1" si="0"/>
        <v/>
      </c>
      <c r="Z14" s="322" t="str">
        <f t="array" aca="1" ref="Z14" ca="1">IFERROR(INDEX(IndividualsPerGame!$C$3:$D$80,SMALL(IF(IndividualsPerGame!$D$3:$D89=Z$4,ROW(IndividualsPerGame!$C$3:$D$80)-2),ROW(IndividualsPerGame!10:10)),1),"")</f>
        <v/>
      </c>
      <c r="AA14" s="322" t="str">
        <f t="array" aca="1" ref="AA14" ca="1">IFERROR(INDEX(IndividualsPerGame!$C$3:$D$80,SMALL(IF(IndividualsPerGame!$D$3:$D89=AA$4,ROW(IndividualsPerGame!$C$3:$D$80)-2),ROW(IndividualsPerGame!10:10)),1),"")</f>
        <v/>
      </c>
      <c r="AB14" s="322" t="str">
        <f t="array" aca="1" ref="AB14" ca="1">IFERROR(INDEX(IndividualsPerGame!$C$3:$D$80,SMALL(IF(IndividualsPerGame!$D$3:$D89=AB$4,ROW(IndividualsPerGame!$C$3:$D$80)-2),ROW(IndividualsPerGame!10:10)),1),"")</f>
        <v/>
      </c>
      <c r="AC14" s="322" t="str">
        <f t="array" aca="1" ref="AC14" ca="1">IFERROR(INDEX(IndividualsPerGame!$C$3:$D$80,SMALL(IF(IndividualsPerGame!$D$3:$D89=AC$4,ROW(IndividualsPerGame!$C$3:$D$80)-2),ROW(IndividualsPerGame!10:10)),1),"")</f>
        <v/>
      </c>
      <c r="AD14" s="322" t="str">
        <f t="array" aca="1" ref="AD14" ca="1">IFERROR(INDEX(IndividualsPerGame!$C$3:$D$80,SMALL(IF(IndividualsPerGame!$D$3:$D89=AD$4,ROW(IndividualsPerGame!$C$3:$D$80)-2),ROW(IndividualsPerGame!10:10)),1),"")</f>
        <v/>
      </c>
      <c r="AE14" s="322" t="str">
        <f t="array" aca="1" ref="AE14" ca="1">IFERROR(INDEX(IndividualsPerGame!$C$3:$D$80,SMALL(IF(IndividualsPerGame!$D$3:$D89=AE$4,ROW(IndividualsPerGame!$C$3:$D$80)-2),ROW(IndividualsPerGame!10:10)),1),"")</f>
        <v/>
      </c>
      <c r="AF14" s="322" t="str">
        <f t="array" aca="1" ref="AF14" ca="1">IFERROR(INDEX(IndividualsPerGame!$C$3:$D$80,SMALL(IF(IndividualsPerGame!$D$3:$D89=AF$4,ROW(IndividualsPerGame!$C$3:$D$80)-2),ROW(IndividualsPerGame!10:10)),1),"")</f>
        <v/>
      </c>
      <c r="AG14" s="322" t="str">
        <f t="array" aca="1" ref="AG14" ca="1">IFERROR(INDEX(IndividualsPerGame!$C$3:$D$80,SMALL(IF(IndividualsPerGame!$D$3:$D89=AG$4,ROW(IndividualsPerGame!$C$3:$D$80)-2),ROW(IndividualsPerGame!10:10)),1),"")</f>
        <v/>
      </c>
      <c r="AH14" s="322" t="str">
        <f t="array" aca="1" ref="AH14" ca="1">IFERROR(INDEX(IndividualsPerGame!$C$3:$D$80,SMALL(IF(IndividualsPerGame!$D$3:$D89=AH$4,ROW(IndividualsPerGame!$C$3:$D$80)-2),ROW(IndividualsPerGame!10:10)),1),"")</f>
        <v/>
      </c>
      <c r="AI14" s="322" t="str">
        <f t="array" aca="1" ref="AI14" ca="1">IFERROR(INDEX(IndividualsPerGame!$C$3:$D$80,SMALL(IF(IndividualsPerGame!$D$3:$D89=AI$4,ROW(IndividualsPerGame!$C$3:$D$80)-2),ROW(IndividualsPerGame!10:10)),1),"")</f>
        <v/>
      </c>
      <c r="AJ14" s="322" t="str">
        <f t="array" ref="AJ14">IFERROR(INDEX(IndividualsPerGame!$C$3:$D$80,SMALL(IF(IndividualsPerGame!$D$3:$D89=AJ$4,ROW(IndividualsPerGame!$C$3:$D$80)-2),ROW(IndividualsPerGame!10:10)),1),"")</f>
        <v/>
      </c>
      <c r="AK14" s="322" t="str">
        <f t="array" ref="AK14">IFERROR(INDEX(IndividualsPerGame!$C$3:$D$80,SMALL(IF(IndividualsPerGame!$D$3:$D89=AK$4,ROW(IndividualsPerGame!$C$3:$D$80)-2),ROW(IndividualsPerGame!10:10)),1),"")</f>
        <v/>
      </c>
    </row>
    <row r="15" spans="1:37" x14ac:dyDescent="0.25">
      <c r="A15" s="252"/>
      <c r="B15" s="252"/>
      <c r="C15" s="23"/>
      <c r="D15" s="23"/>
      <c r="E15" s="259"/>
      <c r="F15" s="259"/>
      <c r="G15" s="263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4"/>
      <c r="S15" s="264"/>
      <c r="T15" s="264"/>
      <c r="U15" s="265"/>
      <c r="V15" s="23"/>
      <c r="W15" s="324">
        <v>11</v>
      </c>
      <c r="X15" s="177" t="str">
        <f t="shared" ca="1" si="0"/>
        <v/>
      </c>
      <c r="Z15" s="322" t="str">
        <f t="array" aca="1" ref="Z15" ca="1">IFERROR(INDEX(IndividualsPerGame!$C$3:$D$80,SMALL(IF(IndividualsPerGame!$D$3:$D90=Z$4,ROW(IndividualsPerGame!$C$3:$D$80)-2),ROW(IndividualsPerGame!11:11)),1),"")</f>
        <v/>
      </c>
      <c r="AA15" s="322" t="str">
        <f t="array" aca="1" ref="AA15" ca="1">IFERROR(INDEX(IndividualsPerGame!$C$3:$D$80,SMALL(IF(IndividualsPerGame!$D$3:$D90=AA$4,ROW(IndividualsPerGame!$C$3:$D$80)-2),ROW(IndividualsPerGame!11:11)),1),"")</f>
        <v/>
      </c>
      <c r="AB15" s="322" t="str">
        <f t="array" aca="1" ref="AB15" ca="1">IFERROR(INDEX(IndividualsPerGame!$C$3:$D$80,SMALL(IF(IndividualsPerGame!$D$3:$D90=AB$4,ROW(IndividualsPerGame!$C$3:$D$80)-2),ROW(IndividualsPerGame!11:11)),1),"")</f>
        <v/>
      </c>
      <c r="AC15" s="322" t="str">
        <f t="array" aca="1" ref="AC15" ca="1">IFERROR(INDEX(IndividualsPerGame!$C$3:$D$80,SMALL(IF(IndividualsPerGame!$D$3:$D90=AC$4,ROW(IndividualsPerGame!$C$3:$D$80)-2),ROW(IndividualsPerGame!11:11)),1),"")</f>
        <v/>
      </c>
      <c r="AD15" s="322" t="str">
        <f t="array" aca="1" ref="AD15" ca="1">IFERROR(INDEX(IndividualsPerGame!$C$3:$D$80,SMALL(IF(IndividualsPerGame!$D$3:$D90=AD$4,ROW(IndividualsPerGame!$C$3:$D$80)-2),ROW(IndividualsPerGame!11:11)),1),"")</f>
        <v/>
      </c>
      <c r="AE15" s="322" t="str">
        <f t="array" aca="1" ref="AE15" ca="1">IFERROR(INDEX(IndividualsPerGame!$C$3:$D$80,SMALL(IF(IndividualsPerGame!$D$3:$D90=AE$4,ROW(IndividualsPerGame!$C$3:$D$80)-2),ROW(IndividualsPerGame!11:11)),1),"")</f>
        <v/>
      </c>
      <c r="AF15" s="322" t="str">
        <f t="array" aca="1" ref="AF15" ca="1">IFERROR(INDEX(IndividualsPerGame!$C$3:$D$80,SMALL(IF(IndividualsPerGame!$D$3:$D90=AF$4,ROW(IndividualsPerGame!$C$3:$D$80)-2),ROW(IndividualsPerGame!11:11)),1),"")</f>
        <v/>
      </c>
      <c r="AG15" s="322" t="str">
        <f t="array" aca="1" ref="AG15" ca="1">IFERROR(INDEX(IndividualsPerGame!$C$3:$D$80,SMALL(IF(IndividualsPerGame!$D$3:$D90=AG$4,ROW(IndividualsPerGame!$C$3:$D$80)-2),ROW(IndividualsPerGame!11:11)),1),"")</f>
        <v/>
      </c>
      <c r="AH15" s="322" t="str">
        <f t="array" aca="1" ref="AH15" ca="1">IFERROR(INDEX(IndividualsPerGame!$C$3:$D$80,SMALL(IF(IndividualsPerGame!$D$3:$D90=AH$4,ROW(IndividualsPerGame!$C$3:$D$80)-2),ROW(IndividualsPerGame!11:11)),1),"")</f>
        <v/>
      </c>
      <c r="AI15" s="322" t="str">
        <f t="array" aca="1" ref="AI15" ca="1">IFERROR(INDEX(IndividualsPerGame!$C$3:$D$80,SMALL(IF(IndividualsPerGame!$D$3:$D90=AI$4,ROW(IndividualsPerGame!$C$3:$D$80)-2),ROW(IndividualsPerGame!11:11)),1),"")</f>
        <v/>
      </c>
      <c r="AJ15" s="322" t="str">
        <f t="array" ref="AJ15">IFERROR(INDEX(IndividualsPerGame!$C$3:$D$80,SMALL(IF(IndividualsPerGame!$D$3:$D90=AJ$4,ROW(IndividualsPerGame!$C$3:$D$80)-2),ROW(IndividualsPerGame!11:11)),1),"")</f>
        <v/>
      </c>
      <c r="AK15" s="322" t="str">
        <f t="array" ref="AK15">IFERROR(INDEX(IndividualsPerGame!$C$3:$D$80,SMALL(IF(IndividualsPerGame!$D$3:$D90=AK$4,ROW(IndividualsPerGame!$C$3:$D$80)-2),ROW(IndividualsPerGame!11:11)),1),"")</f>
        <v/>
      </c>
    </row>
    <row r="16" spans="1:37" x14ac:dyDescent="0.25">
      <c r="A16" s="252"/>
      <c r="B16" s="252"/>
      <c r="C16" s="23"/>
      <c r="D16" s="23"/>
      <c r="E16" s="259"/>
      <c r="F16" s="259"/>
      <c r="G16" s="263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64"/>
      <c r="T16" s="264"/>
      <c r="U16" s="265"/>
      <c r="V16" s="23"/>
      <c r="W16" s="324">
        <v>12</v>
      </c>
      <c r="X16" s="177" t="str">
        <f t="shared" ca="1" si="0"/>
        <v/>
      </c>
      <c r="Z16" s="322" t="str">
        <f t="array" aca="1" ref="Z16" ca="1">IFERROR(INDEX(IndividualsPerGame!$C$3:$D$80,SMALL(IF(IndividualsPerGame!$D$3:$D91=Z$4,ROW(IndividualsPerGame!$C$3:$D$80)-2),ROW(IndividualsPerGame!12:12)),1),"")</f>
        <v/>
      </c>
      <c r="AA16" s="322" t="str">
        <f t="array" aca="1" ref="AA16" ca="1">IFERROR(INDEX(IndividualsPerGame!$C$3:$D$80,SMALL(IF(IndividualsPerGame!$D$3:$D91=AA$4,ROW(IndividualsPerGame!$C$3:$D$80)-2),ROW(IndividualsPerGame!12:12)),1),"")</f>
        <v/>
      </c>
      <c r="AB16" s="322" t="str">
        <f t="array" aca="1" ref="AB16" ca="1">IFERROR(INDEX(IndividualsPerGame!$C$3:$D$80,SMALL(IF(IndividualsPerGame!$D$3:$D91=AB$4,ROW(IndividualsPerGame!$C$3:$D$80)-2),ROW(IndividualsPerGame!12:12)),1),"")</f>
        <v/>
      </c>
      <c r="AC16" s="322" t="str">
        <f t="array" aca="1" ref="AC16" ca="1">IFERROR(INDEX(IndividualsPerGame!$C$3:$D$80,SMALL(IF(IndividualsPerGame!$D$3:$D91=AC$4,ROW(IndividualsPerGame!$C$3:$D$80)-2),ROW(IndividualsPerGame!12:12)),1),"")</f>
        <v/>
      </c>
      <c r="AD16" s="322" t="str">
        <f t="array" aca="1" ref="AD16" ca="1">IFERROR(INDEX(IndividualsPerGame!$C$3:$D$80,SMALL(IF(IndividualsPerGame!$D$3:$D91=AD$4,ROW(IndividualsPerGame!$C$3:$D$80)-2),ROW(IndividualsPerGame!12:12)),1),"")</f>
        <v/>
      </c>
      <c r="AE16" s="322" t="str">
        <f t="array" aca="1" ref="AE16" ca="1">IFERROR(INDEX(IndividualsPerGame!$C$3:$D$80,SMALL(IF(IndividualsPerGame!$D$3:$D91=AE$4,ROW(IndividualsPerGame!$C$3:$D$80)-2),ROW(IndividualsPerGame!12:12)),1),"")</f>
        <v/>
      </c>
      <c r="AF16" s="322" t="str">
        <f t="array" aca="1" ref="AF16" ca="1">IFERROR(INDEX(IndividualsPerGame!$C$3:$D$80,SMALL(IF(IndividualsPerGame!$D$3:$D91=AF$4,ROW(IndividualsPerGame!$C$3:$D$80)-2),ROW(IndividualsPerGame!12:12)),1),"")</f>
        <v/>
      </c>
      <c r="AG16" s="322" t="str">
        <f t="array" aca="1" ref="AG16" ca="1">IFERROR(INDEX(IndividualsPerGame!$C$3:$D$80,SMALL(IF(IndividualsPerGame!$D$3:$D91=AG$4,ROW(IndividualsPerGame!$C$3:$D$80)-2),ROW(IndividualsPerGame!12:12)),1),"")</f>
        <v/>
      </c>
      <c r="AH16" s="322" t="str">
        <f t="array" aca="1" ref="AH16" ca="1">IFERROR(INDEX(IndividualsPerGame!$C$3:$D$80,SMALL(IF(IndividualsPerGame!$D$3:$D91=AH$4,ROW(IndividualsPerGame!$C$3:$D$80)-2),ROW(IndividualsPerGame!12:12)),1),"")</f>
        <v/>
      </c>
      <c r="AI16" s="322" t="str">
        <f t="array" aca="1" ref="AI16" ca="1">IFERROR(INDEX(IndividualsPerGame!$C$3:$D$80,SMALL(IF(IndividualsPerGame!$D$3:$D91=AI$4,ROW(IndividualsPerGame!$C$3:$D$80)-2),ROW(IndividualsPerGame!12:12)),1),"")</f>
        <v/>
      </c>
      <c r="AJ16" s="322" t="str">
        <f t="array" ref="AJ16">IFERROR(INDEX(IndividualsPerGame!$C$3:$D$80,SMALL(IF(IndividualsPerGame!$D$3:$D91=AJ$4,ROW(IndividualsPerGame!$C$3:$D$80)-2),ROW(IndividualsPerGame!12:12)),1),"")</f>
        <v/>
      </c>
      <c r="AK16" s="322" t="str">
        <f t="array" ref="AK16">IFERROR(INDEX(IndividualsPerGame!$C$3:$D$80,SMALL(IF(IndividualsPerGame!$D$3:$D91=AK$4,ROW(IndividualsPerGame!$C$3:$D$80)-2),ROW(IndividualsPerGame!12:12)),1),"")</f>
        <v/>
      </c>
    </row>
    <row r="17" spans="1:37" x14ac:dyDescent="0.25">
      <c r="A17" s="252"/>
      <c r="B17" s="252"/>
      <c r="C17" s="23"/>
      <c r="D17" s="23"/>
      <c r="E17" s="259"/>
      <c r="F17" s="259"/>
      <c r="G17" s="263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4"/>
      <c r="S17" s="264"/>
      <c r="T17" s="264"/>
      <c r="U17" s="265"/>
      <c r="V17" s="23"/>
      <c r="W17" s="23"/>
      <c r="X17" t="str">
        <f t="shared" ca="1" si="0"/>
        <v/>
      </c>
      <c r="Z17" s="322" t="str">
        <f t="array" aca="1" ref="Z17" ca="1">IFERROR(INDEX(IndividualsPerGame!$C$3:$D$80,SMALL(IF(IndividualsPerGame!$D$3:$D92=Z$4,ROW(IndividualsPerGame!$C$3:$D$80)-2),ROW(IndividualsPerGame!13:13)),1),"")</f>
        <v/>
      </c>
      <c r="AA17" s="322" t="str">
        <f t="array" aca="1" ref="AA17" ca="1">IFERROR(INDEX(IndividualsPerGame!$C$3:$D$80,SMALL(IF(IndividualsPerGame!$D$3:$D92=AA$4,ROW(IndividualsPerGame!$C$3:$D$80)-2),ROW(IndividualsPerGame!13:13)),1),"")</f>
        <v/>
      </c>
      <c r="AB17" s="322" t="str">
        <f t="array" aca="1" ref="AB17" ca="1">IFERROR(INDEX(IndividualsPerGame!$C$3:$D$80,SMALL(IF(IndividualsPerGame!$D$3:$D92=AB$4,ROW(IndividualsPerGame!$C$3:$D$80)-2),ROW(IndividualsPerGame!13:13)),1),"")</f>
        <v/>
      </c>
      <c r="AC17" s="322" t="str">
        <f t="array" aca="1" ref="AC17" ca="1">IFERROR(INDEX(IndividualsPerGame!$C$3:$D$80,SMALL(IF(IndividualsPerGame!$D$3:$D92=AC$4,ROW(IndividualsPerGame!$C$3:$D$80)-2),ROW(IndividualsPerGame!13:13)),1),"")</f>
        <v/>
      </c>
      <c r="AD17" s="322" t="str">
        <f t="array" aca="1" ref="AD17" ca="1">IFERROR(INDEX(IndividualsPerGame!$C$3:$D$80,SMALL(IF(IndividualsPerGame!$D$3:$D92=AD$4,ROW(IndividualsPerGame!$C$3:$D$80)-2),ROW(IndividualsPerGame!13:13)),1),"")</f>
        <v/>
      </c>
      <c r="AE17" s="322" t="str">
        <f t="array" aca="1" ref="AE17" ca="1">IFERROR(INDEX(IndividualsPerGame!$C$3:$D$80,SMALL(IF(IndividualsPerGame!$D$3:$D92=AE$4,ROW(IndividualsPerGame!$C$3:$D$80)-2),ROW(IndividualsPerGame!13:13)),1),"")</f>
        <v/>
      </c>
      <c r="AF17" s="322" t="str">
        <f t="array" aca="1" ref="AF17" ca="1">IFERROR(INDEX(IndividualsPerGame!$C$3:$D$80,SMALL(IF(IndividualsPerGame!$D$3:$D92=AF$4,ROW(IndividualsPerGame!$C$3:$D$80)-2),ROW(IndividualsPerGame!13:13)),1),"")</f>
        <v/>
      </c>
      <c r="AG17" s="322" t="str">
        <f t="array" aca="1" ref="AG17" ca="1">IFERROR(INDEX(IndividualsPerGame!$C$3:$D$80,SMALL(IF(IndividualsPerGame!$D$3:$D92=AG$4,ROW(IndividualsPerGame!$C$3:$D$80)-2),ROW(IndividualsPerGame!13:13)),1),"")</f>
        <v/>
      </c>
      <c r="AH17" s="322" t="str">
        <f t="array" aca="1" ref="AH17" ca="1">IFERROR(INDEX(IndividualsPerGame!$C$3:$D$80,SMALL(IF(IndividualsPerGame!$D$3:$D92=AH$4,ROW(IndividualsPerGame!$C$3:$D$80)-2),ROW(IndividualsPerGame!13:13)),1),"")</f>
        <v/>
      </c>
      <c r="AI17" s="322" t="str">
        <f t="array" aca="1" ref="AI17" ca="1">IFERROR(INDEX(IndividualsPerGame!$C$3:$D$80,SMALL(IF(IndividualsPerGame!$D$3:$D92=AI$4,ROW(IndividualsPerGame!$C$3:$D$80)-2),ROW(IndividualsPerGame!13:13)),1),"")</f>
        <v/>
      </c>
      <c r="AJ17" s="322" t="str">
        <f t="array" ref="AJ17">IFERROR(INDEX(IndividualsPerGame!$C$3:$D$80,SMALL(IF(IndividualsPerGame!$D$3:$D92=AJ$4,ROW(IndividualsPerGame!$C$3:$D$80)-2),ROW(IndividualsPerGame!13:13)),1),"")</f>
        <v/>
      </c>
      <c r="AK17" s="322" t="str">
        <f t="array" ref="AK17">IFERROR(INDEX(IndividualsPerGame!$C$3:$D$80,SMALL(IF(IndividualsPerGame!$D$3:$D92=AK$4,ROW(IndividualsPerGame!$C$3:$D$80)-2),ROW(IndividualsPerGame!13:13)),1),"")</f>
        <v/>
      </c>
    </row>
    <row r="18" spans="1:37" x14ac:dyDescent="0.25">
      <c r="A18" s="252"/>
      <c r="B18" s="252"/>
      <c r="C18" s="23"/>
      <c r="D18" s="23"/>
      <c r="E18" s="259"/>
      <c r="F18" s="259"/>
      <c r="G18" s="263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5"/>
      <c r="V18" s="23"/>
      <c r="W18" s="23"/>
      <c r="X18" t="str">
        <f t="shared" ca="1" si="0"/>
        <v/>
      </c>
      <c r="Z18" s="322" t="str">
        <f t="array" aca="1" ref="Z18" ca="1">IFERROR(INDEX(IndividualsPerGame!$C$3:$D$80,SMALL(IF(IndividualsPerGame!$D$3:$D93=Z$4,ROW(IndividualsPerGame!$C$3:$D$80)-2),ROW(IndividualsPerGame!14:14)),1),"")</f>
        <v/>
      </c>
      <c r="AA18" s="322" t="str">
        <f t="array" aca="1" ref="AA18" ca="1">IFERROR(INDEX(IndividualsPerGame!$C$3:$D$80,SMALL(IF(IndividualsPerGame!$D$3:$D93=AA$4,ROW(IndividualsPerGame!$C$3:$D$80)-2),ROW(IndividualsPerGame!14:14)),1),"")</f>
        <v/>
      </c>
      <c r="AB18" s="322" t="str">
        <f t="array" aca="1" ref="AB18" ca="1">IFERROR(INDEX(IndividualsPerGame!$C$3:$D$80,SMALL(IF(IndividualsPerGame!$D$3:$D93=AB$4,ROW(IndividualsPerGame!$C$3:$D$80)-2),ROW(IndividualsPerGame!14:14)),1),"")</f>
        <v/>
      </c>
      <c r="AC18" s="322" t="str">
        <f t="array" aca="1" ref="AC18" ca="1">IFERROR(INDEX(IndividualsPerGame!$C$3:$D$80,SMALL(IF(IndividualsPerGame!$D$3:$D93=AC$4,ROW(IndividualsPerGame!$C$3:$D$80)-2),ROW(IndividualsPerGame!14:14)),1),"")</f>
        <v/>
      </c>
      <c r="AD18" s="322" t="str">
        <f t="array" aca="1" ref="AD18" ca="1">IFERROR(INDEX(IndividualsPerGame!$C$3:$D$80,SMALL(IF(IndividualsPerGame!$D$3:$D93=AD$4,ROW(IndividualsPerGame!$C$3:$D$80)-2),ROW(IndividualsPerGame!14:14)),1),"")</f>
        <v/>
      </c>
      <c r="AE18" s="322" t="str">
        <f t="array" aca="1" ref="AE18" ca="1">IFERROR(INDEX(IndividualsPerGame!$C$3:$D$80,SMALL(IF(IndividualsPerGame!$D$3:$D93=AE$4,ROW(IndividualsPerGame!$C$3:$D$80)-2),ROW(IndividualsPerGame!14:14)),1),"")</f>
        <v/>
      </c>
      <c r="AF18" s="322" t="str">
        <f t="array" aca="1" ref="AF18" ca="1">IFERROR(INDEX(IndividualsPerGame!$C$3:$D$80,SMALL(IF(IndividualsPerGame!$D$3:$D93=AF$4,ROW(IndividualsPerGame!$C$3:$D$80)-2),ROW(IndividualsPerGame!14:14)),1),"")</f>
        <v/>
      </c>
      <c r="AG18" s="322" t="str">
        <f t="array" aca="1" ref="AG18" ca="1">IFERROR(INDEX(IndividualsPerGame!$C$3:$D$80,SMALL(IF(IndividualsPerGame!$D$3:$D93=AG$4,ROW(IndividualsPerGame!$C$3:$D$80)-2),ROW(IndividualsPerGame!14:14)),1),"")</f>
        <v/>
      </c>
      <c r="AH18" s="322" t="str">
        <f t="array" aca="1" ref="AH18" ca="1">IFERROR(INDEX(IndividualsPerGame!$C$3:$D$80,SMALL(IF(IndividualsPerGame!$D$3:$D93=AH$4,ROW(IndividualsPerGame!$C$3:$D$80)-2),ROW(IndividualsPerGame!14:14)),1),"")</f>
        <v/>
      </c>
      <c r="AI18" s="322" t="str">
        <f t="array" aca="1" ref="AI18" ca="1">IFERROR(INDEX(IndividualsPerGame!$C$3:$D$80,SMALL(IF(IndividualsPerGame!$D$3:$D93=AI$4,ROW(IndividualsPerGame!$C$3:$D$80)-2),ROW(IndividualsPerGame!14:14)),1),"")</f>
        <v/>
      </c>
      <c r="AJ18" s="322" t="str">
        <f t="array" ref="AJ18">IFERROR(INDEX(IndividualsPerGame!$C$3:$D$80,SMALL(IF(IndividualsPerGame!$D$3:$D93=AJ$4,ROW(IndividualsPerGame!$C$3:$D$80)-2),ROW(IndividualsPerGame!14:14)),1),"")</f>
        <v/>
      </c>
      <c r="AK18" s="322" t="str">
        <f t="array" ref="AK18">IFERROR(INDEX(IndividualsPerGame!$C$3:$D$80,SMALL(IF(IndividualsPerGame!$D$3:$D93=AK$4,ROW(IndividualsPerGame!$C$3:$D$80)-2),ROW(IndividualsPerGame!14:14)),1),"")</f>
        <v/>
      </c>
    </row>
    <row r="19" spans="1:37" x14ac:dyDescent="0.25">
      <c r="A19" s="252"/>
      <c r="B19" s="252"/>
      <c r="C19" s="23"/>
      <c r="D19" s="23"/>
      <c r="E19" s="259"/>
      <c r="F19" s="259"/>
      <c r="G19" s="263"/>
      <c r="H19" s="264"/>
      <c r="I19" s="264"/>
      <c r="J19" s="264"/>
      <c r="K19" s="264"/>
      <c r="L19" s="264"/>
      <c r="M19" s="264"/>
      <c r="N19" s="264"/>
      <c r="O19" s="264"/>
      <c r="P19" s="264"/>
      <c r="Q19" s="264"/>
      <c r="R19" s="264"/>
      <c r="S19" s="264"/>
      <c r="T19" s="264"/>
      <c r="U19" s="265"/>
      <c r="V19" s="23"/>
      <c r="W19" s="23"/>
      <c r="X19" t="str">
        <f t="shared" ca="1" si="0"/>
        <v/>
      </c>
      <c r="Z19" s="322" t="str">
        <f t="array" aca="1" ref="Z19" ca="1">IFERROR(INDEX(IndividualsPerGame!$C$3:$D$80,SMALL(IF(IndividualsPerGame!$D$3:$D94=Z$4,ROW(IndividualsPerGame!$C$3:$D$80)-2),ROW(IndividualsPerGame!15:15)),1),"")</f>
        <v/>
      </c>
      <c r="AA19" s="322" t="str">
        <f t="array" aca="1" ref="AA19" ca="1">IFERROR(INDEX(IndividualsPerGame!$C$3:$D$80,SMALL(IF(IndividualsPerGame!$D$3:$D94=AA$4,ROW(IndividualsPerGame!$C$3:$D$80)-2),ROW(IndividualsPerGame!15:15)),1),"")</f>
        <v/>
      </c>
      <c r="AB19" s="322" t="str">
        <f t="array" aca="1" ref="AB19" ca="1">IFERROR(INDEX(IndividualsPerGame!$C$3:$D$80,SMALL(IF(IndividualsPerGame!$D$3:$D94=AB$4,ROW(IndividualsPerGame!$C$3:$D$80)-2),ROW(IndividualsPerGame!15:15)),1),"")</f>
        <v/>
      </c>
      <c r="AC19" s="322" t="str">
        <f t="array" aca="1" ref="AC19" ca="1">IFERROR(INDEX(IndividualsPerGame!$C$3:$D$80,SMALL(IF(IndividualsPerGame!$D$3:$D94=AC$4,ROW(IndividualsPerGame!$C$3:$D$80)-2),ROW(IndividualsPerGame!15:15)),1),"")</f>
        <v/>
      </c>
      <c r="AD19" s="322" t="str">
        <f t="array" aca="1" ref="AD19" ca="1">IFERROR(INDEX(IndividualsPerGame!$C$3:$D$80,SMALL(IF(IndividualsPerGame!$D$3:$D94=AD$4,ROW(IndividualsPerGame!$C$3:$D$80)-2),ROW(IndividualsPerGame!15:15)),1),"")</f>
        <v/>
      </c>
      <c r="AE19" s="322" t="str">
        <f t="array" aca="1" ref="AE19" ca="1">IFERROR(INDEX(IndividualsPerGame!$C$3:$D$80,SMALL(IF(IndividualsPerGame!$D$3:$D94=AE$4,ROW(IndividualsPerGame!$C$3:$D$80)-2),ROW(IndividualsPerGame!15:15)),1),"")</f>
        <v/>
      </c>
      <c r="AF19" s="322" t="str">
        <f t="array" aca="1" ref="AF19" ca="1">IFERROR(INDEX(IndividualsPerGame!$C$3:$D$80,SMALL(IF(IndividualsPerGame!$D$3:$D94=AF$4,ROW(IndividualsPerGame!$C$3:$D$80)-2),ROW(IndividualsPerGame!15:15)),1),"")</f>
        <v/>
      </c>
      <c r="AG19" s="322" t="str">
        <f t="array" aca="1" ref="AG19" ca="1">IFERROR(INDEX(IndividualsPerGame!$C$3:$D$80,SMALL(IF(IndividualsPerGame!$D$3:$D94=AG$4,ROW(IndividualsPerGame!$C$3:$D$80)-2),ROW(IndividualsPerGame!15:15)),1),"")</f>
        <v/>
      </c>
      <c r="AH19" s="322" t="str">
        <f t="array" aca="1" ref="AH19" ca="1">IFERROR(INDEX(IndividualsPerGame!$C$3:$D$80,SMALL(IF(IndividualsPerGame!$D$3:$D94=AH$4,ROW(IndividualsPerGame!$C$3:$D$80)-2),ROW(IndividualsPerGame!15:15)),1),"")</f>
        <v/>
      </c>
      <c r="AI19" s="322" t="str">
        <f t="array" aca="1" ref="AI19" ca="1">IFERROR(INDEX(IndividualsPerGame!$C$3:$D$80,SMALL(IF(IndividualsPerGame!$D$3:$D94=AI$4,ROW(IndividualsPerGame!$C$3:$D$80)-2),ROW(IndividualsPerGame!15:15)),1),"")</f>
        <v/>
      </c>
      <c r="AJ19" s="322" t="str">
        <f t="array" ref="AJ19">IFERROR(INDEX(IndividualsPerGame!$C$3:$D$80,SMALL(IF(IndividualsPerGame!$D$3:$D94=AJ$4,ROW(IndividualsPerGame!$C$3:$D$80)-2),ROW(IndividualsPerGame!15:15)),1),"")</f>
        <v/>
      </c>
      <c r="AK19" s="322" t="str">
        <f t="array" ref="AK19">IFERROR(INDEX(IndividualsPerGame!$C$3:$D$80,SMALL(IF(IndividualsPerGame!$D$3:$D94=AK$4,ROW(IndividualsPerGame!$C$3:$D$80)-2),ROW(IndividualsPerGame!15:15)),1),"")</f>
        <v/>
      </c>
    </row>
    <row r="20" spans="1:37" x14ac:dyDescent="0.25">
      <c r="A20" s="252"/>
      <c r="B20" s="252"/>
      <c r="C20" s="23"/>
      <c r="D20" s="23"/>
      <c r="E20" s="259"/>
      <c r="F20" s="259"/>
      <c r="G20" s="263"/>
      <c r="H20" s="264"/>
      <c r="I20" s="264"/>
      <c r="J20" s="264"/>
      <c r="K20" s="264"/>
      <c r="L20" s="264"/>
      <c r="M20" s="264"/>
      <c r="N20" s="264"/>
      <c r="O20" s="264"/>
      <c r="P20" s="264"/>
      <c r="Q20" s="264"/>
      <c r="R20" s="264"/>
      <c r="S20" s="264"/>
      <c r="T20" s="264"/>
      <c r="U20" s="265"/>
      <c r="V20" s="23"/>
      <c r="W20" s="23"/>
      <c r="X20" t="str">
        <f t="shared" ca="1" si="0"/>
        <v/>
      </c>
      <c r="Z20" s="322" t="str">
        <f t="array" aca="1" ref="Z20" ca="1">IFERROR(INDEX(IndividualsPerGame!$C$3:$D$80,SMALL(IF(IndividualsPerGame!$D$3:$D95=Z$4,ROW(IndividualsPerGame!$C$3:$D$80)-2),ROW(IndividualsPerGame!16:16)),1),"")</f>
        <v/>
      </c>
      <c r="AA20" s="322" t="str">
        <f t="array" aca="1" ref="AA20" ca="1">IFERROR(INDEX(IndividualsPerGame!$C$3:$D$80,SMALL(IF(IndividualsPerGame!$D$3:$D95=AA$4,ROW(IndividualsPerGame!$C$3:$D$80)-2),ROW(IndividualsPerGame!16:16)),1),"")</f>
        <v/>
      </c>
      <c r="AB20" s="322" t="str">
        <f t="array" aca="1" ref="AB20" ca="1">IFERROR(INDEX(IndividualsPerGame!$C$3:$D$80,SMALL(IF(IndividualsPerGame!$D$3:$D95=AB$4,ROW(IndividualsPerGame!$C$3:$D$80)-2),ROW(IndividualsPerGame!16:16)),1),"")</f>
        <v/>
      </c>
      <c r="AC20" s="322" t="str">
        <f t="array" aca="1" ref="AC20" ca="1">IFERROR(INDEX(IndividualsPerGame!$C$3:$D$80,SMALL(IF(IndividualsPerGame!$D$3:$D95=AC$4,ROW(IndividualsPerGame!$C$3:$D$80)-2),ROW(IndividualsPerGame!16:16)),1),"")</f>
        <v/>
      </c>
      <c r="AD20" s="322" t="str">
        <f t="array" aca="1" ref="AD20" ca="1">IFERROR(INDEX(IndividualsPerGame!$C$3:$D$80,SMALL(IF(IndividualsPerGame!$D$3:$D95=AD$4,ROW(IndividualsPerGame!$C$3:$D$80)-2),ROW(IndividualsPerGame!16:16)),1),"")</f>
        <v/>
      </c>
      <c r="AE20" s="322" t="str">
        <f t="array" aca="1" ref="AE20" ca="1">IFERROR(INDEX(IndividualsPerGame!$C$3:$D$80,SMALL(IF(IndividualsPerGame!$D$3:$D95=AE$4,ROW(IndividualsPerGame!$C$3:$D$80)-2),ROW(IndividualsPerGame!16:16)),1),"")</f>
        <v/>
      </c>
      <c r="AF20" s="322" t="str">
        <f t="array" aca="1" ref="AF20" ca="1">IFERROR(INDEX(IndividualsPerGame!$C$3:$D$80,SMALL(IF(IndividualsPerGame!$D$3:$D95=AF$4,ROW(IndividualsPerGame!$C$3:$D$80)-2),ROW(IndividualsPerGame!16:16)),1),"")</f>
        <v/>
      </c>
      <c r="AG20" s="322" t="str">
        <f t="array" aca="1" ref="AG20" ca="1">IFERROR(INDEX(IndividualsPerGame!$C$3:$D$80,SMALL(IF(IndividualsPerGame!$D$3:$D95=AG$4,ROW(IndividualsPerGame!$C$3:$D$80)-2),ROW(IndividualsPerGame!16:16)),1),"")</f>
        <v/>
      </c>
      <c r="AH20" s="322" t="str">
        <f t="array" aca="1" ref="AH20" ca="1">IFERROR(INDEX(IndividualsPerGame!$C$3:$D$80,SMALL(IF(IndividualsPerGame!$D$3:$D95=AH$4,ROW(IndividualsPerGame!$C$3:$D$80)-2),ROW(IndividualsPerGame!16:16)),1),"")</f>
        <v/>
      </c>
      <c r="AI20" s="322" t="str">
        <f t="array" aca="1" ref="AI20" ca="1">IFERROR(INDEX(IndividualsPerGame!$C$3:$D$80,SMALL(IF(IndividualsPerGame!$D$3:$D95=AI$4,ROW(IndividualsPerGame!$C$3:$D$80)-2),ROW(IndividualsPerGame!16:16)),1),"")</f>
        <v/>
      </c>
      <c r="AJ20" s="322" t="str">
        <f t="array" ref="AJ20">IFERROR(INDEX(IndividualsPerGame!$C$3:$D$80,SMALL(IF(IndividualsPerGame!$D$3:$D95=AJ$4,ROW(IndividualsPerGame!$C$3:$D$80)-2),ROW(IndividualsPerGame!16:16)),1),"")</f>
        <v/>
      </c>
      <c r="AK20" s="322" t="str">
        <f t="array" ref="AK20">IFERROR(INDEX(IndividualsPerGame!$C$3:$D$80,SMALL(IF(IndividualsPerGame!$D$3:$D95=AK$4,ROW(IndividualsPerGame!$C$3:$D$80)-2),ROW(IndividualsPerGame!16:16)),1),"")</f>
        <v/>
      </c>
    </row>
    <row r="21" spans="1:37" x14ac:dyDescent="0.25">
      <c r="A21" s="252"/>
      <c r="B21" s="252"/>
      <c r="C21" s="23"/>
      <c r="D21" s="23"/>
      <c r="E21" s="259"/>
      <c r="F21" s="259"/>
      <c r="G21" s="263"/>
      <c r="H21" s="264"/>
      <c r="I21" s="264"/>
      <c r="J21" s="264"/>
      <c r="K21" s="264"/>
      <c r="L21" s="264"/>
      <c r="M21" s="264"/>
      <c r="N21" s="264"/>
      <c r="O21" s="264"/>
      <c r="P21" s="264"/>
      <c r="Q21" s="264"/>
      <c r="R21" s="264"/>
      <c r="S21" s="264"/>
      <c r="T21" s="264"/>
      <c r="U21" s="265"/>
      <c r="V21" s="23"/>
      <c r="W21" s="23"/>
      <c r="X21" t="str">
        <f t="shared" ca="1" si="0"/>
        <v/>
      </c>
      <c r="Z21" s="322" t="str">
        <f t="array" aca="1" ref="Z21" ca="1">IFERROR(INDEX(IndividualsPerGame!$C$3:$D$80,SMALL(IF(IndividualsPerGame!$D$3:$D96=Z$4,ROW(IndividualsPerGame!$C$3:$D$80)-2),ROW(IndividualsPerGame!17:17)),1),"")</f>
        <v/>
      </c>
      <c r="AA21" s="322" t="str">
        <f t="array" aca="1" ref="AA21" ca="1">IFERROR(INDEX(IndividualsPerGame!$C$3:$D$80,SMALL(IF(IndividualsPerGame!$D$3:$D96=AA$4,ROW(IndividualsPerGame!$C$3:$D$80)-2),ROW(IndividualsPerGame!17:17)),1),"")</f>
        <v/>
      </c>
      <c r="AB21" s="322" t="str">
        <f t="array" aca="1" ref="AB21" ca="1">IFERROR(INDEX(IndividualsPerGame!$C$3:$D$80,SMALL(IF(IndividualsPerGame!$D$3:$D96=AB$4,ROW(IndividualsPerGame!$C$3:$D$80)-2),ROW(IndividualsPerGame!17:17)),1),"")</f>
        <v/>
      </c>
      <c r="AC21" s="322" t="str">
        <f t="array" aca="1" ref="AC21" ca="1">IFERROR(INDEX(IndividualsPerGame!$C$3:$D$80,SMALL(IF(IndividualsPerGame!$D$3:$D96=AC$4,ROW(IndividualsPerGame!$C$3:$D$80)-2),ROW(IndividualsPerGame!17:17)),1),"")</f>
        <v/>
      </c>
      <c r="AD21" s="322" t="str">
        <f t="array" aca="1" ref="AD21" ca="1">IFERROR(INDEX(IndividualsPerGame!$C$3:$D$80,SMALL(IF(IndividualsPerGame!$D$3:$D96=AD$4,ROW(IndividualsPerGame!$C$3:$D$80)-2),ROW(IndividualsPerGame!17:17)),1),"")</f>
        <v/>
      </c>
      <c r="AE21" s="322" t="str">
        <f t="array" aca="1" ref="AE21" ca="1">IFERROR(INDEX(IndividualsPerGame!$C$3:$D$80,SMALL(IF(IndividualsPerGame!$D$3:$D96=AE$4,ROW(IndividualsPerGame!$C$3:$D$80)-2),ROW(IndividualsPerGame!17:17)),1),"")</f>
        <v/>
      </c>
      <c r="AF21" s="322" t="str">
        <f t="array" aca="1" ref="AF21" ca="1">IFERROR(INDEX(IndividualsPerGame!$C$3:$D$80,SMALL(IF(IndividualsPerGame!$D$3:$D96=AF$4,ROW(IndividualsPerGame!$C$3:$D$80)-2),ROW(IndividualsPerGame!17:17)),1),"")</f>
        <v/>
      </c>
      <c r="AG21" s="322" t="str">
        <f t="array" aca="1" ref="AG21" ca="1">IFERROR(INDEX(IndividualsPerGame!$C$3:$D$80,SMALL(IF(IndividualsPerGame!$D$3:$D96=AG$4,ROW(IndividualsPerGame!$C$3:$D$80)-2),ROW(IndividualsPerGame!17:17)),1),"")</f>
        <v/>
      </c>
      <c r="AH21" s="322" t="str">
        <f t="array" aca="1" ref="AH21" ca="1">IFERROR(INDEX(IndividualsPerGame!$C$3:$D$80,SMALL(IF(IndividualsPerGame!$D$3:$D96=AH$4,ROW(IndividualsPerGame!$C$3:$D$80)-2),ROW(IndividualsPerGame!17:17)),1),"")</f>
        <v/>
      </c>
      <c r="AI21" s="322" t="str">
        <f t="array" aca="1" ref="AI21" ca="1">IFERROR(INDEX(IndividualsPerGame!$C$3:$D$80,SMALL(IF(IndividualsPerGame!$D$3:$D96=AI$4,ROW(IndividualsPerGame!$C$3:$D$80)-2),ROW(IndividualsPerGame!17:17)),1),"")</f>
        <v/>
      </c>
      <c r="AJ21" s="322" t="str">
        <f t="array" ref="AJ21">IFERROR(INDEX(IndividualsPerGame!$C$3:$D$80,SMALL(IF(IndividualsPerGame!$D$3:$D96=AJ$4,ROW(IndividualsPerGame!$C$3:$D$80)-2),ROW(IndividualsPerGame!17:17)),1),"")</f>
        <v/>
      </c>
      <c r="AK21" s="322" t="str">
        <f t="array" ref="AK21">IFERROR(INDEX(IndividualsPerGame!$C$3:$D$80,SMALL(IF(IndividualsPerGame!$D$3:$D96=AK$4,ROW(IndividualsPerGame!$C$3:$D$80)-2),ROW(IndividualsPerGame!17:17)),1),"")</f>
        <v/>
      </c>
    </row>
    <row r="22" spans="1:37" x14ac:dyDescent="0.25">
      <c r="A22" s="252"/>
      <c r="B22" s="252"/>
      <c r="C22" s="23"/>
      <c r="D22" s="23"/>
      <c r="E22" s="259"/>
      <c r="F22" s="259"/>
      <c r="G22" s="263"/>
      <c r="H22" s="264"/>
      <c r="I22" s="264"/>
      <c r="J22" s="264"/>
      <c r="K22" s="264"/>
      <c r="L22" s="264"/>
      <c r="M22" s="264"/>
      <c r="N22" s="264"/>
      <c r="O22" s="264"/>
      <c r="P22" s="264"/>
      <c r="Q22" s="264"/>
      <c r="R22" s="264"/>
      <c r="S22" s="264"/>
      <c r="T22" s="264"/>
      <c r="U22" s="265"/>
      <c r="V22" s="23"/>
      <c r="W22" s="23"/>
      <c r="X22" t="str">
        <f t="shared" ca="1" si="0"/>
        <v/>
      </c>
      <c r="Z22" s="322" t="str">
        <f t="array" aca="1" ref="Z22" ca="1">IFERROR(INDEX(IndividualsPerGame!$C$3:$D$80,SMALL(IF(IndividualsPerGame!$D$3:$D97=Z$4,ROW(IndividualsPerGame!$C$3:$D$80)-2),ROW(IndividualsPerGame!18:18)),1),"")</f>
        <v/>
      </c>
      <c r="AA22" s="322" t="str">
        <f t="array" aca="1" ref="AA22" ca="1">IFERROR(INDEX(IndividualsPerGame!$C$3:$D$80,SMALL(IF(IndividualsPerGame!$D$3:$D97=AA$4,ROW(IndividualsPerGame!$C$3:$D$80)-2),ROW(IndividualsPerGame!18:18)),1),"")</f>
        <v/>
      </c>
      <c r="AB22" s="322" t="str">
        <f t="array" aca="1" ref="AB22" ca="1">IFERROR(INDEX(IndividualsPerGame!$C$3:$D$80,SMALL(IF(IndividualsPerGame!$D$3:$D97=AB$4,ROW(IndividualsPerGame!$C$3:$D$80)-2),ROW(IndividualsPerGame!18:18)),1),"")</f>
        <v/>
      </c>
      <c r="AC22" s="322" t="str">
        <f t="array" aca="1" ref="AC22" ca="1">IFERROR(INDEX(IndividualsPerGame!$C$3:$D$80,SMALL(IF(IndividualsPerGame!$D$3:$D97=AC$4,ROW(IndividualsPerGame!$C$3:$D$80)-2),ROW(IndividualsPerGame!18:18)),1),"")</f>
        <v/>
      </c>
      <c r="AD22" s="322" t="str">
        <f t="array" aca="1" ref="AD22" ca="1">IFERROR(INDEX(IndividualsPerGame!$C$3:$D$80,SMALL(IF(IndividualsPerGame!$D$3:$D97=AD$4,ROW(IndividualsPerGame!$C$3:$D$80)-2),ROW(IndividualsPerGame!18:18)),1),"")</f>
        <v/>
      </c>
      <c r="AE22" s="322" t="str">
        <f t="array" aca="1" ref="AE22" ca="1">IFERROR(INDEX(IndividualsPerGame!$C$3:$D$80,SMALL(IF(IndividualsPerGame!$D$3:$D97=AE$4,ROW(IndividualsPerGame!$C$3:$D$80)-2),ROW(IndividualsPerGame!18:18)),1),"")</f>
        <v/>
      </c>
      <c r="AF22" s="322" t="str">
        <f t="array" aca="1" ref="AF22" ca="1">IFERROR(INDEX(IndividualsPerGame!$C$3:$D$80,SMALL(IF(IndividualsPerGame!$D$3:$D97=AF$4,ROW(IndividualsPerGame!$C$3:$D$80)-2),ROW(IndividualsPerGame!18:18)),1),"")</f>
        <v/>
      </c>
      <c r="AG22" s="322" t="str">
        <f t="array" aca="1" ref="AG22" ca="1">IFERROR(INDEX(IndividualsPerGame!$C$3:$D$80,SMALL(IF(IndividualsPerGame!$D$3:$D97=AG$4,ROW(IndividualsPerGame!$C$3:$D$80)-2),ROW(IndividualsPerGame!18:18)),1),"")</f>
        <v/>
      </c>
      <c r="AH22" s="322" t="str">
        <f t="array" aca="1" ref="AH22" ca="1">IFERROR(INDEX(IndividualsPerGame!$C$3:$D$80,SMALL(IF(IndividualsPerGame!$D$3:$D97=AH$4,ROW(IndividualsPerGame!$C$3:$D$80)-2),ROW(IndividualsPerGame!18:18)),1),"")</f>
        <v/>
      </c>
      <c r="AI22" s="322" t="str">
        <f t="array" aca="1" ref="AI22" ca="1">IFERROR(INDEX(IndividualsPerGame!$C$3:$D$80,SMALL(IF(IndividualsPerGame!$D$3:$D97=AI$4,ROW(IndividualsPerGame!$C$3:$D$80)-2),ROW(IndividualsPerGame!18:18)),1),"")</f>
        <v/>
      </c>
      <c r="AJ22" s="322" t="str">
        <f t="array" ref="AJ22">IFERROR(INDEX(IndividualsPerGame!$C$3:$D$80,SMALL(IF(IndividualsPerGame!$D$3:$D97=AJ$4,ROW(IndividualsPerGame!$C$3:$D$80)-2),ROW(IndividualsPerGame!18:18)),1),"")</f>
        <v/>
      </c>
      <c r="AK22" s="322" t="str">
        <f t="array" ref="AK22">IFERROR(INDEX(IndividualsPerGame!$C$3:$D$80,SMALL(IF(IndividualsPerGame!$D$3:$D97=AK$4,ROW(IndividualsPerGame!$C$3:$D$80)-2),ROW(IndividualsPerGame!18:18)),1),"")</f>
        <v/>
      </c>
    </row>
    <row r="23" spans="1:37" x14ac:dyDescent="0.25">
      <c r="A23" s="252"/>
      <c r="B23" s="252"/>
      <c r="C23" s="23"/>
      <c r="D23" s="23"/>
      <c r="E23" s="259"/>
      <c r="F23" s="259"/>
      <c r="G23" s="263"/>
      <c r="H23" s="264"/>
      <c r="I23" s="264"/>
      <c r="J23" s="264"/>
      <c r="K23" s="264"/>
      <c r="L23" s="264"/>
      <c r="M23" s="264"/>
      <c r="N23" s="264"/>
      <c r="O23" s="264"/>
      <c r="P23" s="264"/>
      <c r="Q23" s="264"/>
      <c r="R23" s="264"/>
      <c r="S23" s="264"/>
      <c r="T23" s="264"/>
      <c r="U23" s="265"/>
      <c r="V23" s="23"/>
      <c r="W23" s="23"/>
      <c r="X23" t="str">
        <f t="shared" ca="1" si="0"/>
        <v/>
      </c>
      <c r="Z23" s="322" t="str">
        <f t="array" aca="1" ref="Z23" ca="1">IFERROR(INDEX(IndividualsPerGame!$C$3:$D$80,SMALL(IF(IndividualsPerGame!$D$3:$D98=Z$4,ROW(IndividualsPerGame!$C$3:$D$80)-2),ROW(IndividualsPerGame!19:19)),1),"")</f>
        <v/>
      </c>
      <c r="AA23" s="322" t="str">
        <f t="array" aca="1" ref="AA23" ca="1">IFERROR(INDEX(IndividualsPerGame!$C$3:$D$80,SMALL(IF(IndividualsPerGame!$D$3:$D98=AA$4,ROW(IndividualsPerGame!$C$3:$D$80)-2),ROW(IndividualsPerGame!19:19)),1),"")</f>
        <v/>
      </c>
      <c r="AB23" s="322" t="str">
        <f t="array" aca="1" ref="AB23" ca="1">IFERROR(INDEX(IndividualsPerGame!$C$3:$D$80,SMALL(IF(IndividualsPerGame!$D$3:$D98=AB$4,ROW(IndividualsPerGame!$C$3:$D$80)-2),ROW(IndividualsPerGame!19:19)),1),"")</f>
        <v/>
      </c>
      <c r="AC23" s="322" t="str">
        <f t="array" aca="1" ref="AC23" ca="1">IFERROR(INDEX(IndividualsPerGame!$C$3:$D$80,SMALL(IF(IndividualsPerGame!$D$3:$D98=AC$4,ROW(IndividualsPerGame!$C$3:$D$80)-2),ROW(IndividualsPerGame!19:19)),1),"")</f>
        <v/>
      </c>
      <c r="AD23" s="322" t="str">
        <f t="array" aca="1" ref="AD23" ca="1">IFERROR(INDEX(IndividualsPerGame!$C$3:$D$80,SMALL(IF(IndividualsPerGame!$D$3:$D98=AD$4,ROW(IndividualsPerGame!$C$3:$D$80)-2),ROW(IndividualsPerGame!19:19)),1),"")</f>
        <v/>
      </c>
      <c r="AE23" s="322" t="str">
        <f t="array" aca="1" ref="AE23" ca="1">IFERROR(INDEX(IndividualsPerGame!$C$3:$D$80,SMALL(IF(IndividualsPerGame!$D$3:$D98=AE$4,ROW(IndividualsPerGame!$C$3:$D$80)-2),ROW(IndividualsPerGame!19:19)),1),"")</f>
        <v/>
      </c>
      <c r="AF23" s="322" t="str">
        <f t="array" aca="1" ref="AF23" ca="1">IFERROR(INDEX(IndividualsPerGame!$C$3:$D$80,SMALL(IF(IndividualsPerGame!$D$3:$D98=AF$4,ROW(IndividualsPerGame!$C$3:$D$80)-2),ROW(IndividualsPerGame!19:19)),1),"")</f>
        <v/>
      </c>
      <c r="AG23" s="322" t="str">
        <f t="array" aca="1" ref="AG23" ca="1">IFERROR(INDEX(IndividualsPerGame!$C$3:$D$80,SMALL(IF(IndividualsPerGame!$D$3:$D98=AG$4,ROW(IndividualsPerGame!$C$3:$D$80)-2),ROW(IndividualsPerGame!19:19)),1),"")</f>
        <v/>
      </c>
      <c r="AH23" s="322" t="str">
        <f t="array" aca="1" ref="AH23" ca="1">IFERROR(INDEX(IndividualsPerGame!$C$3:$D$80,SMALL(IF(IndividualsPerGame!$D$3:$D98=AH$4,ROW(IndividualsPerGame!$C$3:$D$80)-2),ROW(IndividualsPerGame!19:19)),1),"")</f>
        <v/>
      </c>
      <c r="AI23" s="322" t="str">
        <f t="array" aca="1" ref="AI23" ca="1">IFERROR(INDEX(IndividualsPerGame!$C$3:$D$80,SMALL(IF(IndividualsPerGame!$D$3:$D98=AI$4,ROW(IndividualsPerGame!$C$3:$D$80)-2),ROW(IndividualsPerGame!19:19)),1),"")</f>
        <v/>
      </c>
      <c r="AJ23" s="322" t="str">
        <f t="array" ref="AJ23">IFERROR(INDEX(IndividualsPerGame!$C$3:$D$80,SMALL(IF(IndividualsPerGame!$D$3:$D98=AJ$4,ROW(IndividualsPerGame!$C$3:$D$80)-2),ROW(IndividualsPerGame!19:19)),1),"")</f>
        <v/>
      </c>
      <c r="AK23" s="322" t="str">
        <f t="array" ref="AK23">IFERROR(INDEX(IndividualsPerGame!$C$3:$D$80,SMALL(IF(IndividualsPerGame!$D$3:$D98=AK$4,ROW(IndividualsPerGame!$C$3:$D$80)-2),ROW(IndividualsPerGame!19:19)),1),"")</f>
        <v/>
      </c>
    </row>
    <row r="24" spans="1:37" x14ac:dyDescent="0.25">
      <c r="A24" s="252"/>
      <c r="B24" s="252"/>
      <c r="C24" s="23"/>
      <c r="D24" s="23"/>
      <c r="E24" s="259"/>
      <c r="F24" s="259"/>
      <c r="G24" s="263"/>
      <c r="H24" s="264"/>
      <c r="I24" s="264"/>
      <c r="J24" s="264"/>
      <c r="K24" s="264"/>
      <c r="L24" s="264"/>
      <c r="M24" s="264"/>
      <c r="N24" s="264"/>
      <c r="O24" s="264"/>
      <c r="P24" s="264"/>
      <c r="Q24" s="264"/>
      <c r="R24" s="264"/>
      <c r="S24" s="264"/>
      <c r="T24" s="264"/>
      <c r="U24" s="265"/>
      <c r="V24" s="23"/>
      <c r="W24" s="23"/>
      <c r="X24" t="str">
        <f t="shared" ca="1" si="0"/>
        <v/>
      </c>
      <c r="Z24" s="322" t="str">
        <f t="array" aca="1" ref="Z24" ca="1">IFERROR(INDEX(IndividualsPerGame!$C$3:$D$80,SMALL(IF(IndividualsPerGame!$D$3:$D99=Z$4,ROW(IndividualsPerGame!$C$3:$D$80)-2),ROW(IndividualsPerGame!20:20)),1),"")</f>
        <v/>
      </c>
      <c r="AA24" s="322" t="str">
        <f t="array" aca="1" ref="AA24" ca="1">IFERROR(INDEX(IndividualsPerGame!$C$3:$D$80,SMALL(IF(IndividualsPerGame!$D$3:$D99=AA$4,ROW(IndividualsPerGame!$C$3:$D$80)-2),ROW(IndividualsPerGame!20:20)),1),"")</f>
        <v/>
      </c>
      <c r="AB24" s="322" t="str">
        <f t="array" aca="1" ref="AB24" ca="1">IFERROR(INDEX(IndividualsPerGame!$C$3:$D$80,SMALL(IF(IndividualsPerGame!$D$3:$D99=AB$4,ROW(IndividualsPerGame!$C$3:$D$80)-2),ROW(IndividualsPerGame!20:20)),1),"")</f>
        <v/>
      </c>
      <c r="AC24" s="322" t="str">
        <f t="array" aca="1" ref="AC24" ca="1">IFERROR(INDEX(IndividualsPerGame!$C$3:$D$80,SMALL(IF(IndividualsPerGame!$D$3:$D99=AC$4,ROW(IndividualsPerGame!$C$3:$D$80)-2),ROW(IndividualsPerGame!20:20)),1),"")</f>
        <v/>
      </c>
      <c r="AD24" s="322" t="str">
        <f t="array" aca="1" ref="AD24" ca="1">IFERROR(INDEX(IndividualsPerGame!$C$3:$D$80,SMALL(IF(IndividualsPerGame!$D$3:$D99=AD$4,ROW(IndividualsPerGame!$C$3:$D$80)-2),ROW(IndividualsPerGame!20:20)),1),"")</f>
        <v/>
      </c>
      <c r="AE24" s="322" t="str">
        <f t="array" aca="1" ref="AE24" ca="1">IFERROR(INDEX(IndividualsPerGame!$C$3:$D$80,SMALL(IF(IndividualsPerGame!$D$3:$D99=AE$4,ROW(IndividualsPerGame!$C$3:$D$80)-2),ROW(IndividualsPerGame!20:20)),1),"")</f>
        <v/>
      </c>
      <c r="AF24" s="322" t="str">
        <f t="array" aca="1" ref="AF24" ca="1">IFERROR(INDEX(IndividualsPerGame!$C$3:$D$80,SMALL(IF(IndividualsPerGame!$D$3:$D99=AF$4,ROW(IndividualsPerGame!$C$3:$D$80)-2),ROW(IndividualsPerGame!20:20)),1),"")</f>
        <v/>
      </c>
      <c r="AG24" s="322" t="str">
        <f t="array" aca="1" ref="AG24" ca="1">IFERROR(INDEX(IndividualsPerGame!$C$3:$D$80,SMALL(IF(IndividualsPerGame!$D$3:$D99=AG$4,ROW(IndividualsPerGame!$C$3:$D$80)-2),ROW(IndividualsPerGame!20:20)),1),"")</f>
        <v/>
      </c>
      <c r="AH24" s="322" t="str">
        <f t="array" aca="1" ref="AH24" ca="1">IFERROR(INDEX(IndividualsPerGame!$C$3:$D$80,SMALL(IF(IndividualsPerGame!$D$3:$D99=AH$4,ROW(IndividualsPerGame!$C$3:$D$80)-2),ROW(IndividualsPerGame!20:20)),1),"")</f>
        <v/>
      </c>
      <c r="AI24" s="322" t="str">
        <f t="array" aca="1" ref="AI24" ca="1">IFERROR(INDEX(IndividualsPerGame!$C$3:$D$80,SMALL(IF(IndividualsPerGame!$D$3:$D99=AI$4,ROW(IndividualsPerGame!$C$3:$D$80)-2),ROW(IndividualsPerGame!20:20)),1),"")</f>
        <v/>
      </c>
      <c r="AJ24" s="322" t="str">
        <f t="array" ref="AJ24">IFERROR(INDEX(IndividualsPerGame!$C$3:$D$80,SMALL(IF(IndividualsPerGame!$D$3:$D99=AJ$4,ROW(IndividualsPerGame!$C$3:$D$80)-2),ROW(IndividualsPerGame!20:20)),1),"")</f>
        <v/>
      </c>
      <c r="AK24" s="322" t="str">
        <f t="array" ref="AK24">IFERROR(INDEX(IndividualsPerGame!$C$3:$D$80,SMALL(IF(IndividualsPerGame!$D$3:$D99=AK$4,ROW(IndividualsPerGame!$C$3:$D$80)-2),ROW(IndividualsPerGame!20:20)),1),"")</f>
        <v/>
      </c>
    </row>
    <row r="25" spans="1:37" x14ac:dyDescent="0.25">
      <c r="A25" s="252"/>
      <c r="B25" s="252"/>
      <c r="C25" s="23"/>
      <c r="D25" s="23"/>
      <c r="E25" s="259"/>
      <c r="F25" s="259"/>
      <c r="G25" s="263"/>
      <c r="H25" s="264"/>
      <c r="I25" s="264"/>
      <c r="J25" s="264"/>
      <c r="K25" s="264"/>
      <c r="L25" s="264"/>
      <c r="M25" s="264"/>
      <c r="N25" s="264"/>
      <c r="O25" s="264"/>
      <c r="P25" s="264"/>
      <c r="Q25" s="264"/>
      <c r="R25" s="264"/>
      <c r="S25" s="264"/>
      <c r="T25" s="264"/>
      <c r="U25" s="265"/>
      <c r="V25" s="23"/>
      <c r="W25" s="23"/>
      <c r="X25" t="str">
        <f t="shared" ca="1" si="0"/>
        <v/>
      </c>
      <c r="Z25" s="322" t="str">
        <f t="array" aca="1" ref="Z25" ca="1">IFERROR(INDEX(IndividualsPerGame!$C$3:$D$80,SMALL(IF(IndividualsPerGame!$D$3:$D100=Z$4,ROW(IndividualsPerGame!$C$3:$D$80)-2),ROW(IndividualsPerGame!21:21)),1),"")</f>
        <v/>
      </c>
      <c r="AA25" s="322" t="str">
        <f t="array" aca="1" ref="AA25" ca="1">IFERROR(INDEX(IndividualsPerGame!$C$3:$D$80,SMALL(IF(IndividualsPerGame!$D$3:$D100=AA$4,ROW(IndividualsPerGame!$C$3:$D$80)-2),ROW(IndividualsPerGame!21:21)),1),"")</f>
        <v/>
      </c>
      <c r="AB25" s="322" t="str">
        <f t="array" aca="1" ref="AB25" ca="1">IFERROR(INDEX(IndividualsPerGame!$C$3:$D$80,SMALL(IF(IndividualsPerGame!$D$3:$D100=AB$4,ROW(IndividualsPerGame!$C$3:$D$80)-2),ROW(IndividualsPerGame!21:21)),1),"")</f>
        <v/>
      </c>
      <c r="AC25" s="322" t="str">
        <f t="array" aca="1" ref="AC25" ca="1">IFERROR(INDEX(IndividualsPerGame!$C$3:$D$80,SMALL(IF(IndividualsPerGame!$D$3:$D100=AC$4,ROW(IndividualsPerGame!$C$3:$D$80)-2),ROW(IndividualsPerGame!21:21)),1),"")</f>
        <v/>
      </c>
      <c r="AD25" s="322" t="str">
        <f t="array" aca="1" ref="AD25" ca="1">IFERROR(INDEX(IndividualsPerGame!$C$3:$D$80,SMALL(IF(IndividualsPerGame!$D$3:$D100=AD$4,ROW(IndividualsPerGame!$C$3:$D$80)-2),ROW(IndividualsPerGame!21:21)),1),"")</f>
        <v/>
      </c>
      <c r="AE25" s="322" t="str">
        <f t="array" aca="1" ref="AE25" ca="1">IFERROR(INDEX(IndividualsPerGame!$C$3:$D$80,SMALL(IF(IndividualsPerGame!$D$3:$D100=AE$4,ROW(IndividualsPerGame!$C$3:$D$80)-2),ROW(IndividualsPerGame!21:21)),1),"")</f>
        <v/>
      </c>
      <c r="AF25" s="322" t="str">
        <f t="array" aca="1" ref="AF25" ca="1">IFERROR(INDEX(IndividualsPerGame!$C$3:$D$80,SMALL(IF(IndividualsPerGame!$D$3:$D100=AF$4,ROW(IndividualsPerGame!$C$3:$D$80)-2),ROW(IndividualsPerGame!21:21)),1),"")</f>
        <v/>
      </c>
      <c r="AG25" s="322" t="str">
        <f t="array" aca="1" ref="AG25" ca="1">IFERROR(INDEX(IndividualsPerGame!$C$3:$D$80,SMALL(IF(IndividualsPerGame!$D$3:$D100=AG$4,ROW(IndividualsPerGame!$C$3:$D$80)-2),ROW(IndividualsPerGame!21:21)),1),"")</f>
        <v/>
      </c>
      <c r="AH25" s="322" t="str">
        <f t="array" aca="1" ref="AH25" ca="1">IFERROR(INDEX(IndividualsPerGame!$C$3:$D$80,SMALL(IF(IndividualsPerGame!$D$3:$D100=AH$4,ROW(IndividualsPerGame!$C$3:$D$80)-2),ROW(IndividualsPerGame!21:21)),1),"")</f>
        <v/>
      </c>
      <c r="AI25" s="322" t="str">
        <f t="array" aca="1" ref="AI25" ca="1">IFERROR(INDEX(IndividualsPerGame!$C$3:$D$80,SMALL(IF(IndividualsPerGame!$D$3:$D100=AI$4,ROW(IndividualsPerGame!$C$3:$D$80)-2),ROW(IndividualsPerGame!21:21)),1),"")</f>
        <v/>
      </c>
      <c r="AJ25" s="322" t="str">
        <f t="array" ref="AJ25">IFERROR(INDEX(IndividualsPerGame!$C$3:$D$80,SMALL(IF(IndividualsPerGame!$D$3:$D100=AJ$4,ROW(IndividualsPerGame!$C$3:$D$80)-2),ROW(IndividualsPerGame!21:21)),1),"")</f>
        <v/>
      </c>
      <c r="AK25" s="322" t="str">
        <f t="array" ref="AK25">IFERROR(INDEX(IndividualsPerGame!$C$3:$D$80,SMALL(IF(IndividualsPerGame!$D$3:$D100=AK$4,ROW(IndividualsPerGame!$C$3:$D$80)-2),ROW(IndividualsPerGame!21:21)),1),"")</f>
        <v/>
      </c>
    </row>
    <row r="26" spans="1:37" x14ac:dyDescent="0.25">
      <c r="A26" s="252"/>
      <c r="B26" s="252"/>
      <c r="C26" s="23"/>
      <c r="D26" s="23"/>
      <c r="E26" s="259"/>
      <c r="F26" s="259"/>
      <c r="G26" s="263"/>
      <c r="H26" s="264"/>
      <c r="I26" s="264"/>
      <c r="J26" s="264"/>
      <c r="K26" s="264"/>
      <c r="L26" s="264"/>
      <c r="M26" s="264"/>
      <c r="N26" s="264"/>
      <c r="O26" s="264"/>
      <c r="P26" s="264"/>
      <c r="Q26" s="264"/>
      <c r="R26" s="264"/>
      <c r="S26" s="264"/>
      <c r="T26" s="264"/>
      <c r="U26" s="265"/>
      <c r="V26" s="23"/>
      <c r="W26" s="23"/>
      <c r="X26" t="str">
        <f t="shared" ca="1" si="0"/>
        <v/>
      </c>
      <c r="Z26" s="322" t="str">
        <f t="array" aca="1" ref="Z26" ca="1">IFERROR(INDEX(IndividualsPerGame!$C$3:$D$80,SMALL(IF(IndividualsPerGame!$D$3:$D101=Z$4,ROW(IndividualsPerGame!$C$3:$D$80)-2),ROW(IndividualsPerGame!22:22)),1),"")</f>
        <v/>
      </c>
      <c r="AA26" s="322" t="str">
        <f t="array" aca="1" ref="AA26" ca="1">IFERROR(INDEX(IndividualsPerGame!$C$3:$D$80,SMALL(IF(IndividualsPerGame!$D$3:$D101=AA$4,ROW(IndividualsPerGame!$C$3:$D$80)-2),ROW(IndividualsPerGame!22:22)),1),"")</f>
        <v/>
      </c>
      <c r="AB26" s="322" t="str">
        <f t="array" aca="1" ref="AB26" ca="1">IFERROR(INDEX(IndividualsPerGame!$C$3:$D$80,SMALL(IF(IndividualsPerGame!$D$3:$D101=AB$4,ROW(IndividualsPerGame!$C$3:$D$80)-2),ROW(IndividualsPerGame!22:22)),1),"")</f>
        <v/>
      </c>
      <c r="AC26" s="322" t="str">
        <f t="array" aca="1" ref="AC26" ca="1">IFERROR(INDEX(IndividualsPerGame!$C$3:$D$80,SMALL(IF(IndividualsPerGame!$D$3:$D101=AC$4,ROW(IndividualsPerGame!$C$3:$D$80)-2),ROW(IndividualsPerGame!22:22)),1),"")</f>
        <v/>
      </c>
      <c r="AD26" s="322" t="str">
        <f t="array" aca="1" ref="AD26" ca="1">IFERROR(INDEX(IndividualsPerGame!$C$3:$D$80,SMALL(IF(IndividualsPerGame!$D$3:$D101=AD$4,ROW(IndividualsPerGame!$C$3:$D$80)-2),ROW(IndividualsPerGame!22:22)),1),"")</f>
        <v/>
      </c>
      <c r="AE26" s="322" t="str">
        <f t="array" aca="1" ref="AE26" ca="1">IFERROR(INDEX(IndividualsPerGame!$C$3:$D$80,SMALL(IF(IndividualsPerGame!$D$3:$D101=AE$4,ROW(IndividualsPerGame!$C$3:$D$80)-2),ROW(IndividualsPerGame!22:22)),1),"")</f>
        <v/>
      </c>
      <c r="AF26" s="322" t="str">
        <f t="array" aca="1" ref="AF26" ca="1">IFERROR(INDEX(IndividualsPerGame!$C$3:$D$80,SMALL(IF(IndividualsPerGame!$D$3:$D101=AF$4,ROW(IndividualsPerGame!$C$3:$D$80)-2),ROW(IndividualsPerGame!22:22)),1),"")</f>
        <v/>
      </c>
      <c r="AG26" s="322" t="str">
        <f t="array" aca="1" ref="AG26" ca="1">IFERROR(INDEX(IndividualsPerGame!$C$3:$D$80,SMALL(IF(IndividualsPerGame!$D$3:$D101=AG$4,ROW(IndividualsPerGame!$C$3:$D$80)-2),ROW(IndividualsPerGame!22:22)),1),"")</f>
        <v/>
      </c>
      <c r="AH26" s="322" t="str">
        <f t="array" aca="1" ref="AH26" ca="1">IFERROR(INDEX(IndividualsPerGame!$C$3:$D$80,SMALL(IF(IndividualsPerGame!$D$3:$D101=AH$4,ROW(IndividualsPerGame!$C$3:$D$80)-2),ROW(IndividualsPerGame!22:22)),1),"")</f>
        <v/>
      </c>
      <c r="AI26" s="322" t="str">
        <f t="array" aca="1" ref="AI26" ca="1">IFERROR(INDEX(IndividualsPerGame!$C$3:$D$80,SMALL(IF(IndividualsPerGame!$D$3:$D101=AI$4,ROW(IndividualsPerGame!$C$3:$D$80)-2),ROW(IndividualsPerGame!22:22)),1),"")</f>
        <v/>
      </c>
      <c r="AJ26" s="322" t="str">
        <f t="array" ref="AJ26">IFERROR(INDEX(IndividualsPerGame!$C$3:$D$80,SMALL(IF(IndividualsPerGame!$D$3:$D101=AJ$4,ROW(IndividualsPerGame!$C$3:$D$80)-2),ROW(IndividualsPerGame!22:22)),1),"")</f>
        <v/>
      </c>
      <c r="AK26" s="322" t="str">
        <f t="array" ref="AK26">IFERROR(INDEX(IndividualsPerGame!$C$3:$D$80,SMALL(IF(IndividualsPerGame!$D$3:$D101=AK$4,ROW(IndividualsPerGame!$C$3:$D$80)-2),ROW(IndividualsPerGame!22:22)),1),"")</f>
        <v/>
      </c>
    </row>
    <row r="27" spans="1:37" x14ac:dyDescent="0.25">
      <c r="A27" s="252"/>
      <c r="B27" s="252"/>
      <c r="C27" s="23"/>
      <c r="D27" s="23"/>
      <c r="E27" s="259"/>
      <c r="F27" s="259"/>
      <c r="G27" s="263"/>
      <c r="H27" s="264"/>
      <c r="I27" s="264"/>
      <c r="J27" s="264"/>
      <c r="K27" s="264"/>
      <c r="L27" s="264"/>
      <c r="M27" s="264"/>
      <c r="N27" s="264"/>
      <c r="O27" s="264"/>
      <c r="P27" s="264"/>
      <c r="Q27" s="264"/>
      <c r="R27" s="264"/>
      <c r="S27" s="264"/>
      <c r="T27" s="264"/>
      <c r="U27" s="265"/>
      <c r="V27" s="23"/>
      <c r="W27" s="23"/>
      <c r="X27" t="str">
        <f t="shared" ca="1" si="0"/>
        <v/>
      </c>
      <c r="Z27" s="322" t="str">
        <f t="array" aca="1" ref="Z27" ca="1">IFERROR(INDEX(IndividualsPerGame!$C$3:$D$80,SMALL(IF(IndividualsPerGame!$D$3:$D102=Z$4,ROW(IndividualsPerGame!$C$3:$D$80)-2),ROW(IndividualsPerGame!23:23)),1),"")</f>
        <v/>
      </c>
      <c r="AA27" s="322" t="str">
        <f t="array" aca="1" ref="AA27" ca="1">IFERROR(INDEX(IndividualsPerGame!$C$3:$D$80,SMALL(IF(IndividualsPerGame!$D$3:$D102=AA$4,ROW(IndividualsPerGame!$C$3:$D$80)-2),ROW(IndividualsPerGame!23:23)),1),"")</f>
        <v/>
      </c>
      <c r="AB27" s="322" t="str">
        <f t="array" aca="1" ref="AB27" ca="1">IFERROR(INDEX(IndividualsPerGame!$C$3:$D$80,SMALL(IF(IndividualsPerGame!$D$3:$D102=AB$4,ROW(IndividualsPerGame!$C$3:$D$80)-2),ROW(IndividualsPerGame!23:23)),1),"")</f>
        <v/>
      </c>
      <c r="AC27" s="322" t="str">
        <f t="array" aca="1" ref="AC27" ca="1">IFERROR(INDEX(IndividualsPerGame!$C$3:$D$80,SMALL(IF(IndividualsPerGame!$D$3:$D102=AC$4,ROW(IndividualsPerGame!$C$3:$D$80)-2),ROW(IndividualsPerGame!23:23)),1),"")</f>
        <v/>
      </c>
      <c r="AD27" s="322" t="str">
        <f t="array" aca="1" ref="AD27" ca="1">IFERROR(INDEX(IndividualsPerGame!$C$3:$D$80,SMALL(IF(IndividualsPerGame!$D$3:$D102=AD$4,ROW(IndividualsPerGame!$C$3:$D$80)-2),ROW(IndividualsPerGame!23:23)),1),"")</f>
        <v/>
      </c>
      <c r="AE27" s="322" t="str">
        <f t="array" aca="1" ref="AE27" ca="1">IFERROR(INDEX(IndividualsPerGame!$C$3:$D$80,SMALL(IF(IndividualsPerGame!$D$3:$D102=AE$4,ROW(IndividualsPerGame!$C$3:$D$80)-2),ROW(IndividualsPerGame!23:23)),1),"")</f>
        <v/>
      </c>
      <c r="AF27" s="322" t="str">
        <f t="array" aca="1" ref="AF27" ca="1">IFERROR(INDEX(IndividualsPerGame!$C$3:$D$80,SMALL(IF(IndividualsPerGame!$D$3:$D102=AF$4,ROW(IndividualsPerGame!$C$3:$D$80)-2),ROW(IndividualsPerGame!23:23)),1),"")</f>
        <v/>
      </c>
      <c r="AG27" s="322" t="str">
        <f t="array" aca="1" ref="AG27" ca="1">IFERROR(INDEX(IndividualsPerGame!$C$3:$D$80,SMALL(IF(IndividualsPerGame!$D$3:$D102=AG$4,ROW(IndividualsPerGame!$C$3:$D$80)-2),ROW(IndividualsPerGame!23:23)),1),"")</f>
        <v/>
      </c>
      <c r="AH27" s="322" t="str">
        <f t="array" aca="1" ref="AH27" ca="1">IFERROR(INDEX(IndividualsPerGame!$C$3:$D$80,SMALL(IF(IndividualsPerGame!$D$3:$D102=AH$4,ROW(IndividualsPerGame!$C$3:$D$80)-2),ROW(IndividualsPerGame!23:23)),1),"")</f>
        <v/>
      </c>
      <c r="AI27" s="322" t="str">
        <f t="array" aca="1" ref="AI27" ca="1">IFERROR(INDEX(IndividualsPerGame!$C$3:$D$80,SMALL(IF(IndividualsPerGame!$D$3:$D102=AI$4,ROW(IndividualsPerGame!$C$3:$D$80)-2),ROW(IndividualsPerGame!23:23)),1),"")</f>
        <v/>
      </c>
      <c r="AJ27" s="322" t="str">
        <f t="array" ref="AJ27">IFERROR(INDEX(IndividualsPerGame!$C$3:$D$80,SMALL(IF(IndividualsPerGame!$D$3:$D102=AJ$4,ROW(IndividualsPerGame!$C$3:$D$80)-2),ROW(IndividualsPerGame!23:23)),1),"")</f>
        <v/>
      </c>
      <c r="AK27" s="322" t="str">
        <f t="array" ref="AK27">IFERROR(INDEX(IndividualsPerGame!$C$3:$D$80,SMALL(IF(IndividualsPerGame!$D$3:$D102=AK$4,ROW(IndividualsPerGame!$C$3:$D$80)-2),ROW(IndividualsPerGame!23:23)),1),"")</f>
        <v/>
      </c>
    </row>
    <row r="28" spans="1:37" x14ac:dyDescent="0.25">
      <c r="A28" s="252"/>
      <c r="B28" s="252"/>
      <c r="C28" s="23"/>
      <c r="D28" s="23"/>
      <c r="E28" s="259"/>
      <c r="F28" s="259"/>
      <c r="G28" s="263"/>
      <c r="H28" s="264"/>
      <c r="I28" s="264"/>
      <c r="J28" s="264"/>
      <c r="K28" s="264"/>
      <c r="L28" s="264"/>
      <c r="M28" s="264"/>
      <c r="N28" s="264"/>
      <c r="O28" s="264"/>
      <c r="P28" s="264"/>
      <c r="Q28" s="264"/>
      <c r="R28" s="264"/>
      <c r="S28" s="264"/>
      <c r="T28" s="264"/>
      <c r="U28" s="265"/>
      <c r="V28" s="23"/>
      <c r="W28" s="23"/>
      <c r="X28" t="str">
        <f t="shared" ca="1" si="0"/>
        <v/>
      </c>
      <c r="Z28" s="322" t="str">
        <f t="array" aca="1" ref="Z28" ca="1">IFERROR(INDEX(IndividualsPerGame!$C$3:$D$80,SMALL(IF(IndividualsPerGame!$D$3:$D103=Z$4,ROW(IndividualsPerGame!$C$3:$D$80)-2),ROW(IndividualsPerGame!24:24)),1),"")</f>
        <v/>
      </c>
      <c r="AA28" s="322" t="str">
        <f t="array" aca="1" ref="AA28" ca="1">IFERROR(INDEX(IndividualsPerGame!$C$3:$D$80,SMALL(IF(IndividualsPerGame!$D$3:$D103=AA$4,ROW(IndividualsPerGame!$C$3:$D$80)-2),ROW(IndividualsPerGame!24:24)),1),"")</f>
        <v/>
      </c>
      <c r="AB28" s="322" t="str">
        <f t="array" aca="1" ref="AB28" ca="1">IFERROR(INDEX(IndividualsPerGame!$C$3:$D$80,SMALL(IF(IndividualsPerGame!$D$3:$D103=AB$4,ROW(IndividualsPerGame!$C$3:$D$80)-2),ROW(IndividualsPerGame!24:24)),1),"")</f>
        <v/>
      </c>
      <c r="AC28" s="322" t="str">
        <f t="array" aca="1" ref="AC28" ca="1">IFERROR(INDEX(IndividualsPerGame!$C$3:$D$80,SMALL(IF(IndividualsPerGame!$D$3:$D103=AC$4,ROW(IndividualsPerGame!$C$3:$D$80)-2),ROW(IndividualsPerGame!24:24)),1),"")</f>
        <v/>
      </c>
      <c r="AD28" s="322" t="str">
        <f t="array" aca="1" ref="AD28" ca="1">IFERROR(INDEX(IndividualsPerGame!$C$3:$D$80,SMALL(IF(IndividualsPerGame!$D$3:$D103=AD$4,ROW(IndividualsPerGame!$C$3:$D$80)-2),ROW(IndividualsPerGame!24:24)),1),"")</f>
        <v/>
      </c>
      <c r="AE28" s="322" t="str">
        <f t="array" aca="1" ref="AE28" ca="1">IFERROR(INDEX(IndividualsPerGame!$C$3:$D$80,SMALL(IF(IndividualsPerGame!$D$3:$D103=AE$4,ROW(IndividualsPerGame!$C$3:$D$80)-2),ROW(IndividualsPerGame!24:24)),1),"")</f>
        <v/>
      </c>
      <c r="AF28" s="322" t="str">
        <f t="array" aca="1" ref="AF28" ca="1">IFERROR(INDEX(IndividualsPerGame!$C$3:$D$80,SMALL(IF(IndividualsPerGame!$D$3:$D103=AF$4,ROW(IndividualsPerGame!$C$3:$D$80)-2),ROW(IndividualsPerGame!24:24)),1),"")</f>
        <v/>
      </c>
      <c r="AG28" s="322" t="str">
        <f t="array" aca="1" ref="AG28" ca="1">IFERROR(INDEX(IndividualsPerGame!$C$3:$D$80,SMALL(IF(IndividualsPerGame!$D$3:$D103=AG$4,ROW(IndividualsPerGame!$C$3:$D$80)-2),ROW(IndividualsPerGame!24:24)),1),"")</f>
        <v/>
      </c>
      <c r="AH28" s="322" t="str">
        <f t="array" aca="1" ref="AH28" ca="1">IFERROR(INDEX(IndividualsPerGame!$C$3:$D$80,SMALL(IF(IndividualsPerGame!$D$3:$D103=AH$4,ROW(IndividualsPerGame!$C$3:$D$80)-2),ROW(IndividualsPerGame!24:24)),1),"")</f>
        <v/>
      </c>
      <c r="AI28" s="322" t="str">
        <f t="array" aca="1" ref="AI28" ca="1">IFERROR(INDEX(IndividualsPerGame!$C$3:$D$80,SMALL(IF(IndividualsPerGame!$D$3:$D103=AI$4,ROW(IndividualsPerGame!$C$3:$D$80)-2),ROW(IndividualsPerGame!24:24)),1),"")</f>
        <v/>
      </c>
      <c r="AJ28" s="322" t="str">
        <f t="array" ref="AJ28">IFERROR(INDEX(IndividualsPerGame!$C$3:$D$80,SMALL(IF(IndividualsPerGame!$D$3:$D103=AJ$4,ROW(IndividualsPerGame!$C$3:$D$80)-2),ROW(IndividualsPerGame!24:24)),1),"")</f>
        <v/>
      </c>
      <c r="AK28" s="322" t="str">
        <f t="array" ref="AK28">IFERROR(INDEX(IndividualsPerGame!$C$3:$D$80,SMALL(IF(IndividualsPerGame!$D$3:$D103=AK$4,ROW(IndividualsPerGame!$C$3:$D$80)-2),ROW(IndividualsPerGame!24:24)),1),"")</f>
        <v/>
      </c>
    </row>
    <row r="29" spans="1:37" x14ac:dyDescent="0.25">
      <c r="A29" s="252"/>
      <c r="B29" s="252"/>
      <c r="C29" s="23"/>
      <c r="D29" s="23"/>
      <c r="E29" s="259"/>
      <c r="F29" s="259"/>
      <c r="G29" s="263"/>
      <c r="H29" s="264"/>
      <c r="I29" s="264"/>
      <c r="J29" s="264"/>
      <c r="K29" s="264"/>
      <c r="L29" s="264"/>
      <c r="M29" s="264"/>
      <c r="N29" s="264"/>
      <c r="O29" s="264"/>
      <c r="P29" s="264"/>
      <c r="Q29" s="264"/>
      <c r="R29" s="264"/>
      <c r="S29" s="264"/>
      <c r="T29" s="264"/>
      <c r="U29" s="265"/>
      <c r="V29" s="23"/>
      <c r="W29" s="23"/>
      <c r="X29" t="str">
        <f t="shared" ca="1" si="0"/>
        <v/>
      </c>
      <c r="Z29" s="322" t="str">
        <f t="array" aca="1" ref="Z29" ca="1">IFERROR(INDEX(IndividualsPerGame!$C$3:$D$80,SMALL(IF(IndividualsPerGame!$D$3:$D104=Z$4,ROW(IndividualsPerGame!$C$3:$D$80)-2),ROW(IndividualsPerGame!25:25)),1),"")</f>
        <v/>
      </c>
      <c r="AA29" s="322" t="str">
        <f t="array" aca="1" ref="AA29" ca="1">IFERROR(INDEX(IndividualsPerGame!$C$3:$D$80,SMALL(IF(IndividualsPerGame!$D$3:$D104=AA$4,ROW(IndividualsPerGame!$C$3:$D$80)-2),ROW(IndividualsPerGame!25:25)),1),"")</f>
        <v/>
      </c>
      <c r="AB29" s="322" t="str">
        <f t="array" aca="1" ref="AB29" ca="1">IFERROR(INDEX(IndividualsPerGame!$C$3:$D$80,SMALL(IF(IndividualsPerGame!$D$3:$D104=AB$4,ROW(IndividualsPerGame!$C$3:$D$80)-2),ROW(IndividualsPerGame!25:25)),1),"")</f>
        <v/>
      </c>
      <c r="AC29" s="322" t="str">
        <f t="array" aca="1" ref="AC29" ca="1">IFERROR(INDEX(IndividualsPerGame!$C$3:$D$80,SMALL(IF(IndividualsPerGame!$D$3:$D104=AC$4,ROW(IndividualsPerGame!$C$3:$D$80)-2),ROW(IndividualsPerGame!25:25)),1),"")</f>
        <v/>
      </c>
      <c r="AD29" s="322" t="str">
        <f t="array" aca="1" ref="AD29" ca="1">IFERROR(INDEX(IndividualsPerGame!$C$3:$D$80,SMALL(IF(IndividualsPerGame!$D$3:$D104=AD$4,ROW(IndividualsPerGame!$C$3:$D$80)-2),ROW(IndividualsPerGame!25:25)),1),"")</f>
        <v/>
      </c>
      <c r="AE29" s="322" t="str">
        <f t="array" aca="1" ref="AE29" ca="1">IFERROR(INDEX(IndividualsPerGame!$C$3:$D$80,SMALL(IF(IndividualsPerGame!$D$3:$D104=AE$4,ROW(IndividualsPerGame!$C$3:$D$80)-2),ROW(IndividualsPerGame!25:25)),1),"")</f>
        <v/>
      </c>
      <c r="AF29" s="322" t="str">
        <f t="array" aca="1" ref="AF29" ca="1">IFERROR(INDEX(IndividualsPerGame!$C$3:$D$80,SMALL(IF(IndividualsPerGame!$D$3:$D104=AF$4,ROW(IndividualsPerGame!$C$3:$D$80)-2),ROW(IndividualsPerGame!25:25)),1),"")</f>
        <v/>
      </c>
      <c r="AG29" s="322" t="str">
        <f t="array" aca="1" ref="AG29" ca="1">IFERROR(INDEX(IndividualsPerGame!$C$3:$D$80,SMALL(IF(IndividualsPerGame!$D$3:$D104=AG$4,ROW(IndividualsPerGame!$C$3:$D$80)-2),ROW(IndividualsPerGame!25:25)),1),"")</f>
        <v/>
      </c>
      <c r="AH29" s="322" t="str">
        <f t="array" aca="1" ref="AH29" ca="1">IFERROR(INDEX(IndividualsPerGame!$C$3:$D$80,SMALL(IF(IndividualsPerGame!$D$3:$D104=AH$4,ROW(IndividualsPerGame!$C$3:$D$80)-2),ROW(IndividualsPerGame!25:25)),1),"")</f>
        <v/>
      </c>
      <c r="AI29" s="322" t="str">
        <f t="array" aca="1" ref="AI29" ca="1">IFERROR(INDEX(IndividualsPerGame!$C$3:$D$80,SMALL(IF(IndividualsPerGame!$D$3:$D104=AI$4,ROW(IndividualsPerGame!$C$3:$D$80)-2),ROW(IndividualsPerGame!25:25)),1),"")</f>
        <v/>
      </c>
      <c r="AJ29" s="322" t="str">
        <f t="array" ref="AJ29">IFERROR(INDEX(IndividualsPerGame!$C$3:$D$80,SMALL(IF(IndividualsPerGame!$D$3:$D104=AJ$4,ROW(IndividualsPerGame!$C$3:$D$80)-2),ROW(IndividualsPerGame!25:25)),1),"")</f>
        <v/>
      </c>
      <c r="AK29" s="322" t="str">
        <f t="array" ref="AK29">IFERROR(INDEX(IndividualsPerGame!$C$3:$D$80,SMALL(IF(IndividualsPerGame!$D$3:$D104=AK$4,ROW(IndividualsPerGame!$C$3:$D$80)-2),ROW(IndividualsPerGame!25:25)),1),"")</f>
        <v/>
      </c>
    </row>
    <row r="30" spans="1:37" x14ac:dyDescent="0.25">
      <c r="A30" s="252"/>
      <c r="B30" s="252"/>
      <c r="C30" s="23"/>
      <c r="D30" s="23"/>
      <c r="E30" s="259"/>
      <c r="F30" s="259"/>
      <c r="G30" s="263"/>
      <c r="H30" s="264"/>
      <c r="I30" s="264"/>
      <c r="J30" s="264"/>
      <c r="K30" s="264"/>
      <c r="L30" s="264"/>
      <c r="M30" s="264"/>
      <c r="N30" s="264"/>
      <c r="O30" s="264"/>
      <c r="P30" s="264"/>
      <c r="Q30" s="264"/>
      <c r="R30" s="264"/>
      <c r="S30" s="264"/>
      <c r="T30" s="264"/>
      <c r="U30" s="265"/>
      <c r="V30" s="23"/>
      <c r="W30" s="23"/>
      <c r="Z30" s="322" t="str">
        <f t="array" aca="1" ref="Z30" ca="1">IFERROR(INDEX(IndividualsPerGame!$C$3:$D$80,SMALL(IF(IndividualsPerGame!$D$3:$D105=Z$4,ROW(IndividualsPerGame!$C$3:$D$80)-2),ROW(IndividualsPerGame!26:26)),1),"")</f>
        <v/>
      </c>
      <c r="AA30" s="322" t="str">
        <f t="array" aca="1" ref="AA30" ca="1">IFERROR(INDEX(IndividualsPerGame!$C$3:$D$80,SMALL(IF(IndividualsPerGame!$D$3:$D105=AA$4,ROW(IndividualsPerGame!$C$3:$D$80)-2),ROW(IndividualsPerGame!26:26)),1),"")</f>
        <v/>
      </c>
      <c r="AB30" s="322" t="str">
        <f t="array" aca="1" ref="AB30" ca="1">IFERROR(INDEX(IndividualsPerGame!$C$3:$D$80,SMALL(IF(IndividualsPerGame!$D$3:$D105=AB$4,ROW(IndividualsPerGame!$C$3:$D$80)-2),ROW(IndividualsPerGame!26:26)),1),"")</f>
        <v/>
      </c>
      <c r="AC30" s="322" t="str">
        <f t="array" aca="1" ref="AC30" ca="1">IFERROR(INDEX(IndividualsPerGame!$C$3:$D$80,SMALL(IF(IndividualsPerGame!$D$3:$D105=AC$4,ROW(IndividualsPerGame!$C$3:$D$80)-2),ROW(IndividualsPerGame!26:26)),1),"")</f>
        <v/>
      </c>
      <c r="AD30" s="322" t="str">
        <f t="array" aca="1" ref="AD30" ca="1">IFERROR(INDEX(IndividualsPerGame!$C$3:$D$80,SMALL(IF(IndividualsPerGame!$D$3:$D105=AD$4,ROW(IndividualsPerGame!$C$3:$D$80)-2),ROW(IndividualsPerGame!26:26)),1),"")</f>
        <v/>
      </c>
      <c r="AE30" s="322" t="str">
        <f t="array" aca="1" ref="AE30" ca="1">IFERROR(INDEX(IndividualsPerGame!$C$3:$D$80,SMALL(IF(IndividualsPerGame!$D$3:$D105=AE$4,ROW(IndividualsPerGame!$C$3:$D$80)-2),ROW(IndividualsPerGame!26:26)),1),"")</f>
        <v/>
      </c>
      <c r="AF30" s="322" t="str">
        <f t="array" aca="1" ref="AF30" ca="1">IFERROR(INDEX(IndividualsPerGame!$C$3:$D$80,SMALL(IF(IndividualsPerGame!$D$3:$D105=AF$4,ROW(IndividualsPerGame!$C$3:$D$80)-2),ROW(IndividualsPerGame!26:26)),1),"")</f>
        <v/>
      </c>
      <c r="AG30" s="322" t="str">
        <f t="array" aca="1" ref="AG30" ca="1">IFERROR(INDEX(IndividualsPerGame!$C$3:$D$80,SMALL(IF(IndividualsPerGame!$D$3:$D105=AG$4,ROW(IndividualsPerGame!$C$3:$D$80)-2),ROW(IndividualsPerGame!26:26)),1),"")</f>
        <v/>
      </c>
      <c r="AH30" s="322" t="str">
        <f t="array" aca="1" ref="AH30" ca="1">IFERROR(INDEX(IndividualsPerGame!$C$3:$D$80,SMALL(IF(IndividualsPerGame!$D$3:$D105=AH$4,ROW(IndividualsPerGame!$C$3:$D$80)-2),ROW(IndividualsPerGame!26:26)),1),"")</f>
        <v/>
      </c>
      <c r="AI30" s="322" t="str">
        <f t="array" aca="1" ref="AI30" ca="1">IFERROR(INDEX(IndividualsPerGame!$C$3:$D$80,SMALL(IF(IndividualsPerGame!$D$3:$D105=AI$4,ROW(IndividualsPerGame!$C$3:$D$80)-2),ROW(IndividualsPerGame!26:26)),1),"")</f>
        <v/>
      </c>
      <c r="AJ30" s="322" t="str">
        <f t="array" ref="AJ30">IFERROR(INDEX(IndividualsPerGame!$C$3:$D$80,SMALL(IF(IndividualsPerGame!$D$3:$D105=AJ$4,ROW(IndividualsPerGame!$C$3:$D$80)-2),ROW(IndividualsPerGame!26:26)),1),"")</f>
        <v/>
      </c>
      <c r="AK30" s="322" t="str">
        <f t="array" ref="AK30">IFERROR(INDEX(IndividualsPerGame!$C$3:$D$80,SMALL(IF(IndividualsPerGame!$D$3:$D105=AK$4,ROW(IndividualsPerGame!$C$3:$D$80)-2),ROW(IndividualsPerGame!26:26)),1),"")</f>
        <v/>
      </c>
    </row>
    <row r="31" spans="1:37" x14ac:dyDescent="0.25">
      <c r="A31" s="252"/>
      <c r="B31" s="252"/>
      <c r="C31" s="23"/>
      <c r="D31" s="23"/>
      <c r="E31" s="259"/>
      <c r="F31" s="259"/>
      <c r="G31" s="263"/>
      <c r="H31" s="264"/>
      <c r="I31" s="264"/>
      <c r="J31" s="264"/>
      <c r="K31" s="264"/>
      <c r="L31" s="264"/>
      <c r="M31" s="264"/>
      <c r="N31" s="264"/>
      <c r="O31" s="264"/>
      <c r="P31" s="264"/>
      <c r="Q31" s="264"/>
      <c r="R31" s="264"/>
      <c r="S31" s="264"/>
      <c r="T31" s="264"/>
      <c r="U31" s="265"/>
      <c r="V31" s="23"/>
      <c r="W31" s="23"/>
    </row>
    <row r="32" spans="1:37" x14ac:dyDescent="0.25">
      <c r="A32" s="252"/>
      <c r="B32" s="252"/>
      <c r="C32" s="23"/>
      <c r="D32" s="23"/>
      <c r="E32" s="259"/>
      <c r="F32" s="259"/>
      <c r="G32" s="263"/>
      <c r="H32" s="264"/>
      <c r="I32" s="264"/>
      <c r="J32" s="264"/>
      <c r="K32" s="264"/>
      <c r="L32" s="264"/>
      <c r="M32" s="264"/>
      <c r="N32" s="264"/>
      <c r="O32" s="264"/>
      <c r="P32" s="264"/>
      <c r="Q32" s="264"/>
      <c r="R32" s="264"/>
      <c r="S32" s="264"/>
      <c r="T32" s="264"/>
      <c r="U32" s="265"/>
      <c r="V32" s="23"/>
      <c r="W32" s="23"/>
    </row>
    <row r="33" spans="1:23" x14ac:dyDescent="0.25">
      <c r="A33" s="252"/>
      <c r="B33" s="252"/>
      <c r="C33" s="23"/>
      <c r="D33" s="23"/>
      <c r="E33" s="259"/>
      <c r="F33" s="259"/>
      <c r="G33" s="263"/>
      <c r="H33" s="264"/>
      <c r="I33" s="264"/>
      <c r="J33" s="264"/>
      <c r="K33" s="264"/>
      <c r="L33" s="264"/>
      <c r="M33" s="264"/>
      <c r="N33" s="264"/>
      <c r="O33" s="264"/>
      <c r="P33" s="264"/>
      <c r="Q33" s="264"/>
      <c r="R33" s="264"/>
      <c r="S33" s="264"/>
      <c r="T33" s="264"/>
      <c r="U33" s="265"/>
      <c r="V33" s="23"/>
      <c r="W33" s="23"/>
    </row>
    <row r="34" spans="1:23" x14ac:dyDescent="0.25">
      <c r="A34" s="252"/>
      <c r="B34" s="252"/>
      <c r="C34" s="23"/>
      <c r="D34" s="23"/>
      <c r="E34" s="259"/>
      <c r="F34" s="259"/>
      <c r="G34" s="263"/>
      <c r="H34" s="264"/>
      <c r="I34" s="264"/>
      <c r="J34" s="264"/>
      <c r="K34" s="264"/>
      <c r="L34" s="264"/>
      <c r="M34" s="264"/>
      <c r="N34" s="264"/>
      <c r="O34" s="264"/>
      <c r="P34" s="264"/>
      <c r="Q34" s="264"/>
      <c r="R34" s="264"/>
      <c r="S34" s="264"/>
      <c r="T34" s="264"/>
      <c r="U34" s="265"/>
      <c r="V34" s="23"/>
      <c r="W34" s="23"/>
    </row>
    <row r="35" spans="1:23" x14ac:dyDescent="0.25">
      <c r="A35" s="252"/>
      <c r="B35" s="252"/>
      <c r="C35" s="23"/>
      <c r="D35" s="23"/>
      <c r="E35" s="259"/>
      <c r="F35" s="259"/>
      <c r="G35" s="263"/>
      <c r="H35" s="264"/>
      <c r="I35" s="264"/>
      <c r="J35" s="264"/>
      <c r="K35" s="264"/>
      <c r="L35" s="264"/>
      <c r="M35" s="264"/>
      <c r="N35" s="264"/>
      <c r="O35" s="264"/>
      <c r="P35" s="264"/>
      <c r="Q35" s="264"/>
      <c r="R35" s="264"/>
      <c r="S35" s="264"/>
      <c r="T35" s="264"/>
      <c r="U35" s="265"/>
      <c r="V35" s="23"/>
      <c r="W35" s="23"/>
    </row>
    <row r="36" spans="1:23" x14ac:dyDescent="0.25">
      <c r="A36" s="252"/>
      <c r="B36" s="252"/>
      <c r="C36" s="23"/>
      <c r="D36" s="23"/>
      <c r="E36" s="259"/>
      <c r="F36" s="259"/>
      <c r="G36" s="263"/>
      <c r="H36" s="264"/>
      <c r="I36" s="264"/>
      <c r="J36" s="264"/>
      <c r="K36" s="264"/>
      <c r="L36" s="264"/>
      <c r="M36" s="264"/>
      <c r="N36" s="264"/>
      <c r="O36" s="264"/>
      <c r="P36" s="264"/>
      <c r="Q36" s="264"/>
      <c r="R36" s="264"/>
      <c r="S36" s="264"/>
      <c r="T36" s="264"/>
      <c r="U36" s="265"/>
      <c r="V36" s="23"/>
      <c r="W36" s="23"/>
    </row>
    <row r="37" spans="1:23" x14ac:dyDescent="0.25">
      <c r="A37" s="252"/>
      <c r="B37" s="252"/>
      <c r="C37" s="23"/>
      <c r="D37" s="23"/>
      <c r="E37" s="259"/>
      <c r="F37" s="259"/>
      <c r="G37" s="263"/>
      <c r="H37" s="264"/>
      <c r="I37" s="264"/>
      <c r="J37" s="264"/>
      <c r="K37" s="264"/>
      <c r="L37" s="264"/>
      <c r="M37" s="264"/>
      <c r="N37" s="264"/>
      <c r="O37" s="264"/>
      <c r="P37" s="264"/>
      <c r="Q37" s="264"/>
      <c r="R37" s="264"/>
      <c r="S37" s="264"/>
      <c r="T37" s="264"/>
      <c r="U37" s="265"/>
      <c r="V37" s="23"/>
      <c r="W37" s="23"/>
    </row>
    <row r="38" spans="1:23" x14ac:dyDescent="0.25">
      <c r="A38" s="252"/>
      <c r="B38" s="252"/>
      <c r="C38" s="23"/>
      <c r="D38" s="23"/>
      <c r="E38" s="259"/>
      <c r="F38" s="259"/>
      <c r="G38" s="263"/>
      <c r="H38" s="264"/>
      <c r="I38" s="264"/>
      <c r="J38" s="264"/>
      <c r="K38" s="264"/>
      <c r="L38" s="264"/>
      <c r="M38" s="264"/>
      <c r="N38" s="264"/>
      <c r="O38" s="264"/>
      <c r="P38" s="264"/>
      <c r="Q38" s="264"/>
      <c r="R38" s="264"/>
      <c r="S38" s="264"/>
      <c r="T38" s="264"/>
      <c r="U38" s="265"/>
      <c r="V38" s="23"/>
      <c r="W38" s="23"/>
    </row>
    <row r="39" spans="1:23" x14ac:dyDescent="0.25">
      <c r="A39" s="252"/>
      <c r="B39" s="252"/>
      <c r="C39" s="23"/>
      <c r="D39" s="23"/>
      <c r="E39" s="259"/>
      <c r="F39" s="259"/>
      <c r="G39" s="263"/>
      <c r="H39" s="264"/>
      <c r="I39" s="264"/>
      <c r="J39" s="264"/>
      <c r="K39" s="264"/>
      <c r="L39" s="264"/>
      <c r="M39" s="264"/>
      <c r="N39" s="264"/>
      <c r="O39" s="264"/>
      <c r="P39" s="264"/>
      <c r="Q39" s="264"/>
      <c r="R39" s="264"/>
      <c r="S39" s="264"/>
      <c r="T39" s="264"/>
      <c r="U39" s="265"/>
      <c r="V39" s="23"/>
      <c r="W39" s="23"/>
    </row>
    <row r="40" spans="1:23" x14ac:dyDescent="0.25">
      <c r="A40" s="252"/>
      <c r="B40" s="252"/>
      <c r="C40" s="23"/>
      <c r="D40" s="23"/>
      <c r="E40" s="259"/>
      <c r="F40" s="259"/>
      <c r="G40" s="263"/>
      <c r="H40" s="264"/>
      <c r="I40" s="264"/>
      <c r="J40" s="264"/>
      <c r="K40" s="264"/>
      <c r="L40" s="264"/>
      <c r="M40" s="264"/>
      <c r="N40" s="264"/>
      <c r="O40" s="264"/>
      <c r="P40" s="264"/>
      <c r="Q40" s="264"/>
      <c r="R40" s="264"/>
      <c r="S40" s="264"/>
      <c r="T40" s="264"/>
      <c r="U40" s="265"/>
      <c r="V40" s="23"/>
      <c r="W40" s="23"/>
    </row>
    <row r="41" spans="1:23" x14ac:dyDescent="0.25">
      <c r="A41" s="252"/>
      <c r="B41" s="252"/>
      <c r="C41" s="23"/>
      <c r="D41" s="23"/>
      <c r="E41" s="259"/>
      <c r="F41" s="259"/>
      <c r="G41" s="263"/>
      <c r="H41" s="264"/>
      <c r="I41" s="264"/>
      <c r="J41" s="264"/>
      <c r="K41" s="264"/>
      <c r="L41" s="264"/>
      <c r="M41" s="264"/>
      <c r="N41" s="264"/>
      <c r="O41" s="264"/>
      <c r="P41" s="264"/>
      <c r="Q41" s="264"/>
      <c r="R41" s="264"/>
      <c r="S41" s="264"/>
      <c r="T41" s="264"/>
      <c r="U41" s="265"/>
      <c r="V41" s="23"/>
      <c r="W41" s="23"/>
    </row>
    <row r="42" spans="1:23" x14ac:dyDescent="0.25">
      <c r="A42" s="252"/>
      <c r="B42" s="252"/>
      <c r="C42" s="23"/>
      <c r="D42" s="23"/>
      <c r="E42" s="259"/>
      <c r="F42" s="259"/>
      <c r="G42" s="263"/>
      <c r="H42" s="264"/>
      <c r="I42" s="264"/>
      <c r="J42" s="264"/>
      <c r="K42" s="264"/>
      <c r="L42" s="264"/>
      <c r="M42" s="264"/>
      <c r="N42" s="264"/>
      <c r="O42" s="264"/>
      <c r="P42" s="264"/>
      <c r="Q42" s="264"/>
      <c r="R42" s="264"/>
      <c r="S42" s="264"/>
      <c r="T42" s="264"/>
      <c r="U42" s="265"/>
      <c r="V42" s="23"/>
      <c r="W42" s="23"/>
    </row>
    <row r="43" spans="1:23" x14ac:dyDescent="0.25">
      <c r="A43" s="252"/>
      <c r="B43" s="252"/>
      <c r="C43" s="23"/>
      <c r="D43" s="23"/>
      <c r="E43" s="259"/>
      <c r="F43" s="259"/>
      <c r="G43" s="263"/>
      <c r="H43" s="264"/>
      <c r="I43" s="264"/>
      <c r="J43" s="264"/>
      <c r="K43" s="264"/>
      <c r="L43" s="264"/>
      <c r="M43" s="264"/>
      <c r="N43" s="264"/>
      <c r="O43" s="264"/>
      <c r="P43" s="264"/>
      <c r="Q43" s="264"/>
      <c r="R43" s="264"/>
      <c r="S43" s="264"/>
      <c r="T43" s="264"/>
      <c r="U43" s="265"/>
      <c r="V43" s="23"/>
      <c r="W43" s="23"/>
    </row>
    <row r="44" spans="1:23" x14ac:dyDescent="0.25">
      <c r="A44" s="252"/>
      <c r="B44" s="252"/>
      <c r="C44" s="23"/>
      <c r="D44" s="23"/>
      <c r="E44" s="259"/>
      <c r="F44" s="259"/>
      <c r="G44" s="263"/>
      <c r="H44" s="264"/>
      <c r="I44" s="264"/>
      <c r="J44" s="264"/>
      <c r="K44" s="264"/>
      <c r="L44" s="264"/>
      <c r="M44" s="264"/>
      <c r="N44" s="264"/>
      <c r="O44" s="264"/>
      <c r="P44" s="264"/>
      <c r="Q44" s="264"/>
      <c r="R44" s="264"/>
      <c r="S44" s="264"/>
      <c r="T44" s="264"/>
      <c r="U44" s="265"/>
      <c r="V44" s="23"/>
      <c r="W44" s="23"/>
    </row>
    <row r="45" spans="1:23" x14ac:dyDescent="0.25">
      <c r="A45" s="252"/>
      <c r="B45" s="252"/>
      <c r="C45" s="23"/>
      <c r="D45" s="23"/>
      <c r="E45" s="259"/>
      <c r="F45" s="259"/>
      <c r="G45" s="263"/>
      <c r="H45" s="264"/>
      <c r="I45" s="264"/>
      <c r="J45" s="264"/>
      <c r="K45" s="264"/>
      <c r="L45" s="264"/>
      <c r="M45" s="264"/>
      <c r="N45" s="264"/>
      <c r="O45" s="264"/>
      <c r="P45" s="264"/>
      <c r="Q45" s="264"/>
      <c r="R45" s="264"/>
      <c r="S45" s="264"/>
      <c r="T45" s="264"/>
      <c r="U45" s="265"/>
      <c r="V45" s="23"/>
      <c r="W45" s="23"/>
    </row>
    <row r="46" spans="1:23" x14ac:dyDescent="0.25">
      <c r="A46" s="252"/>
      <c r="B46" s="252"/>
      <c r="C46" s="23"/>
      <c r="D46" s="23"/>
      <c r="E46" s="259"/>
      <c r="F46" s="259"/>
      <c r="G46" s="263"/>
      <c r="H46" s="264"/>
      <c r="I46" s="264"/>
      <c r="J46" s="264"/>
      <c r="K46" s="264"/>
      <c r="L46" s="264"/>
      <c r="M46" s="264"/>
      <c r="N46" s="264"/>
      <c r="O46" s="264"/>
      <c r="P46" s="264"/>
      <c r="Q46" s="264"/>
      <c r="R46" s="264"/>
      <c r="S46" s="264"/>
      <c r="T46" s="264"/>
      <c r="U46" s="265"/>
      <c r="V46" s="23"/>
      <c r="W46" s="23"/>
    </row>
    <row r="47" spans="1:23" x14ac:dyDescent="0.25">
      <c r="A47" s="252"/>
      <c r="B47" s="252"/>
      <c r="C47" s="23"/>
      <c r="D47" s="23"/>
      <c r="E47" s="259"/>
      <c r="F47" s="259"/>
      <c r="G47" s="263"/>
      <c r="H47" s="264"/>
      <c r="I47" s="264"/>
      <c r="J47" s="264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5"/>
      <c r="V47" s="23"/>
      <c r="W47" s="23"/>
    </row>
    <row r="48" spans="1:23" x14ac:dyDescent="0.25">
      <c r="A48" s="252"/>
      <c r="B48" s="252"/>
      <c r="C48" s="23"/>
      <c r="D48" s="23"/>
      <c r="E48" s="259"/>
      <c r="F48" s="259"/>
      <c r="G48" s="266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67"/>
      <c r="U48" s="268"/>
      <c r="V48" s="23"/>
      <c r="W48" s="23"/>
    </row>
    <row r="49" spans="1:23" x14ac:dyDescent="0.25">
      <c r="A49" s="252"/>
      <c r="B49" s="252"/>
      <c r="C49" s="23"/>
      <c r="D49" s="23"/>
      <c r="E49" s="23"/>
      <c r="F49" s="23"/>
      <c r="G49" s="258"/>
      <c r="H49" s="258"/>
      <c r="I49" s="258"/>
      <c r="J49" s="258"/>
      <c r="K49" s="258"/>
      <c r="L49" s="258"/>
      <c r="M49" s="258"/>
      <c r="N49" s="258"/>
      <c r="O49" s="258"/>
      <c r="P49" s="258"/>
      <c r="Q49" s="258"/>
      <c r="R49" s="258"/>
      <c r="S49" s="258"/>
      <c r="T49" s="258"/>
      <c r="U49" s="258"/>
      <c r="V49" s="23"/>
      <c r="W49" s="23"/>
    </row>
    <row r="50" spans="1:23" x14ac:dyDescent="0.25">
      <c r="A50" s="252"/>
      <c r="B50" s="252"/>
      <c r="C50" s="23"/>
      <c r="D50" s="23"/>
      <c r="E50" s="23"/>
      <c r="F50" s="23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8"/>
      <c r="U50" s="258"/>
      <c r="V50" s="23"/>
      <c r="W50" s="23"/>
    </row>
  </sheetData>
  <mergeCells count="2">
    <mergeCell ref="G3:U3"/>
    <mergeCell ref="E3:F3"/>
  </mergeCells>
  <dataValidations count="1">
    <dataValidation type="list" allowBlank="1" showInputMessage="1" showErrorMessage="1" sqref="G5:U48" xr:uid="{2DF2DDA6-D2CA-477C-AC28-4861C15535D4}">
      <formula1>"Y,V,H"</formula1>
    </dataValidation>
  </dataValidations>
  <pageMargins left="0.7" right="0.7" top="0.75" bottom="0.75" header="0.3" footer="0.3"/>
  <pageSetup orientation="portrait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0000"/>
  </sheetPr>
  <dimension ref="A1:V3"/>
  <sheetViews>
    <sheetView workbookViewId="0">
      <selection activeCell="A3" sqref="A3"/>
    </sheetView>
  </sheetViews>
  <sheetFormatPr defaultColWidth="8.85546875" defaultRowHeight="15" x14ac:dyDescent="0.25"/>
  <cols>
    <col min="1" max="1" width="9.7109375" bestFit="1" customWidth="1"/>
  </cols>
  <sheetData>
    <row r="1" spans="1:22" x14ac:dyDescent="0.25">
      <c r="A1" s="468" t="s">
        <v>153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</row>
    <row r="2" spans="1:22" ht="30" x14ac:dyDescent="0.25">
      <c r="A2" s="128" t="s">
        <v>94</v>
      </c>
      <c r="B2" s="128" t="s">
        <v>68</v>
      </c>
      <c r="C2" s="130" t="s">
        <v>107</v>
      </c>
      <c r="D2" s="130" t="s">
        <v>70</v>
      </c>
      <c r="E2" s="130" t="s">
        <v>71</v>
      </c>
      <c r="F2" s="130" t="s">
        <v>72</v>
      </c>
      <c r="G2" s="130" t="s">
        <v>73</v>
      </c>
      <c r="H2" s="130" t="s">
        <v>74</v>
      </c>
      <c r="I2" s="130" t="s">
        <v>75</v>
      </c>
      <c r="J2" s="130" t="s">
        <v>76</v>
      </c>
      <c r="K2" s="130" t="s">
        <v>77</v>
      </c>
      <c r="L2" s="130" t="s">
        <v>78</v>
      </c>
      <c r="M2" s="130" t="s">
        <v>79</v>
      </c>
      <c r="N2" s="128" t="s">
        <v>80</v>
      </c>
      <c r="O2" s="128" t="s">
        <v>124</v>
      </c>
      <c r="P2" s="130" t="s">
        <v>82</v>
      </c>
      <c r="Q2" s="128" t="s">
        <v>125</v>
      </c>
      <c r="R2" s="128" t="s">
        <v>126</v>
      </c>
      <c r="S2" s="130" t="s">
        <v>85</v>
      </c>
      <c r="T2" s="128" t="s">
        <v>127</v>
      </c>
      <c r="U2" s="128" t="s">
        <v>128</v>
      </c>
      <c r="V2" s="130" t="s">
        <v>88</v>
      </c>
    </row>
    <row r="3" spans="1:22" x14ac:dyDescent="0.25">
      <c r="E3" t="e">
        <f>SUMIFS(Database!G:G,Database!$E3:$E10000,Rosters!$C$4:$C$271,Database!$A:$A,RecordEngine!$A3)</f>
        <v>#VALUE!</v>
      </c>
    </row>
  </sheetData>
  <mergeCells count="1">
    <mergeCell ref="A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Startup</vt:lpstr>
      <vt:lpstr>PlayersStartPoint</vt:lpstr>
      <vt:lpstr>Matchups!Print_Area</vt:lpstr>
      <vt:lpstr>UserName</vt:lpstr>
      <vt:lpstr>UserTable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Vollmar</dc:creator>
  <cp:lastModifiedBy>Kevin Vollmar</cp:lastModifiedBy>
  <cp:lastPrinted>2018-06-12T04:10:51Z</cp:lastPrinted>
  <dcterms:created xsi:type="dcterms:W3CDTF">2018-05-20T15:06:18Z</dcterms:created>
  <dcterms:modified xsi:type="dcterms:W3CDTF">2018-07-23T01:56:24Z</dcterms:modified>
</cp:coreProperties>
</file>